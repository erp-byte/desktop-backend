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andor Foods\Downloads\"/>
    </mc:Choice>
  </mc:AlternateContent>
  <xr:revisionPtr revIDLastSave="0" documentId="13_ncr:1_{47007910-6738-4CB9-8A08-431D63D14F11}" xr6:coauthVersionLast="47" xr6:coauthVersionMax="47" xr10:uidLastSave="{00000000-0000-0000-0000-000000000000}"/>
  <bookViews>
    <workbookView xWindow="-110" yWindow="-110" windowWidth="19420" windowHeight="10300" firstSheet="4" activeTab="4" xr2:uid="{EDC2F4A6-7F57-4930-804A-E40FA557E63E}"/>
  </bookViews>
  <sheets>
    <sheet name="Pivot CFPL" sheetId="8" state="hidden" r:id="rId1"/>
    <sheet name="Pivot CDPL" sheetId="9" state="hidden" r:id="rId2"/>
    <sheet name="Pivot Other" sheetId="3" state="hidden" r:id="rId3"/>
    <sheet name="Pivot Dates" sheetId="4" state="hidden" r:id="rId4"/>
    <sheet name="12th May 26" sheetId="6" r:id="rId5"/>
    <sheet name="30th Dec 25 (2)" sheetId="174" state="hidden" r:id="rId6"/>
  </sheets>
  <externalReferences>
    <externalReference r:id="rId7"/>
  </externalReferences>
  <definedNames>
    <definedName name="_xlnm._FilterDatabase" localSheetId="4" hidden="1">'12th May 26'!$A$6:$AE$487</definedName>
    <definedName name="_xlnm._FilterDatabase" localSheetId="5" hidden="1">'30th Dec 25 (2)'!$A$6:$Z$412</definedName>
    <definedName name="_xlnm._FilterDatabase" localSheetId="3" hidden="1">'Pivot Dates'!$S$4:$AA$97</definedName>
    <definedName name="_xlnm._FilterDatabase" localSheetId="2" hidden="1">'Pivot Other'!$Q$5:$W$138</definedName>
    <definedName name="_xlnm.Print_Titles" localSheetId="4">'12th May 26'!$5:$6</definedName>
    <definedName name="_xlnm.Print_Titles" localSheetId="5">'30th Dec 25 (2)'!$5:$6</definedName>
    <definedName name="_xlnm.Print_Titles" localSheetId="3">'Pivot Dates'!$2:$4</definedName>
    <definedName name="_xlnm.Print_Titles" localSheetId="2">'Pivot Other'!$2:$5</definedName>
  </definedNames>
  <calcPr calcId="191029"/>
  <pivotCaches>
    <pivotCache cacheId="0" r:id="rId8"/>
    <pivotCache cacheId="2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82" i="6" l="1" a="1"/>
  <c r="M482" i="6" s="1"/>
  <c r="M481" i="6" a="1"/>
  <c r="M481" i="6" s="1"/>
  <c r="M479" i="6" a="1"/>
  <c r="M479" i="6" s="1"/>
  <c r="M477" i="6" a="1"/>
  <c r="M477" i="6" s="1"/>
  <c r="M475" i="6" a="1"/>
  <c r="M475" i="6" s="1"/>
  <c r="M473" i="6" a="1"/>
  <c r="M473" i="6" s="1"/>
  <c r="M469" i="6" a="1"/>
  <c r="M469" i="6" s="1"/>
  <c r="M468" i="6" a="1"/>
  <c r="M468" i="6" s="1"/>
  <c r="M467" i="6" a="1"/>
  <c r="M467" i="6" s="1"/>
  <c r="M464" i="6" a="1"/>
  <c r="M464" i="6" s="1"/>
  <c r="M460" i="6" a="1"/>
  <c r="M460" i="6" s="1"/>
  <c r="M459" i="6" a="1"/>
  <c r="M459" i="6" s="1"/>
  <c r="M458" i="6" a="1"/>
  <c r="M458" i="6" s="1"/>
  <c r="M457" i="6" a="1"/>
  <c r="M457" i="6" s="1"/>
  <c r="M454" i="6" a="1"/>
  <c r="M454" i="6" s="1"/>
  <c r="M453" i="6" a="1"/>
  <c r="M453" i="6" s="1"/>
  <c r="M450" i="6" a="1"/>
  <c r="M450" i="6" s="1"/>
  <c r="M446" i="6" a="1"/>
  <c r="M446" i="6" s="1"/>
  <c r="M442" i="6" a="1"/>
  <c r="M442" i="6" s="1"/>
  <c r="M441" i="6" a="1"/>
  <c r="M441" i="6" s="1"/>
  <c r="M439" i="6" a="1"/>
  <c r="M439" i="6" s="1"/>
  <c r="M437" i="6" a="1"/>
  <c r="M437" i="6" s="1"/>
  <c r="M436" i="6" a="1"/>
  <c r="M436" i="6" s="1"/>
  <c r="M435" i="6" a="1"/>
  <c r="M435" i="6" s="1"/>
  <c r="M432" i="6" a="1"/>
  <c r="M432" i="6" s="1"/>
  <c r="M431" i="6" a="1"/>
  <c r="M431" i="6" s="1"/>
  <c r="M428" i="6" a="1"/>
  <c r="M428" i="6" s="1"/>
  <c r="M427" i="6" a="1"/>
  <c r="M427" i="6" s="1"/>
  <c r="M426" i="6" a="1"/>
  <c r="M426" i="6" s="1"/>
  <c r="M424" i="6" a="1"/>
  <c r="M424" i="6" s="1"/>
  <c r="M423" i="6" a="1"/>
  <c r="M423" i="6" s="1"/>
  <c r="M422" i="6" a="1"/>
  <c r="M422" i="6" s="1"/>
  <c r="M421" i="6" a="1"/>
  <c r="M421" i="6" s="1"/>
  <c r="M420" i="6" a="1"/>
  <c r="M420" i="6" s="1"/>
  <c r="M418" i="6" a="1"/>
  <c r="M418" i="6" s="1"/>
  <c r="M417" i="6" a="1"/>
  <c r="M417" i="6" s="1"/>
  <c r="M415" i="6" a="1"/>
  <c r="M415" i="6" s="1"/>
  <c r="M413" i="6" a="1"/>
  <c r="M413" i="6" s="1"/>
  <c r="M412" i="6" a="1"/>
  <c r="M412" i="6" s="1"/>
  <c r="M409" i="6" a="1"/>
  <c r="M409" i="6" s="1"/>
  <c r="M408" i="6" a="1"/>
  <c r="M408" i="6" s="1"/>
  <c r="M407" i="6" a="1"/>
  <c r="M407" i="6" s="1"/>
  <c r="M404" i="6" a="1"/>
  <c r="M404" i="6" s="1"/>
  <c r="M56" i="6" a="1"/>
  <c r="M56" i="6" s="1"/>
  <c r="M55" i="6" a="1"/>
  <c r="M55" i="6" s="1"/>
  <c r="M54" i="6" a="1"/>
  <c r="M54" i="6" s="1"/>
  <c r="M53" i="6" a="1"/>
  <c r="M53" i="6" s="1"/>
  <c r="M52" i="6" a="1"/>
  <c r="M52" i="6" s="1"/>
  <c r="M51" i="6" a="1"/>
  <c r="M51" i="6" s="1"/>
  <c r="M50" i="6" a="1"/>
  <c r="M50" i="6" s="1"/>
  <c r="M49" i="6" a="1"/>
  <c r="M49" i="6" s="1"/>
  <c r="M48" i="6" a="1"/>
  <c r="M48" i="6" s="1"/>
  <c r="M47" i="6" a="1"/>
  <c r="M47" i="6" s="1"/>
  <c r="M46" i="6" a="1"/>
  <c r="M46" i="6" s="1"/>
  <c r="M45" i="6" a="1"/>
  <c r="M45" i="6" s="1"/>
  <c r="M43" i="6" a="1"/>
  <c r="M43" i="6" s="1"/>
  <c r="M41" i="6" a="1"/>
  <c r="M41" i="6" s="1"/>
  <c r="M39" i="6" a="1"/>
  <c r="M39" i="6" s="1"/>
  <c r="M38" i="6" a="1"/>
  <c r="M38" i="6" s="1"/>
  <c r="M37" i="6" a="1"/>
  <c r="M37" i="6" s="1"/>
  <c r="M36" i="6" a="1"/>
  <c r="M36" i="6" s="1"/>
  <c r="M35" i="6" a="1"/>
  <c r="M35" i="6" s="1"/>
  <c r="M34" i="6" a="1"/>
  <c r="M34" i="6" s="1"/>
  <c r="M33" i="6" a="1"/>
  <c r="M33" i="6" s="1"/>
  <c r="M32" i="6" a="1"/>
  <c r="M32" i="6" s="1"/>
  <c r="M31" i="6" a="1"/>
  <c r="M31" i="6" s="1"/>
  <c r="M30" i="6" a="1"/>
  <c r="M30" i="6" s="1"/>
  <c r="M29" i="6" a="1"/>
  <c r="M29" i="6" s="1"/>
  <c r="M26" i="6" a="1"/>
  <c r="M26" i="6" s="1"/>
  <c r="M22" i="6" a="1"/>
  <c r="M22" i="6" s="1"/>
  <c r="M18" i="6" a="1"/>
  <c r="M18" i="6" s="1"/>
  <c r="M17" i="6" a="1"/>
  <c r="M17" i="6" s="1"/>
  <c r="M16" i="6" a="1"/>
  <c r="M16" i="6" s="1"/>
  <c r="M15" i="6" a="1"/>
  <c r="M15" i="6" s="1"/>
  <c r="M14" i="6" a="1"/>
  <c r="M14" i="6" s="1"/>
  <c r="M13" i="6" a="1"/>
  <c r="M13" i="6" s="1"/>
  <c r="M12" i="6" a="1"/>
  <c r="M12" i="6" s="1"/>
  <c r="M11" i="6" a="1"/>
  <c r="M11" i="6" s="1"/>
  <c r="M10" i="6" a="1"/>
  <c r="M10" i="6" s="1"/>
  <c r="M9" i="6" a="1"/>
  <c r="M9" i="6" s="1"/>
  <c r="M8" i="6" a="1"/>
  <c r="M8" i="6" s="1"/>
  <c r="M7" i="6" a="1"/>
  <c r="M7" i="6" s="1"/>
  <c r="M19" i="6" a="1"/>
  <c r="M19" i="6" s="1"/>
  <c r="M20" i="6" a="1"/>
  <c r="M20" i="6" s="1"/>
  <c r="M21" i="6" a="1"/>
  <c r="M21" i="6" s="1"/>
  <c r="M23" i="6" a="1"/>
  <c r="M23" i="6" s="1"/>
  <c r="M24" i="6" a="1"/>
  <c r="M24" i="6" s="1"/>
  <c r="M25" i="6" a="1"/>
  <c r="M25" i="6" s="1"/>
  <c r="M27" i="6" a="1"/>
  <c r="M27" i="6" s="1"/>
  <c r="M28" i="6" a="1"/>
  <c r="M28" i="6" s="1"/>
  <c r="M40" i="6" a="1"/>
  <c r="M40" i="6" s="1"/>
  <c r="M42" i="6" a="1"/>
  <c r="M42" i="6" s="1"/>
  <c r="M44" i="6" a="1"/>
  <c r="M44" i="6" s="1"/>
  <c r="M57" i="6" a="1"/>
  <c r="M57" i="6" s="1"/>
  <c r="M58" i="6" a="1"/>
  <c r="M58" i="6" s="1"/>
  <c r="M59" i="6" a="1"/>
  <c r="M59" i="6" s="1"/>
  <c r="M60" i="6" a="1"/>
  <c r="M60" i="6" s="1"/>
  <c r="M61" i="6" a="1"/>
  <c r="M61" i="6" s="1"/>
  <c r="M62" i="6" a="1"/>
  <c r="M62" i="6" s="1"/>
  <c r="M63" i="6" a="1"/>
  <c r="M63" i="6" s="1"/>
  <c r="M64" i="6" a="1"/>
  <c r="M64" i="6" s="1"/>
  <c r="M65" i="6" a="1"/>
  <c r="M65" i="6" s="1"/>
  <c r="M66" i="6" a="1"/>
  <c r="M66" i="6" s="1"/>
  <c r="M67" i="6" a="1"/>
  <c r="M67" i="6" s="1"/>
  <c r="M68" i="6" a="1"/>
  <c r="M68" i="6" s="1"/>
  <c r="M69" i="6" a="1"/>
  <c r="M69" i="6" s="1"/>
  <c r="M70" i="6" a="1"/>
  <c r="M70" i="6" s="1"/>
  <c r="M71" i="6" a="1"/>
  <c r="M71" i="6" s="1"/>
  <c r="M72" i="6" a="1"/>
  <c r="M72" i="6" s="1"/>
  <c r="M73" i="6" a="1"/>
  <c r="M73" i="6" s="1"/>
  <c r="M74" i="6" a="1"/>
  <c r="M74" i="6" s="1"/>
  <c r="M75" i="6" a="1"/>
  <c r="M75" i="6" s="1"/>
  <c r="M76" i="6" a="1"/>
  <c r="M76" i="6" s="1"/>
  <c r="M77" i="6" a="1"/>
  <c r="M77" i="6" s="1"/>
  <c r="M78" i="6" a="1"/>
  <c r="M78" i="6" s="1"/>
  <c r="M79" i="6" a="1"/>
  <c r="M79" i="6" s="1"/>
  <c r="M80" i="6" a="1"/>
  <c r="M80" i="6" s="1"/>
  <c r="M81" i="6" a="1"/>
  <c r="M81" i="6" s="1"/>
  <c r="M82" i="6" a="1"/>
  <c r="M82" i="6" s="1"/>
  <c r="M83" i="6" a="1"/>
  <c r="M83" i="6" s="1"/>
  <c r="M84" i="6" a="1"/>
  <c r="M84" i="6" s="1"/>
  <c r="M85" i="6" a="1"/>
  <c r="M85" i="6" s="1"/>
  <c r="M86" i="6" a="1"/>
  <c r="M86" i="6" s="1"/>
  <c r="M87" i="6" a="1"/>
  <c r="M87" i="6" s="1"/>
  <c r="M88" i="6" a="1"/>
  <c r="M88" i="6" s="1"/>
  <c r="M89" i="6" a="1"/>
  <c r="M89" i="6" s="1"/>
  <c r="M90" i="6" a="1"/>
  <c r="M90" i="6" s="1"/>
  <c r="M91" i="6" a="1"/>
  <c r="M91" i="6" s="1"/>
  <c r="M92" i="6" a="1"/>
  <c r="M92" i="6" s="1"/>
  <c r="M93" i="6" a="1"/>
  <c r="M93" i="6" s="1"/>
  <c r="M94" i="6" a="1"/>
  <c r="M94" i="6" s="1"/>
  <c r="M95" i="6" a="1"/>
  <c r="M95" i="6" s="1"/>
  <c r="M96" i="6" a="1"/>
  <c r="M96" i="6" s="1"/>
  <c r="M97" i="6" a="1"/>
  <c r="M97" i="6" s="1"/>
  <c r="M98" i="6" a="1"/>
  <c r="M98" i="6" s="1"/>
  <c r="M99" i="6" a="1"/>
  <c r="M99" i="6" s="1"/>
  <c r="M100" i="6" a="1"/>
  <c r="M100" i="6" s="1"/>
  <c r="M101" i="6" a="1"/>
  <c r="M101" i="6" s="1"/>
  <c r="M102" i="6" a="1"/>
  <c r="M102" i="6" s="1"/>
  <c r="M103" i="6" a="1"/>
  <c r="M103" i="6" s="1"/>
  <c r="M104" i="6" a="1"/>
  <c r="M104" i="6" s="1"/>
  <c r="M105" i="6" a="1"/>
  <c r="M105" i="6" s="1"/>
  <c r="M106" i="6" a="1"/>
  <c r="M106" i="6" s="1"/>
  <c r="M107" i="6" a="1"/>
  <c r="M107" i="6" s="1"/>
  <c r="M108" i="6" a="1"/>
  <c r="M108" i="6" s="1"/>
  <c r="M109" i="6" a="1"/>
  <c r="M109" i="6" s="1"/>
  <c r="M110" i="6" a="1"/>
  <c r="M110" i="6" s="1"/>
  <c r="M111" i="6" a="1"/>
  <c r="M111" i="6" s="1"/>
  <c r="M112" i="6" a="1"/>
  <c r="M112" i="6" s="1"/>
  <c r="M113" i="6" a="1"/>
  <c r="M113" i="6" s="1"/>
  <c r="M114" i="6" a="1"/>
  <c r="M114" i="6" s="1"/>
  <c r="M115" i="6" a="1"/>
  <c r="M115" i="6" s="1"/>
  <c r="M116" i="6" a="1"/>
  <c r="M116" i="6" s="1"/>
  <c r="M117" i="6" a="1"/>
  <c r="M117" i="6" s="1"/>
  <c r="M118" i="6" a="1"/>
  <c r="M118" i="6" s="1"/>
  <c r="M119" i="6" a="1"/>
  <c r="M119" i="6" s="1"/>
  <c r="M120" i="6" a="1"/>
  <c r="M120" i="6" s="1"/>
  <c r="M121" i="6" a="1"/>
  <c r="M121" i="6" s="1"/>
  <c r="M122" i="6" a="1"/>
  <c r="M122" i="6" s="1"/>
  <c r="M123" i="6" a="1"/>
  <c r="M123" i="6" s="1"/>
  <c r="M124" i="6" a="1"/>
  <c r="M124" i="6" s="1"/>
  <c r="M125" i="6" a="1"/>
  <c r="M125" i="6" s="1"/>
  <c r="M126" i="6" a="1"/>
  <c r="M126" i="6" s="1"/>
  <c r="M127" i="6" a="1"/>
  <c r="M127" i="6" s="1"/>
  <c r="M128" i="6" a="1"/>
  <c r="M128" i="6" s="1"/>
  <c r="M129" i="6" a="1"/>
  <c r="M129" i="6" s="1"/>
  <c r="M130" i="6" a="1"/>
  <c r="M130" i="6" s="1"/>
  <c r="M131" i="6" a="1"/>
  <c r="M131" i="6" s="1"/>
  <c r="M132" i="6" a="1"/>
  <c r="M132" i="6" s="1"/>
  <c r="M133" i="6" a="1"/>
  <c r="M133" i="6" s="1"/>
  <c r="M134" i="6" a="1"/>
  <c r="M134" i="6" s="1"/>
  <c r="M135" i="6" a="1"/>
  <c r="M135" i="6" s="1"/>
  <c r="M136" i="6" a="1"/>
  <c r="M136" i="6" s="1"/>
  <c r="M137" i="6" a="1"/>
  <c r="M137" i="6" s="1"/>
  <c r="M138" i="6" a="1"/>
  <c r="M138" i="6" s="1"/>
  <c r="M139" i="6" a="1"/>
  <c r="M139" i="6" s="1"/>
  <c r="M140" i="6" a="1"/>
  <c r="M140" i="6" s="1"/>
  <c r="M141" i="6" a="1"/>
  <c r="M141" i="6" s="1"/>
  <c r="M142" i="6" a="1"/>
  <c r="M142" i="6" s="1"/>
  <c r="M143" i="6" a="1"/>
  <c r="M143" i="6" s="1"/>
  <c r="M144" i="6" a="1"/>
  <c r="M144" i="6" s="1"/>
  <c r="M145" i="6" a="1"/>
  <c r="M145" i="6" s="1"/>
  <c r="M146" i="6" a="1"/>
  <c r="M146" i="6" s="1"/>
  <c r="M147" i="6" a="1"/>
  <c r="M147" i="6" s="1"/>
  <c r="M148" i="6" a="1"/>
  <c r="M148" i="6" s="1"/>
  <c r="M149" i="6" a="1"/>
  <c r="M149" i="6" s="1"/>
  <c r="M150" i="6" a="1"/>
  <c r="M150" i="6" s="1"/>
  <c r="M151" i="6" a="1"/>
  <c r="M151" i="6" s="1"/>
  <c r="M152" i="6" a="1"/>
  <c r="M152" i="6" s="1"/>
  <c r="M153" i="6" a="1"/>
  <c r="M153" i="6" s="1"/>
  <c r="M154" i="6" a="1"/>
  <c r="M154" i="6" s="1"/>
  <c r="M155" i="6" a="1"/>
  <c r="M155" i="6" s="1"/>
  <c r="M156" i="6" a="1"/>
  <c r="M156" i="6" s="1"/>
  <c r="M157" i="6" a="1"/>
  <c r="M157" i="6" s="1"/>
  <c r="M158" i="6" a="1"/>
  <c r="M158" i="6" s="1"/>
  <c r="M159" i="6" a="1"/>
  <c r="M159" i="6" s="1"/>
  <c r="M160" i="6" a="1"/>
  <c r="M160" i="6" s="1"/>
  <c r="M161" i="6" a="1"/>
  <c r="M161" i="6" s="1"/>
  <c r="M162" i="6" a="1"/>
  <c r="M162" i="6" s="1"/>
  <c r="M163" i="6" a="1"/>
  <c r="M163" i="6" s="1"/>
  <c r="M164" i="6" a="1"/>
  <c r="M164" i="6" s="1"/>
  <c r="M165" i="6" a="1"/>
  <c r="M165" i="6" s="1"/>
  <c r="M166" i="6" a="1"/>
  <c r="M166" i="6" s="1"/>
  <c r="M167" i="6" a="1"/>
  <c r="M167" i="6" s="1"/>
  <c r="M168" i="6" a="1"/>
  <c r="M168" i="6" s="1"/>
  <c r="M169" i="6" a="1"/>
  <c r="M169" i="6" s="1"/>
  <c r="M170" i="6" a="1"/>
  <c r="M170" i="6" s="1"/>
  <c r="M171" i="6" a="1"/>
  <c r="M171" i="6" s="1"/>
  <c r="M172" i="6" a="1"/>
  <c r="M172" i="6" s="1"/>
  <c r="M173" i="6" a="1"/>
  <c r="M173" i="6" s="1"/>
  <c r="M174" i="6" a="1"/>
  <c r="M174" i="6" s="1"/>
  <c r="M175" i="6" a="1"/>
  <c r="M175" i="6" s="1"/>
  <c r="M176" i="6" a="1"/>
  <c r="M176" i="6" s="1"/>
  <c r="M177" i="6" a="1"/>
  <c r="M177" i="6" s="1"/>
  <c r="M178" i="6" a="1"/>
  <c r="M178" i="6" s="1"/>
  <c r="M179" i="6" a="1"/>
  <c r="M179" i="6" s="1"/>
  <c r="M180" i="6" a="1"/>
  <c r="M180" i="6" s="1"/>
  <c r="M181" i="6" a="1"/>
  <c r="M181" i="6" s="1"/>
  <c r="M182" i="6" a="1"/>
  <c r="M182" i="6" s="1"/>
  <c r="M183" i="6" a="1"/>
  <c r="M183" i="6" s="1"/>
  <c r="M184" i="6" a="1"/>
  <c r="M184" i="6" s="1"/>
  <c r="M185" i="6" a="1"/>
  <c r="M185" i="6" s="1"/>
  <c r="M186" i="6" a="1"/>
  <c r="M186" i="6" s="1"/>
  <c r="M187" i="6" a="1"/>
  <c r="M187" i="6" s="1"/>
  <c r="M188" i="6" a="1"/>
  <c r="M188" i="6" s="1"/>
  <c r="M189" i="6" a="1"/>
  <c r="M189" i="6" s="1"/>
  <c r="M190" i="6" a="1"/>
  <c r="M190" i="6" s="1"/>
  <c r="M191" i="6" a="1"/>
  <c r="M191" i="6" s="1"/>
  <c r="M192" i="6" a="1"/>
  <c r="M192" i="6" s="1"/>
  <c r="M193" i="6" a="1"/>
  <c r="M193" i="6" s="1"/>
  <c r="M194" i="6" a="1"/>
  <c r="M194" i="6" s="1"/>
  <c r="M195" i="6" a="1"/>
  <c r="M195" i="6" s="1"/>
  <c r="M196" i="6" a="1"/>
  <c r="M196" i="6" s="1"/>
  <c r="M197" i="6" a="1"/>
  <c r="M197" i="6" s="1"/>
  <c r="M198" i="6" a="1"/>
  <c r="M198" i="6" s="1"/>
  <c r="M199" i="6" a="1"/>
  <c r="M199" i="6" s="1"/>
  <c r="M200" i="6" a="1"/>
  <c r="M200" i="6" s="1"/>
  <c r="M201" i="6" a="1"/>
  <c r="M201" i="6" s="1"/>
  <c r="M202" i="6" a="1"/>
  <c r="M202" i="6" s="1"/>
  <c r="M203" i="6" a="1"/>
  <c r="M203" i="6" s="1"/>
  <c r="M204" i="6" a="1"/>
  <c r="M204" i="6" s="1"/>
  <c r="M205" i="6" a="1"/>
  <c r="M205" i="6" s="1"/>
  <c r="M206" i="6" a="1"/>
  <c r="M206" i="6" s="1"/>
  <c r="M207" i="6" a="1"/>
  <c r="M207" i="6" s="1"/>
  <c r="M208" i="6" a="1"/>
  <c r="M208" i="6" s="1"/>
  <c r="M209" i="6" a="1"/>
  <c r="M209" i="6" s="1"/>
  <c r="M210" i="6" a="1"/>
  <c r="M210" i="6" s="1"/>
  <c r="M211" i="6" a="1"/>
  <c r="M211" i="6" s="1"/>
  <c r="M212" i="6" a="1"/>
  <c r="M212" i="6" s="1"/>
  <c r="M213" i="6" a="1"/>
  <c r="M213" i="6" s="1"/>
  <c r="M214" i="6" a="1"/>
  <c r="M214" i="6" s="1"/>
  <c r="M215" i="6" a="1"/>
  <c r="M215" i="6" s="1"/>
  <c r="M216" i="6" a="1"/>
  <c r="M216" i="6" s="1"/>
  <c r="M217" i="6" a="1"/>
  <c r="M217" i="6" s="1"/>
  <c r="M218" i="6" a="1"/>
  <c r="M218" i="6" s="1"/>
  <c r="M219" i="6" a="1"/>
  <c r="M219" i="6" s="1"/>
  <c r="M220" i="6" a="1"/>
  <c r="M220" i="6" s="1"/>
  <c r="M221" i="6" a="1"/>
  <c r="M221" i="6" s="1"/>
  <c r="M222" i="6" a="1"/>
  <c r="M222" i="6" s="1"/>
  <c r="M223" i="6" a="1"/>
  <c r="M223" i="6" s="1"/>
  <c r="M224" i="6" a="1"/>
  <c r="M224" i="6" s="1"/>
  <c r="M225" i="6" a="1"/>
  <c r="M225" i="6" s="1"/>
  <c r="M226" i="6" a="1"/>
  <c r="M226" i="6" s="1"/>
  <c r="M227" i="6" a="1"/>
  <c r="M227" i="6" s="1"/>
  <c r="M228" i="6" a="1"/>
  <c r="M228" i="6" s="1"/>
  <c r="M229" i="6" a="1"/>
  <c r="M229" i="6" s="1"/>
  <c r="M230" i="6" a="1"/>
  <c r="M230" i="6" s="1"/>
  <c r="M231" i="6" a="1"/>
  <c r="M231" i="6" s="1"/>
  <c r="M232" i="6" a="1"/>
  <c r="M232" i="6" s="1"/>
  <c r="M233" i="6" a="1"/>
  <c r="M233" i="6" s="1"/>
  <c r="M234" i="6" a="1"/>
  <c r="M234" i="6" s="1"/>
  <c r="M235" i="6" a="1"/>
  <c r="M235" i="6" s="1"/>
  <c r="M236" i="6" a="1"/>
  <c r="M236" i="6" s="1"/>
  <c r="M237" i="6" a="1"/>
  <c r="M237" i="6" s="1"/>
  <c r="M238" i="6" a="1"/>
  <c r="M238" i="6" s="1"/>
  <c r="M239" i="6" a="1"/>
  <c r="M239" i="6" s="1"/>
  <c r="M240" i="6" a="1"/>
  <c r="M240" i="6" s="1"/>
  <c r="M241" i="6" a="1"/>
  <c r="M241" i="6" s="1"/>
  <c r="M242" i="6" a="1"/>
  <c r="M242" i="6" s="1"/>
  <c r="M243" i="6" a="1"/>
  <c r="M243" i="6" s="1"/>
  <c r="M244" i="6" a="1"/>
  <c r="M244" i="6" s="1"/>
  <c r="M245" i="6" a="1"/>
  <c r="M245" i="6" s="1"/>
  <c r="M246" i="6" a="1"/>
  <c r="M246" i="6" s="1"/>
  <c r="M247" i="6" a="1"/>
  <c r="M247" i="6" s="1"/>
  <c r="M248" i="6" a="1"/>
  <c r="M248" i="6" s="1"/>
  <c r="M249" i="6" a="1"/>
  <c r="M249" i="6" s="1"/>
  <c r="M250" i="6" a="1"/>
  <c r="M250" i="6" s="1"/>
  <c r="M251" i="6" a="1"/>
  <c r="M251" i="6" s="1"/>
  <c r="M252" i="6" a="1"/>
  <c r="M252" i="6" s="1"/>
  <c r="M253" i="6" a="1"/>
  <c r="M253" i="6" s="1"/>
  <c r="M254" i="6" a="1"/>
  <c r="M254" i="6" s="1"/>
  <c r="M255" i="6" a="1"/>
  <c r="M255" i="6" s="1"/>
  <c r="M256" i="6" a="1"/>
  <c r="M256" i="6" s="1"/>
  <c r="M257" i="6" a="1"/>
  <c r="M257" i="6" s="1"/>
  <c r="M258" i="6" a="1"/>
  <c r="M258" i="6" s="1"/>
  <c r="M259" i="6" a="1"/>
  <c r="M259" i="6" s="1"/>
  <c r="M260" i="6" a="1"/>
  <c r="M260" i="6" s="1"/>
  <c r="M261" i="6" a="1"/>
  <c r="M261" i="6" s="1"/>
  <c r="M262" i="6" a="1"/>
  <c r="M262" i="6" s="1"/>
  <c r="M263" i="6" a="1"/>
  <c r="M263" i="6" s="1"/>
  <c r="M264" i="6" a="1"/>
  <c r="M264" i="6" s="1"/>
  <c r="M265" i="6" a="1"/>
  <c r="M265" i="6" s="1"/>
  <c r="M266" i="6" a="1"/>
  <c r="M266" i="6" s="1"/>
  <c r="M267" i="6" a="1"/>
  <c r="M267" i="6" s="1"/>
  <c r="M268" i="6" a="1"/>
  <c r="M268" i="6" s="1"/>
  <c r="M269" i="6" a="1"/>
  <c r="M269" i="6" s="1"/>
  <c r="M270" i="6" a="1"/>
  <c r="M270" i="6" s="1"/>
  <c r="M271" i="6" a="1"/>
  <c r="M271" i="6" s="1"/>
  <c r="M272" i="6" a="1"/>
  <c r="M272" i="6" s="1"/>
  <c r="M273" i="6" a="1"/>
  <c r="M273" i="6" s="1"/>
  <c r="M274" i="6" a="1"/>
  <c r="M274" i="6" s="1"/>
  <c r="M275" i="6" a="1"/>
  <c r="M275" i="6" s="1"/>
  <c r="M276" i="6" a="1"/>
  <c r="M276" i="6" s="1"/>
  <c r="M277" i="6" a="1"/>
  <c r="M277" i="6" s="1"/>
  <c r="M278" i="6" a="1"/>
  <c r="M278" i="6" s="1"/>
  <c r="M279" i="6" a="1"/>
  <c r="M279" i="6" s="1"/>
  <c r="M280" i="6" a="1"/>
  <c r="M280" i="6" s="1"/>
  <c r="M281" i="6" a="1"/>
  <c r="M281" i="6" s="1"/>
  <c r="M282" i="6" a="1"/>
  <c r="M282" i="6" s="1"/>
  <c r="M283" i="6" a="1"/>
  <c r="M283" i="6" s="1"/>
  <c r="M284" i="6" a="1"/>
  <c r="M284" i="6" s="1"/>
  <c r="M285" i="6" a="1"/>
  <c r="M285" i="6" s="1"/>
  <c r="M286" i="6" a="1"/>
  <c r="M286" i="6" s="1"/>
  <c r="M287" i="6" a="1"/>
  <c r="M287" i="6" s="1"/>
  <c r="M288" i="6" a="1"/>
  <c r="M288" i="6" s="1"/>
  <c r="M289" i="6" a="1"/>
  <c r="M289" i="6" s="1"/>
  <c r="M290" i="6" a="1"/>
  <c r="M290" i="6" s="1"/>
  <c r="M291" i="6" a="1"/>
  <c r="M291" i="6" s="1"/>
  <c r="M292" i="6" a="1"/>
  <c r="M292" i="6" s="1"/>
  <c r="M293" i="6" a="1"/>
  <c r="M293" i="6" s="1"/>
  <c r="M294" i="6" a="1"/>
  <c r="M294" i="6" s="1"/>
  <c r="M295" i="6" a="1"/>
  <c r="M295" i="6" s="1"/>
  <c r="M296" i="6" a="1"/>
  <c r="M296" i="6" s="1"/>
  <c r="M297" i="6" a="1"/>
  <c r="M297" i="6" s="1"/>
  <c r="M298" i="6" a="1"/>
  <c r="M298" i="6" s="1"/>
  <c r="M299" i="6" a="1"/>
  <c r="M299" i="6" s="1"/>
  <c r="M300" i="6" a="1"/>
  <c r="M300" i="6" s="1"/>
  <c r="M301" i="6" a="1"/>
  <c r="M301" i="6" s="1"/>
  <c r="M302" i="6" a="1"/>
  <c r="M302" i="6" s="1"/>
  <c r="M303" i="6" a="1"/>
  <c r="M303" i="6" s="1"/>
  <c r="M304" i="6" a="1"/>
  <c r="M304" i="6" s="1"/>
  <c r="M305" i="6" a="1"/>
  <c r="M305" i="6" s="1"/>
  <c r="M306" i="6" a="1"/>
  <c r="M306" i="6" s="1"/>
  <c r="M307" i="6" a="1"/>
  <c r="M307" i="6" s="1"/>
  <c r="M308" i="6" a="1"/>
  <c r="M308" i="6" s="1"/>
  <c r="M309" i="6" a="1"/>
  <c r="M309" i="6" s="1"/>
  <c r="M310" i="6" a="1"/>
  <c r="M310" i="6" s="1"/>
  <c r="M311" i="6" a="1"/>
  <c r="M311" i="6" s="1"/>
  <c r="M312" i="6" a="1"/>
  <c r="M312" i="6" s="1"/>
  <c r="M313" i="6" a="1"/>
  <c r="M313" i="6" s="1"/>
  <c r="M314" i="6" a="1"/>
  <c r="M314" i="6" s="1"/>
  <c r="M315" i="6" a="1"/>
  <c r="M315" i="6" s="1"/>
  <c r="M316" i="6" a="1"/>
  <c r="M316" i="6" s="1"/>
  <c r="M317" i="6" a="1"/>
  <c r="M317" i="6" s="1"/>
  <c r="M318" i="6" a="1"/>
  <c r="M318" i="6" s="1"/>
  <c r="M319" i="6" a="1"/>
  <c r="M319" i="6" s="1"/>
  <c r="M320" i="6" a="1"/>
  <c r="M320" i="6" s="1"/>
  <c r="M321" i="6" a="1"/>
  <c r="M321" i="6" s="1"/>
  <c r="M322" i="6" a="1"/>
  <c r="M322" i="6" s="1"/>
  <c r="M323" i="6" a="1"/>
  <c r="M323" i="6" s="1"/>
  <c r="M324" i="6" a="1"/>
  <c r="M324" i="6" s="1"/>
  <c r="M325" i="6" a="1"/>
  <c r="M325" i="6" s="1"/>
  <c r="M326" i="6" a="1"/>
  <c r="M326" i="6" s="1"/>
  <c r="M327" i="6" a="1"/>
  <c r="M327" i="6" s="1"/>
  <c r="M328" i="6" a="1"/>
  <c r="M328" i="6" s="1"/>
  <c r="M329" i="6" a="1"/>
  <c r="M329" i="6" s="1"/>
  <c r="M330" i="6" a="1"/>
  <c r="M330" i="6" s="1"/>
  <c r="M331" i="6" a="1"/>
  <c r="M331" i="6" s="1"/>
  <c r="M332" i="6" a="1"/>
  <c r="M332" i="6" s="1"/>
  <c r="M333" i="6" a="1"/>
  <c r="M333" i="6" s="1"/>
  <c r="M334" i="6" a="1"/>
  <c r="M334" i="6" s="1"/>
  <c r="M335" i="6" a="1"/>
  <c r="M335" i="6" s="1"/>
  <c r="M336" i="6" a="1"/>
  <c r="M336" i="6" s="1"/>
  <c r="M337" i="6" a="1"/>
  <c r="M337" i="6" s="1"/>
  <c r="M338" i="6" a="1"/>
  <c r="M338" i="6" s="1"/>
  <c r="M339" i="6" a="1"/>
  <c r="M339" i="6" s="1"/>
  <c r="M340" i="6" a="1"/>
  <c r="M340" i="6" s="1"/>
  <c r="M341" i="6" a="1"/>
  <c r="M341" i="6" s="1"/>
  <c r="M342" i="6" a="1"/>
  <c r="M342" i="6" s="1"/>
  <c r="M343" i="6" a="1"/>
  <c r="M343" i="6" s="1"/>
  <c r="M344" i="6" a="1"/>
  <c r="M344" i="6" s="1"/>
  <c r="M345" i="6" a="1"/>
  <c r="M345" i="6" s="1"/>
  <c r="M346" i="6" a="1"/>
  <c r="M346" i="6" s="1"/>
  <c r="M347" i="6" a="1"/>
  <c r="M347" i="6" s="1"/>
  <c r="M348" i="6" a="1"/>
  <c r="M348" i="6" s="1"/>
  <c r="M349" i="6" a="1"/>
  <c r="M349" i="6" s="1"/>
  <c r="M350" i="6" a="1"/>
  <c r="M350" i="6" s="1"/>
  <c r="M351" i="6" a="1"/>
  <c r="M351" i="6" s="1"/>
  <c r="M352" i="6" a="1"/>
  <c r="M352" i="6" s="1"/>
  <c r="M353" i="6" a="1"/>
  <c r="M353" i="6" s="1"/>
  <c r="M354" i="6" a="1"/>
  <c r="M354" i="6" s="1"/>
  <c r="M355" i="6" a="1"/>
  <c r="M355" i="6" s="1"/>
  <c r="M356" i="6" a="1"/>
  <c r="M356" i="6" s="1"/>
  <c r="M357" i="6" a="1"/>
  <c r="M357" i="6" s="1"/>
  <c r="M358" i="6" a="1"/>
  <c r="M358" i="6" s="1"/>
  <c r="M359" i="6" a="1"/>
  <c r="M359" i="6" s="1"/>
  <c r="M360" i="6" a="1"/>
  <c r="M360" i="6" s="1"/>
  <c r="M361" i="6" a="1"/>
  <c r="M361" i="6" s="1"/>
  <c r="M362" i="6" a="1"/>
  <c r="M362" i="6" s="1"/>
  <c r="M363" i="6" a="1"/>
  <c r="M363" i="6" s="1"/>
  <c r="M364" i="6" a="1"/>
  <c r="M364" i="6" s="1"/>
  <c r="M365" i="6" a="1"/>
  <c r="M365" i="6" s="1"/>
  <c r="M366" i="6" a="1"/>
  <c r="M366" i="6" s="1"/>
  <c r="M367" i="6" a="1"/>
  <c r="M367" i="6" s="1"/>
  <c r="M368" i="6" a="1"/>
  <c r="M368" i="6" s="1"/>
  <c r="M369" i="6" a="1"/>
  <c r="M369" i="6" s="1"/>
  <c r="M370" i="6" a="1"/>
  <c r="M370" i="6" s="1"/>
  <c r="M371" i="6" a="1"/>
  <c r="M371" i="6" s="1"/>
  <c r="M372" i="6" a="1"/>
  <c r="M372" i="6" s="1"/>
  <c r="M373" i="6" a="1"/>
  <c r="M373" i="6" s="1"/>
  <c r="M374" i="6" a="1"/>
  <c r="M374" i="6" s="1"/>
  <c r="M375" i="6" a="1"/>
  <c r="M375" i="6" s="1"/>
  <c r="M376" i="6" a="1"/>
  <c r="M376" i="6" s="1"/>
  <c r="M377" i="6" a="1"/>
  <c r="M377" i="6" s="1"/>
  <c r="M378" i="6" a="1"/>
  <c r="M378" i="6" s="1"/>
  <c r="M379" i="6" a="1"/>
  <c r="M379" i="6" s="1"/>
  <c r="M380" i="6" a="1"/>
  <c r="M380" i="6" s="1"/>
  <c r="M381" i="6" a="1"/>
  <c r="M381" i="6" s="1"/>
  <c r="M382" i="6" a="1"/>
  <c r="M382" i="6" s="1"/>
  <c r="M384" i="6" a="1"/>
  <c r="M384" i="6" s="1"/>
  <c r="M385" i="6" a="1"/>
  <c r="M385" i="6" s="1"/>
  <c r="M386" i="6" a="1"/>
  <c r="M386" i="6" s="1"/>
  <c r="M387" i="6" a="1"/>
  <c r="M387" i="6" s="1"/>
  <c r="M388" i="6" a="1"/>
  <c r="M388" i="6" s="1"/>
  <c r="M389" i="6" a="1"/>
  <c r="M389" i="6" s="1"/>
  <c r="M390" i="6" a="1"/>
  <c r="M390" i="6" s="1"/>
  <c r="M391" i="6" a="1"/>
  <c r="M391" i="6" s="1"/>
  <c r="M392" i="6" a="1"/>
  <c r="M392" i="6" s="1"/>
  <c r="M393" i="6" a="1"/>
  <c r="M393" i="6" s="1"/>
  <c r="M394" i="6" a="1"/>
  <c r="M394" i="6" s="1"/>
  <c r="M395" i="6" a="1"/>
  <c r="M395" i="6" s="1"/>
  <c r="M396" i="6" a="1"/>
  <c r="M396" i="6" s="1"/>
  <c r="M397" i="6" a="1"/>
  <c r="M397" i="6" s="1"/>
  <c r="M398" i="6" a="1"/>
  <c r="M398" i="6" s="1"/>
  <c r="M399" i="6" a="1"/>
  <c r="M399" i="6" s="1"/>
  <c r="M400" i="6" a="1"/>
  <c r="M400" i="6" s="1"/>
  <c r="M401" i="6" a="1"/>
  <c r="M401" i="6" s="1"/>
  <c r="M402" i="6" a="1"/>
  <c r="M402" i="6" s="1"/>
  <c r="M403" i="6" a="1"/>
  <c r="M403" i="6" s="1"/>
  <c r="M405" i="6" a="1"/>
  <c r="M405" i="6" s="1"/>
  <c r="M406" i="6" a="1"/>
  <c r="M406" i="6" s="1"/>
  <c r="M410" i="6" a="1"/>
  <c r="M410" i="6" s="1"/>
  <c r="M411" i="6" a="1"/>
  <c r="M411" i="6" s="1"/>
  <c r="M414" i="6" a="1"/>
  <c r="M414" i="6" s="1"/>
  <c r="M416" i="6" a="1"/>
  <c r="M416" i="6" s="1"/>
  <c r="M419" i="6" a="1"/>
  <c r="M419" i="6" s="1"/>
  <c r="M425" i="6" a="1"/>
  <c r="M425" i="6" s="1"/>
  <c r="M429" i="6" a="1"/>
  <c r="M429" i="6" s="1"/>
  <c r="M430" i="6" a="1"/>
  <c r="M430" i="6" s="1"/>
  <c r="M433" i="6" a="1"/>
  <c r="M433" i="6" s="1"/>
  <c r="M434" i="6" a="1"/>
  <c r="M434" i="6" s="1"/>
  <c r="M440" i="6" a="1"/>
  <c r="M440" i="6" s="1"/>
  <c r="M443" i="6" a="1"/>
  <c r="M443" i="6" s="1"/>
  <c r="M444" i="6" a="1"/>
  <c r="M444" i="6" s="1"/>
  <c r="M445" i="6" a="1"/>
  <c r="M445" i="6" s="1"/>
  <c r="M447" i="6" a="1"/>
  <c r="M447" i="6" s="1"/>
  <c r="M448" i="6" a="1"/>
  <c r="M448" i="6" s="1"/>
  <c r="M449" i="6" a="1"/>
  <c r="M449" i="6" s="1"/>
  <c r="M451" i="6" a="1"/>
  <c r="M451" i="6" s="1"/>
  <c r="M452" i="6" a="1"/>
  <c r="M452" i="6" s="1"/>
  <c r="M455" i="6" a="1"/>
  <c r="M455" i="6" s="1"/>
  <c r="M456" i="6" a="1"/>
  <c r="M456" i="6" s="1"/>
  <c r="M461" i="6" a="1"/>
  <c r="M461" i="6" s="1"/>
  <c r="M462" i="6" a="1"/>
  <c r="M462" i="6" s="1"/>
  <c r="M463" i="6" a="1"/>
  <c r="M463" i="6" s="1"/>
  <c r="M465" i="6" a="1"/>
  <c r="M465" i="6" s="1"/>
  <c r="M466" i="6" a="1"/>
  <c r="M466" i="6" s="1"/>
  <c r="M470" i="6" a="1"/>
  <c r="M470" i="6" s="1"/>
  <c r="M471" i="6" a="1"/>
  <c r="M471" i="6" s="1"/>
  <c r="M472" i="6" a="1"/>
  <c r="M472" i="6" s="1"/>
  <c r="M474" i="6" a="1"/>
  <c r="M474" i="6" s="1"/>
  <c r="M476" i="6" a="1"/>
  <c r="M476" i="6" s="1"/>
  <c r="M478" i="6" a="1"/>
  <c r="M478" i="6" s="1"/>
  <c r="M480" i="6" a="1"/>
  <c r="M480" i="6" s="1"/>
  <c r="M483" i="6" a="1"/>
  <c r="M483" i="6" s="1"/>
  <c r="M484" i="6" a="1"/>
  <c r="M484" i="6" s="1"/>
  <c r="M485" i="6" a="1"/>
  <c r="M485" i="6" s="1"/>
  <c r="M486" i="6" a="1"/>
  <c r="M486" i="6" s="1"/>
  <c r="M487" i="6" a="1"/>
  <c r="M487" i="6" s="1"/>
  <c r="H428" i="6"/>
  <c r="J428" i="6" s="1"/>
  <c r="H408" i="6"/>
  <c r="J408" i="6" s="1"/>
  <c r="H457" i="6"/>
  <c r="H458" i="6"/>
  <c r="J458" i="6" s="1"/>
  <c r="H469" i="6"/>
  <c r="H462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V394" i="6" s="1"/>
  <c r="J395" i="6"/>
  <c r="J396" i="6"/>
  <c r="J397" i="6"/>
  <c r="V397" i="6" s="1"/>
  <c r="J398" i="6"/>
  <c r="V398" i="6" s="1"/>
  <c r="J399" i="6"/>
  <c r="V399" i="6" s="1"/>
  <c r="J400" i="6"/>
  <c r="V400" i="6" s="1"/>
  <c r="J401" i="6"/>
  <c r="V401" i="6" s="1"/>
  <c r="J402" i="6"/>
  <c r="V402" i="6" s="1"/>
  <c r="J404" i="6"/>
  <c r="J405" i="6"/>
  <c r="J407" i="6"/>
  <c r="J410" i="6"/>
  <c r="J419" i="6"/>
  <c r="J421" i="6"/>
  <c r="J422" i="6"/>
  <c r="J423" i="6"/>
  <c r="J424" i="6"/>
  <c r="J425" i="6"/>
  <c r="J426" i="6"/>
  <c r="J427" i="6"/>
  <c r="J429" i="6"/>
  <c r="J431" i="6"/>
  <c r="J432" i="6"/>
  <c r="J436" i="6"/>
  <c r="J438" i="6"/>
  <c r="J449" i="6"/>
  <c r="J454" i="6"/>
  <c r="J457" i="6"/>
  <c r="J462" i="6"/>
  <c r="J463" i="6"/>
  <c r="J464" i="6"/>
  <c r="J465" i="6"/>
  <c r="J467" i="6"/>
  <c r="J468" i="6"/>
  <c r="J469" i="6"/>
  <c r="J470" i="6"/>
  <c r="J472" i="6"/>
  <c r="J473" i="6"/>
  <c r="J474" i="6"/>
  <c r="J475" i="6"/>
  <c r="J479" i="6"/>
  <c r="J480" i="6"/>
  <c r="J481" i="6"/>
  <c r="J482" i="6"/>
  <c r="J485" i="6"/>
  <c r="V485" i="6" s="1"/>
  <c r="J486" i="6"/>
  <c r="V486" i="6" s="1"/>
  <c r="J7" i="6"/>
  <c r="V395" i="6"/>
  <c r="V396" i="6"/>
  <c r="H446" i="6" l="1"/>
  <c r="J446" i="6" s="1"/>
  <c r="V8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3" i="6"/>
  <c r="V34" i="6"/>
  <c r="V35" i="6"/>
  <c r="V36" i="6"/>
  <c r="V37" i="6"/>
  <c r="V38" i="6"/>
  <c r="V39" i="6"/>
  <c r="V40" i="6"/>
  <c r="V41" i="6"/>
  <c r="V42" i="6"/>
  <c r="V43" i="6"/>
  <c r="V44" i="6"/>
  <c r="V45" i="6"/>
  <c r="V46" i="6"/>
  <c r="V47" i="6"/>
  <c r="V48" i="6"/>
  <c r="V49" i="6"/>
  <c r="V50" i="6"/>
  <c r="V51" i="6"/>
  <c r="V52" i="6"/>
  <c r="V53" i="6"/>
  <c r="V54" i="6"/>
  <c r="V55" i="6"/>
  <c r="V56" i="6"/>
  <c r="V57" i="6"/>
  <c r="V58" i="6"/>
  <c r="V59" i="6"/>
  <c r="V60" i="6"/>
  <c r="V61" i="6"/>
  <c r="V62" i="6"/>
  <c r="V63" i="6"/>
  <c r="V64" i="6"/>
  <c r="V65" i="6"/>
  <c r="V66" i="6"/>
  <c r="V67" i="6"/>
  <c r="V68" i="6"/>
  <c r="V69" i="6"/>
  <c r="V70" i="6"/>
  <c r="V71" i="6"/>
  <c r="V72" i="6"/>
  <c r="V73" i="6"/>
  <c r="V74" i="6"/>
  <c r="V75" i="6"/>
  <c r="V76" i="6"/>
  <c r="V77" i="6"/>
  <c r="V78" i="6"/>
  <c r="V79" i="6"/>
  <c r="V80" i="6"/>
  <c r="V81" i="6"/>
  <c r="V82" i="6"/>
  <c r="V83" i="6"/>
  <c r="V84" i="6"/>
  <c r="V85" i="6"/>
  <c r="V86" i="6"/>
  <c r="V87" i="6"/>
  <c r="V88" i="6"/>
  <c r="V89" i="6"/>
  <c r="V90" i="6"/>
  <c r="V91" i="6"/>
  <c r="V92" i="6"/>
  <c r="V93" i="6"/>
  <c r="V94" i="6"/>
  <c r="V95" i="6"/>
  <c r="V96" i="6"/>
  <c r="V97" i="6"/>
  <c r="V98" i="6"/>
  <c r="V99" i="6"/>
  <c r="V100" i="6"/>
  <c r="V101" i="6"/>
  <c r="V102" i="6"/>
  <c r="V103" i="6"/>
  <c r="V104" i="6"/>
  <c r="V105" i="6"/>
  <c r="V106" i="6"/>
  <c r="V107" i="6"/>
  <c r="V108" i="6"/>
  <c r="V109" i="6"/>
  <c r="V110" i="6"/>
  <c r="V111" i="6"/>
  <c r="V112" i="6"/>
  <c r="V113" i="6"/>
  <c r="V114" i="6"/>
  <c r="V115" i="6"/>
  <c r="V116" i="6"/>
  <c r="V117" i="6"/>
  <c r="V118" i="6"/>
  <c r="V119" i="6"/>
  <c r="V120" i="6"/>
  <c r="V121" i="6"/>
  <c r="V122" i="6"/>
  <c r="V123" i="6"/>
  <c r="V124" i="6"/>
  <c r="V125" i="6"/>
  <c r="V126" i="6"/>
  <c r="V127" i="6"/>
  <c r="V128" i="6"/>
  <c r="V129" i="6"/>
  <c r="V130" i="6"/>
  <c r="V131" i="6"/>
  <c r="V132" i="6"/>
  <c r="V133" i="6"/>
  <c r="V134" i="6"/>
  <c r="V135" i="6"/>
  <c r="V136" i="6"/>
  <c r="V137" i="6"/>
  <c r="V138" i="6"/>
  <c r="V139" i="6"/>
  <c r="V140" i="6"/>
  <c r="V141" i="6"/>
  <c r="V142" i="6"/>
  <c r="V143" i="6"/>
  <c r="V144" i="6"/>
  <c r="V145" i="6"/>
  <c r="V146" i="6"/>
  <c r="V147" i="6"/>
  <c r="V148" i="6"/>
  <c r="V149" i="6"/>
  <c r="V150" i="6"/>
  <c r="V151" i="6"/>
  <c r="V152" i="6"/>
  <c r="V153" i="6"/>
  <c r="V154" i="6"/>
  <c r="V155" i="6"/>
  <c r="V156" i="6"/>
  <c r="V157" i="6"/>
  <c r="V158" i="6"/>
  <c r="V159" i="6"/>
  <c r="V160" i="6"/>
  <c r="V161" i="6"/>
  <c r="V162" i="6"/>
  <c r="V163" i="6"/>
  <c r="V164" i="6"/>
  <c r="V165" i="6"/>
  <c r="V166" i="6"/>
  <c r="V167" i="6"/>
  <c r="V168" i="6"/>
  <c r="V169" i="6"/>
  <c r="V170" i="6"/>
  <c r="V171" i="6"/>
  <c r="V172" i="6"/>
  <c r="V173" i="6"/>
  <c r="V174" i="6"/>
  <c r="V175" i="6"/>
  <c r="V176" i="6"/>
  <c r="V177" i="6"/>
  <c r="V178" i="6"/>
  <c r="V179" i="6"/>
  <c r="V180" i="6"/>
  <c r="V181" i="6"/>
  <c r="V182" i="6"/>
  <c r="V183" i="6"/>
  <c r="V184" i="6"/>
  <c r="V185" i="6"/>
  <c r="V186" i="6"/>
  <c r="V187" i="6"/>
  <c r="V188" i="6"/>
  <c r="V189" i="6"/>
  <c r="V190" i="6"/>
  <c r="V191" i="6"/>
  <c r="V192" i="6"/>
  <c r="V193" i="6"/>
  <c r="V194" i="6"/>
  <c r="V195" i="6"/>
  <c r="V196" i="6"/>
  <c r="V197" i="6"/>
  <c r="V198" i="6"/>
  <c r="V199" i="6"/>
  <c r="V200" i="6"/>
  <c r="V201" i="6"/>
  <c r="V202" i="6"/>
  <c r="V203" i="6"/>
  <c r="V204" i="6"/>
  <c r="V205" i="6"/>
  <c r="V206" i="6"/>
  <c r="V207" i="6"/>
  <c r="V208" i="6"/>
  <c r="V209" i="6"/>
  <c r="V210" i="6"/>
  <c r="V211" i="6"/>
  <c r="V212" i="6"/>
  <c r="V213" i="6"/>
  <c r="V214" i="6"/>
  <c r="V215" i="6"/>
  <c r="V216" i="6"/>
  <c r="V217" i="6"/>
  <c r="V218" i="6"/>
  <c r="V219" i="6"/>
  <c r="V220" i="6"/>
  <c r="V221" i="6"/>
  <c r="V222" i="6"/>
  <c r="V223" i="6"/>
  <c r="V225" i="6"/>
  <c r="V226" i="6"/>
  <c r="V227" i="6"/>
  <c r="V228" i="6"/>
  <c r="V229" i="6"/>
  <c r="V230" i="6"/>
  <c r="V231" i="6"/>
  <c r="V232" i="6"/>
  <c r="V233" i="6"/>
  <c r="V234" i="6"/>
  <c r="V235" i="6"/>
  <c r="V236" i="6"/>
  <c r="V237" i="6"/>
  <c r="V238" i="6"/>
  <c r="V239" i="6"/>
  <c r="V240" i="6"/>
  <c r="V241" i="6"/>
  <c r="V242" i="6"/>
  <c r="V243" i="6"/>
  <c r="V244" i="6"/>
  <c r="V245" i="6"/>
  <c r="V246" i="6"/>
  <c r="V247" i="6"/>
  <c r="V248" i="6"/>
  <c r="V249" i="6"/>
  <c r="V250" i="6"/>
  <c r="V251" i="6"/>
  <c r="V252" i="6"/>
  <c r="V253" i="6"/>
  <c r="V254" i="6"/>
  <c r="V255" i="6"/>
  <c r="V256" i="6"/>
  <c r="V257" i="6"/>
  <c r="V258" i="6"/>
  <c r="V259" i="6"/>
  <c r="V260" i="6"/>
  <c r="V261" i="6"/>
  <c r="V262" i="6"/>
  <c r="V263" i="6"/>
  <c r="V264" i="6"/>
  <c r="V265" i="6"/>
  <c r="V266" i="6"/>
  <c r="V267" i="6"/>
  <c r="V268" i="6"/>
  <c r="V269" i="6"/>
  <c r="V270" i="6"/>
  <c r="V271" i="6"/>
  <c r="V272" i="6"/>
  <c r="V273" i="6"/>
  <c r="V274" i="6"/>
  <c r="V275" i="6"/>
  <c r="V276" i="6"/>
  <c r="V277" i="6"/>
  <c r="V278" i="6"/>
  <c r="V279" i="6"/>
  <c r="V280" i="6"/>
  <c r="V281" i="6"/>
  <c r="V282" i="6"/>
  <c r="V283" i="6"/>
  <c r="V284" i="6"/>
  <c r="V285" i="6"/>
  <c r="V286" i="6"/>
  <c r="V287" i="6"/>
  <c r="V288" i="6"/>
  <c r="V289" i="6"/>
  <c r="V290" i="6"/>
  <c r="V291" i="6"/>
  <c r="V292" i="6"/>
  <c r="V293" i="6"/>
  <c r="V294" i="6"/>
  <c r="V295" i="6"/>
  <c r="V296" i="6"/>
  <c r="V297" i="6"/>
  <c r="V298" i="6"/>
  <c r="V299" i="6"/>
  <c r="V300" i="6"/>
  <c r="V301" i="6"/>
  <c r="V302" i="6"/>
  <c r="V303" i="6"/>
  <c r="V304" i="6"/>
  <c r="V305" i="6"/>
  <c r="V306" i="6"/>
  <c r="V307" i="6"/>
  <c r="V308" i="6"/>
  <c r="V309" i="6"/>
  <c r="V310" i="6"/>
  <c r="V311" i="6"/>
  <c r="V312" i="6"/>
  <c r="V313" i="6"/>
  <c r="V314" i="6"/>
  <c r="V315" i="6"/>
  <c r="V316" i="6"/>
  <c r="V317" i="6"/>
  <c r="V318" i="6"/>
  <c r="V319" i="6"/>
  <c r="V320" i="6"/>
  <c r="V321" i="6"/>
  <c r="V322" i="6"/>
  <c r="V323" i="6"/>
  <c r="V324" i="6"/>
  <c r="V325" i="6"/>
  <c r="V326" i="6"/>
  <c r="V327" i="6"/>
  <c r="V328" i="6"/>
  <c r="V329" i="6"/>
  <c r="V330" i="6"/>
  <c r="V331" i="6"/>
  <c r="V332" i="6"/>
  <c r="V333" i="6"/>
  <c r="V334" i="6"/>
  <c r="V335" i="6"/>
  <c r="V336" i="6"/>
  <c r="V337" i="6"/>
  <c r="V338" i="6"/>
  <c r="V339" i="6"/>
  <c r="V340" i="6"/>
  <c r="V341" i="6"/>
  <c r="V342" i="6"/>
  <c r="V343" i="6"/>
  <c r="V344" i="6"/>
  <c r="V345" i="6"/>
  <c r="V346" i="6"/>
  <c r="V347" i="6"/>
  <c r="V348" i="6"/>
  <c r="V349" i="6"/>
  <c r="V350" i="6"/>
  <c r="V351" i="6"/>
  <c r="V352" i="6"/>
  <c r="V353" i="6"/>
  <c r="V354" i="6"/>
  <c r="V355" i="6"/>
  <c r="V356" i="6"/>
  <c r="V357" i="6"/>
  <c r="V358" i="6"/>
  <c r="V359" i="6"/>
  <c r="V360" i="6"/>
  <c r="V361" i="6"/>
  <c r="V362" i="6"/>
  <c r="V363" i="6"/>
  <c r="V364" i="6"/>
  <c r="V365" i="6"/>
  <c r="V366" i="6"/>
  <c r="V367" i="6"/>
  <c r="V368" i="6"/>
  <c r="V369" i="6"/>
  <c r="V370" i="6"/>
  <c r="V371" i="6"/>
  <c r="V372" i="6"/>
  <c r="V373" i="6"/>
  <c r="V374" i="6"/>
  <c r="V375" i="6"/>
  <c r="V376" i="6"/>
  <c r="V377" i="6"/>
  <c r="V378" i="6"/>
  <c r="V379" i="6"/>
  <c r="V380" i="6"/>
  <c r="V381" i="6"/>
  <c r="V382" i="6"/>
  <c r="V383" i="6"/>
  <c r="V384" i="6"/>
  <c r="V385" i="6"/>
  <c r="V386" i="6"/>
  <c r="V387" i="6"/>
  <c r="V388" i="6"/>
  <c r="V389" i="6"/>
  <c r="V390" i="6"/>
  <c r="V391" i="6"/>
  <c r="V392" i="6"/>
  <c r="V393" i="6"/>
  <c r="V9" i="6"/>
  <c r="V32" i="6"/>
  <c r="V224" i="6"/>
  <c r="H487" i="6"/>
  <c r="J487" i="6" s="1"/>
  <c r="H461" i="6"/>
  <c r="J461" i="6" s="1"/>
  <c r="H477" i="6"/>
  <c r="J477" i="6" s="1"/>
  <c r="H483" i="6"/>
  <c r="H484" i="6"/>
  <c r="H433" i="6"/>
  <c r="J433" i="6" s="1"/>
  <c r="H478" i="6"/>
  <c r="J478" i="6" s="1"/>
  <c r="H459" i="6"/>
  <c r="J459" i="6" s="1"/>
  <c r="J484" i="6" l="1"/>
  <c r="V484" i="6" s="1"/>
  <c r="J483" i="6"/>
  <c r="V483" i="6" s="1"/>
  <c r="H412" i="6"/>
  <c r="J412" i="6" s="1"/>
  <c r="H452" i="6"/>
  <c r="J452" i="6" s="1"/>
  <c r="V482" i="6" l="1"/>
  <c r="V481" i="6"/>
  <c r="V480" i="6"/>
  <c r="V479" i="6"/>
  <c r="H435" i="6"/>
  <c r="J435" i="6" s="1"/>
  <c r="H441" i="6"/>
  <c r="J441" i="6" s="1"/>
  <c r="H471" i="6"/>
  <c r="J471" i="6" s="1"/>
  <c r="H460" i="6"/>
  <c r="J460" i="6" s="1"/>
  <c r="V478" i="6"/>
  <c r="H417" i="6"/>
  <c r="J417" i="6" s="1"/>
  <c r="H476" i="6"/>
  <c r="J476" i="6" s="1"/>
  <c r="H455" i="6"/>
  <c r="J455" i="6" s="1"/>
  <c r="H416" i="6"/>
  <c r="J416" i="6" s="1"/>
  <c r="V477" i="6"/>
  <c r="H403" i="6" l="1"/>
  <c r="J403" i="6" s="1"/>
  <c r="H406" i="6"/>
  <c r="J406" i="6" s="1"/>
  <c r="H409" i="6"/>
  <c r="J409" i="6" s="1"/>
  <c r="H411" i="6"/>
  <c r="J411" i="6" s="1"/>
  <c r="H413" i="6"/>
  <c r="J413" i="6" s="1"/>
  <c r="H414" i="6"/>
  <c r="J414" i="6" s="1"/>
  <c r="H415" i="6"/>
  <c r="J415" i="6" s="1"/>
  <c r="H447" i="6" l="1"/>
  <c r="J447" i="6" s="1"/>
  <c r="V476" i="6"/>
  <c r="V404" i="6" l="1"/>
  <c r="V405" i="6"/>
  <c r="V407" i="6"/>
  <c r="V410" i="6"/>
  <c r="V419" i="6"/>
  <c r="V421" i="6"/>
  <c r="V422" i="6"/>
  <c r="V423" i="6"/>
  <c r="V424" i="6"/>
  <c r="V425" i="6"/>
  <c r="V426" i="6"/>
  <c r="V427" i="6"/>
  <c r="V429" i="6"/>
  <c r="V431" i="6"/>
  <c r="V432" i="6"/>
  <c r="V436" i="6"/>
  <c r="V438" i="6"/>
  <c r="V449" i="6"/>
  <c r="V454" i="6"/>
  <c r="V463" i="6"/>
  <c r="V464" i="6"/>
  <c r="V465" i="6"/>
  <c r="V467" i="6"/>
  <c r="V468" i="6"/>
  <c r="V469" i="6"/>
  <c r="V470" i="6"/>
  <c r="V471" i="6"/>
  <c r="V472" i="6"/>
  <c r="V473" i="6"/>
  <c r="V474" i="6"/>
  <c r="V475" i="6"/>
  <c r="V487" i="6"/>
  <c r="H451" i="6"/>
  <c r="J451" i="6" s="1"/>
  <c r="V460" i="6" l="1"/>
  <c r="V451" i="6"/>
  <c r="V459" i="6"/>
  <c r="V403" i="6"/>
  <c r="H437" i="6" l="1"/>
  <c r="J437" i="6" s="1"/>
  <c r="V455" i="6"/>
  <c r="V461" i="6"/>
  <c r="V447" i="6" l="1"/>
  <c r="V446" i="6"/>
  <c r="V437" i="6"/>
  <c r="V428" i="6" l="1"/>
  <c r="H466" i="6"/>
  <c r="J466" i="6" s="1"/>
  <c r="V417" i="6" l="1"/>
  <c r="V466" i="6"/>
  <c r="H444" i="6" l="1"/>
  <c r="J444" i="6" s="1"/>
  <c r="V444" i="6" l="1"/>
  <c r="V435" i="6" l="1"/>
  <c r="H418" i="6"/>
  <c r="J418" i="6" s="1"/>
  <c r="V418" i="6" l="1"/>
  <c r="V462" i="6"/>
  <c r="H453" i="6" l="1"/>
  <c r="J453" i="6" s="1"/>
  <c r="V453" i="6" l="1"/>
  <c r="H445" i="6"/>
  <c r="J445" i="6" s="1"/>
  <c r="H456" i="6"/>
  <c r="J456" i="6" s="1"/>
  <c r="H443" i="6"/>
  <c r="J443" i="6" s="1"/>
  <c r="V406" i="6" l="1"/>
  <c r="V445" i="6"/>
  <c r="V433" i="6"/>
  <c r="V456" i="6"/>
  <c r="V457" i="6"/>
  <c r="V408" i="6"/>
  <c r="V413" i="6"/>
  <c r="V443" i="6"/>
  <c r="V458" i="6"/>
  <c r="V412" i="6"/>
  <c r="V452" i="6"/>
  <c r="H450" i="6" l="1"/>
  <c r="J450" i="6" s="1"/>
  <c r="V450" i="6" l="1"/>
  <c r="H448" i="6"/>
  <c r="J448" i="6" s="1"/>
  <c r="H442" i="6"/>
  <c r="J442" i="6" s="1"/>
  <c r="V441" i="6" l="1"/>
  <c r="V442" i="6"/>
  <c r="V448" i="6"/>
  <c r="H440" i="6" l="1"/>
  <c r="J440" i="6" s="1"/>
  <c r="H439" i="6"/>
  <c r="J439" i="6" s="1"/>
  <c r="H430" i="6"/>
  <c r="J430" i="6" s="1"/>
  <c r="H420" i="6"/>
  <c r="J420" i="6" s="1"/>
  <c r="V430" i="6" l="1"/>
  <c r="V440" i="6"/>
  <c r="V420" i="6"/>
  <c r="V439" i="6"/>
  <c r="V416" i="6"/>
  <c r="H434" i="6" l="1"/>
  <c r="J434" i="6" s="1"/>
  <c r="V434" i="6" l="1"/>
  <c r="V409" i="6"/>
  <c r="H5" i="6" l="1"/>
  <c r="W412" i="174" l="1"/>
  <c r="J412" i="174"/>
  <c r="U412" i="174" s="1"/>
  <c r="W411" i="174"/>
  <c r="J411" i="174"/>
  <c r="U411" i="174" s="1"/>
  <c r="W410" i="174"/>
  <c r="J410" i="174"/>
  <c r="U410" i="174" s="1"/>
  <c r="W409" i="174"/>
  <c r="J409" i="174"/>
  <c r="U409" i="174" s="1"/>
  <c r="W408" i="174"/>
  <c r="J408" i="174"/>
  <c r="U408" i="174" s="1"/>
  <c r="W407" i="174"/>
  <c r="J407" i="174"/>
  <c r="W406" i="174"/>
  <c r="J406" i="174"/>
  <c r="U406" i="174" s="1"/>
  <c r="W405" i="174"/>
  <c r="J405" i="174"/>
  <c r="U405" i="174" s="1"/>
  <c r="W404" i="174"/>
  <c r="J404" i="174"/>
  <c r="U404" i="174" s="1"/>
  <c r="W403" i="174"/>
  <c r="J403" i="174"/>
  <c r="W402" i="174"/>
  <c r="J402" i="174"/>
  <c r="U402" i="174" s="1"/>
  <c r="W401" i="174"/>
  <c r="J401" i="174"/>
  <c r="U401" i="174" s="1"/>
  <c r="W400" i="174"/>
  <c r="J400" i="174"/>
  <c r="U400" i="174" s="1"/>
  <c r="W399" i="174"/>
  <c r="J399" i="174"/>
  <c r="W398" i="174"/>
  <c r="J398" i="174"/>
  <c r="U398" i="174" s="1"/>
  <c r="W397" i="174"/>
  <c r="J397" i="174"/>
  <c r="U397" i="174" s="1"/>
  <c r="W396" i="174"/>
  <c r="J396" i="174"/>
  <c r="U396" i="174" s="1"/>
  <c r="W395" i="174"/>
  <c r="J395" i="174"/>
  <c r="W394" i="174"/>
  <c r="J394" i="174"/>
  <c r="W393" i="174"/>
  <c r="J393" i="174"/>
  <c r="U393" i="174" s="1"/>
  <c r="W392" i="174"/>
  <c r="J392" i="174"/>
  <c r="U392" i="174" s="1"/>
  <c r="J391" i="174"/>
  <c r="U391" i="174" s="1"/>
  <c r="W390" i="174"/>
  <c r="J390" i="174"/>
  <c r="U390" i="174" s="1"/>
  <c r="W389" i="174"/>
  <c r="J389" i="174"/>
  <c r="U389" i="174" s="1"/>
  <c r="W388" i="174"/>
  <c r="J388" i="174"/>
  <c r="W387" i="174"/>
  <c r="J387" i="174"/>
  <c r="W386" i="174"/>
  <c r="J386" i="174"/>
  <c r="U386" i="174" s="1"/>
  <c r="W385" i="174"/>
  <c r="J385" i="174"/>
  <c r="U385" i="174" s="1"/>
  <c r="W384" i="174"/>
  <c r="J384" i="174"/>
  <c r="U384" i="174" s="1"/>
  <c r="W383" i="174"/>
  <c r="J383" i="174"/>
  <c r="W382" i="174"/>
  <c r="J382" i="174"/>
  <c r="U382" i="174" s="1"/>
  <c r="W381" i="174"/>
  <c r="J381" i="174"/>
  <c r="U381" i="174" s="1"/>
  <c r="W380" i="174"/>
  <c r="J380" i="174"/>
  <c r="U380" i="174" s="1"/>
  <c r="W379" i="174"/>
  <c r="J379" i="174"/>
  <c r="U379" i="174" s="1"/>
  <c r="W378" i="174"/>
  <c r="J378" i="174"/>
  <c r="U378" i="174" s="1"/>
  <c r="W377" i="174"/>
  <c r="J377" i="174"/>
  <c r="W376" i="174"/>
  <c r="J376" i="174"/>
  <c r="W375" i="174"/>
  <c r="J375" i="174"/>
  <c r="W374" i="174"/>
  <c r="J374" i="174"/>
  <c r="U374" i="174" s="1"/>
  <c r="W373" i="174"/>
  <c r="J373" i="174"/>
  <c r="U373" i="174" s="1"/>
  <c r="W372" i="174"/>
  <c r="J372" i="174"/>
  <c r="W371" i="174"/>
  <c r="J371" i="174"/>
  <c r="U371" i="174" s="1"/>
  <c r="W370" i="174"/>
  <c r="J370" i="174"/>
  <c r="U370" i="174" s="1"/>
  <c r="W369" i="174"/>
  <c r="J369" i="174"/>
  <c r="U369" i="174" s="1"/>
  <c r="W368" i="174"/>
  <c r="J368" i="174"/>
  <c r="U368" i="174" s="1"/>
  <c r="W367" i="174"/>
  <c r="J367" i="174"/>
  <c r="W366" i="174"/>
  <c r="J366" i="174"/>
  <c r="U366" i="174" s="1"/>
  <c r="W365" i="174"/>
  <c r="J365" i="174"/>
  <c r="U365" i="174" s="1"/>
  <c r="W364" i="174"/>
  <c r="J364" i="174"/>
  <c r="W363" i="174"/>
  <c r="J363" i="174"/>
  <c r="U363" i="174" s="1"/>
  <c r="W362" i="174"/>
  <c r="J362" i="174"/>
  <c r="W361" i="174"/>
  <c r="J361" i="174"/>
  <c r="U361" i="174" s="1"/>
  <c r="W360" i="174"/>
  <c r="J360" i="174"/>
  <c r="U360" i="174" s="1"/>
  <c r="W359" i="174"/>
  <c r="J359" i="174"/>
  <c r="W358" i="174"/>
  <c r="J358" i="174"/>
  <c r="U358" i="174" s="1"/>
  <c r="W357" i="174"/>
  <c r="J357" i="174"/>
  <c r="U357" i="174" s="1"/>
  <c r="W356" i="174"/>
  <c r="J356" i="174"/>
  <c r="U356" i="174" s="1"/>
  <c r="W355" i="174"/>
  <c r="J355" i="174"/>
  <c r="U355" i="174" s="1"/>
  <c r="W354" i="174"/>
  <c r="J354" i="174"/>
  <c r="U354" i="174" s="1"/>
  <c r="W353" i="174"/>
  <c r="J353" i="174"/>
  <c r="U353" i="174" s="1"/>
  <c r="W352" i="174"/>
  <c r="J352" i="174"/>
  <c r="U352" i="174" s="1"/>
  <c r="J351" i="174"/>
  <c r="U351" i="174" s="1"/>
  <c r="J350" i="174"/>
  <c r="W349" i="174"/>
  <c r="J349" i="174"/>
  <c r="U349" i="174" s="1"/>
  <c r="J348" i="174"/>
  <c r="U348" i="174" s="1"/>
  <c r="W347" i="174"/>
  <c r="J347" i="174"/>
  <c r="U347" i="174" s="1"/>
  <c r="W346" i="174"/>
  <c r="J346" i="174"/>
  <c r="W345" i="174"/>
  <c r="J345" i="174"/>
  <c r="W344" i="174"/>
  <c r="J344" i="174"/>
  <c r="U344" i="174" s="1"/>
  <c r="W343" i="174"/>
  <c r="J343" i="174"/>
  <c r="U343" i="174" s="1"/>
  <c r="W342" i="174"/>
  <c r="J342" i="174"/>
  <c r="W341" i="174"/>
  <c r="J341" i="174"/>
  <c r="U341" i="174" s="1"/>
  <c r="W340" i="174"/>
  <c r="J340" i="174"/>
  <c r="U340" i="174" s="1"/>
  <c r="W339" i="174"/>
  <c r="J339" i="174"/>
  <c r="U339" i="174" s="1"/>
  <c r="W338" i="174"/>
  <c r="J338" i="174"/>
  <c r="W337" i="174"/>
  <c r="J337" i="174"/>
  <c r="U337" i="174" s="1"/>
  <c r="W336" i="174"/>
  <c r="J336" i="174"/>
  <c r="W335" i="174"/>
  <c r="J335" i="174"/>
  <c r="U335" i="174" s="1"/>
  <c r="W334" i="174"/>
  <c r="J334" i="174"/>
  <c r="U334" i="174" s="1"/>
  <c r="W333" i="174"/>
  <c r="J333" i="174"/>
  <c r="U333" i="174" s="1"/>
  <c r="W332" i="174"/>
  <c r="J332" i="174"/>
  <c r="U332" i="174" s="1"/>
  <c r="W331" i="174"/>
  <c r="J331" i="174"/>
  <c r="U331" i="174" s="1"/>
  <c r="W330" i="174"/>
  <c r="J330" i="174"/>
  <c r="U330" i="174" s="1"/>
  <c r="J329" i="174"/>
  <c r="U329" i="174" s="1"/>
  <c r="J328" i="174"/>
  <c r="U328" i="174" s="1"/>
  <c r="J327" i="174"/>
  <c r="U327" i="174" s="1"/>
  <c r="J326" i="174"/>
  <c r="U326" i="174" s="1"/>
  <c r="J325" i="174"/>
  <c r="U325" i="174" s="1"/>
  <c r="J324" i="174"/>
  <c r="U324" i="174" s="1"/>
  <c r="J323" i="174"/>
  <c r="U323" i="174" s="1"/>
  <c r="J322" i="174"/>
  <c r="U322" i="174" s="1"/>
  <c r="J321" i="174"/>
  <c r="U321" i="174" s="1"/>
  <c r="H320" i="174"/>
  <c r="J320" i="174" s="1"/>
  <c r="U320" i="174" s="1"/>
  <c r="J319" i="174"/>
  <c r="U319" i="174" s="1"/>
  <c r="J318" i="174"/>
  <c r="U318" i="174" s="1"/>
  <c r="J317" i="174"/>
  <c r="U317" i="174" s="1"/>
  <c r="J316" i="174"/>
  <c r="U316" i="174" s="1"/>
  <c r="H315" i="174"/>
  <c r="J315" i="174" s="1"/>
  <c r="U315" i="174" s="1"/>
  <c r="J314" i="174"/>
  <c r="U314" i="174" s="1"/>
  <c r="H313" i="174"/>
  <c r="J313" i="174" s="1"/>
  <c r="U313" i="174" s="1"/>
  <c r="J312" i="174"/>
  <c r="U312" i="174" s="1"/>
  <c r="J311" i="174"/>
  <c r="U311" i="174" s="1"/>
  <c r="J310" i="174"/>
  <c r="U310" i="174" s="1"/>
  <c r="J309" i="174"/>
  <c r="U309" i="174" s="1"/>
  <c r="J308" i="174"/>
  <c r="U308" i="174" s="1"/>
  <c r="J307" i="174"/>
  <c r="U307" i="174" s="1"/>
  <c r="J306" i="174"/>
  <c r="U306" i="174" s="1"/>
  <c r="H305" i="174"/>
  <c r="J305" i="174" s="1"/>
  <c r="U305" i="174" s="1"/>
  <c r="J304" i="174"/>
  <c r="U304" i="174" s="1"/>
  <c r="H303" i="174"/>
  <c r="J303" i="174" s="1"/>
  <c r="U303" i="174" s="1"/>
  <c r="H302" i="174"/>
  <c r="J302" i="174" s="1"/>
  <c r="U302" i="174" s="1"/>
  <c r="H301" i="174"/>
  <c r="J301" i="174" s="1"/>
  <c r="U301" i="174" s="1"/>
  <c r="H300" i="174"/>
  <c r="J300" i="174" s="1"/>
  <c r="U300" i="174" s="1"/>
  <c r="I299" i="174"/>
  <c r="H299" i="174"/>
  <c r="H298" i="174"/>
  <c r="J298" i="174" s="1"/>
  <c r="U298" i="174" s="1"/>
  <c r="I297" i="174"/>
  <c r="H297" i="174"/>
  <c r="H296" i="174"/>
  <c r="J296" i="174" s="1"/>
  <c r="U296" i="174" s="1"/>
  <c r="H295" i="174"/>
  <c r="J295" i="174" s="1"/>
  <c r="U295" i="174" s="1"/>
  <c r="J294" i="174"/>
  <c r="U294" i="174" s="1"/>
  <c r="H293" i="174"/>
  <c r="J293" i="174" s="1"/>
  <c r="U293" i="174" s="1"/>
  <c r="J292" i="174"/>
  <c r="U292" i="174" s="1"/>
  <c r="H291" i="174"/>
  <c r="J291" i="174" s="1"/>
  <c r="U291" i="174" s="1"/>
  <c r="H290" i="174"/>
  <c r="J290" i="174" s="1"/>
  <c r="U290" i="174" s="1"/>
  <c r="H289" i="174"/>
  <c r="J289" i="174" s="1"/>
  <c r="U289" i="174" s="1"/>
  <c r="H288" i="174"/>
  <c r="J288" i="174" s="1"/>
  <c r="U288" i="174" s="1"/>
  <c r="H287" i="174"/>
  <c r="J287" i="174" s="1"/>
  <c r="U287" i="174" s="1"/>
  <c r="I286" i="174"/>
  <c r="H286" i="174"/>
  <c r="H285" i="174"/>
  <c r="J285" i="174" s="1"/>
  <c r="U285" i="174" s="1"/>
  <c r="H284" i="174"/>
  <c r="J284" i="174" s="1"/>
  <c r="U284" i="174" s="1"/>
  <c r="H283" i="174"/>
  <c r="J283" i="174" s="1"/>
  <c r="U283" i="174" s="1"/>
  <c r="H282" i="174"/>
  <c r="J282" i="174" s="1"/>
  <c r="U282" i="174" s="1"/>
  <c r="J281" i="174"/>
  <c r="U281" i="174" s="1"/>
  <c r="H280" i="174"/>
  <c r="J280" i="174" s="1"/>
  <c r="U280" i="174" s="1"/>
  <c r="H279" i="174"/>
  <c r="J279" i="174" s="1"/>
  <c r="U279" i="174" s="1"/>
  <c r="H278" i="174"/>
  <c r="J278" i="174" s="1"/>
  <c r="U278" i="174" s="1"/>
  <c r="H277" i="174"/>
  <c r="J277" i="174" s="1"/>
  <c r="U277" i="174" s="1"/>
  <c r="J276" i="174"/>
  <c r="U276" i="174" s="1"/>
  <c r="J275" i="174"/>
  <c r="U275" i="174" s="1"/>
  <c r="J274" i="174"/>
  <c r="U274" i="174" s="1"/>
  <c r="H273" i="174"/>
  <c r="J273" i="174" s="1"/>
  <c r="U273" i="174" s="1"/>
  <c r="J272" i="174"/>
  <c r="U272" i="174" s="1"/>
  <c r="H271" i="174"/>
  <c r="J271" i="174" s="1"/>
  <c r="U271" i="174" s="1"/>
  <c r="H270" i="174"/>
  <c r="J270" i="174" s="1"/>
  <c r="U270" i="174" s="1"/>
  <c r="J269" i="174"/>
  <c r="U269" i="174" s="1"/>
  <c r="J268" i="174"/>
  <c r="U268" i="174" s="1"/>
  <c r="H267" i="174"/>
  <c r="J267" i="174" s="1"/>
  <c r="U267" i="174" s="1"/>
  <c r="H266" i="174"/>
  <c r="J266" i="174" s="1"/>
  <c r="U266" i="174" s="1"/>
  <c r="H265" i="174"/>
  <c r="J265" i="174" s="1"/>
  <c r="U265" i="174" s="1"/>
  <c r="H264" i="174"/>
  <c r="J264" i="174" s="1"/>
  <c r="U264" i="174" s="1"/>
  <c r="J263" i="174"/>
  <c r="U263" i="174" s="1"/>
  <c r="H262" i="174"/>
  <c r="J262" i="174" s="1"/>
  <c r="U262" i="174" s="1"/>
  <c r="H261" i="174"/>
  <c r="J261" i="174" s="1"/>
  <c r="U261" i="174" s="1"/>
  <c r="H260" i="174"/>
  <c r="J260" i="174" s="1"/>
  <c r="U260" i="174" s="1"/>
  <c r="H259" i="174"/>
  <c r="J259" i="174" s="1"/>
  <c r="U259" i="174" s="1"/>
  <c r="H258" i="174"/>
  <c r="J258" i="174" s="1"/>
  <c r="U258" i="174" s="1"/>
  <c r="J257" i="174"/>
  <c r="U257" i="174" s="1"/>
  <c r="H256" i="174"/>
  <c r="J256" i="174" s="1"/>
  <c r="U256" i="174" s="1"/>
  <c r="H255" i="174"/>
  <c r="J255" i="174" s="1"/>
  <c r="U255" i="174" s="1"/>
  <c r="H254" i="174"/>
  <c r="J254" i="174" s="1"/>
  <c r="U254" i="174" s="1"/>
  <c r="H253" i="174"/>
  <c r="J253" i="174" s="1"/>
  <c r="U253" i="174" s="1"/>
  <c r="J252" i="174"/>
  <c r="U252" i="174" s="1"/>
  <c r="H251" i="174"/>
  <c r="J251" i="174" s="1"/>
  <c r="U251" i="174" s="1"/>
  <c r="H250" i="174"/>
  <c r="J250" i="174" s="1"/>
  <c r="U250" i="174" s="1"/>
  <c r="H249" i="174"/>
  <c r="J249" i="174" s="1"/>
  <c r="U249" i="174" s="1"/>
  <c r="H248" i="174"/>
  <c r="J248" i="174" s="1"/>
  <c r="U248" i="174" s="1"/>
  <c r="H247" i="174"/>
  <c r="J247" i="174" s="1"/>
  <c r="U247" i="174" s="1"/>
  <c r="H246" i="174"/>
  <c r="J246" i="174" s="1"/>
  <c r="U246" i="174" s="1"/>
  <c r="H245" i="174"/>
  <c r="J245" i="174" s="1"/>
  <c r="U245" i="174" s="1"/>
  <c r="J244" i="174"/>
  <c r="U244" i="174" s="1"/>
  <c r="H243" i="174"/>
  <c r="J243" i="174" s="1"/>
  <c r="U243" i="174" s="1"/>
  <c r="H242" i="174"/>
  <c r="J242" i="174" s="1"/>
  <c r="U242" i="174" s="1"/>
  <c r="H241" i="174"/>
  <c r="J241" i="174" s="1"/>
  <c r="U241" i="174" s="1"/>
  <c r="H240" i="174"/>
  <c r="J240" i="174" s="1"/>
  <c r="U240" i="174" s="1"/>
  <c r="J239" i="174"/>
  <c r="U239" i="174" s="1"/>
  <c r="H238" i="174"/>
  <c r="J238" i="174" s="1"/>
  <c r="U238" i="174" s="1"/>
  <c r="H237" i="174"/>
  <c r="J237" i="174" s="1"/>
  <c r="U237" i="174" s="1"/>
  <c r="H236" i="174"/>
  <c r="J236" i="174" s="1"/>
  <c r="U236" i="174" s="1"/>
  <c r="H235" i="174"/>
  <c r="J235" i="174" s="1"/>
  <c r="U235" i="174" s="1"/>
  <c r="H234" i="174"/>
  <c r="J234" i="174" s="1"/>
  <c r="U234" i="174" s="1"/>
  <c r="H233" i="174"/>
  <c r="J233" i="174" s="1"/>
  <c r="U233" i="174" s="1"/>
  <c r="H232" i="174"/>
  <c r="J232" i="174" s="1"/>
  <c r="U232" i="174" s="1"/>
  <c r="H231" i="174"/>
  <c r="J231" i="174" s="1"/>
  <c r="U231" i="174" s="1"/>
  <c r="H230" i="174"/>
  <c r="J230" i="174" s="1"/>
  <c r="U230" i="174" s="1"/>
  <c r="H229" i="174"/>
  <c r="J229" i="174" s="1"/>
  <c r="U229" i="174" s="1"/>
  <c r="H228" i="174"/>
  <c r="J228" i="174" s="1"/>
  <c r="U228" i="174" s="1"/>
  <c r="H227" i="174"/>
  <c r="J227" i="174" s="1"/>
  <c r="U227" i="174" s="1"/>
  <c r="H226" i="174"/>
  <c r="J226" i="174" s="1"/>
  <c r="U226" i="174" s="1"/>
  <c r="H225" i="174"/>
  <c r="J225" i="174" s="1"/>
  <c r="U225" i="174" s="1"/>
  <c r="J224" i="174"/>
  <c r="U224" i="174" s="1"/>
  <c r="H223" i="174"/>
  <c r="J223" i="174" s="1"/>
  <c r="U223" i="174" s="1"/>
  <c r="J222" i="174"/>
  <c r="J221" i="174"/>
  <c r="J220" i="174"/>
  <c r="J219" i="174"/>
  <c r="J218" i="174"/>
  <c r="J217" i="174"/>
  <c r="J216" i="174"/>
  <c r="J215" i="174"/>
  <c r="J214" i="174"/>
  <c r="J213" i="174"/>
  <c r="J212" i="174"/>
  <c r="U212" i="174" s="1"/>
  <c r="J211" i="174"/>
  <c r="J210" i="174"/>
  <c r="J209" i="174"/>
  <c r="J208" i="174"/>
  <c r="J207" i="174"/>
  <c r="J206" i="174"/>
  <c r="J205" i="174"/>
  <c r="J204" i="174"/>
  <c r="J203" i="174"/>
  <c r="J202" i="174"/>
  <c r="J201" i="174"/>
  <c r="J200" i="174"/>
  <c r="J199" i="174"/>
  <c r="J198" i="174"/>
  <c r="J197" i="174"/>
  <c r="J196" i="174"/>
  <c r="J195" i="174"/>
  <c r="J194" i="174"/>
  <c r="J193" i="174"/>
  <c r="J192" i="174"/>
  <c r="J191" i="174"/>
  <c r="J190" i="174"/>
  <c r="J189" i="174"/>
  <c r="J188" i="174"/>
  <c r="J187" i="174"/>
  <c r="J186" i="174"/>
  <c r="J185" i="174"/>
  <c r="J184" i="174"/>
  <c r="J183" i="174"/>
  <c r="J182" i="174"/>
  <c r="J181" i="174"/>
  <c r="J180" i="174"/>
  <c r="J179" i="174"/>
  <c r="J178" i="174"/>
  <c r="J177" i="174"/>
  <c r="J176" i="174"/>
  <c r="J175" i="174"/>
  <c r="J174" i="174"/>
  <c r="J173" i="174"/>
  <c r="J172" i="174"/>
  <c r="J171" i="174"/>
  <c r="J170" i="174"/>
  <c r="J169" i="174"/>
  <c r="J168" i="174"/>
  <c r="J167" i="174"/>
  <c r="U167" i="174" s="1"/>
  <c r="J166" i="174"/>
  <c r="J165" i="174"/>
  <c r="J164" i="174"/>
  <c r="J163" i="174"/>
  <c r="J162" i="174"/>
  <c r="J161" i="174"/>
  <c r="J160" i="174"/>
  <c r="J159" i="174"/>
  <c r="U159" i="174" s="1"/>
  <c r="J158" i="174"/>
  <c r="J157" i="174"/>
  <c r="J156" i="174"/>
  <c r="J155" i="174"/>
  <c r="J154" i="174"/>
  <c r="J153" i="174"/>
  <c r="J152" i="174"/>
  <c r="J151" i="174"/>
  <c r="U151" i="174" s="1"/>
  <c r="J150" i="174"/>
  <c r="J149" i="174"/>
  <c r="J148" i="174"/>
  <c r="J147" i="174"/>
  <c r="J146" i="174"/>
  <c r="J145" i="174"/>
  <c r="J144" i="174"/>
  <c r="J143" i="174"/>
  <c r="U143" i="174" s="1"/>
  <c r="J142" i="174"/>
  <c r="J141" i="174"/>
  <c r="J140" i="174"/>
  <c r="J139" i="174"/>
  <c r="J138" i="174"/>
  <c r="J137" i="174"/>
  <c r="J136" i="174"/>
  <c r="J135" i="174"/>
  <c r="J134" i="174"/>
  <c r="J133" i="174"/>
  <c r="J132" i="174"/>
  <c r="J131" i="174"/>
  <c r="J130" i="174"/>
  <c r="J129" i="174"/>
  <c r="J128" i="174"/>
  <c r="J127" i="174"/>
  <c r="J126" i="174"/>
  <c r="J125" i="174"/>
  <c r="J124" i="174"/>
  <c r="J123" i="174"/>
  <c r="J122" i="174"/>
  <c r="J121" i="174"/>
  <c r="J120" i="174"/>
  <c r="J119" i="174"/>
  <c r="J118" i="174"/>
  <c r="U118" i="174" s="1"/>
  <c r="J117" i="174"/>
  <c r="J116" i="174"/>
  <c r="U116" i="174" s="1"/>
  <c r="J115" i="174"/>
  <c r="J114" i="174"/>
  <c r="J113" i="174"/>
  <c r="J112" i="174"/>
  <c r="J111" i="174"/>
  <c r="J110" i="174"/>
  <c r="U110" i="174" s="1"/>
  <c r="J109" i="174"/>
  <c r="J108" i="174"/>
  <c r="J107" i="174"/>
  <c r="J106" i="174"/>
  <c r="J105" i="174"/>
  <c r="J104" i="174"/>
  <c r="J103" i="174"/>
  <c r="J102" i="174"/>
  <c r="J101" i="174"/>
  <c r="U101" i="174" s="1"/>
  <c r="J100" i="174"/>
  <c r="J99" i="174"/>
  <c r="J98" i="174"/>
  <c r="J97" i="174"/>
  <c r="J96" i="174"/>
  <c r="U96" i="174" s="1"/>
  <c r="J95" i="174"/>
  <c r="J94" i="174"/>
  <c r="U94" i="174" s="1"/>
  <c r="J93" i="174"/>
  <c r="J92" i="174"/>
  <c r="J91" i="174"/>
  <c r="J90" i="174"/>
  <c r="J89" i="174"/>
  <c r="J88" i="174"/>
  <c r="J87" i="174"/>
  <c r="J86" i="174"/>
  <c r="J85" i="174"/>
  <c r="J84" i="174"/>
  <c r="J83" i="174"/>
  <c r="J82" i="174"/>
  <c r="J81" i="174"/>
  <c r="J80" i="174"/>
  <c r="U80" i="174" s="1"/>
  <c r="J79" i="174"/>
  <c r="J78" i="174"/>
  <c r="J77" i="174"/>
  <c r="J76" i="174"/>
  <c r="J75" i="174"/>
  <c r="J74" i="174"/>
  <c r="J73" i="174"/>
  <c r="J72" i="174"/>
  <c r="J71" i="174"/>
  <c r="J70" i="174"/>
  <c r="J69" i="174"/>
  <c r="J68" i="174"/>
  <c r="J67" i="174"/>
  <c r="J66" i="174"/>
  <c r="J65" i="174"/>
  <c r="J64" i="174"/>
  <c r="J63" i="174"/>
  <c r="J62" i="174"/>
  <c r="J61" i="174"/>
  <c r="J60" i="174"/>
  <c r="J59" i="174"/>
  <c r="J58" i="174"/>
  <c r="J57" i="174"/>
  <c r="J56" i="174"/>
  <c r="J55" i="174"/>
  <c r="J54" i="174"/>
  <c r="J53" i="174"/>
  <c r="J52" i="174"/>
  <c r="J51" i="174"/>
  <c r="J50" i="174"/>
  <c r="J49" i="174"/>
  <c r="J48" i="174"/>
  <c r="J47" i="174"/>
  <c r="J46" i="174"/>
  <c r="J45" i="174"/>
  <c r="J44" i="174"/>
  <c r="J43" i="174"/>
  <c r="J42" i="174"/>
  <c r="J41" i="174"/>
  <c r="J40" i="174"/>
  <c r="J39" i="174"/>
  <c r="J38" i="174"/>
  <c r="U38" i="174" s="1"/>
  <c r="J37" i="174"/>
  <c r="J36" i="174"/>
  <c r="J35" i="174"/>
  <c r="J34" i="174"/>
  <c r="J33" i="174"/>
  <c r="U33" i="174" s="1"/>
  <c r="J32" i="174"/>
  <c r="U32" i="174" s="1"/>
  <c r="J31" i="174"/>
  <c r="J30" i="174"/>
  <c r="J29" i="174"/>
  <c r="J28" i="174"/>
  <c r="J27" i="174"/>
  <c r="J26" i="174"/>
  <c r="J25" i="174"/>
  <c r="J24" i="174"/>
  <c r="J23" i="174"/>
  <c r="J22" i="174"/>
  <c r="J21" i="174"/>
  <c r="J20" i="174"/>
  <c r="J19" i="174"/>
  <c r="J18" i="174"/>
  <c r="J17" i="174"/>
  <c r="J16" i="174"/>
  <c r="J15" i="174"/>
  <c r="J14" i="174"/>
  <c r="J13" i="174"/>
  <c r="J12" i="174"/>
  <c r="J11" i="174"/>
  <c r="U11" i="174" s="1"/>
  <c r="J10" i="174"/>
  <c r="U10" i="174" s="1"/>
  <c r="J9" i="174"/>
  <c r="U9" i="174" s="1"/>
  <c r="J8" i="174"/>
  <c r="J7" i="174"/>
  <c r="V4" i="174"/>
  <c r="J4" i="174"/>
  <c r="B3" i="174"/>
  <c r="B2" i="174"/>
  <c r="U350" i="174" l="1"/>
  <c r="V307" i="174"/>
  <c r="W307" i="174" s="1"/>
  <c r="W351" i="174"/>
  <c r="U18" i="174"/>
  <c r="U26" i="174"/>
  <c r="U34" i="174"/>
  <c r="U42" i="174"/>
  <c r="U50" i="174"/>
  <c r="U58" i="174"/>
  <c r="U66" i="174"/>
  <c r="U74" i="174"/>
  <c r="U82" i="174"/>
  <c r="U90" i="174"/>
  <c r="U98" i="174"/>
  <c r="U106" i="174"/>
  <c r="U114" i="174"/>
  <c r="U122" i="174"/>
  <c r="U130" i="174"/>
  <c r="U138" i="174"/>
  <c r="U146" i="174"/>
  <c r="U154" i="174"/>
  <c r="U162" i="174"/>
  <c r="U170" i="174"/>
  <c r="U178" i="174"/>
  <c r="U186" i="174"/>
  <c r="U194" i="174"/>
  <c r="U202" i="174"/>
  <c r="U210" i="174"/>
  <c r="U218" i="174"/>
  <c r="U19" i="174"/>
  <c r="U27" i="174"/>
  <c r="U35" i="174"/>
  <c r="U43" i="174"/>
  <c r="U51" i="174"/>
  <c r="U59" i="174"/>
  <c r="U67" i="174"/>
  <c r="U75" i="174"/>
  <c r="U83" i="174"/>
  <c r="U91" i="174"/>
  <c r="U99" i="174"/>
  <c r="U107" i="174"/>
  <c r="U115" i="174"/>
  <c r="U123" i="174"/>
  <c r="U131" i="174"/>
  <c r="U139" i="174"/>
  <c r="U147" i="174"/>
  <c r="U155" i="174"/>
  <c r="U163" i="174"/>
  <c r="U171" i="174"/>
  <c r="U179" i="174"/>
  <c r="U187" i="174"/>
  <c r="U195" i="174"/>
  <c r="U203" i="174"/>
  <c r="U211" i="174"/>
  <c r="U219" i="174"/>
  <c r="U12" i="174"/>
  <c r="U20" i="174"/>
  <c r="U28" i="174"/>
  <c r="U36" i="174"/>
  <c r="U44" i="174"/>
  <c r="U52" i="174"/>
  <c r="U60" i="174"/>
  <c r="U68" i="174"/>
  <c r="U76" i="174"/>
  <c r="U84" i="174"/>
  <c r="U92" i="174"/>
  <c r="U100" i="174"/>
  <c r="U108" i="174"/>
  <c r="U124" i="174"/>
  <c r="U132" i="174"/>
  <c r="U140" i="174"/>
  <c r="U148" i="174"/>
  <c r="U156" i="174"/>
  <c r="U164" i="174"/>
  <c r="U172" i="174"/>
  <c r="U180" i="174"/>
  <c r="U188" i="174"/>
  <c r="U196" i="174"/>
  <c r="U204" i="174"/>
  <c r="U220" i="174"/>
  <c r="U13" i="174"/>
  <c r="U21" i="174"/>
  <c r="U29" i="174"/>
  <c r="U37" i="174"/>
  <c r="U45" i="174"/>
  <c r="U53" i="174"/>
  <c r="U61" i="174"/>
  <c r="U69" i="174"/>
  <c r="U77" i="174"/>
  <c r="U85" i="174"/>
  <c r="U93" i="174"/>
  <c r="U109" i="174"/>
  <c r="U117" i="174"/>
  <c r="U125" i="174"/>
  <c r="U133" i="174"/>
  <c r="U141" i="174"/>
  <c r="U149" i="174"/>
  <c r="U157" i="174"/>
  <c r="U165" i="174"/>
  <c r="U173" i="174"/>
  <c r="U181" i="174"/>
  <c r="U189" i="174"/>
  <c r="U197" i="174"/>
  <c r="U205" i="174"/>
  <c r="U213" i="174"/>
  <c r="U221" i="174"/>
  <c r="U14" i="174"/>
  <c r="U22" i="174"/>
  <c r="U30" i="174"/>
  <c r="U46" i="174"/>
  <c r="U54" i="174"/>
  <c r="U62" i="174"/>
  <c r="U70" i="174"/>
  <c r="U78" i="174"/>
  <c r="U86" i="174"/>
  <c r="U102" i="174"/>
  <c r="U126" i="174"/>
  <c r="U134" i="174"/>
  <c r="U142" i="174"/>
  <c r="U150" i="174"/>
  <c r="U158" i="174"/>
  <c r="U166" i="174"/>
  <c r="U174" i="174"/>
  <c r="U182" i="174"/>
  <c r="U190" i="174"/>
  <c r="U198" i="174"/>
  <c r="U206" i="174"/>
  <c r="U214" i="174"/>
  <c r="U222" i="174"/>
  <c r="U15" i="174"/>
  <c r="U23" i="174"/>
  <c r="U31" i="174"/>
  <c r="U39" i="174"/>
  <c r="U47" i="174"/>
  <c r="U55" i="174"/>
  <c r="U63" i="174"/>
  <c r="U71" i="174"/>
  <c r="U79" i="174"/>
  <c r="U87" i="174"/>
  <c r="U95" i="174"/>
  <c r="U103" i="174"/>
  <c r="U111" i="174"/>
  <c r="U119" i="174"/>
  <c r="U127" i="174"/>
  <c r="U135" i="174"/>
  <c r="U175" i="174"/>
  <c r="U183" i="174"/>
  <c r="U191" i="174"/>
  <c r="U199" i="174"/>
  <c r="U207" i="174"/>
  <c r="U215" i="174"/>
  <c r="U8" i="174"/>
  <c r="U16" i="174"/>
  <c r="U24" i="174"/>
  <c r="U40" i="174"/>
  <c r="U48" i="174"/>
  <c r="U56" i="174"/>
  <c r="U64" i="174"/>
  <c r="U72" i="174"/>
  <c r="U88" i="174"/>
  <c r="U104" i="174"/>
  <c r="U112" i="174"/>
  <c r="U120" i="174"/>
  <c r="U128" i="174"/>
  <c r="U136" i="174"/>
  <c r="U144" i="174"/>
  <c r="U152" i="174"/>
  <c r="U160" i="174"/>
  <c r="U168" i="174"/>
  <c r="U176" i="174"/>
  <c r="U184" i="174"/>
  <c r="U192" i="174"/>
  <c r="U200" i="174"/>
  <c r="U208" i="174"/>
  <c r="U216" i="174"/>
  <c r="U17" i="174"/>
  <c r="U25" i="174"/>
  <c r="U41" i="174"/>
  <c r="U49" i="174"/>
  <c r="U57" i="174"/>
  <c r="U65" i="174"/>
  <c r="U73" i="174"/>
  <c r="U81" i="174"/>
  <c r="U89" i="174"/>
  <c r="U97" i="174"/>
  <c r="U105" i="174"/>
  <c r="U113" i="174"/>
  <c r="U121" i="174"/>
  <c r="U129" i="174"/>
  <c r="U137" i="174"/>
  <c r="U145" i="174"/>
  <c r="U153" i="174"/>
  <c r="U161" i="174"/>
  <c r="U169" i="174"/>
  <c r="U177" i="174"/>
  <c r="U185" i="174"/>
  <c r="U193" i="174"/>
  <c r="U201" i="174"/>
  <c r="U209" i="174"/>
  <c r="U217" i="174"/>
  <c r="U7" i="174"/>
  <c r="J299" i="174"/>
  <c r="U299" i="174" s="1"/>
  <c r="V11" i="174"/>
  <c r="W11" i="174" s="1"/>
  <c r="V45" i="174"/>
  <c r="W45" i="174" s="1"/>
  <c r="V63" i="174"/>
  <c r="W63" i="174" s="1"/>
  <c r="V121" i="174"/>
  <c r="W121" i="174" s="1"/>
  <c r="V132" i="174"/>
  <c r="W132" i="174" s="1"/>
  <c r="V147" i="174"/>
  <c r="W147" i="174" s="1"/>
  <c r="V162" i="174"/>
  <c r="W162" i="174" s="1"/>
  <c r="V246" i="174"/>
  <c r="W246" i="174" s="1"/>
  <c r="V274" i="174"/>
  <c r="W274" i="174" s="1"/>
  <c r="V325" i="174"/>
  <c r="W325" i="174" s="1"/>
  <c r="H5" i="174"/>
  <c r="V17" i="174"/>
  <c r="W17" i="174" s="1"/>
  <c r="V21" i="174"/>
  <c r="W21" i="174" s="1"/>
  <c r="V41" i="174"/>
  <c r="W41" i="174" s="1"/>
  <c r="V59" i="174"/>
  <c r="W59" i="174" s="1"/>
  <c r="V73" i="174"/>
  <c r="W73" i="174" s="1"/>
  <c r="V139" i="174"/>
  <c r="W139" i="174" s="1"/>
  <c r="V154" i="174"/>
  <c r="W154" i="174" s="1"/>
  <c r="V169" i="174"/>
  <c r="W169" i="174" s="1"/>
  <c r="V224" i="174"/>
  <c r="W224" i="174" s="1"/>
  <c r="V238" i="174"/>
  <c r="W238" i="174" s="1"/>
  <c r="V303" i="174"/>
  <c r="W303" i="174" s="1"/>
  <c r="V9" i="174"/>
  <c r="W9" i="174" s="1"/>
  <c r="V27" i="174"/>
  <c r="W27" i="174" s="1"/>
  <c r="V37" i="174"/>
  <c r="W37" i="174" s="1"/>
  <c r="V55" i="174"/>
  <c r="W55" i="174" s="1"/>
  <c r="V69" i="174"/>
  <c r="W69" i="174" s="1"/>
  <c r="V83" i="174"/>
  <c r="W83" i="174" s="1"/>
  <c r="V87" i="174"/>
  <c r="W87" i="174" s="1"/>
  <c r="V130" i="174"/>
  <c r="W130" i="174" s="1"/>
  <c r="V151" i="174"/>
  <c r="W151" i="174" s="1"/>
  <c r="V166" i="174"/>
  <c r="W166" i="174" s="1"/>
  <c r="V172" i="174"/>
  <c r="W172" i="174" s="1"/>
  <c r="V179" i="174"/>
  <c r="W179" i="174" s="1"/>
  <c r="V254" i="174"/>
  <c r="W254" i="174" s="1"/>
  <c r="V317" i="174"/>
  <c r="W317" i="174" s="1"/>
  <c r="V326" i="174"/>
  <c r="W326" i="174" s="1"/>
  <c r="U395" i="174"/>
  <c r="V33" i="174"/>
  <c r="W33" i="174" s="1"/>
  <c r="V51" i="174"/>
  <c r="W51" i="174" s="1"/>
  <c r="V65" i="174"/>
  <c r="W65" i="174" s="1"/>
  <c r="V79" i="174"/>
  <c r="W79" i="174" s="1"/>
  <c r="V91" i="174"/>
  <c r="W91" i="174" s="1"/>
  <c r="V95" i="174"/>
  <c r="W95" i="174" s="1"/>
  <c r="V122" i="174"/>
  <c r="W122" i="174" s="1"/>
  <c r="V137" i="174"/>
  <c r="W137" i="174" s="1"/>
  <c r="V148" i="174"/>
  <c r="W148" i="174" s="1"/>
  <c r="V163" i="174"/>
  <c r="W163" i="174" s="1"/>
  <c r="V176" i="174"/>
  <c r="W176" i="174" s="1"/>
  <c r="V183" i="174"/>
  <c r="W183" i="174" s="1"/>
  <c r="V199" i="174"/>
  <c r="W199" i="174" s="1"/>
  <c r="V205" i="174"/>
  <c r="W205" i="174" s="1"/>
  <c r="V221" i="174"/>
  <c r="W221" i="174" s="1"/>
  <c r="V244" i="174"/>
  <c r="W244" i="174" s="1"/>
  <c r="V250" i="174"/>
  <c r="W250" i="174" s="1"/>
  <c r="V309" i="174"/>
  <c r="W309" i="174" s="1"/>
  <c r="V7" i="174"/>
  <c r="W7" i="174" s="1"/>
  <c r="V13" i="174"/>
  <c r="W13" i="174" s="1"/>
  <c r="V47" i="174"/>
  <c r="W47" i="174" s="1"/>
  <c r="V61" i="174"/>
  <c r="W61" i="174" s="1"/>
  <c r="V99" i="174"/>
  <c r="W99" i="174" s="1"/>
  <c r="V103" i="174"/>
  <c r="W103" i="174" s="1"/>
  <c r="V107" i="174"/>
  <c r="W107" i="174" s="1"/>
  <c r="V111" i="174"/>
  <c r="W111" i="174" s="1"/>
  <c r="V115" i="174"/>
  <c r="W115" i="174" s="1"/>
  <c r="V119" i="174"/>
  <c r="W119" i="174" s="1"/>
  <c r="V134" i="174"/>
  <c r="W134" i="174" s="1"/>
  <c r="V155" i="174"/>
  <c r="W155" i="174" s="1"/>
  <c r="V170" i="174"/>
  <c r="W170" i="174" s="1"/>
  <c r="V230" i="174"/>
  <c r="W230" i="174" s="1"/>
  <c r="V276" i="174"/>
  <c r="W276" i="174" s="1"/>
  <c r="V285" i="174"/>
  <c r="W285" i="174" s="1"/>
  <c r="V323" i="174"/>
  <c r="W323" i="174" s="1"/>
  <c r="U362" i="174"/>
  <c r="U364" i="174"/>
  <c r="U372" i="174"/>
  <c r="U376" i="174"/>
  <c r="U387" i="174"/>
  <c r="V10" i="174"/>
  <c r="W10" i="174" s="1"/>
  <c r="V19" i="174"/>
  <c r="W19" i="174" s="1"/>
  <c r="V43" i="174"/>
  <c r="W43" i="174" s="1"/>
  <c r="V57" i="174"/>
  <c r="W57" i="174" s="1"/>
  <c r="V75" i="174"/>
  <c r="W75" i="174" s="1"/>
  <c r="V131" i="174"/>
  <c r="W131" i="174" s="1"/>
  <c r="V146" i="174"/>
  <c r="W146" i="174" s="1"/>
  <c r="V167" i="174"/>
  <c r="W167" i="174" s="1"/>
  <c r="V180" i="174"/>
  <c r="W180" i="174" s="1"/>
  <c r="V25" i="174"/>
  <c r="W25" i="174" s="1"/>
  <c r="V29" i="174"/>
  <c r="W29" i="174" s="1"/>
  <c r="V39" i="174"/>
  <c r="W39" i="174" s="1"/>
  <c r="V53" i="174"/>
  <c r="W53" i="174" s="1"/>
  <c r="V71" i="174"/>
  <c r="W71" i="174" s="1"/>
  <c r="V81" i="174"/>
  <c r="W81" i="174" s="1"/>
  <c r="V89" i="174"/>
  <c r="W89" i="174" s="1"/>
  <c r="V123" i="174"/>
  <c r="W123" i="174" s="1"/>
  <c r="V138" i="174"/>
  <c r="W138" i="174" s="1"/>
  <c r="V153" i="174"/>
  <c r="W153" i="174" s="1"/>
  <c r="V164" i="174"/>
  <c r="W164" i="174" s="1"/>
  <c r="V248" i="174"/>
  <c r="W248" i="174" s="1"/>
  <c r="J286" i="174"/>
  <c r="U286" i="174" s="1"/>
  <c r="V8" i="174"/>
  <c r="W8" i="174" s="1"/>
  <c r="V35" i="174"/>
  <c r="W35" i="174" s="1"/>
  <c r="V49" i="174"/>
  <c r="W49" i="174" s="1"/>
  <c r="V67" i="174"/>
  <c r="W67" i="174" s="1"/>
  <c r="V97" i="174"/>
  <c r="W97" i="174" s="1"/>
  <c r="V135" i="174"/>
  <c r="W135" i="174" s="1"/>
  <c r="V150" i="174"/>
  <c r="W150" i="174" s="1"/>
  <c r="V171" i="174"/>
  <c r="W171" i="174" s="1"/>
  <c r="V232" i="174"/>
  <c r="W232" i="174" s="1"/>
  <c r="V241" i="174"/>
  <c r="W241" i="174" s="1"/>
  <c r="V257" i="174"/>
  <c r="W257" i="174" s="1"/>
  <c r="V292" i="174"/>
  <c r="W292" i="174" s="1"/>
  <c r="U377" i="174"/>
  <c r="U388" i="174"/>
  <c r="U399" i="174"/>
  <c r="U403" i="174"/>
  <c r="W348" i="174"/>
  <c r="V391" i="174"/>
  <c r="W391" i="174" s="1"/>
  <c r="W350" i="174"/>
  <c r="V318" i="174"/>
  <c r="W318" i="174" s="1"/>
  <c r="V316" i="174"/>
  <c r="W316" i="174" s="1"/>
  <c r="V290" i="174"/>
  <c r="W290" i="174" s="1"/>
  <c r="V270" i="174"/>
  <c r="W270" i="174" s="1"/>
  <c r="V245" i="174"/>
  <c r="W245" i="174" s="1"/>
  <c r="V240" i="174"/>
  <c r="W240" i="174" s="1"/>
  <c r="V235" i="174"/>
  <c r="W235" i="174" s="1"/>
  <c r="V227" i="174"/>
  <c r="W227" i="174" s="1"/>
  <c r="V222" i="174"/>
  <c r="W222" i="174" s="1"/>
  <c r="V220" i="174"/>
  <c r="W220" i="174" s="1"/>
  <c r="V218" i="174"/>
  <c r="W218" i="174" s="1"/>
  <c r="V216" i="174"/>
  <c r="W216" i="174" s="1"/>
  <c r="V214" i="174"/>
  <c r="W214" i="174" s="1"/>
  <c r="V212" i="174"/>
  <c r="W212" i="174" s="1"/>
  <c r="V210" i="174"/>
  <c r="W210" i="174" s="1"/>
  <c r="V208" i="174"/>
  <c r="W208" i="174" s="1"/>
  <c r="V206" i="174"/>
  <c r="W206" i="174" s="1"/>
  <c r="V204" i="174"/>
  <c r="W204" i="174" s="1"/>
  <c r="V202" i="174"/>
  <c r="W202" i="174" s="1"/>
  <c r="V200" i="174"/>
  <c r="W200" i="174" s="1"/>
  <c r="V198" i="174"/>
  <c r="W198" i="174" s="1"/>
  <c r="V196" i="174"/>
  <c r="W196" i="174" s="1"/>
  <c r="V194" i="174"/>
  <c r="W194" i="174" s="1"/>
  <c r="V192" i="174"/>
  <c r="W192" i="174" s="1"/>
  <c r="V190" i="174"/>
  <c r="W190" i="174" s="1"/>
  <c r="V188" i="174"/>
  <c r="W188" i="174" s="1"/>
  <c r="V186" i="174"/>
  <c r="W186" i="174" s="1"/>
  <c r="V184" i="174"/>
  <c r="W184" i="174" s="1"/>
  <c r="V182" i="174"/>
  <c r="W182" i="174" s="1"/>
  <c r="V329" i="174"/>
  <c r="W329" i="174" s="1"/>
  <c r="V320" i="174"/>
  <c r="W320" i="174" s="1"/>
  <c r="V300" i="174"/>
  <c r="W300" i="174" s="1"/>
  <c r="V293" i="174"/>
  <c r="W293" i="174" s="1"/>
  <c r="V291" i="174"/>
  <c r="W291" i="174" s="1"/>
  <c r="V279" i="174"/>
  <c r="W279" i="174" s="1"/>
  <c r="V277" i="174"/>
  <c r="W277" i="174" s="1"/>
  <c r="V251" i="174"/>
  <c r="W251" i="174" s="1"/>
  <c r="V236" i="174"/>
  <c r="W236" i="174" s="1"/>
  <c r="V229" i="174"/>
  <c r="W229" i="174" s="1"/>
  <c r="V217" i="174"/>
  <c r="W217" i="174" s="1"/>
  <c r="V201" i="174"/>
  <c r="W201" i="174" s="1"/>
  <c r="V185" i="174"/>
  <c r="W185" i="174" s="1"/>
  <c r="V322" i="174"/>
  <c r="W322" i="174" s="1"/>
  <c r="V298" i="174"/>
  <c r="W298" i="174" s="1"/>
  <c r="V289" i="174"/>
  <c r="W289" i="174" s="1"/>
  <c r="V275" i="174"/>
  <c r="W275" i="174" s="1"/>
  <c r="V273" i="174"/>
  <c r="W273" i="174" s="1"/>
  <c r="V271" i="174"/>
  <c r="W271" i="174" s="1"/>
  <c r="V267" i="174"/>
  <c r="W267" i="174" s="1"/>
  <c r="V260" i="174"/>
  <c r="W260" i="174" s="1"/>
  <c r="V258" i="174"/>
  <c r="W258" i="174" s="1"/>
  <c r="V249" i="174"/>
  <c r="W249" i="174" s="1"/>
  <c r="V234" i="174"/>
  <c r="W234" i="174" s="1"/>
  <c r="V219" i="174"/>
  <c r="W219" i="174" s="1"/>
  <c r="V203" i="174"/>
  <c r="W203" i="174" s="1"/>
  <c r="V187" i="174"/>
  <c r="W187" i="174" s="1"/>
  <c r="V324" i="174"/>
  <c r="W324" i="174" s="1"/>
  <c r="V315" i="174"/>
  <c r="W315" i="174" s="1"/>
  <c r="V313" i="174"/>
  <c r="W313" i="174" s="1"/>
  <c r="V284" i="174"/>
  <c r="W284" i="174" s="1"/>
  <c r="V282" i="174"/>
  <c r="W282" i="174" s="1"/>
  <c r="V269" i="174"/>
  <c r="W269" i="174" s="1"/>
  <c r="V256" i="174"/>
  <c r="W256" i="174" s="1"/>
  <c r="V247" i="174"/>
  <c r="W247" i="174" s="1"/>
  <c r="V243" i="174"/>
  <c r="W243" i="174" s="1"/>
  <c r="V328" i="174"/>
  <c r="W328" i="174" s="1"/>
  <c r="V321" i="174"/>
  <c r="W321" i="174" s="1"/>
  <c r="V319" i="174"/>
  <c r="W319" i="174" s="1"/>
  <c r="V299" i="174"/>
  <c r="W299" i="174" s="1"/>
  <c r="V294" i="174"/>
  <c r="W294" i="174" s="1"/>
  <c r="V278" i="174"/>
  <c r="W278" i="174" s="1"/>
  <c r="V261" i="174"/>
  <c r="W261" i="174" s="1"/>
  <c r="V252" i="174"/>
  <c r="W252" i="174" s="1"/>
  <c r="V239" i="174"/>
  <c r="W239" i="174" s="1"/>
  <c r="V237" i="174"/>
  <c r="W237" i="174" s="1"/>
  <c r="V228" i="174"/>
  <c r="W228" i="174" s="1"/>
  <c r="V209" i="174"/>
  <c r="W209" i="174" s="1"/>
  <c r="V193" i="174"/>
  <c r="W193" i="174" s="1"/>
  <c r="V327" i="174"/>
  <c r="W327" i="174" s="1"/>
  <c r="V312" i="174"/>
  <c r="W312" i="174" s="1"/>
  <c r="V310" i="174"/>
  <c r="W310" i="174" s="1"/>
  <c r="V308" i="174"/>
  <c r="W308" i="174" s="1"/>
  <c r="V306" i="174"/>
  <c r="W306" i="174" s="1"/>
  <c r="V304" i="174"/>
  <c r="W304" i="174" s="1"/>
  <c r="V302" i="174"/>
  <c r="W302" i="174" s="1"/>
  <c r="V295" i="174"/>
  <c r="W295" i="174" s="1"/>
  <c r="V286" i="174"/>
  <c r="W286" i="174" s="1"/>
  <c r="V281" i="174"/>
  <c r="W281" i="174" s="1"/>
  <c r="V264" i="174"/>
  <c r="W264" i="174" s="1"/>
  <c r="V262" i="174"/>
  <c r="W262" i="174" s="1"/>
  <c r="V255" i="174"/>
  <c r="W255" i="174" s="1"/>
  <c r="V253" i="174"/>
  <c r="W253" i="174" s="1"/>
  <c r="V305" i="174"/>
  <c r="W305" i="174" s="1"/>
  <c r="V301" i="174"/>
  <c r="W301" i="174" s="1"/>
  <c r="V288" i="174"/>
  <c r="W288" i="174" s="1"/>
  <c r="V272" i="174"/>
  <c r="W272" i="174" s="1"/>
  <c r="V266" i="174"/>
  <c r="W266" i="174" s="1"/>
  <c r="V259" i="174"/>
  <c r="W259" i="174" s="1"/>
  <c r="V215" i="174"/>
  <c r="W215" i="174" s="1"/>
  <c r="V181" i="174"/>
  <c r="W181" i="174" s="1"/>
  <c r="V174" i="174"/>
  <c r="W174" i="174" s="1"/>
  <c r="V165" i="174"/>
  <c r="W165" i="174" s="1"/>
  <c r="V158" i="174"/>
  <c r="W158" i="174" s="1"/>
  <c r="V149" i="174"/>
  <c r="W149" i="174" s="1"/>
  <c r="V142" i="174"/>
  <c r="W142" i="174" s="1"/>
  <c r="V133" i="174"/>
  <c r="W133" i="174" s="1"/>
  <c r="V126" i="174"/>
  <c r="W126" i="174" s="1"/>
  <c r="V280" i="174"/>
  <c r="W280" i="174" s="1"/>
  <c r="V233" i="174"/>
  <c r="W233" i="174" s="1"/>
  <c r="V225" i="174"/>
  <c r="W225" i="174" s="1"/>
  <c r="V207" i="174"/>
  <c r="W207" i="174" s="1"/>
  <c r="V175" i="174"/>
  <c r="W175" i="174" s="1"/>
  <c r="V168" i="174"/>
  <c r="W168" i="174" s="1"/>
  <c r="V159" i="174"/>
  <c r="W159" i="174" s="1"/>
  <c r="V152" i="174"/>
  <c r="W152" i="174" s="1"/>
  <c r="V143" i="174"/>
  <c r="W143" i="174" s="1"/>
  <c r="V136" i="174"/>
  <c r="W136" i="174" s="1"/>
  <c r="V127" i="174"/>
  <c r="W127" i="174" s="1"/>
  <c r="V120" i="174"/>
  <c r="W120" i="174" s="1"/>
  <c r="V118" i="174"/>
  <c r="W118" i="174" s="1"/>
  <c r="V116" i="174"/>
  <c r="W116" i="174" s="1"/>
  <c r="V114" i="174"/>
  <c r="W114" i="174" s="1"/>
  <c r="V112" i="174"/>
  <c r="W112" i="174" s="1"/>
  <c r="V110" i="174"/>
  <c r="W110" i="174" s="1"/>
  <c r="V108" i="174"/>
  <c r="W108" i="174" s="1"/>
  <c r="V106" i="174"/>
  <c r="W106" i="174" s="1"/>
  <c r="V104" i="174"/>
  <c r="W104" i="174" s="1"/>
  <c r="V102" i="174"/>
  <c r="W102" i="174" s="1"/>
  <c r="V100" i="174"/>
  <c r="W100" i="174" s="1"/>
  <c r="V98" i="174"/>
  <c r="W98" i="174" s="1"/>
  <c r="V96" i="174"/>
  <c r="W96" i="174" s="1"/>
  <c r="V94" i="174"/>
  <c r="W94" i="174" s="1"/>
  <c r="V92" i="174"/>
  <c r="W92" i="174" s="1"/>
  <c r="V90" i="174"/>
  <c r="W90" i="174" s="1"/>
  <c r="V88" i="174"/>
  <c r="W88" i="174" s="1"/>
  <c r="V86" i="174"/>
  <c r="W86" i="174" s="1"/>
  <c r="V84" i="174"/>
  <c r="W84" i="174" s="1"/>
  <c r="V82" i="174"/>
  <c r="W82" i="174" s="1"/>
  <c r="V80" i="174"/>
  <c r="W80" i="174" s="1"/>
  <c r="V78" i="174"/>
  <c r="W78" i="174" s="1"/>
  <c r="V76" i="174"/>
  <c r="W76" i="174" s="1"/>
  <c r="V74" i="174"/>
  <c r="W74" i="174" s="1"/>
  <c r="V72" i="174"/>
  <c r="W72" i="174" s="1"/>
  <c r="V70" i="174"/>
  <c r="W70" i="174" s="1"/>
  <c r="V68" i="174"/>
  <c r="W68" i="174" s="1"/>
  <c r="V66" i="174"/>
  <c r="W66" i="174" s="1"/>
  <c r="V64" i="174"/>
  <c r="W64" i="174" s="1"/>
  <c r="V62" i="174"/>
  <c r="W62" i="174" s="1"/>
  <c r="V60" i="174"/>
  <c r="W60" i="174" s="1"/>
  <c r="V58" i="174"/>
  <c r="W58" i="174" s="1"/>
  <c r="V56" i="174"/>
  <c r="W56" i="174" s="1"/>
  <c r="V54" i="174"/>
  <c r="W54" i="174" s="1"/>
  <c r="V52" i="174"/>
  <c r="W52" i="174" s="1"/>
  <c r="V50" i="174"/>
  <c r="W50" i="174" s="1"/>
  <c r="V48" i="174"/>
  <c r="W48" i="174" s="1"/>
  <c r="V46" i="174"/>
  <c r="W46" i="174" s="1"/>
  <c r="V44" i="174"/>
  <c r="W44" i="174" s="1"/>
  <c r="V42" i="174"/>
  <c r="W42" i="174" s="1"/>
  <c r="V40" i="174"/>
  <c r="W40" i="174" s="1"/>
  <c r="V38" i="174"/>
  <c r="W38" i="174" s="1"/>
  <c r="V36" i="174"/>
  <c r="W36" i="174" s="1"/>
  <c r="V34" i="174"/>
  <c r="W34" i="174" s="1"/>
  <c r="V32" i="174"/>
  <c r="W32" i="174" s="1"/>
  <c r="V30" i="174"/>
  <c r="W30" i="174" s="1"/>
  <c r="V28" i="174"/>
  <c r="W28" i="174" s="1"/>
  <c r="V26" i="174"/>
  <c r="W26" i="174" s="1"/>
  <c r="V24" i="174"/>
  <c r="W24" i="174" s="1"/>
  <c r="V22" i="174"/>
  <c r="W22" i="174" s="1"/>
  <c r="V20" i="174"/>
  <c r="W20" i="174" s="1"/>
  <c r="V18" i="174"/>
  <c r="W18" i="174" s="1"/>
  <c r="V16" i="174"/>
  <c r="W16" i="174" s="1"/>
  <c r="V14" i="174"/>
  <c r="W14" i="174" s="1"/>
  <c r="V12" i="174"/>
  <c r="W12" i="174" s="1"/>
  <c r="V23" i="174"/>
  <c r="W23" i="174" s="1"/>
  <c r="V128" i="174"/>
  <c r="W128" i="174" s="1"/>
  <c r="V144" i="174"/>
  <c r="W144" i="174" s="1"/>
  <c r="V160" i="174"/>
  <c r="W160" i="174" s="1"/>
  <c r="V173" i="174"/>
  <c r="W173" i="174" s="1"/>
  <c r="V191" i="174"/>
  <c r="W191" i="174" s="1"/>
  <c r="V213" i="174"/>
  <c r="W213" i="174" s="1"/>
  <c r="V242" i="174"/>
  <c r="W242" i="174" s="1"/>
  <c r="V265" i="174"/>
  <c r="W265" i="174" s="1"/>
  <c r="V283" i="174"/>
  <c r="W283" i="174" s="1"/>
  <c r="V105" i="174"/>
  <c r="W105" i="174" s="1"/>
  <c r="V113" i="174"/>
  <c r="W113" i="174" s="1"/>
  <c r="V129" i="174"/>
  <c r="W129" i="174" s="1"/>
  <c r="V145" i="174"/>
  <c r="W145" i="174" s="1"/>
  <c r="V161" i="174"/>
  <c r="W161" i="174" s="1"/>
  <c r="V211" i="174"/>
  <c r="W211" i="174" s="1"/>
  <c r="V231" i="174"/>
  <c r="W231" i="174" s="1"/>
  <c r="V287" i="174"/>
  <c r="W287" i="174" s="1"/>
  <c r="V15" i="174"/>
  <c r="W15" i="174" s="1"/>
  <c r="V31" i="174"/>
  <c r="W31" i="174" s="1"/>
  <c r="V124" i="174"/>
  <c r="W124" i="174" s="1"/>
  <c r="V140" i="174"/>
  <c r="W140" i="174" s="1"/>
  <c r="V156" i="174"/>
  <c r="W156" i="174" s="1"/>
  <c r="V177" i="174"/>
  <c r="W177" i="174" s="1"/>
  <c r="V189" i="174"/>
  <c r="W189" i="174" s="1"/>
  <c r="V197" i="174"/>
  <c r="W197" i="174" s="1"/>
  <c r="V263" i="174"/>
  <c r="W263" i="174" s="1"/>
  <c r="V296" i="174"/>
  <c r="W296" i="174" s="1"/>
  <c r="U338" i="174"/>
  <c r="V77" i="174"/>
  <c r="W77" i="174" s="1"/>
  <c r="V85" i="174"/>
  <c r="W85" i="174" s="1"/>
  <c r="V93" i="174"/>
  <c r="W93" i="174" s="1"/>
  <c r="V101" i="174"/>
  <c r="W101" i="174" s="1"/>
  <c r="V109" i="174"/>
  <c r="W109" i="174" s="1"/>
  <c r="V117" i="174"/>
  <c r="W117" i="174" s="1"/>
  <c r="V125" i="174"/>
  <c r="W125" i="174" s="1"/>
  <c r="V141" i="174"/>
  <c r="W141" i="174" s="1"/>
  <c r="V157" i="174"/>
  <c r="W157" i="174" s="1"/>
  <c r="V178" i="174"/>
  <c r="W178" i="174" s="1"/>
  <c r="V195" i="174"/>
  <c r="W195" i="174" s="1"/>
  <c r="V223" i="174"/>
  <c r="W223" i="174" s="1"/>
  <c r="V226" i="174"/>
  <c r="W226" i="174" s="1"/>
  <c r="V268" i="174"/>
  <c r="W268" i="174" s="1"/>
  <c r="V297" i="174"/>
  <c r="W297" i="174" s="1"/>
  <c r="V311" i="174"/>
  <c r="W311" i="174" s="1"/>
  <c r="V314" i="174"/>
  <c r="W314" i="174" s="1"/>
  <c r="U342" i="174"/>
  <c r="U336" i="174"/>
  <c r="U407" i="174"/>
  <c r="U359" i="174"/>
  <c r="U383" i="174"/>
  <c r="U394" i="174"/>
  <c r="U367" i="174"/>
  <c r="U375" i="174"/>
  <c r="J297" i="174"/>
  <c r="U297" i="174" s="1"/>
  <c r="J5" i="174" l="1"/>
  <c r="U346" i="174" l="1"/>
  <c r="U5" i="174" s="1"/>
  <c r="V414" i="6" l="1"/>
  <c r="V7" i="6" l="1"/>
  <c r="V415" i="6" l="1"/>
  <c r="V411" i="6" l="1"/>
  <c r="U15" i="3"/>
  <c r="V5" i="6" l="1"/>
  <c r="C2" i="9"/>
  <c r="C2" i="8"/>
  <c r="E2" i="8"/>
  <c r="E2" i="9"/>
  <c r="D2" i="8"/>
  <c r="F2" i="8"/>
  <c r="D2" i="9"/>
  <c r="J5" i="6" l="1"/>
  <c r="Q4" i="3" l="1"/>
  <c r="S4" i="4"/>
  <c r="W4" i="6" l="1"/>
  <c r="J4" i="6"/>
  <c r="B3" i="6"/>
  <c r="B2" i="6"/>
  <c r="T3" i="4"/>
  <c r="B2" i="4"/>
  <c r="R3" i="3"/>
  <c r="B2" i="3"/>
  <c r="Q2" i="4"/>
  <c r="E1" i="9"/>
  <c r="K2" i="3"/>
  <c r="L2" i="3"/>
  <c r="O2" i="4"/>
  <c r="N2" i="3"/>
  <c r="F1" i="8"/>
  <c r="W485" i="6" l="1"/>
  <c r="W486" i="6"/>
  <c r="W399" i="6"/>
  <c r="W394" i="6"/>
  <c r="W402" i="6"/>
  <c r="W397" i="6"/>
  <c r="W400" i="6"/>
  <c r="W401" i="6"/>
  <c r="W395" i="6"/>
  <c r="W398" i="6"/>
  <c r="W396" i="6"/>
  <c r="W13" i="6"/>
  <c r="W21" i="6"/>
  <c r="W29" i="6"/>
  <c r="W37" i="6"/>
  <c r="W45" i="6"/>
  <c r="W53" i="6"/>
  <c r="W61" i="6"/>
  <c r="W69" i="6"/>
  <c r="W77" i="6"/>
  <c r="W85" i="6"/>
  <c r="W93" i="6"/>
  <c r="W101" i="6"/>
  <c r="W109" i="6"/>
  <c r="W117" i="6"/>
  <c r="W125" i="6"/>
  <c r="W133" i="6"/>
  <c r="W141" i="6"/>
  <c r="W149" i="6"/>
  <c r="W157" i="6"/>
  <c r="W165" i="6"/>
  <c r="W173" i="6"/>
  <c r="W181" i="6"/>
  <c r="W189" i="6"/>
  <c r="W197" i="6"/>
  <c r="W205" i="6"/>
  <c r="W213" i="6"/>
  <c r="W221" i="6"/>
  <c r="W229" i="6"/>
  <c r="W237" i="6"/>
  <c r="W8" i="6"/>
  <c r="W16" i="6"/>
  <c r="W24" i="6"/>
  <c r="W32" i="6"/>
  <c r="W40" i="6"/>
  <c r="W48" i="6"/>
  <c r="W56" i="6"/>
  <c r="W64" i="6"/>
  <c r="W72" i="6"/>
  <c r="W80" i="6"/>
  <c r="W88" i="6"/>
  <c r="W96" i="6"/>
  <c r="W104" i="6"/>
  <c r="W112" i="6"/>
  <c r="W120" i="6"/>
  <c r="W128" i="6"/>
  <c r="W136" i="6"/>
  <c r="W144" i="6"/>
  <c r="W152" i="6"/>
  <c r="W160" i="6"/>
  <c r="W168" i="6"/>
  <c r="W176" i="6"/>
  <c r="W184" i="6"/>
  <c r="W192" i="6"/>
  <c r="W200" i="6"/>
  <c r="W208" i="6"/>
  <c r="W216" i="6"/>
  <c r="W224" i="6"/>
  <c r="W232" i="6"/>
  <c r="W240" i="6"/>
  <c r="W248" i="6"/>
  <c r="W256" i="6"/>
  <c r="W264" i="6"/>
  <c r="W272" i="6"/>
  <c r="W280" i="6"/>
  <c r="W288" i="6"/>
  <c r="W296" i="6"/>
  <c r="W304" i="6"/>
  <c r="W312" i="6"/>
  <c r="W320" i="6"/>
  <c r="W328" i="6"/>
  <c r="W336" i="6"/>
  <c r="W344" i="6"/>
  <c r="W11" i="6"/>
  <c r="W19" i="6"/>
  <c r="W27" i="6"/>
  <c r="W35" i="6"/>
  <c r="W43" i="6"/>
  <c r="W51" i="6"/>
  <c r="W59" i="6"/>
  <c r="W67" i="6"/>
  <c r="W75" i="6"/>
  <c r="W83" i="6"/>
  <c r="W91" i="6"/>
  <c r="W99" i="6"/>
  <c r="W107" i="6"/>
  <c r="W115" i="6"/>
  <c r="W123" i="6"/>
  <c r="W131" i="6"/>
  <c r="W139" i="6"/>
  <c r="W147" i="6"/>
  <c r="W155" i="6"/>
  <c r="W163" i="6"/>
  <c r="W14" i="6"/>
  <c r="W22" i="6"/>
  <c r="W30" i="6"/>
  <c r="W38" i="6"/>
  <c r="W46" i="6"/>
  <c r="W54" i="6"/>
  <c r="W62" i="6"/>
  <c r="W70" i="6"/>
  <c r="W78" i="6"/>
  <c r="W86" i="6"/>
  <c r="W94" i="6"/>
  <c r="W102" i="6"/>
  <c r="W110" i="6"/>
  <c r="W118" i="6"/>
  <c r="W126" i="6"/>
  <c r="W134" i="6"/>
  <c r="W142" i="6"/>
  <c r="W150" i="6"/>
  <c r="W158" i="6"/>
  <c r="W166" i="6"/>
  <c r="W174" i="6"/>
  <c r="W182" i="6"/>
  <c r="W190" i="6"/>
  <c r="W198" i="6"/>
  <c r="W206" i="6"/>
  <c r="W214" i="6"/>
  <c r="W222" i="6"/>
  <c r="W230" i="6"/>
  <c r="W238" i="6"/>
  <c r="W246" i="6"/>
  <c r="W254" i="6"/>
  <c r="W262" i="6"/>
  <c r="W270" i="6"/>
  <c r="W278" i="6"/>
  <c r="W286" i="6"/>
  <c r="W294" i="6"/>
  <c r="W302" i="6"/>
  <c r="W310" i="6"/>
  <c r="W318" i="6"/>
  <c r="W326" i="6"/>
  <c r="W334" i="6"/>
  <c r="W342" i="6"/>
  <c r="W9" i="6"/>
  <c r="W17" i="6"/>
  <c r="W25" i="6"/>
  <c r="W33" i="6"/>
  <c r="W41" i="6"/>
  <c r="W49" i="6"/>
  <c r="W57" i="6"/>
  <c r="W65" i="6"/>
  <c r="W73" i="6"/>
  <c r="W81" i="6"/>
  <c r="W89" i="6"/>
  <c r="W97" i="6"/>
  <c r="W105" i="6"/>
  <c r="W113" i="6"/>
  <c r="W121" i="6"/>
  <c r="W129" i="6"/>
  <c r="W137" i="6"/>
  <c r="W145" i="6"/>
  <c r="W153" i="6"/>
  <c r="W161" i="6"/>
  <c r="W169" i="6"/>
  <c r="W177" i="6"/>
  <c r="W185" i="6"/>
  <c r="W193" i="6"/>
  <c r="W201" i="6"/>
  <c r="W209" i="6"/>
  <c r="W217" i="6"/>
  <c r="W225" i="6"/>
  <c r="W233" i="6"/>
  <c r="W241" i="6"/>
  <c r="W12" i="6"/>
  <c r="W20" i="6"/>
  <c r="W28" i="6"/>
  <c r="W36" i="6"/>
  <c r="W44" i="6"/>
  <c r="W52" i="6"/>
  <c r="W60" i="6"/>
  <c r="W68" i="6"/>
  <c r="W76" i="6"/>
  <c r="W84" i="6"/>
  <c r="W92" i="6"/>
  <c r="W100" i="6"/>
  <c r="W108" i="6"/>
  <c r="W116" i="6"/>
  <c r="W124" i="6"/>
  <c r="W132" i="6"/>
  <c r="W140" i="6"/>
  <c r="W148" i="6"/>
  <c r="W156" i="6"/>
  <c r="W164" i="6"/>
  <c r="W172" i="6"/>
  <c r="W180" i="6"/>
  <c r="W188" i="6"/>
  <c r="W196" i="6"/>
  <c r="W204" i="6"/>
  <c r="W212" i="6"/>
  <c r="W220" i="6"/>
  <c r="W228" i="6"/>
  <c r="W236" i="6"/>
  <c r="W244" i="6"/>
  <c r="W252" i="6"/>
  <c r="W260" i="6"/>
  <c r="W268" i="6"/>
  <c r="W276" i="6"/>
  <c r="W284" i="6"/>
  <c r="W292" i="6"/>
  <c r="W300" i="6"/>
  <c r="W308" i="6"/>
  <c r="W316" i="6"/>
  <c r="W324" i="6"/>
  <c r="W332" i="6"/>
  <c r="W340" i="6"/>
  <c r="W186" i="6"/>
  <c r="W191" i="6"/>
  <c r="W195" i="6"/>
  <c r="W218" i="6"/>
  <c r="W223" i="6"/>
  <c r="W227" i="6"/>
  <c r="W259" i="6"/>
  <c r="W263" i="6"/>
  <c r="W277" i="6"/>
  <c r="W291" i="6"/>
  <c r="W295" i="6"/>
  <c r="W309" i="6"/>
  <c r="W323" i="6"/>
  <c r="W327" i="6"/>
  <c r="W341" i="6"/>
  <c r="W353" i="6"/>
  <c r="W361" i="6"/>
  <c r="W369" i="6"/>
  <c r="W377" i="6"/>
  <c r="W385" i="6"/>
  <c r="W393" i="6"/>
  <c r="W39" i="6"/>
  <c r="W50" i="6"/>
  <c r="W66" i="6"/>
  <c r="W98" i="6"/>
  <c r="W273" i="6"/>
  <c r="W350" i="6"/>
  <c r="W358" i="6"/>
  <c r="W382" i="6"/>
  <c r="W245" i="6"/>
  <c r="W249" i="6"/>
  <c r="W274" i="6"/>
  <c r="W281" i="6"/>
  <c r="W306" i="6"/>
  <c r="W313" i="6"/>
  <c r="W338" i="6"/>
  <c r="W345" i="6"/>
  <c r="W348" i="6"/>
  <c r="W356" i="6"/>
  <c r="W364" i="6"/>
  <c r="W372" i="6"/>
  <c r="W380" i="6"/>
  <c r="W388" i="6"/>
  <c r="W15" i="6"/>
  <c r="W31" i="6"/>
  <c r="W47" i="6"/>
  <c r="W63" i="6"/>
  <c r="W79" i="6"/>
  <c r="W95" i="6"/>
  <c r="W111" i="6"/>
  <c r="W127" i="6"/>
  <c r="W143" i="6"/>
  <c r="W159" i="6"/>
  <c r="W178" i="6"/>
  <c r="W183" i="6"/>
  <c r="W187" i="6"/>
  <c r="W210" i="6"/>
  <c r="W215" i="6"/>
  <c r="W219" i="6"/>
  <c r="W242" i="6"/>
  <c r="W253" i="6"/>
  <c r="W267" i="6"/>
  <c r="W271" i="6"/>
  <c r="W285" i="6"/>
  <c r="W299" i="6"/>
  <c r="W303" i="6"/>
  <c r="W317" i="6"/>
  <c r="W331" i="6"/>
  <c r="W335" i="6"/>
  <c r="W351" i="6"/>
  <c r="W359" i="6"/>
  <c r="W367" i="6"/>
  <c r="W375" i="6"/>
  <c r="W383" i="6"/>
  <c r="W391" i="6"/>
  <c r="W235" i="6"/>
  <c r="W333" i="6"/>
  <c r="W355" i="6"/>
  <c r="W337" i="6"/>
  <c r="W366" i="6"/>
  <c r="W10" i="6"/>
  <c r="W26" i="6"/>
  <c r="W42" i="6"/>
  <c r="W58" i="6"/>
  <c r="W74" i="6"/>
  <c r="W90" i="6"/>
  <c r="W106" i="6"/>
  <c r="W122" i="6"/>
  <c r="W138" i="6"/>
  <c r="W154" i="6"/>
  <c r="W250" i="6"/>
  <c r="W257" i="6"/>
  <c r="W282" i="6"/>
  <c r="W289" i="6"/>
  <c r="W314" i="6"/>
  <c r="W321" i="6"/>
  <c r="W346" i="6"/>
  <c r="W354" i="6"/>
  <c r="W362" i="6"/>
  <c r="W370" i="6"/>
  <c r="W378" i="6"/>
  <c r="W386" i="6"/>
  <c r="W23" i="6"/>
  <c r="W203" i="6"/>
  <c r="W255" i="6"/>
  <c r="W269" i="6"/>
  <c r="W287" i="6"/>
  <c r="W363" i="6"/>
  <c r="W379" i="6"/>
  <c r="W34" i="6"/>
  <c r="W146" i="6"/>
  <c r="W305" i="6"/>
  <c r="W330" i="6"/>
  <c r="W170" i="6"/>
  <c r="W175" i="6"/>
  <c r="W179" i="6"/>
  <c r="W202" i="6"/>
  <c r="W207" i="6"/>
  <c r="W211" i="6"/>
  <c r="W234" i="6"/>
  <c r="W239" i="6"/>
  <c r="W247" i="6"/>
  <c r="W261" i="6"/>
  <c r="W275" i="6"/>
  <c r="W279" i="6"/>
  <c r="W293" i="6"/>
  <c r="W307" i="6"/>
  <c r="W311" i="6"/>
  <c r="W325" i="6"/>
  <c r="W339" i="6"/>
  <c r="W343" i="6"/>
  <c r="W349" i="6"/>
  <c r="W357" i="6"/>
  <c r="W365" i="6"/>
  <c r="W373" i="6"/>
  <c r="W381" i="6"/>
  <c r="W389" i="6"/>
  <c r="W71" i="6"/>
  <c r="W87" i="6"/>
  <c r="W135" i="6"/>
  <c r="W167" i="6"/>
  <c r="W171" i="6"/>
  <c r="W194" i="6"/>
  <c r="W226" i="6"/>
  <c r="W251" i="6"/>
  <c r="W283" i="6"/>
  <c r="W301" i="6"/>
  <c r="W315" i="6"/>
  <c r="W18" i="6"/>
  <c r="W82" i="6"/>
  <c r="W130" i="6"/>
  <c r="W374" i="6"/>
  <c r="W390" i="6"/>
  <c r="W243" i="6"/>
  <c r="W258" i="6"/>
  <c r="W265" i="6"/>
  <c r="W290" i="6"/>
  <c r="W297" i="6"/>
  <c r="W322" i="6"/>
  <c r="W329" i="6"/>
  <c r="W352" i="6"/>
  <c r="W360" i="6"/>
  <c r="W368" i="6"/>
  <c r="W376" i="6"/>
  <c r="W384" i="6"/>
  <c r="W392" i="6"/>
  <c r="W55" i="6"/>
  <c r="W103" i="6"/>
  <c r="W119" i="6"/>
  <c r="W151" i="6"/>
  <c r="W199" i="6"/>
  <c r="W231" i="6"/>
  <c r="W319" i="6"/>
  <c r="W347" i="6"/>
  <c r="W371" i="6"/>
  <c r="W387" i="6"/>
  <c r="W114" i="6"/>
  <c r="W162" i="6"/>
  <c r="W266" i="6"/>
  <c r="W298" i="6"/>
  <c r="W484" i="6"/>
  <c r="W483" i="6"/>
  <c r="W481" i="6"/>
  <c r="W482" i="6"/>
  <c r="W479" i="6"/>
  <c r="W480" i="6"/>
  <c r="W478" i="6"/>
  <c r="W477" i="6"/>
  <c r="W476" i="6"/>
  <c r="W474" i="6"/>
  <c r="W475" i="6"/>
  <c r="W403" i="6"/>
  <c r="W473" i="6"/>
  <c r="W487" i="6"/>
  <c r="W471" i="6"/>
  <c r="W472" i="6"/>
  <c r="W464" i="6"/>
  <c r="W470" i="6"/>
  <c r="W468" i="6"/>
  <c r="W469" i="6"/>
  <c r="W466" i="6"/>
  <c r="W467" i="6"/>
  <c r="W465" i="6"/>
  <c r="W405" i="6"/>
  <c r="W414" i="6"/>
  <c r="W421" i="6"/>
  <c r="W416" i="6"/>
  <c r="W418" i="6"/>
  <c r="W420" i="6"/>
  <c r="W426" i="6"/>
  <c r="W413" i="6"/>
  <c r="W419" i="6"/>
  <c r="W422" i="6"/>
  <c r="W439" i="6"/>
  <c r="W442" i="6"/>
  <c r="W448" i="6"/>
  <c r="W453" i="6"/>
  <c r="W461" i="6"/>
  <c r="W411" i="6"/>
  <c r="W428" i="6"/>
  <c r="W429" i="6"/>
  <c r="W440" i="6"/>
  <c r="W445" i="6"/>
  <c r="W450" i="6"/>
  <c r="W456" i="6"/>
  <c r="W409" i="6"/>
  <c r="W425" i="6"/>
  <c r="W435" i="6"/>
  <c r="W441" i="6"/>
  <c r="W459" i="6"/>
  <c r="W407" i="6"/>
  <c r="W417" i="6"/>
  <c r="W423" i="6"/>
  <c r="W430" i="6"/>
  <c r="W433" i="6"/>
  <c r="W436" i="6"/>
  <c r="W443" i="6"/>
  <c r="W449" i="6"/>
  <c r="W454" i="6"/>
  <c r="W462" i="6"/>
  <c r="W412" i="6"/>
  <c r="W415" i="6"/>
  <c r="W431" i="6"/>
  <c r="W434" i="6"/>
  <c r="W451" i="6"/>
  <c r="W457" i="6"/>
  <c r="W406" i="6"/>
  <c r="W432" i="6"/>
  <c r="W438" i="6"/>
  <c r="W447" i="6"/>
  <c r="W452" i="6"/>
  <c r="W460" i="6"/>
  <c r="W410" i="6"/>
  <c r="W427" i="6"/>
  <c r="W444" i="6"/>
  <c r="W455" i="6"/>
  <c r="W463" i="6"/>
  <c r="W404" i="6"/>
  <c r="W408" i="6"/>
  <c r="W424" i="6"/>
  <c r="W437" i="6"/>
  <c r="W446" i="6"/>
  <c r="W458" i="6"/>
  <c r="U51" i="4"/>
  <c r="V51" i="4"/>
  <c r="W51" i="4"/>
  <c r="X51" i="4"/>
  <c r="AA51" i="4"/>
  <c r="U27" i="4"/>
  <c r="V27" i="4"/>
  <c r="W27" i="4"/>
  <c r="X27" i="4"/>
  <c r="AA27" i="4"/>
  <c r="W33" i="4"/>
  <c r="X33" i="4"/>
  <c r="U33" i="4"/>
  <c r="AA33" i="4"/>
  <c r="V33" i="4"/>
  <c r="U29" i="4"/>
  <c r="W29" i="4"/>
  <c r="X29" i="4"/>
  <c r="AA29" i="4"/>
  <c r="V29" i="4"/>
  <c r="U44" i="4"/>
  <c r="V44" i="4"/>
  <c r="W44" i="4"/>
  <c r="X44" i="4"/>
  <c r="AA44" i="4"/>
  <c r="W135" i="3"/>
  <c r="W125" i="3"/>
  <c r="W115" i="3"/>
  <c r="W107" i="3"/>
  <c r="W99" i="3"/>
  <c r="W84" i="3"/>
  <c r="W73" i="3"/>
  <c r="W64" i="3"/>
  <c r="W53" i="3"/>
  <c r="W44" i="3"/>
  <c r="W45" i="3" s="1"/>
  <c r="W29" i="3"/>
  <c r="W19" i="3"/>
  <c r="W20" i="3" s="1"/>
  <c r="W86" i="3"/>
  <c r="W56" i="3"/>
  <c r="W57" i="3" s="1"/>
  <c r="W10" i="3"/>
  <c r="W100" i="3"/>
  <c r="W46" i="3"/>
  <c r="W21" i="3"/>
  <c r="W134" i="3"/>
  <c r="W124" i="3"/>
  <c r="W114" i="3"/>
  <c r="W106" i="3"/>
  <c r="W98" i="3"/>
  <c r="W91" i="3"/>
  <c r="W82" i="3"/>
  <c r="W83" i="3" s="1"/>
  <c r="W72" i="3"/>
  <c r="W63" i="3"/>
  <c r="W52" i="3"/>
  <c r="W42" i="3"/>
  <c r="W37" i="3"/>
  <c r="W28" i="3"/>
  <c r="W17" i="3"/>
  <c r="W117" i="3"/>
  <c r="W76" i="3"/>
  <c r="W22" i="3"/>
  <c r="W116" i="3"/>
  <c r="W54" i="3"/>
  <c r="W9" i="3"/>
  <c r="W133" i="3"/>
  <c r="W122" i="3"/>
  <c r="W113" i="3"/>
  <c r="W105" i="3"/>
  <c r="W97" i="3"/>
  <c r="W90" i="3"/>
  <c r="W80" i="3"/>
  <c r="W71" i="3"/>
  <c r="W62" i="3"/>
  <c r="W51" i="3"/>
  <c r="W41" i="3"/>
  <c r="W36" i="3"/>
  <c r="W27" i="3"/>
  <c r="W16" i="3"/>
  <c r="W93" i="3"/>
  <c r="W66" i="3"/>
  <c r="W132" i="3"/>
  <c r="W121" i="3"/>
  <c r="W112" i="3"/>
  <c r="W104" i="3"/>
  <c r="W96" i="3"/>
  <c r="W89" i="3"/>
  <c r="W79" i="3"/>
  <c r="W69" i="3"/>
  <c r="W61" i="3"/>
  <c r="W50" i="3"/>
  <c r="W40" i="3"/>
  <c r="W35" i="3"/>
  <c r="W101" i="3"/>
  <c r="W31" i="3"/>
  <c r="W108" i="3"/>
  <c r="W74" i="3"/>
  <c r="W30" i="3"/>
  <c r="W130" i="3"/>
  <c r="W119" i="3"/>
  <c r="W111" i="3"/>
  <c r="W103" i="3"/>
  <c r="W95" i="3"/>
  <c r="W88" i="3"/>
  <c r="W78" i="3"/>
  <c r="W68" i="3"/>
  <c r="W60" i="3"/>
  <c r="W49" i="3"/>
  <c r="W39" i="3"/>
  <c r="W34" i="3"/>
  <c r="W14" i="3"/>
  <c r="W109" i="3"/>
  <c r="W137" i="3"/>
  <c r="W138" i="3" s="1"/>
  <c r="W85" i="3"/>
  <c r="W65" i="3"/>
  <c r="W129" i="3"/>
  <c r="W118" i="3"/>
  <c r="W110" i="3"/>
  <c r="W102" i="3"/>
  <c r="W94" i="3"/>
  <c r="W87" i="3"/>
  <c r="W77" i="3"/>
  <c r="W67" i="3"/>
  <c r="W58" i="3"/>
  <c r="W48" i="3"/>
  <c r="W33" i="3"/>
  <c r="W12" i="3"/>
  <c r="W128" i="3"/>
  <c r="W47" i="3"/>
  <c r="W127" i="3"/>
  <c r="W6" i="3"/>
  <c r="W7" i="3"/>
  <c r="W7" i="6"/>
  <c r="Y7" i="6" s="1"/>
  <c r="S48" i="3"/>
  <c r="T48" i="3"/>
  <c r="S49" i="3"/>
  <c r="T49" i="3"/>
  <c r="S125" i="3"/>
  <c r="T125" i="3"/>
  <c r="T9" i="3"/>
  <c r="S9" i="3"/>
  <c r="T10" i="3"/>
  <c r="T6" i="3"/>
  <c r="S10" i="3"/>
  <c r="S6" i="3"/>
  <c r="T7" i="3"/>
  <c r="S7" i="3"/>
  <c r="S72" i="3"/>
  <c r="T72" i="3"/>
  <c r="T103" i="3"/>
  <c r="S103" i="3"/>
  <c r="S116" i="3"/>
  <c r="T116" i="3"/>
  <c r="S117" i="3"/>
  <c r="T117" i="3"/>
  <c r="S118" i="3"/>
  <c r="T118" i="3"/>
  <c r="T41" i="3"/>
  <c r="S41" i="3"/>
  <c r="S124" i="3"/>
  <c r="T124" i="3"/>
  <c r="AA6" i="4"/>
  <c r="AA7" i="4" s="1"/>
  <c r="W6" i="4"/>
  <c r="W7" i="4" s="1"/>
  <c r="V6" i="4"/>
  <c r="V7" i="4" s="1"/>
  <c r="X6" i="4"/>
  <c r="X7" i="4" s="1"/>
  <c r="U6" i="4"/>
  <c r="S133" i="3"/>
  <c r="T133" i="3"/>
  <c r="T135" i="3"/>
  <c r="S135" i="3"/>
  <c r="T134" i="3"/>
  <c r="S134" i="3"/>
  <c r="S122" i="3"/>
  <c r="T122" i="3"/>
  <c r="S30" i="3"/>
  <c r="T30" i="3"/>
  <c r="AA53" i="4"/>
  <c r="X53" i="4"/>
  <c r="W53" i="4"/>
  <c r="V53" i="4"/>
  <c r="U53" i="4"/>
  <c r="T102" i="3"/>
  <c r="S102" i="3"/>
  <c r="S130" i="3"/>
  <c r="T130" i="3"/>
  <c r="S129" i="3"/>
  <c r="T129" i="3"/>
  <c r="S128" i="3"/>
  <c r="T128" i="3"/>
  <c r="S127" i="3"/>
  <c r="T127" i="3"/>
  <c r="S74" i="3"/>
  <c r="T74" i="3"/>
  <c r="S61" i="3"/>
  <c r="S65" i="3"/>
  <c r="S68" i="3"/>
  <c r="T69" i="3"/>
  <c r="T61" i="3"/>
  <c r="T65" i="3"/>
  <c r="T68" i="3"/>
  <c r="S64" i="3"/>
  <c r="T64" i="3"/>
  <c r="S63" i="3"/>
  <c r="S67" i="3"/>
  <c r="T66" i="3"/>
  <c r="T63" i="3"/>
  <c r="T67" i="3"/>
  <c r="S62" i="3"/>
  <c r="S66" i="3"/>
  <c r="S69" i="3"/>
  <c r="T62" i="3"/>
  <c r="S37" i="3"/>
  <c r="T37" i="3"/>
  <c r="S36" i="3"/>
  <c r="T36" i="3"/>
  <c r="S17" i="3"/>
  <c r="T17" i="3"/>
  <c r="S28" i="3"/>
  <c r="T28" i="3"/>
  <c r="S31" i="3"/>
  <c r="T31" i="3"/>
  <c r="S29" i="3"/>
  <c r="T29" i="3"/>
  <c r="V48" i="4"/>
  <c r="W48" i="4"/>
  <c r="X48" i="4"/>
  <c r="AA48" i="4"/>
  <c r="U48" i="4"/>
  <c r="T137" i="3"/>
  <c r="S137" i="3"/>
  <c r="S138" i="3" s="1"/>
  <c r="U54" i="4"/>
  <c r="V54" i="4"/>
  <c r="W54" i="4"/>
  <c r="X54" i="4"/>
  <c r="AA54" i="4"/>
  <c r="T35" i="3"/>
  <c r="T71" i="3"/>
  <c r="T105" i="3"/>
  <c r="T50" i="3"/>
  <c r="T14" i="3"/>
  <c r="T89" i="3"/>
  <c r="T16" i="3"/>
  <c r="T76" i="3"/>
  <c r="T90" i="3"/>
  <c r="T109" i="3"/>
  <c r="S21" i="3"/>
  <c r="S54" i="3"/>
  <c r="T112" i="3"/>
  <c r="T42" i="3"/>
  <c r="S56" i="3"/>
  <c r="S57" i="3" s="1"/>
  <c r="S84" i="3"/>
  <c r="T95" i="3"/>
  <c r="T119" i="3"/>
  <c r="S46" i="3"/>
  <c r="T60" i="3"/>
  <c r="T99" i="3"/>
  <c r="S33" i="3"/>
  <c r="T100" i="3"/>
  <c r="X32" i="4"/>
  <c r="X10" i="4"/>
  <c r="AA34" i="4"/>
  <c r="U30" i="4"/>
  <c r="V68" i="4"/>
  <c r="X86" i="4"/>
  <c r="W84" i="4"/>
  <c r="V39" i="4"/>
  <c r="AA31" i="4"/>
  <c r="U25" i="4"/>
  <c r="U14" i="4"/>
  <c r="W75" i="4"/>
  <c r="AA22" i="4"/>
  <c r="X12" i="4"/>
  <c r="X13" i="4" s="1"/>
  <c r="X70" i="4"/>
  <c r="V37" i="4"/>
  <c r="V22" i="4"/>
  <c r="U11" i="4"/>
  <c r="W61" i="4"/>
  <c r="W28" i="4"/>
  <c r="V19" i="4"/>
  <c r="V9" i="4"/>
  <c r="U60" i="4"/>
  <c r="X42" i="4"/>
  <c r="V35" i="4"/>
  <c r="AA16" i="4"/>
  <c r="AA20" i="4"/>
  <c r="V40" i="4"/>
  <c r="V52" i="4"/>
  <c r="X25" i="4"/>
  <c r="W43" i="4"/>
  <c r="X49" i="4"/>
  <c r="T21" i="3"/>
  <c r="S73" i="3"/>
  <c r="T80" i="3"/>
  <c r="S16" i="3"/>
  <c r="T27" i="3"/>
  <c r="T40" i="3"/>
  <c r="S82" i="3"/>
  <c r="S83" i="3" s="1"/>
  <c r="S12" i="3"/>
  <c r="T51" i="3"/>
  <c r="T77" i="3"/>
  <c r="T86" i="3"/>
  <c r="T96" i="3"/>
  <c r="T106" i="3"/>
  <c r="T113" i="3"/>
  <c r="T12" i="3"/>
  <c r="T19" i="3"/>
  <c r="T20" i="3" s="1"/>
  <c r="S52" i="3"/>
  <c r="S78" i="3"/>
  <c r="S132" i="3"/>
  <c r="J2" i="3"/>
  <c r="O2" i="3"/>
  <c r="P2" i="4"/>
  <c r="S14" i="3"/>
  <c r="S19" i="3"/>
  <c r="S27" i="3"/>
  <c r="S35" i="3"/>
  <c r="S40" i="3"/>
  <c r="S50" i="3"/>
  <c r="S60" i="3"/>
  <c r="S76" i="3"/>
  <c r="S80" i="3"/>
  <c r="S89" i="3"/>
  <c r="S95" i="3"/>
  <c r="S99" i="3"/>
  <c r="S105" i="3"/>
  <c r="S112" i="3"/>
  <c r="U9" i="4"/>
  <c r="X14" i="4"/>
  <c r="W25" i="4"/>
  <c r="AA26" i="4"/>
  <c r="U32" i="4"/>
  <c r="U35" i="4"/>
  <c r="U40" i="4"/>
  <c r="U43" i="4"/>
  <c r="W52" i="4"/>
  <c r="V84" i="4"/>
  <c r="S22" i="3"/>
  <c r="S34" i="3"/>
  <c r="S39" i="3"/>
  <c r="S44" i="3"/>
  <c r="S47" i="3"/>
  <c r="S53" i="3"/>
  <c r="S79" i="3"/>
  <c r="S85" i="3"/>
  <c r="S88" i="3"/>
  <c r="S94" i="3"/>
  <c r="S98" i="3"/>
  <c r="S104" i="3"/>
  <c r="S108" i="3"/>
  <c r="S111" i="3"/>
  <c r="S115" i="3"/>
  <c r="S121" i="3"/>
  <c r="T132" i="3"/>
  <c r="W9" i="4"/>
  <c r="W11" i="4"/>
  <c r="AA12" i="4"/>
  <c r="AA14" i="4"/>
  <c r="X19" i="4"/>
  <c r="U21" i="4"/>
  <c r="V30" i="4"/>
  <c r="W35" i="4"/>
  <c r="AA37" i="4"/>
  <c r="X39" i="4"/>
  <c r="W40" i="4"/>
  <c r="AA62" i="4"/>
  <c r="U71" i="4"/>
  <c r="T22" i="3"/>
  <c r="T34" i="3"/>
  <c r="T39" i="3"/>
  <c r="T44" i="3"/>
  <c r="T45" i="3" s="1"/>
  <c r="T47" i="3"/>
  <c r="T53" i="3"/>
  <c r="T79" i="3"/>
  <c r="T85" i="3"/>
  <c r="T88" i="3"/>
  <c r="T94" i="3"/>
  <c r="T98" i="3"/>
  <c r="T104" i="3"/>
  <c r="T108" i="3"/>
  <c r="T111" i="3"/>
  <c r="T115" i="3"/>
  <c r="T121" i="3"/>
  <c r="S58" i="3"/>
  <c r="V97" i="4"/>
  <c r="U96" i="4"/>
  <c r="AA94" i="4"/>
  <c r="X91" i="4"/>
  <c r="W90" i="4"/>
  <c r="U89" i="4"/>
  <c r="AA88" i="4"/>
  <c r="U97" i="4"/>
  <c r="AA95" i="4"/>
  <c r="X92" i="4"/>
  <c r="W91" i="4"/>
  <c r="V90" i="4"/>
  <c r="AA96" i="4"/>
  <c r="AA97" i="4"/>
  <c r="X94" i="4"/>
  <c r="W93" i="4"/>
  <c r="V92" i="4"/>
  <c r="U91" i="4"/>
  <c r="X95" i="4"/>
  <c r="W94" i="4"/>
  <c r="V93" i="4"/>
  <c r="U92" i="4"/>
  <c r="AA90" i="4"/>
  <c r="W88" i="4"/>
  <c r="V87" i="4"/>
  <c r="X96" i="4"/>
  <c r="W95" i="4"/>
  <c r="V94" i="4"/>
  <c r="U93" i="4"/>
  <c r="AA91" i="4"/>
  <c r="X89" i="4"/>
  <c r="V88" i="4"/>
  <c r="AA93" i="4"/>
  <c r="W89" i="4"/>
  <c r="X97" i="4"/>
  <c r="X98" i="4" s="1"/>
  <c r="X93" i="4"/>
  <c r="X90" i="4"/>
  <c r="V89" i="4"/>
  <c r="AA87" i="4"/>
  <c r="W86" i="4"/>
  <c r="V85" i="4"/>
  <c r="AA83" i="4"/>
  <c r="X80" i="4"/>
  <c r="W79" i="4"/>
  <c r="V78" i="4"/>
  <c r="W97" i="4"/>
  <c r="AA92" i="4"/>
  <c r="U90" i="4"/>
  <c r="V86" i="4"/>
  <c r="U85" i="4"/>
  <c r="AA84" i="4"/>
  <c r="X81" i="4"/>
  <c r="W80" i="4"/>
  <c r="V79" i="4"/>
  <c r="U78" i="4"/>
  <c r="AA77" i="4"/>
  <c r="X76" i="4"/>
  <c r="V75" i="4"/>
  <c r="U74" i="4"/>
  <c r="W70" i="4"/>
  <c r="V69" i="4"/>
  <c r="U68" i="4"/>
  <c r="AA66" i="4"/>
  <c r="X63" i="4"/>
  <c r="W62" i="4"/>
  <c r="V61" i="4"/>
  <c r="AA59" i="4"/>
  <c r="X56" i="4"/>
  <c r="U52" i="4"/>
  <c r="X50" i="4"/>
  <c r="W49" i="4"/>
  <c r="W96" i="4"/>
  <c r="X87" i="4"/>
  <c r="U86" i="4"/>
  <c r="X82" i="4"/>
  <c r="W81" i="4"/>
  <c r="V80" i="4"/>
  <c r="U79" i="4"/>
  <c r="W76" i="4"/>
  <c r="U75" i="4"/>
  <c r="AA73" i="4"/>
  <c r="X71" i="4"/>
  <c r="V70" i="4"/>
  <c r="U69" i="4"/>
  <c r="X64" i="4"/>
  <c r="W63" i="4"/>
  <c r="V62" i="4"/>
  <c r="U61" i="4"/>
  <c r="AA60" i="4"/>
  <c r="X57" i="4"/>
  <c r="W56" i="4"/>
  <c r="W50" i="4"/>
  <c r="V49" i="4"/>
  <c r="AA47" i="4"/>
  <c r="X46" i="4"/>
  <c r="U45" i="4"/>
  <c r="X43" i="4"/>
  <c r="AA41" i="4"/>
  <c r="W39" i="4"/>
  <c r="V96" i="4"/>
  <c r="W92" i="4"/>
  <c r="W87" i="4"/>
  <c r="AA85" i="4"/>
  <c r="X83" i="4"/>
  <c r="W82" i="4"/>
  <c r="V81" i="4"/>
  <c r="U80" i="4"/>
  <c r="AA78" i="4"/>
  <c r="V76" i="4"/>
  <c r="AA74" i="4"/>
  <c r="X72" i="4"/>
  <c r="W71" i="4"/>
  <c r="U70" i="4"/>
  <c r="AA68" i="4"/>
  <c r="X65" i="4"/>
  <c r="W64" i="4"/>
  <c r="V63" i="4"/>
  <c r="U62" i="4"/>
  <c r="X58" i="4"/>
  <c r="W57" i="4"/>
  <c r="V56" i="4"/>
  <c r="AA52" i="4"/>
  <c r="V50" i="4"/>
  <c r="U49" i="4"/>
  <c r="V95" i="4"/>
  <c r="U87" i="4"/>
  <c r="AA86" i="4"/>
  <c r="X84" i="4"/>
  <c r="W83" i="4"/>
  <c r="V82" i="4"/>
  <c r="U81" i="4"/>
  <c r="AA79" i="4"/>
  <c r="X77" i="4"/>
  <c r="U76" i="4"/>
  <c r="AA75" i="4"/>
  <c r="W72" i="4"/>
  <c r="V71" i="4"/>
  <c r="AA69" i="4"/>
  <c r="X66" i="4"/>
  <c r="X67" i="4" s="1"/>
  <c r="W65" i="4"/>
  <c r="V64" i="4"/>
  <c r="U63" i="4"/>
  <c r="AA61" i="4"/>
  <c r="X59" i="4"/>
  <c r="W58" i="4"/>
  <c r="V57" i="4"/>
  <c r="U56" i="4"/>
  <c r="U50" i="4"/>
  <c r="V46" i="4"/>
  <c r="AA45" i="4"/>
  <c r="V43" i="4"/>
  <c r="X40" i="4"/>
  <c r="U39" i="4"/>
  <c r="U95" i="4"/>
  <c r="X88" i="4"/>
  <c r="U84" i="4"/>
  <c r="X74" i="4"/>
  <c r="U65" i="4"/>
  <c r="V59" i="4"/>
  <c r="AA56" i="4"/>
  <c r="AA42" i="4"/>
  <c r="W41" i="4"/>
  <c r="X37" i="4"/>
  <c r="W36" i="4"/>
  <c r="U88" i="4"/>
  <c r="X85" i="4"/>
  <c r="V83" i="4"/>
  <c r="W74" i="4"/>
  <c r="X69" i="4"/>
  <c r="AA64" i="4"/>
  <c r="U59" i="4"/>
  <c r="AA50" i="4"/>
  <c r="AA46" i="4"/>
  <c r="V41" i="4"/>
  <c r="X38" i="4"/>
  <c r="W37" i="4"/>
  <c r="V36" i="4"/>
  <c r="AA35" i="4"/>
  <c r="X31" i="4"/>
  <c r="AA28" i="4"/>
  <c r="W26" i="4"/>
  <c r="V25" i="4"/>
  <c r="U24" i="4"/>
  <c r="X20" i="4"/>
  <c r="W19" i="4"/>
  <c r="V18" i="4"/>
  <c r="W12" i="4"/>
  <c r="V11" i="4"/>
  <c r="U10" i="4"/>
  <c r="AA8" i="4"/>
  <c r="U94" i="4"/>
  <c r="W85" i="4"/>
  <c r="U83" i="4"/>
  <c r="V74" i="4"/>
  <c r="AA72" i="4"/>
  <c r="W69" i="4"/>
  <c r="X62" i="4"/>
  <c r="AA58" i="4"/>
  <c r="AA82" i="4"/>
  <c r="W77" i="4"/>
  <c r="X73" i="4"/>
  <c r="V72" i="4"/>
  <c r="AA70" i="4"/>
  <c r="W66" i="4"/>
  <c r="U64" i="4"/>
  <c r="X60" i="4"/>
  <c r="V58" i="4"/>
  <c r="AA49" i="4"/>
  <c r="X47" i="4"/>
  <c r="X45" i="4"/>
  <c r="AA43" i="4"/>
  <c r="W42" i="4"/>
  <c r="AA40" i="4"/>
  <c r="V38" i="4"/>
  <c r="U37" i="4"/>
  <c r="X34" i="4"/>
  <c r="W32" i="4"/>
  <c r="V31" i="4"/>
  <c r="U26" i="4"/>
  <c r="AA24" i="4"/>
  <c r="X22" i="4"/>
  <c r="W21" i="4"/>
  <c r="V20" i="4"/>
  <c r="U19" i="4"/>
  <c r="X15" i="4"/>
  <c r="W14" i="4"/>
  <c r="U12" i="4"/>
  <c r="AA10" i="4"/>
  <c r="V91" i="4"/>
  <c r="U82" i="4"/>
  <c r="X79" i="4"/>
  <c r="V77" i="4"/>
  <c r="AA76" i="4"/>
  <c r="W73" i="4"/>
  <c r="U72" i="4"/>
  <c r="X68" i="4"/>
  <c r="V66" i="4"/>
  <c r="AA63" i="4"/>
  <c r="W60" i="4"/>
  <c r="U58" i="4"/>
  <c r="X52" i="4"/>
  <c r="W47" i="4"/>
  <c r="W46" i="4"/>
  <c r="W45" i="4"/>
  <c r="V42" i="4"/>
  <c r="U38" i="4"/>
  <c r="AA36" i="4"/>
  <c r="X35" i="4"/>
  <c r="W34" i="4"/>
  <c r="V32" i="4"/>
  <c r="U31" i="4"/>
  <c r="X28" i="4"/>
  <c r="AA25" i="4"/>
  <c r="W22" i="4"/>
  <c r="V21" i="4"/>
  <c r="U20" i="4"/>
  <c r="AA18" i="4"/>
  <c r="W15" i="4"/>
  <c r="V14" i="4"/>
  <c r="AA11" i="4"/>
  <c r="X8" i="4"/>
  <c r="AA89" i="4"/>
  <c r="AA81" i="4"/>
  <c r="U77" i="4"/>
  <c r="X75" i="4"/>
  <c r="V73" i="4"/>
  <c r="AA71" i="4"/>
  <c r="W68" i="4"/>
  <c r="U66" i="4"/>
  <c r="X61" i="4"/>
  <c r="V60" i="4"/>
  <c r="AA57" i="4"/>
  <c r="X9" i="4"/>
  <c r="X11" i="4"/>
  <c r="U15" i="4"/>
  <c r="U16" i="4"/>
  <c r="X21" i="4"/>
  <c r="V24" i="4"/>
  <c r="W30" i="4"/>
  <c r="AA32" i="4"/>
  <c r="U36" i="4"/>
  <c r="W38" i="4"/>
  <c r="AA39" i="4"/>
  <c r="U41" i="4"/>
  <c r="U47" i="4"/>
  <c r="S87" i="3"/>
  <c r="S91" i="3"/>
  <c r="S93" i="3"/>
  <c r="S97" i="3"/>
  <c r="S101" i="3"/>
  <c r="S107" i="3"/>
  <c r="S110" i="3"/>
  <c r="S114" i="3"/>
  <c r="T58" i="3"/>
  <c r="U8" i="4"/>
  <c r="AA9" i="4"/>
  <c r="V15" i="4"/>
  <c r="V16" i="4"/>
  <c r="U18" i="4"/>
  <c r="W24" i="4"/>
  <c r="V26" i="4"/>
  <c r="X30" i="4"/>
  <c r="W31" i="4"/>
  <c r="U34" i="4"/>
  <c r="X36" i="4"/>
  <c r="X41" i="4"/>
  <c r="V47" i="4"/>
  <c r="U57" i="4"/>
  <c r="V65" i="4"/>
  <c r="W78" i="4"/>
  <c r="T33" i="3"/>
  <c r="T46" i="3"/>
  <c r="T52" i="3"/>
  <c r="T54" i="3"/>
  <c r="T56" i="3"/>
  <c r="T73" i="3"/>
  <c r="T78" i="3"/>
  <c r="T82" i="3"/>
  <c r="T84" i="3"/>
  <c r="T87" i="3"/>
  <c r="T91" i="3"/>
  <c r="T93" i="3"/>
  <c r="T97" i="3"/>
  <c r="T101" i="3"/>
  <c r="T107" i="3"/>
  <c r="T110" i="3"/>
  <c r="T114" i="3"/>
  <c r="V8" i="4"/>
  <c r="V10" i="4"/>
  <c r="W16" i="4"/>
  <c r="W18" i="4"/>
  <c r="AA19" i="4"/>
  <c r="AA21" i="4"/>
  <c r="X24" i="4"/>
  <c r="X26" i="4"/>
  <c r="U28" i="4"/>
  <c r="AA30" i="4"/>
  <c r="V34" i="4"/>
  <c r="AA38" i="4"/>
  <c r="AA65" i="4"/>
  <c r="U73" i="4"/>
  <c r="X78" i="4"/>
  <c r="S42" i="3"/>
  <c r="S51" i="3"/>
  <c r="S71" i="3"/>
  <c r="S77" i="3"/>
  <c r="S86" i="3"/>
  <c r="S90" i="3"/>
  <c r="S96" i="3"/>
  <c r="S100" i="3"/>
  <c r="S106" i="3"/>
  <c r="S109" i="3"/>
  <c r="S113" i="3"/>
  <c r="S119" i="3"/>
  <c r="W8" i="4"/>
  <c r="W10" i="4"/>
  <c r="V12" i="4"/>
  <c r="AA15" i="4"/>
  <c r="X16" i="4"/>
  <c r="X18" i="4"/>
  <c r="W20" i="4"/>
  <c r="U22" i="4"/>
  <c r="V28" i="4"/>
  <c r="U42" i="4"/>
  <c r="V45" i="4"/>
  <c r="U46" i="4"/>
  <c r="W59" i="4"/>
  <c r="AA80" i="4"/>
  <c r="X437" i="6" l="1"/>
  <c r="Y437" i="6"/>
  <c r="X442" i="6"/>
  <c r="Y442" i="6"/>
  <c r="X322" i="6"/>
  <c r="Y322" i="6"/>
  <c r="X23" i="6"/>
  <c r="Y23" i="6"/>
  <c r="X57" i="6"/>
  <c r="Y57" i="6"/>
  <c r="X446" i="6"/>
  <c r="Y446" i="6"/>
  <c r="X427" i="6"/>
  <c r="Y427" i="6"/>
  <c r="X406" i="6"/>
  <c r="Y406" i="6"/>
  <c r="X454" i="6"/>
  <c r="Y454" i="6"/>
  <c r="X407" i="6"/>
  <c r="Y407" i="6"/>
  <c r="X445" i="6"/>
  <c r="Y445" i="6"/>
  <c r="X448" i="6"/>
  <c r="Y448" i="6"/>
  <c r="X418" i="6"/>
  <c r="Y418" i="6"/>
  <c r="X469" i="6"/>
  <c r="Y469" i="6"/>
  <c r="X403" i="6"/>
  <c r="Y403" i="6"/>
  <c r="X482" i="6"/>
  <c r="Y482" i="6"/>
  <c r="X387" i="6"/>
  <c r="Y387" i="6"/>
  <c r="X103" i="6"/>
  <c r="Y103" i="6"/>
  <c r="X329" i="6"/>
  <c r="Y329" i="6"/>
  <c r="X374" i="6"/>
  <c r="Y374" i="6"/>
  <c r="X226" i="6"/>
  <c r="Y226" i="6"/>
  <c r="X381" i="6"/>
  <c r="Y381" i="6"/>
  <c r="X311" i="6"/>
  <c r="Y311" i="6"/>
  <c r="X234" i="6"/>
  <c r="Y234" i="6"/>
  <c r="X305" i="6"/>
  <c r="Y305" i="6"/>
  <c r="X203" i="6"/>
  <c r="Y203" i="6"/>
  <c r="X321" i="6"/>
  <c r="Y321" i="6"/>
  <c r="X122" i="6"/>
  <c r="Y122" i="6"/>
  <c r="X366" i="6"/>
  <c r="Y366" i="6"/>
  <c r="X367" i="6"/>
  <c r="Y367" i="6"/>
  <c r="X285" i="6"/>
  <c r="Y285" i="6"/>
  <c r="X187" i="6"/>
  <c r="Y187" i="6"/>
  <c r="X79" i="6"/>
  <c r="Y79" i="6"/>
  <c r="X364" i="6"/>
  <c r="Y364" i="6"/>
  <c r="X274" i="6"/>
  <c r="Y274" i="6"/>
  <c r="X66" i="6"/>
  <c r="Y66" i="6"/>
  <c r="X353" i="6"/>
  <c r="Y353" i="6"/>
  <c r="X263" i="6"/>
  <c r="Y263" i="6"/>
  <c r="X340" i="6"/>
  <c r="Y340" i="6"/>
  <c r="X276" i="6"/>
  <c r="Y276" i="6"/>
  <c r="X212" i="6"/>
  <c r="Y212" i="6"/>
  <c r="X148" i="6"/>
  <c r="Y148" i="6"/>
  <c r="X84" i="6"/>
  <c r="Y84" i="6"/>
  <c r="X20" i="6"/>
  <c r="Y20" i="6"/>
  <c r="X193" i="6"/>
  <c r="Y193" i="6"/>
  <c r="X129" i="6"/>
  <c r="Y129" i="6"/>
  <c r="X65" i="6"/>
  <c r="Y65" i="6"/>
  <c r="X342" i="6"/>
  <c r="Y342" i="6"/>
  <c r="X278" i="6"/>
  <c r="Y278" i="6"/>
  <c r="X214" i="6"/>
  <c r="Y214" i="6"/>
  <c r="X150" i="6"/>
  <c r="Y150" i="6"/>
  <c r="X86" i="6"/>
  <c r="Y86" i="6"/>
  <c r="X22" i="6"/>
  <c r="Y22" i="6"/>
  <c r="X115" i="6"/>
  <c r="Y115" i="6"/>
  <c r="X51" i="6"/>
  <c r="Y51" i="6"/>
  <c r="X328" i="6"/>
  <c r="Y328" i="6"/>
  <c r="X264" i="6"/>
  <c r="Y264" i="6"/>
  <c r="X200" i="6"/>
  <c r="Y200" i="6"/>
  <c r="X136" i="6"/>
  <c r="Y136" i="6"/>
  <c r="X72" i="6"/>
  <c r="Y72" i="6"/>
  <c r="X8" i="6"/>
  <c r="Y8" i="6"/>
  <c r="X181" i="6"/>
  <c r="Y181" i="6"/>
  <c r="X117" i="6"/>
  <c r="Y117" i="6"/>
  <c r="X53" i="6"/>
  <c r="Y53" i="6"/>
  <c r="X397" i="6"/>
  <c r="Y397" i="6"/>
  <c r="X457" i="6"/>
  <c r="Y457" i="6"/>
  <c r="X55" i="6"/>
  <c r="Y55" i="6"/>
  <c r="X211" i="6"/>
  <c r="Y211" i="6"/>
  <c r="X106" i="6"/>
  <c r="Y106" i="6"/>
  <c r="X183" i="6"/>
  <c r="Y183" i="6"/>
  <c r="X249" i="6"/>
  <c r="Y249" i="6"/>
  <c r="X341" i="6"/>
  <c r="Y341" i="6"/>
  <c r="X332" i="6"/>
  <c r="Y332" i="6"/>
  <c r="X204" i="6"/>
  <c r="Y204" i="6"/>
  <c r="X76" i="6"/>
  <c r="Y76" i="6"/>
  <c r="X185" i="6"/>
  <c r="Y185" i="6"/>
  <c r="X334" i="6"/>
  <c r="Y334" i="6"/>
  <c r="X78" i="6"/>
  <c r="Y78" i="6"/>
  <c r="X320" i="6"/>
  <c r="Y320" i="6"/>
  <c r="X192" i="6"/>
  <c r="Y192" i="6"/>
  <c r="X64" i="6"/>
  <c r="Y64" i="6"/>
  <c r="X173" i="6"/>
  <c r="Y173" i="6"/>
  <c r="X45" i="6"/>
  <c r="Y45" i="6"/>
  <c r="X398" i="6"/>
  <c r="Y398" i="6"/>
  <c r="X424" i="6"/>
  <c r="Y424" i="6"/>
  <c r="X451" i="6"/>
  <c r="Y451" i="6"/>
  <c r="X443" i="6"/>
  <c r="Y443" i="6"/>
  <c r="X441" i="6"/>
  <c r="Y441" i="6"/>
  <c r="X429" i="6"/>
  <c r="Y429" i="6"/>
  <c r="X439" i="6"/>
  <c r="Y439" i="6"/>
  <c r="X421" i="6"/>
  <c r="Y421" i="6"/>
  <c r="X470" i="6"/>
  <c r="Y470" i="6"/>
  <c r="X474" i="6"/>
  <c r="Y474" i="6"/>
  <c r="X483" i="6"/>
  <c r="Y483" i="6"/>
  <c r="X347" i="6"/>
  <c r="Y347" i="6"/>
  <c r="X392" i="6"/>
  <c r="Y392" i="6"/>
  <c r="X297" i="6"/>
  <c r="Y297" i="6"/>
  <c r="X82" i="6"/>
  <c r="Y82" i="6"/>
  <c r="X171" i="6"/>
  <c r="Y171" i="6"/>
  <c r="X365" i="6"/>
  <c r="Y365" i="6"/>
  <c r="X293" i="6"/>
  <c r="Y293" i="6"/>
  <c r="X207" i="6"/>
  <c r="Y207" i="6"/>
  <c r="X34" i="6"/>
  <c r="Y34" i="6"/>
  <c r="X386" i="6"/>
  <c r="Y386" i="6"/>
  <c r="X289" i="6"/>
  <c r="Y289" i="6"/>
  <c r="X90" i="6"/>
  <c r="Y90" i="6"/>
  <c r="X355" i="6"/>
  <c r="Y355" i="6"/>
  <c r="X351" i="6"/>
  <c r="Y351" i="6"/>
  <c r="X267" i="6"/>
  <c r="Y267" i="6"/>
  <c r="X178" i="6"/>
  <c r="Y178" i="6"/>
  <c r="X47" i="6"/>
  <c r="Y47" i="6"/>
  <c r="X348" i="6"/>
  <c r="Y348" i="6"/>
  <c r="X245" i="6"/>
  <c r="Y245" i="6"/>
  <c r="X39" i="6"/>
  <c r="Y39" i="6"/>
  <c r="X327" i="6"/>
  <c r="Y327" i="6"/>
  <c r="X227" i="6"/>
  <c r="Y227" i="6"/>
  <c r="X324" i="6"/>
  <c r="Y324" i="6"/>
  <c r="X260" i="6"/>
  <c r="Y260" i="6"/>
  <c r="X196" i="6"/>
  <c r="Y196" i="6"/>
  <c r="X132" i="6"/>
  <c r="Y132" i="6"/>
  <c r="X68" i="6"/>
  <c r="Y68" i="6"/>
  <c r="X241" i="6"/>
  <c r="Y241" i="6"/>
  <c r="X177" i="6"/>
  <c r="Y177" i="6"/>
  <c r="X113" i="6"/>
  <c r="Y113" i="6"/>
  <c r="X49" i="6"/>
  <c r="Y49" i="6"/>
  <c r="X326" i="6"/>
  <c r="Y326" i="6"/>
  <c r="X262" i="6"/>
  <c r="Y262" i="6"/>
  <c r="X198" i="6"/>
  <c r="Y198" i="6"/>
  <c r="X134" i="6"/>
  <c r="Y134" i="6"/>
  <c r="X70" i="6"/>
  <c r="Y70" i="6"/>
  <c r="X163" i="6"/>
  <c r="Y163" i="6"/>
  <c r="X99" i="6"/>
  <c r="Y99" i="6"/>
  <c r="X35" i="6"/>
  <c r="Y35" i="6"/>
  <c r="X312" i="6"/>
  <c r="Y312" i="6"/>
  <c r="X248" i="6"/>
  <c r="Y248" i="6"/>
  <c r="X184" i="6"/>
  <c r="Y184" i="6"/>
  <c r="X120" i="6"/>
  <c r="Y120" i="6"/>
  <c r="X56" i="6"/>
  <c r="Y56" i="6"/>
  <c r="X229" i="6"/>
  <c r="Y229" i="6"/>
  <c r="X165" i="6"/>
  <c r="Y165" i="6"/>
  <c r="X101" i="6"/>
  <c r="Y101" i="6"/>
  <c r="X37" i="6"/>
  <c r="Y37" i="6"/>
  <c r="X402" i="6"/>
  <c r="Y402" i="6"/>
  <c r="X449" i="6"/>
  <c r="Y449" i="6"/>
  <c r="X468" i="6"/>
  <c r="Y468" i="6"/>
  <c r="X130" i="6"/>
  <c r="Y130" i="6"/>
  <c r="X146" i="6"/>
  <c r="Y146" i="6"/>
  <c r="X337" i="6"/>
  <c r="Y337" i="6"/>
  <c r="X356" i="6"/>
  <c r="Y356" i="6"/>
  <c r="X50" i="6"/>
  <c r="Y50" i="6"/>
  <c r="X259" i="6"/>
  <c r="Y259" i="6"/>
  <c r="X268" i="6"/>
  <c r="Y268" i="6"/>
  <c r="X140" i="6"/>
  <c r="Y140" i="6"/>
  <c r="X12" i="6"/>
  <c r="Y12" i="6"/>
  <c r="X121" i="6"/>
  <c r="Y121" i="6"/>
  <c r="X270" i="6"/>
  <c r="Y270" i="6"/>
  <c r="X43" i="6"/>
  <c r="Y43" i="6"/>
  <c r="X256" i="6"/>
  <c r="Y256" i="6"/>
  <c r="X128" i="6"/>
  <c r="Y128" i="6"/>
  <c r="X237" i="6"/>
  <c r="Y237" i="6"/>
  <c r="X109" i="6"/>
  <c r="Y109" i="6"/>
  <c r="X408" i="6"/>
  <c r="Y408" i="6"/>
  <c r="X460" i="6"/>
  <c r="Y460" i="6"/>
  <c r="X434" i="6"/>
  <c r="Y434" i="6"/>
  <c r="X436" i="6"/>
  <c r="Y436" i="6"/>
  <c r="X435" i="6"/>
  <c r="Y435" i="6"/>
  <c r="X428" i="6"/>
  <c r="Y428" i="6"/>
  <c r="X422" i="6"/>
  <c r="Y422" i="6"/>
  <c r="X414" i="6"/>
  <c r="Y414" i="6"/>
  <c r="X464" i="6"/>
  <c r="Y464" i="6"/>
  <c r="X476" i="6"/>
  <c r="Y476" i="6"/>
  <c r="X484" i="6"/>
  <c r="Y484" i="6"/>
  <c r="X319" i="6"/>
  <c r="Y319" i="6"/>
  <c r="X384" i="6"/>
  <c r="Y384" i="6"/>
  <c r="X290" i="6"/>
  <c r="Y290" i="6"/>
  <c r="X18" i="6"/>
  <c r="Y18" i="6"/>
  <c r="X167" i="6"/>
  <c r="Y167" i="6"/>
  <c r="X357" i="6"/>
  <c r="Y357" i="6"/>
  <c r="X279" i="6"/>
  <c r="Y279" i="6"/>
  <c r="X202" i="6"/>
  <c r="Y202" i="6"/>
  <c r="X379" i="6"/>
  <c r="Y379" i="6"/>
  <c r="X378" i="6"/>
  <c r="Y378" i="6"/>
  <c r="X282" i="6"/>
  <c r="Y282" i="6"/>
  <c r="X74" i="6"/>
  <c r="Y74" i="6"/>
  <c r="X333" i="6"/>
  <c r="Y333" i="6"/>
  <c r="X335" i="6"/>
  <c r="Y335" i="6"/>
  <c r="X253" i="6"/>
  <c r="Y253" i="6"/>
  <c r="X159" i="6"/>
  <c r="Y159" i="6"/>
  <c r="X31" i="6"/>
  <c r="Y31" i="6"/>
  <c r="X345" i="6"/>
  <c r="Y345" i="6"/>
  <c r="X382" i="6"/>
  <c r="Y382" i="6"/>
  <c r="X393" i="6"/>
  <c r="Y393" i="6"/>
  <c r="X323" i="6"/>
  <c r="Y323" i="6"/>
  <c r="X223" i="6"/>
  <c r="Y223" i="6"/>
  <c r="X316" i="6"/>
  <c r="Y316" i="6"/>
  <c r="X252" i="6"/>
  <c r="Y252" i="6"/>
  <c r="X188" i="6"/>
  <c r="Y188" i="6"/>
  <c r="X124" i="6"/>
  <c r="Y124" i="6"/>
  <c r="X60" i="6"/>
  <c r="Y60" i="6"/>
  <c r="X233" i="6"/>
  <c r="Y233" i="6"/>
  <c r="X169" i="6"/>
  <c r="Y169" i="6"/>
  <c r="X105" i="6"/>
  <c r="Y105" i="6"/>
  <c r="X41" i="6"/>
  <c r="Y41" i="6"/>
  <c r="X318" i="6"/>
  <c r="Y318" i="6"/>
  <c r="X254" i="6"/>
  <c r="Y254" i="6"/>
  <c r="X190" i="6"/>
  <c r="Y190" i="6"/>
  <c r="X126" i="6"/>
  <c r="Y126" i="6"/>
  <c r="X62" i="6"/>
  <c r="Y62" i="6"/>
  <c r="X155" i="6"/>
  <c r="Y155" i="6"/>
  <c r="X91" i="6"/>
  <c r="Y91" i="6"/>
  <c r="X27" i="6"/>
  <c r="Y27" i="6"/>
  <c r="X304" i="6"/>
  <c r="Y304" i="6"/>
  <c r="X240" i="6"/>
  <c r="Y240" i="6"/>
  <c r="X176" i="6"/>
  <c r="Y176" i="6"/>
  <c r="X112" i="6"/>
  <c r="Y112" i="6"/>
  <c r="X48" i="6"/>
  <c r="Y48" i="6"/>
  <c r="X221" i="6"/>
  <c r="Y221" i="6"/>
  <c r="X157" i="6"/>
  <c r="Y157" i="6"/>
  <c r="X93" i="6"/>
  <c r="Y93" i="6"/>
  <c r="X29" i="6"/>
  <c r="Y29" i="6"/>
  <c r="X395" i="6"/>
  <c r="Y395" i="6"/>
  <c r="X394" i="6"/>
  <c r="Y394" i="6"/>
  <c r="X416" i="6"/>
  <c r="Y416" i="6"/>
  <c r="X107" i="6"/>
  <c r="Y107" i="6"/>
  <c r="X404" i="6"/>
  <c r="Y404" i="6"/>
  <c r="X452" i="6"/>
  <c r="Y452" i="6"/>
  <c r="X431" i="6"/>
  <c r="Y431" i="6"/>
  <c r="X433" i="6"/>
  <c r="Y433" i="6"/>
  <c r="X425" i="6"/>
  <c r="Y425" i="6"/>
  <c r="X411" i="6"/>
  <c r="Y411" i="6"/>
  <c r="X419" i="6"/>
  <c r="Y419" i="6"/>
  <c r="X405" i="6"/>
  <c r="Y405" i="6"/>
  <c r="X472" i="6"/>
  <c r="Y472" i="6"/>
  <c r="X477" i="6"/>
  <c r="Y477" i="6"/>
  <c r="X298" i="6"/>
  <c r="Y298" i="6"/>
  <c r="X231" i="6"/>
  <c r="Y231" i="6"/>
  <c r="X376" i="6"/>
  <c r="Y376" i="6"/>
  <c r="X265" i="6"/>
  <c r="Y265" i="6"/>
  <c r="X315" i="6"/>
  <c r="Y315" i="6"/>
  <c r="X135" i="6"/>
  <c r="Y135" i="6"/>
  <c r="X349" i="6"/>
  <c r="Y349" i="6"/>
  <c r="X275" i="6"/>
  <c r="Y275" i="6"/>
  <c r="X179" i="6"/>
  <c r="Y179" i="6"/>
  <c r="X363" i="6"/>
  <c r="Y363" i="6"/>
  <c r="X370" i="6"/>
  <c r="Y370" i="6"/>
  <c r="X257" i="6"/>
  <c r="Y257" i="6"/>
  <c r="X58" i="6"/>
  <c r="Y58" i="6"/>
  <c r="X235" i="6"/>
  <c r="Y235" i="6"/>
  <c r="X331" i="6"/>
  <c r="Y331" i="6"/>
  <c r="X242" i="6"/>
  <c r="Y242" i="6"/>
  <c r="X143" i="6"/>
  <c r="Y143" i="6"/>
  <c r="X15" i="6"/>
  <c r="Y15" i="6"/>
  <c r="X338" i="6"/>
  <c r="Y338" i="6"/>
  <c r="X358" i="6"/>
  <c r="Y358" i="6"/>
  <c r="X385" i="6"/>
  <c r="Y385" i="6"/>
  <c r="X309" i="6"/>
  <c r="Y309" i="6"/>
  <c r="X218" i="6"/>
  <c r="Y218" i="6"/>
  <c r="X308" i="6"/>
  <c r="Y308" i="6"/>
  <c r="X244" i="6"/>
  <c r="Y244" i="6"/>
  <c r="X180" i="6"/>
  <c r="Y180" i="6"/>
  <c r="X116" i="6"/>
  <c r="Y116" i="6"/>
  <c r="X52" i="6"/>
  <c r="Y52" i="6"/>
  <c r="X225" i="6"/>
  <c r="Y225" i="6"/>
  <c r="X161" i="6"/>
  <c r="Y161" i="6"/>
  <c r="X97" i="6"/>
  <c r="Y97" i="6"/>
  <c r="X33" i="6"/>
  <c r="Y33" i="6"/>
  <c r="X310" i="6"/>
  <c r="Y310" i="6"/>
  <c r="X246" i="6"/>
  <c r="Y246" i="6"/>
  <c r="X182" i="6"/>
  <c r="Y182" i="6"/>
  <c r="X118" i="6"/>
  <c r="Y118" i="6"/>
  <c r="X54" i="6"/>
  <c r="Y54" i="6"/>
  <c r="X147" i="6"/>
  <c r="Y147" i="6"/>
  <c r="X83" i="6"/>
  <c r="Y83" i="6"/>
  <c r="X19" i="6"/>
  <c r="Y19" i="6"/>
  <c r="X296" i="6"/>
  <c r="Y296" i="6"/>
  <c r="X232" i="6"/>
  <c r="Y232" i="6"/>
  <c r="X168" i="6"/>
  <c r="Y168" i="6"/>
  <c r="X104" i="6"/>
  <c r="Y104" i="6"/>
  <c r="X40" i="6"/>
  <c r="Y40" i="6"/>
  <c r="X213" i="6"/>
  <c r="Y213" i="6"/>
  <c r="X149" i="6"/>
  <c r="Y149" i="6"/>
  <c r="X85" i="6"/>
  <c r="Y85" i="6"/>
  <c r="X21" i="6"/>
  <c r="Y21" i="6"/>
  <c r="X401" i="6"/>
  <c r="Y401" i="6"/>
  <c r="X459" i="6"/>
  <c r="Y459" i="6"/>
  <c r="X475" i="6"/>
  <c r="Y475" i="6"/>
  <c r="X373" i="6"/>
  <c r="Y373" i="6"/>
  <c r="X271" i="6"/>
  <c r="Y271" i="6"/>
  <c r="X206" i="6"/>
  <c r="Y206" i="6"/>
  <c r="X463" i="6"/>
  <c r="Y463" i="6"/>
  <c r="X447" i="6"/>
  <c r="Y447" i="6"/>
  <c r="X415" i="6"/>
  <c r="Y415" i="6"/>
  <c r="X430" i="6"/>
  <c r="Y430" i="6"/>
  <c r="X409" i="6"/>
  <c r="Y409" i="6"/>
  <c r="X413" i="6"/>
  <c r="Y413" i="6"/>
  <c r="X465" i="6"/>
  <c r="Y465" i="6"/>
  <c r="X471" i="6"/>
  <c r="Y471" i="6"/>
  <c r="X478" i="6"/>
  <c r="Y478" i="6"/>
  <c r="X266" i="6"/>
  <c r="Y266" i="6"/>
  <c r="X199" i="6"/>
  <c r="Y199" i="6"/>
  <c r="X368" i="6"/>
  <c r="Y368" i="6"/>
  <c r="X258" i="6"/>
  <c r="Y258" i="6"/>
  <c r="X301" i="6"/>
  <c r="Y301" i="6"/>
  <c r="X87" i="6"/>
  <c r="Y87" i="6"/>
  <c r="X343" i="6"/>
  <c r="Y343" i="6"/>
  <c r="X261" i="6"/>
  <c r="Y261" i="6"/>
  <c r="X175" i="6"/>
  <c r="Y175" i="6"/>
  <c r="X287" i="6"/>
  <c r="Y287" i="6"/>
  <c r="X362" i="6"/>
  <c r="Y362" i="6"/>
  <c r="X250" i="6"/>
  <c r="Y250" i="6"/>
  <c r="X42" i="6"/>
  <c r="Y42" i="6"/>
  <c r="X391" i="6"/>
  <c r="Y391" i="6"/>
  <c r="X317" i="6"/>
  <c r="Y317" i="6"/>
  <c r="X219" i="6"/>
  <c r="Y219" i="6"/>
  <c r="X127" i="6"/>
  <c r="Y127" i="6"/>
  <c r="X388" i="6"/>
  <c r="Y388" i="6"/>
  <c r="X313" i="6"/>
  <c r="Y313" i="6"/>
  <c r="X350" i="6"/>
  <c r="Y350" i="6"/>
  <c r="X377" i="6"/>
  <c r="Y377" i="6"/>
  <c r="X295" i="6"/>
  <c r="Y295" i="6"/>
  <c r="X195" i="6"/>
  <c r="Y195" i="6"/>
  <c r="X300" i="6"/>
  <c r="Y300" i="6"/>
  <c r="X236" i="6"/>
  <c r="Y236" i="6"/>
  <c r="X172" i="6"/>
  <c r="Y172" i="6"/>
  <c r="X108" i="6"/>
  <c r="Y108" i="6"/>
  <c r="X44" i="6"/>
  <c r="Y44" i="6"/>
  <c r="X217" i="6"/>
  <c r="Y217" i="6"/>
  <c r="X153" i="6"/>
  <c r="Y153" i="6"/>
  <c r="X89" i="6"/>
  <c r="Y89" i="6"/>
  <c r="X25" i="6"/>
  <c r="Y25" i="6"/>
  <c r="X302" i="6"/>
  <c r="Y302" i="6"/>
  <c r="X238" i="6"/>
  <c r="Y238" i="6"/>
  <c r="X174" i="6"/>
  <c r="Y174" i="6"/>
  <c r="X110" i="6"/>
  <c r="Y110" i="6"/>
  <c r="X46" i="6"/>
  <c r="Y46" i="6"/>
  <c r="X139" i="6"/>
  <c r="Y139" i="6"/>
  <c r="X75" i="6"/>
  <c r="Y75" i="6"/>
  <c r="X11" i="6"/>
  <c r="Y11" i="6"/>
  <c r="X288" i="6"/>
  <c r="Y288" i="6"/>
  <c r="X224" i="6"/>
  <c r="Y224" i="6"/>
  <c r="X160" i="6"/>
  <c r="Y160" i="6"/>
  <c r="X96" i="6"/>
  <c r="Y96" i="6"/>
  <c r="X32" i="6"/>
  <c r="Y32" i="6"/>
  <c r="X205" i="6"/>
  <c r="Y205" i="6"/>
  <c r="X141" i="6"/>
  <c r="Y141" i="6"/>
  <c r="X77" i="6"/>
  <c r="Y77" i="6"/>
  <c r="X13" i="6"/>
  <c r="Y13" i="6"/>
  <c r="X399" i="6"/>
  <c r="Y399" i="6"/>
  <c r="X440" i="6"/>
  <c r="Y440" i="6"/>
  <c r="X481" i="6"/>
  <c r="Y481" i="6"/>
  <c r="X307" i="6"/>
  <c r="Y307" i="6"/>
  <c r="X359" i="6"/>
  <c r="Y359" i="6"/>
  <c r="X142" i="6"/>
  <c r="Y142" i="6"/>
  <c r="X455" i="6"/>
  <c r="Y455" i="6"/>
  <c r="X438" i="6"/>
  <c r="Y438" i="6"/>
  <c r="X412" i="6"/>
  <c r="Y412" i="6"/>
  <c r="X423" i="6"/>
  <c r="Y423" i="6"/>
  <c r="X456" i="6"/>
  <c r="Y456" i="6"/>
  <c r="X461" i="6"/>
  <c r="Y461" i="6"/>
  <c r="X426" i="6"/>
  <c r="Y426" i="6"/>
  <c r="X467" i="6"/>
  <c r="Y467" i="6"/>
  <c r="X487" i="6"/>
  <c r="Y487" i="6"/>
  <c r="X480" i="6"/>
  <c r="Y480" i="6"/>
  <c r="X162" i="6"/>
  <c r="Y162" i="6"/>
  <c r="X151" i="6"/>
  <c r="Y151" i="6"/>
  <c r="X360" i="6"/>
  <c r="Y360" i="6"/>
  <c r="X243" i="6"/>
  <c r="Y243" i="6"/>
  <c r="X283" i="6"/>
  <c r="Y283" i="6"/>
  <c r="X71" i="6"/>
  <c r="Y71" i="6"/>
  <c r="X339" i="6"/>
  <c r="Y339" i="6"/>
  <c r="X247" i="6"/>
  <c r="Y247" i="6"/>
  <c r="X170" i="6"/>
  <c r="Y170" i="6"/>
  <c r="X269" i="6"/>
  <c r="Y269" i="6"/>
  <c r="X354" i="6"/>
  <c r="Y354" i="6"/>
  <c r="X154" i="6"/>
  <c r="Y154" i="6"/>
  <c r="X26" i="6"/>
  <c r="Y26" i="6"/>
  <c r="X383" i="6"/>
  <c r="Y383" i="6"/>
  <c r="X303" i="6"/>
  <c r="Y303" i="6"/>
  <c r="X215" i="6"/>
  <c r="Y215" i="6"/>
  <c r="X111" i="6"/>
  <c r="Y111" i="6"/>
  <c r="X380" i="6"/>
  <c r="Y380" i="6"/>
  <c r="X306" i="6"/>
  <c r="Y306" i="6"/>
  <c r="X273" i="6"/>
  <c r="Y273" i="6"/>
  <c r="X369" i="6"/>
  <c r="Y369" i="6"/>
  <c r="X291" i="6"/>
  <c r="Y291" i="6"/>
  <c r="X191" i="6"/>
  <c r="Y191" i="6"/>
  <c r="X292" i="6"/>
  <c r="Y292" i="6"/>
  <c r="X228" i="6"/>
  <c r="Y228" i="6"/>
  <c r="X164" i="6"/>
  <c r="Y164" i="6"/>
  <c r="X100" i="6"/>
  <c r="Y100" i="6"/>
  <c r="X36" i="6"/>
  <c r="Y36" i="6"/>
  <c r="X209" i="6"/>
  <c r="Y209" i="6"/>
  <c r="X145" i="6"/>
  <c r="Y145" i="6"/>
  <c r="X81" i="6"/>
  <c r="Y81" i="6"/>
  <c r="X17" i="6"/>
  <c r="Y17" i="6"/>
  <c r="X294" i="6"/>
  <c r="Y294" i="6"/>
  <c r="X230" i="6"/>
  <c r="Y230" i="6"/>
  <c r="X166" i="6"/>
  <c r="Y166" i="6"/>
  <c r="X102" i="6"/>
  <c r="Y102" i="6"/>
  <c r="X38" i="6"/>
  <c r="Y38" i="6"/>
  <c r="X131" i="6"/>
  <c r="Y131" i="6"/>
  <c r="X67" i="6"/>
  <c r="Y67" i="6"/>
  <c r="X344" i="6"/>
  <c r="Y344" i="6"/>
  <c r="X280" i="6"/>
  <c r="Y280" i="6"/>
  <c r="X216" i="6"/>
  <c r="Y216" i="6"/>
  <c r="X152" i="6"/>
  <c r="Y152" i="6"/>
  <c r="X88" i="6"/>
  <c r="Y88" i="6"/>
  <c r="X24" i="6"/>
  <c r="Y24" i="6"/>
  <c r="X197" i="6"/>
  <c r="Y197" i="6"/>
  <c r="X133" i="6"/>
  <c r="Y133" i="6"/>
  <c r="X69" i="6"/>
  <c r="Y69" i="6"/>
  <c r="X396" i="6"/>
  <c r="Y396" i="6"/>
  <c r="X400" i="6"/>
  <c r="Y400" i="6"/>
  <c r="X486" i="6"/>
  <c r="Y486" i="6"/>
  <c r="X410" i="6"/>
  <c r="Y410" i="6"/>
  <c r="X371" i="6"/>
  <c r="Y371" i="6"/>
  <c r="X194" i="6"/>
  <c r="Y194" i="6"/>
  <c r="X314" i="6"/>
  <c r="Y314" i="6"/>
  <c r="X63" i="6"/>
  <c r="Y63" i="6"/>
  <c r="X14" i="6"/>
  <c r="Y14" i="6"/>
  <c r="X458" i="6"/>
  <c r="Y458" i="6"/>
  <c r="X444" i="6"/>
  <c r="Y444" i="6"/>
  <c r="X432" i="6"/>
  <c r="Y432" i="6"/>
  <c r="X462" i="6"/>
  <c r="Y462" i="6"/>
  <c r="X417" i="6"/>
  <c r="Y417" i="6"/>
  <c r="X450" i="6"/>
  <c r="Y450" i="6"/>
  <c r="X453" i="6"/>
  <c r="Y453" i="6"/>
  <c r="X420" i="6"/>
  <c r="Y420" i="6"/>
  <c r="X466" i="6"/>
  <c r="Y466" i="6"/>
  <c r="X473" i="6"/>
  <c r="Y473" i="6"/>
  <c r="X479" i="6"/>
  <c r="Y479" i="6"/>
  <c r="X114" i="6"/>
  <c r="Y114" i="6"/>
  <c r="X119" i="6"/>
  <c r="Y119" i="6"/>
  <c r="X352" i="6"/>
  <c r="Y352" i="6"/>
  <c r="X390" i="6"/>
  <c r="Y390" i="6"/>
  <c r="X251" i="6"/>
  <c r="Y251" i="6"/>
  <c r="X389" i="6"/>
  <c r="Y389" i="6"/>
  <c r="X325" i="6"/>
  <c r="Y325" i="6"/>
  <c r="X239" i="6"/>
  <c r="Y239" i="6"/>
  <c r="X330" i="6"/>
  <c r="Y330" i="6"/>
  <c r="X255" i="6"/>
  <c r="Y255" i="6"/>
  <c r="X346" i="6"/>
  <c r="Y346" i="6"/>
  <c r="X138" i="6"/>
  <c r="Y138" i="6"/>
  <c r="X10" i="6"/>
  <c r="Y10" i="6"/>
  <c r="X375" i="6"/>
  <c r="Y375" i="6"/>
  <c r="X299" i="6"/>
  <c r="Y299" i="6"/>
  <c r="X210" i="6"/>
  <c r="Y210" i="6"/>
  <c r="X95" i="6"/>
  <c r="Y95" i="6"/>
  <c r="X372" i="6"/>
  <c r="Y372" i="6"/>
  <c r="X281" i="6"/>
  <c r="Y281" i="6"/>
  <c r="X98" i="6"/>
  <c r="Y98" i="6"/>
  <c r="X361" i="6"/>
  <c r="Y361" i="6"/>
  <c r="X277" i="6"/>
  <c r="Y277" i="6"/>
  <c r="X186" i="6"/>
  <c r="Y186" i="6"/>
  <c r="X284" i="6"/>
  <c r="Y284" i="6"/>
  <c r="X220" i="6"/>
  <c r="Y220" i="6"/>
  <c r="X156" i="6"/>
  <c r="Y156" i="6"/>
  <c r="X92" i="6"/>
  <c r="Y92" i="6"/>
  <c r="X28" i="6"/>
  <c r="Y28" i="6"/>
  <c r="X201" i="6"/>
  <c r="Y201" i="6"/>
  <c r="X137" i="6"/>
  <c r="Y137" i="6"/>
  <c r="X73" i="6"/>
  <c r="Y73" i="6"/>
  <c r="X9" i="6"/>
  <c r="Y9" i="6"/>
  <c r="X286" i="6"/>
  <c r="Y286" i="6"/>
  <c r="X222" i="6"/>
  <c r="Y222" i="6"/>
  <c r="X158" i="6"/>
  <c r="Y158" i="6"/>
  <c r="X94" i="6"/>
  <c r="Y94" i="6"/>
  <c r="X30" i="6"/>
  <c r="Y30" i="6"/>
  <c r="X123" i="6"/>
  <c r="Y123" i="6"/>
  <c r="X59" i="6"/>
  <c r="Y59" i="6"/>
  <c r="X336" i="6"/>
  <c r="Y336" i="6"/>
  <c r="X272" i="6"/>
  <c r="Y272" i="6"/>
  <c r="X208" i="6"/>
  <c r="Y208" i="6"/>
  <c r="X144" i="6"/>
  <c r="Y144" i="6"/>
  <c r="X80" i="6"/>
  <c r="Y80" i="6"/>
  <c r="X16" i="6"/>
  <c r="Y16" i="6"/>
  <c r="X189" i="6"/>
  <c r="Y189" i="6"/>
  <c r="X125" i="6"/>
  <c r="Y125" i="6"/>
  <c r="X61" i="6"/>
  <c r="Y61" i="6"/>
  <c r="X485" i="6"/>
  <c r="Y485" i="6"/>
  <c r="X7" i="6"/>
  <c r="Y51" i="4"/>
  <c r="Y27" i="4"/>
  <c r="Z27" i="4" s="1"/>
  <c r="Y33" i="4"/>
  <c r="Z33" i="4" s="1"/>
  <c r="Y29" i="4"/>
  <c r="Z29" i="4" s="1"/>
  <c r="Y44" i="4"/>
  <c r="Z44" i="4" s="1"/>
  <c r="AA55" i="4"/>
  <c r="X55" i="4"/>
  <c r="W55" i="4"/>
  <c r="V55" i="4"/>
  <c r="U55" i="4"/>
  <c r="U48" i="3"/>
  <c r="V48" i="3" s="1"/>
  <c r="U49" i="3"/>
  <c r="V49" i="3" s="1"/>
  <c r="W126" i="3"/>
  <c r="T126" i="3"/>
  <c r="S126" i="3"/>
  <c r="U125" i="3"/>
  <c r="V125" i="3" s="1"/>
  <c r="T11" i="3"/>
  <c r="V8" i="3"/>
  <c r="U7" i="3"/>
  <c r="V7" i="3" s="1"/>
  <c r="U10" i="3"/>
  <c r="V10" i="3" s="1"/>
  <c r="U6" i="3"/>
  <c r="S11" i="3"/>
  <c r="U9" i="3"/>
  <c r="V9" i="3" s="1"/>
  <c r="W11" i="3"/>
  <c r="U72" i="3"/>
  <c r="V72" i="3" s="1"/>
  <c r="U103" i="3"/>
  <c r="V103" i="3" s="1"/>
  <c r="U117" i="3"/>
  <c r="V117" i="3" s="1"/>
  <c r="U118" i="3"/>
  <c r="V118" i="3" s="1"/>
  <c r="U116" i="3"/>
  <c r="V116" i="3" s="1"/>
  <c r="U41" i="3"/>
  <c r="V41" i="3" s="1"/>
  <c r="U124" i="3"/>
  <c r="Y6" i="4"/>
  <c r="Z6" i="4" s="1"/>
  <c r="T123" i="3"/>
  <c r="S123" i="3"/>
  <c r="U133" i="3"/>
  <c r="V133" i="3" s="1"/>
  <c r="W123" i="3"/>
  <c r="U135" i="3"/>
  <c r="V135" i="3" s="1"/>
  <c r="U134" i="3"/>
  <c r="V134" i="3" s="1"/>
  <c r="U122" i="3"/>
  <c r="V122" i="3" s="1"/>
  <c r="U30" i="3"/>
  <c r="V30" i="3" s="1"/>
  <c r="AA17" i="4"/>
  <c r="V17" i="4"/>
  <c r="X17" i="4"/>
  <c r="W17" i="4"/>
  <c r="U17" i="4"/>
  <c r="Y53" i="4"/>
  <c r="Z53" i="4" s="1"/>
  <c r="U102" i="3"/>
  <c r="V102" i="3" s="1"/>
  <c r="S131" i="3"/>
  <c r="W131" i="3"/>
  <c r="T131" i="3"/>
  <c r="U129" i="3"/>
  <c r="V129" i="3" s="1"/>
  <c r="U128" i="3"/>
  <c r="V128" i="3" s="1"/>
  <c r="U130" i="3"/>
  <c r="V130" i="3" s="1"/>
  <c r="U127" i="3"/>
  <c r="V127" i="3" s="1"/>
  <c r="S70" i="3"/>
  <c r="W70" i="3"/>
  <c r="S75" i="3"/>
  <c r="W75" i="3"/>
  <c r="U69" i="3"/>
  <c r="V69" i="3" s="1"/>
  <c r="T75" i="3"/>
  <c r="U74" i="3"/>
  <c r="V74" i="3" s="1"/>
  <c r="T70" i="3"/>
  <c r="U64" i="3"/>
  <c r="V64" i="3" s="1"/>
  <c r="U66" i="3"/>
  <c r="V66" i="3" s="1"/>
  <c r="U68" i="3"/>
  <c r="V68" i="3" s="1"/>
  <c r="U62" i="3"/>
  <c r="V62" i="3" s="1"/>
  <c r="U67" i="3"/>
  <c r="V67" i="3" s="1"/>
  <c r="U65" i="3"/>
  <c r="V65" i="3" s="1"/>
  <c r="T38" i="3"/>
  <c r="U63" i="3"/>
  <c r="V63" i="3" s="1"/>
  <c r="U61" i="3"/>
  <c r="V61" i="3" s="1"/>
  <c r="W38" i="3"/>
  <c r="S38" i="3"/>
  <c r="U37" i="3"/>
  <c r="V37" i="3" s="1"/>
  <c r="U36" i="3"/>
  <c r="V36" i="3" s="1"/>
  <c r="W18" i="3"/>
  <c r="T18" i="3"/>
  <c r="S18" i="3"/>
  <c r="U17" i="3"/>
  <c r="V17" i="3" s="1"/>
  <c r="W32" i="3"/>
  <c r="T32" i="3"/>
  <c r="S32" i="3"/>
  <c r="U28" i="3"/>
  <c r="V28" i="3" s="1"/>
  <c r="U31" i="3"/>
  <c r="V31" i="3" s="1"/>
  <c r="U29" i="3"/>
  <c r="V29" i="3" s="1"/>
  <c r="Y48" i="4"/>
  <c r="Z48" i="4" s="1"/>
  <c r="AA23" i="4"/>
  <c r="X23" i="4"/>
  <c r="W136" i="3"/>
  <c r="S136" i="3"/>
  <c r="T136" i="3"/>
  <c r="T138" i="3" s="1"/>
  <c r="U137" i="3"/>
  <c r="Y54" i="4"/>
  <c r="Z54" i="4" s="1"/>
  <c r="W13" i="3"/>
  <c r="T59" i="3"/>
  <c r="Y64" i="4"/>
  <c r="Z64" i="4" s="1"/>
  <c r="U51" i="3"/>
  <c r="V51" i="3" s="1"/>
  <c r="Y11" i="4"/>
  <c r="Z11" i="4" s="1"/>
  <c r="U132" i="3"/>
  <c r="Y95" i="4"/>
  <c r="Z95" i="4" s="1"/>
  <c r="T13" i="3"/>
  <c r="U100" i="3"/>
  <c r="V100" i="3" s="1"/>
  <c r="U90" i="3"/>
  <c r="V90" i="3" s="1"/>
  <c r="U119" i="3"/>
  <c r="V119" i="3" s="1"/>
  <c r="Y72" i="4"/>
  <c r="Z72" i="4" s="1"/>
  <c r="Y60" i="4"/>
  <c r="Z60" i="4" s="1"/>
  <c r="U101" i="3"/>
  <c r="V101" i="3" s="1"/>
  <c r="U91" i="3"/>
  <c r="V91" i="3" s="1"/>
  <c r="U25" i="3"/>
  <c r="V25" i="3" s="1"/>
  <c r="Y87" i="4"/>
  <c r="Z87" i="4" s="1"/>
  <c r="U12" i="3"/>
  <c r="V12" i="3" s="1"/>
  <c r="T23" i="3"/>
  <c r="U106" i="3"/>
  <c r="V106" i="3" s="1"/>
  <c r="Y88" i="4"/>
  <c r="Z88" i="4" s="1"/>
  <c r="Y43" i="4"/>
  <c r="Z43" i="4" s="1"/>
  <c r="U112" i="3"/>
  <c r="V112" i="3" s="1"/>
  <c r="U95" i="3"/>
  <c r="V95" i="3" s="1"/>
  <c r="Y71" i="4"/>
  <c r="Z71" i="4" s="1"/>
  <c r="U109" i="3"/>
  <c r="V109" i="3" s="1"/>
  <c r="V15" i="3"/>
  <c r="T92" i="3"/>
  <c r="W98" i="4"/>
  <c r="Y10" i="4"/>
  <c r="Z10" i="4" s="1"/>
  <c r="Y69" i="4"/>
  <c r="Z69" i="4" s="1"/>
  <c r="Y96" i="4"/>
  <c r="Z96" i="4" s="1"/>
  <c r="T55" i="3"/>
  <c r="U16" i="3"/>
  <c r="V16" i="3" s="1"/>
  <c r="Y25" i="4"/>
  <c r="Z25" i="4" s="1"/>
  <c r="W67" i="4"/>
  <c r="V98" i="4"/>
  <c r="Y92" i="4"/>
  <c r="Z92" i="4" s="1"/>
  <c r="Y30" i="4"/>
  <c r="Z30" i="4" s="1"/>
  <c r="U77" i="3"/>
  <c r="V77" i="3" s="1"/>
  <c r="U27" i="3"/>
  <c r="V27" i="3" s="1"/>
  <c r="U53" i="3"/>
  <c r="V53" i="3" s="1"/>
  <c r="U42" i="3"/>
  <c r="V42" i="3" s="1"/>
  <c r="U34" i="3"/>
  <c r="V34" i="3" s="1"/>
  <c r="Y28" i="4"/>
  <c r="Z28" i="4" s="1"/>
  <c r="Y84" i="4"/>
  <c r="Z84" i="4" s="1"/>
  <c r="W43" i="3"/>
  <c r="Y77" i="4"/>
  <c r="Z77" i="4" s="1"/>
  <c r="Y19" i="4"/>
  <c r="Z19" i="4" s="1"/>
  <c r="Y50" i="4"/>
  <c r="Y81" i="4"/>
  <c r="Z81" i="4" s="1"/>
  <c r="U89" i="3"/>
  <c r="V89" i="3" s="1"/>
  <c r="U50" i="3"/>
  <c r="V50" i="3" s="1"/>
  <c r="Y82" i="4"/>
  <c r="Z82" i="4" s="1"/>
  <c r="W23" i="3"/>
  <c r="Y24" i="4"/>
  <c r="U98" i="4"/>
  <c r="Y68" i="4"/>
  <c r="Z68" i="4" s="1"/>
  <c r="AA98" i="4"/>
  <c r="Y97" i="4"/>
  <c r="Z97" i="4" s="1"/>
  <c r="U79" i="3"/>
  <c r="V79" i="3" s="1"/>
  <c r="V13" i="4"/>
  <c r="Y70" i="4"/>
  <c r="Z70" i="4" s="1"/>
  <c r="Y79" i="4"/>
  <c r="Z79" i="4" s="1"/>
  <c r="Y78" i="4"/>
  <c r="Z78" i="4" s="1"/>
  <c r="Y90" i="4"/>
  <c r="Z90" i="4" s="1"/>
  <c r="U104" i="3"/>
  <c r="V104" i="3" s="1"/>
  <c r="U47" i="3"/>
  <c r="V47" i="3" s="1"/>
  <c r="Y40" i="4"/>
  <c r="Z40" i="4" s="1"/>
  <c r="S43" i="3"/>
  <c r="S59" i="3"/>
  <c r="W92" i="3"/>
  <c r="Y46" i="4"/>
  <c r="Z46" i="4" s="1"/>
  <c r="T57" i="3"/>
  <c r="U56" i="3"/>
  <c r="Y12" i="4"/>
  <c r="Z12" i="4" s="1"/>
  <c r="W13" i="4"/>
  <c r="U78" i="3"/>
  <c r="V78" i="3" s="1"/>
  <c r="U54" i="3"/>
  <c r="V54" i="3" s="1"/>
  <c r="Y34" i="4"/>
  <c r="Z34" i="4" s="1"/>
  <c r="U114" i="3"/>
  <c r="V114" i="3" s="1"/>
  <c r="U97" i="3"/>
  <c r="V97" i="3" s="1"/>
  <c r="U87" i="3"/>
  <c r="V87" i="3" s="1"/>
  <c r="Y41" i="4"/>
  <c r="Z41" i="4" s="1"/>
  <c r="U7" i="4"/>
  <c r="Y7" i="4" s="1"/>
  <c r="Z7" i="4" s="1"/>
  <c r="Y58" i="4"/>
  <c r="Z58" i="4" s="1"/>
  <c r="Y37" i="4"/>
  <c r="Z37" i="4" s="1"/>
  <c r="Y83" i="4"/>
  <c r="Z83" i="4" s="1"/>
  <c r="Y89" i="4"/>
  <c r="Z89" i="4" s="1"/>
  <c r="U44" i="3"/>
  <c r="S45" i="3"/>
  <c r="U26" i="3"/>
  <c r="V26" i="3" s="1"/>
  <c r="U60" i="3"/>
  <c r="U40" i="3"/>
  <c r="V40" i="3" s="1"/>
  <c r="T81" i="3"/>
  <c r="U67" i="4"/>
  <c r="Y56" i="4"/>
  <c r="Z56" i="4" s="1"/>
  <c r="U108" i="3"/>
  <c r="V108" i="3" s="1"/>
  <c r="Y31" i="4"/>
  <c r="Z31" i="4" s="1"/>
  <c r="Y93" i="4"/>
  <c r="Z93" i="4" s="1"/>
  <c r="W120" i="3"/>
  <c r="Y22" i="4"/>
  <c r="Z22" i="4" s="1"/>
  <c r="U71" i="3"/>
  <c r="V71" i="3" s="1"/>
  <c r="U24" i="3"/>
  <c r="W81" i="3"/>
  <c r="T43" i="3"/>
  <c r="U23" i="4"/>
  <c r="Y18" i="4"/>
  <c r="Z18" i="4" s="1"/>
  <c r="V23" i="4"/>
  <c r="Y59" i="4"/>
  <c r="Z59" i="4" s="1"/>
  <c r="Y65" i="4"/>
  <c r="Z65" i="4" s="1"/>
  <c r="Y80" i="4"/>
  <c r="Z80" i="4" s="1"/>
  <c r="Y61" i="4"/>
  <c r="Z61" i="4" s="1"/>
  <c r="U115" i="3"/>
  <c r="V115" i="3" s="1"/>
  <c r="U98" i="3"/>
  <c r="V98" i="3" s="1"/>
  <c r="U88" i="3"/>
  <c r="V88" i="3" s="1"/>
  <c r="U22" i="3"/>
  <c r="V22" i="3" s="1"/>
  <c r="S92" i="3"/>
  <c r="S20" i="3"/>
  <c r="U19" i="3"/>
  <c r="Y42" i="4"/>
  <c r="Z42" i="4" s="1"/>
  <c r="U113" i="3"/>
  <c r="V113" i="3" s="1"/>
  <c r="U96" i="3"/>
  <c r="V96" i="3" s="1"/>
  <c r="U86" i="3"/>
  <c r="V86" i="3" s="1"/>
  <c r="S55" i="3"/>
  <c r="U21" i="3"/>
  <c r="U73" i="3"/>
  <c r="V73" i="3" s="1"/>
  <c r="U52" i="3"/>
  <c r="V52" i="3" s="1"/>
  <c r="Y57" i="4"/>
  <c r="Z57" i="4" s="1"/>
  <c r="U110" i="3"/>
  <c r="V110" i="3" s="1"/>
  <c r="S120" i="3"/>
  <c r="U93" i="3"/>
  <c r="Y39" i="4"/>
  <c r="Z39" i="4" s="1"/>
  <c r="Y63" i="4"/>
  <c r="Z63" i="4" s="1"/>
  <c r="Y49" i="4"/>
  <c r="Z49" i="4" s="1"/>
  <c r="Y62" i="4"/>
  <c r="Z62" i="4" s="1"/>
  <c r="Y75" i="4"/>
  <c r="Z75" i="4" s="1"/>
  <c r="Y74" i="4"/>
  <c r="Z74" i="4" s="1"/>
  <c r="Y91" i="4"/>
  <c r="Z91" i="4" s="1"/>
  <c r="U39" i="3"/>
  <c r="V39" i="3" s="1"/>
  <c r="Y35" i="4"/>
  <c r="Z35" i="4" s="1"/>
  <c r="U105" i="3"/>
  <c r="V105" i="3" s="1"/>
  <c r="U80" i="3"/>
  <c r="V80" i="3" s="1"/>
  <c r="U121" i="3"/>
  <c r="Y26" i="4"/>
  <c r="Z26" i="4" s="1"/>
  <c r="AA67" i="4"/>
  <c r="Y73" i="4"/>
  <c r="Z73" i="4" s="1"/>
  <c r="T120" i="3"/>
  <c r="U33" i="3"/>
  <c r="Y47" i="4"/>
  <c r="Z47" i="4" s="1"/>
  <c r="Y36" i="4"/>
  <c r="Z36" i="4" s="1"/>
  <c r="Y16" i="4"/>
  <c r="Z16" i="4" s="1"/>
  <c r="Y38" i="4"/>
  <c r="Z38" i="4" s="1"/>
  <c r="Y94" i="4"/>
  <c r="Z94" i="4" s="1"/>
  <c r="Y21" i="4"/>
  <c r="Z21" i="4" s="1"/>
  <c r="U111" i="3"/>
  <c r="V111" i="3" s="1"/>
  <c r="U94" i="3"/>
  <c r="V94" i="3" s="1"/>
  <c r="U85" i="3"/>
  <c r="V85" i="3" s="1"/>
  <c r="Y32" i="4"/>
  <c r="Z32" i="4" s="1"/>
  <c r="Y9" i="4"/>
  <c r="Z9" i="4" s="1"/>
  <c r="U14" i="3"/>
  <c r="Y8" i="4"/>
  <c r="Z8" i="4" s="1"/>
  <c r="U13" i="4"/>
  <c r="S13" i="3"/>
  <c r="U82" i="3"/>
  <c r="T83" i="3"/>
  <c r="V67" i="4"/>
  <c r="W55" i="3"/>
  <c r="W23" i="4"/>
  <c r="U84" i="3"/>
  <c r="V84" i="3" s="1"/>
  <c r="U46" i="3"/>
  <c r="V46" i="3" s="1"/>
  <c r="U107" i="3"/>
  <c r="V107" i="3" s="1"/>
  <c r="Y15" i="4"/>
  <c r="Z15" i="4" s="1"/>
  <c r="Y66" i="4"/>
  <c r="Z66" i="4" s="1"/>
  <c r="Y20" i="4"/>
  <c r="Z20" i="4" s="1"/>
  <c r="AA13" i="4"/>
  <c r="Y76" i="4"/>
  <c r="Z76" i="4" s="1"/>
  <c r="Y45" i="4"/>
  <c r="Z45" i="4" s="1"/>
  <c r="Y86" i="4"/>
  <c r="Z86" i="4" s="1"/>
  <c r="Y52" i="4"/>
  <c r="Z52" i="4" s="1"/>
  <c r="Y85" i="4"/>
  <c r="Z85" i="4" s="1"/>
  <c r="U58" i="3"/>
  <c r="V58" i="3" s="1"/>
  <c r="W59" i="3"/>
  <c r="U99" i="3"/>
  <c r="V99" i="3" s="1"/>
  <c r="S81" i="3"/>
  <c r="U76" i="3"/>
  <c r="V76" i="3" s="1"/>
  <c r="U35" i="3"/>
  <c r="V35" i="3" s="1"/>
  <c r="Y14" i="4"/>
  <c r="S23" i="3"/>
  <c r="W4" i="3" l="1"/>
  <c r="Y55" i="4"/>
  <c r="Z55" i="4" s="1"/>
  <c r="V124" i="3"/>
  <c r="U126" i="3"/>
  <c r="V126" i="3" s="1"/>
  <c r="U11" i="3"/>
  <c r="V11" i="3" s="1"/>
  <c r="V6" i="3"/>
  <c r="U123" i="3"/>
  <c r="V123" i="3" s="1"/>
  <c r="Y17" i="4"/>
  <c r="Z17" i="4" s="1"/>
  <c r="Z14" i="4"/>
  <c r="U131" i="3"/>
  <c r="V131" i="3" s="1"/>
  <c r="U75" i="3"/>
  <c r="V75" i="3" s="1"/>
  <c r="V60" i="3"/>
  <c r="U70" i="3"/>
  <c r="V70" i="3" s="1"/>
  <c r="U38" i="3"/>
  <c r="V38" i="3" s="1"/>
  <c r="U18" i="3"/>
  <c r="V18" i="3" s="1"/>
  <c r="U32" i="3"/>
  <c r="V32" i="3" s="1"/>
  <c r="V132" i="3"/>
  <c r="U136" i="3"/>
  <c r="V136" i="3" s="1"/>
  <c r="V137" i="3"/>
  <c r="U138" i="3"/>
  <c r="Y98" i="4"/>
  <c r="Z98" i="4" s="1"/>
  <c r="Y13" i="4"/>
  <c r="Z13" i="4" s="1"/>
  <c r="U92" i="3"/>
  <c r="V92" i="3" s="1"/>
  <c r="U13" i="3"/>
  <c r="V33" i="3"/>
  <c r="U23" i="3"/>
  <c r="V23" i="3" s="1"/>
  <c r="V21" i="3"/>
  <c r="U43" i="3"/>
  <c r="V43" i="3" s="1"/>
  <c r="V24" i="3"/>
  <c r="U59" i="3"/>
  <c r="V59" i="3" s="1"/>
  <c r="U45" i="3"/>
  <c r="V45" i="3" s="1"/>
  <c r="V44" i="3"/>
  <c r="V121" i="3"/>
  <c r="U81" i="3"/>
  <c r="V81" i="3" s="1"/>
  <c r="AA4" i="4"/>
  <c r="Z24" i="4"/>
  <c r="V19" i="3"/>
  <c r="U20" i="3"/>
  <c r="V20" i="3" s="1"/>
  <c r="U120" i="3"/>
  <c r="V120" i="3" s="1"/>
  <c r="V93" i="3"/>
  <c r="U55" i="3"/>
  <c r="V55" i="3" s="1"/>
  <c r="U83" i="3"/>
  <c r="V83" i="3" s="1"/>
  <c r="V82" i="3"/>
  <c r="V14" i="3"/>
  <c r="Y67" i="4"/>
  <c r="Z67" i="4" s="1"/>
  <c r="U57" i="3"/>
  <c r="V57" i="3" s="1"/>
  <c r="V56" i="3"/>
  <c r="Y23" i="4"/>
  <c r="Z23" i="4" s="1"/>
  <c r="U4" i="3" l="1"/>
  <c r="V138" i="3"/>
  <c r="Y4" i="4"/>
  <c r="Z4" i="4" s="1"/>
  <c r="AA3" i="4"/>
  <c r="W3" i="3"/>
  <c r="V13" i="3"/>
  <c r="U3" i="3" l="1"/>
  <c r="V4" i="3"/>
  <c r="Y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b.hrithik_ofbusiness</author>
  </authors>
  <commentList>
    <comment ref="G227" authorId="0" shapeId="0" xr:uid="{E0C93D1F-7182-4BEF-96C6-1A15FC5A4267}">
      <text>
        <r>
          <rPr>
            <b/>
            <sz val="9"/>
            <rFont val="Times New Roman"/>
            <family val="1"/>
          </rPr>
          <t>b.hrithik_ofbusiness:</t>
        </r>
        <r>
          <rPr>
            <sz val="9"/>
            <rFont val="Times New Roman"/>
            <family val="1"/>
          </rPr>
          <t xml:space="preserve">
Written Khalas in Whatsapp Group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<sst xmlns="http://schemas.openxmlformats.org/spreadsheetml/2006/main" count="12945" uniqueCount="1896">
  <si>
    <t>Group Name*</t>
  </si>
  <si>
    <t>Storage Location</t>
  </si>
  <si>
    <t>Item Display Name*</t>
  </si>
  <si>
    <t>Lot No</t>
  </si>
  <si>
    <t>A-185 Cold</t>
  </si>
  <si>
    <t>Rishi</t>
  </si>
  <si>
    <t>Savla</t>
  </si>
  <si>
    <t>Grand Total</t>
  </si>
  <si>
    <t>Afghan Kishmish</t>
  </si>
  <si>
    <t>A-185</t>
  </si>
  <si>
    <t>Black Raisin Seeded 1x2 Align Return</t>
  </si>
  <si>
    <t>BUSOOR DRY DATES GRADE - 2</t>
  </si>
  <si>
    <t>Carnival Pan Raisin 100gm</t>
  </si>
  <si>
    <t>Dried Anjeer 200gm RTV</t>
  </si>
  <si>
    <t>Dry Dates 12kg</t>
  </si>
  <si>
    <t>Indian Long Raisins</t>
  </si>
  <si>
    <t>Red Kharek Cut</t>
  </si>
  <si>
    <t>Smoked Almonds August RTV</t>
  </si>
  <si>
    <t>Total Stock</t>
  </si>
  <si>
    <t>CDPL+CFPL</t>
  </si>
  <si>
    <t>in Kg</t>
  </si>
  <si>
    <t>In KG</t>
  </si>
  <si>
    <t>Values</t>
  </si>
  <si>
    <t>Value/KG</t>
  </si>
  <si>
    <t>Savla Bond</t>
  </si>
  <si>
    <t>Total Total Kgs</t>
  </si>
  <si>
    <t>Total Average of Rate</t>
  </si>
  <si>
    <t>Total Sum of Value</t>
  </si>
  <si>
    <t>Total Kgs</t>
  </si>
  <si>
    <t>Average of Rate</t>
  </si>
  <si>
    <t>Sum of Value</t>
  </si>
  <si>
    <t>Approximate Value</t>
  </si>
  <si>
    <t>Anjeer</t>
  </si>
  <si>
    <t>Anjeer Total</t>
  </si>
  <si>
    <t>Apricot</t>
  </si>
  <si>
    <t>Apricot 1x2</t>
  </si>
  <si>
    <t>Turkey Apricot No 3</t>
  </si>
  <si>
    <t>Turkey Apricot No 0</t>
  </si>
  <si>
    <t>Apricot Total</t>
  </si>
  <si>
    <t>BlackCurrant</t>
  </si>
  <si>
    <t>Dried Black Current</t>
  </si>
  <si>
    <t>BlackCurrant Total</t>
  </si>
  <si>
    <t>Blueberry</t>
  </si>
  <si>
    <t>Dried Blueberry Whole-Apple Infused</t>
  </si>
  <si>
    <t>Dried Blueberry</t>
  </si>
  <si>
    <t>Blueberry Total</t>
  </si>
  <si>
    <t>Cashew Kernel</t>
  </si>
  <si>
    <t>Cashew Kernels W 180</t>
  </si>
  <si>
    <t>Cashew Kernels W 210</t>
  </si>
  <si>
    <t>Cashew Kernels W 240</t>
  </si>
  <si>
    <t>Cashew Kernel Total</t>
  </si>
  <si>
    <t>Cranberry</t>
  </si>
  <si>
    <t>Dried Cranberry Sliced</t>
  </si>
  <si>
    <t>Dried Cranberry Whole</t>
  </si>
  <si>
    <t>Dried Cranberry Whole - Meduri</t>
  </si>
  <si>
    <t>Cranberry Total</t>
  </si>
  <si>
    <t>Dehydrated Fruits</t>
  </si>
  <si>
    <t>Dehydrated Papaya Chunk</t>
  </si>
  <si>
    <t>Orange Peel</t>
  </si>
  <si>
    <t>Dried Orange Peel</t>
  </si>
  <si>
    <t>Dehydrated Fruits Total</t>
  </si>
  <si>
    <t>Hazelnut</t>
  </si>
  <si>
    <t>Hazelnut Kernal Blanched</t>
  </si>
  <si>
    <t>Hazelnut Total</t>
  </si>
  <si>
    <t>Macadamia Nut</t>
  </si>
  <si>
    <t>Macadamia Inshell Vannilla 320CUT</t>
  </si>
  <si>
    <t>Macadamia Plain Inshell</t>
  </si>
  <si>
    <t>Macadamia Roasted &amp; Salted Size -1</t>
  </si>
  <si>
    <t>Macadamia Roasted &amp; Salted Size -4</t>
  </si>
  <si>
    <t>Macadamia Roasted Size -4L</t>
  </si>
  <si>
    <t>Macadamia Roasted - Size 4</t>
  </si>
  <si>
    <t>Macadamia Roasted - Size 6</t>
  </si>
  <si>
    <t>Macadamia Nut Total</t>
  </si>
  <si>
    <t>Macadamia Paste</t>
  </si>
  <si>
    <t>Macadamia Paste Total</t>
  </si>
  <si>
    <t>Peanut</t>
  </si>
  <si>
    <t>Peanuts</t>
  </si>
  <si>
    <t>ROASTED BLANCHED PEANUT Old Savla</t>
  </si>
  <si>
    <t>Peanut Total</t>
  </si>
  <si>
    <t>Pecan Nut</t>
  </si>
  <si>
    <t>Pecan Nuts</t>
  </si>
  <si>
    <t>Pecan Nut Tukda</t>
  </si>
  <si>
    <t>Pecan Nut Total</t>
  </si>
  <si>
    <t>Pistachios</t>
  </si>
  <si>
    <t>California Pistachios Inshell 18-20</t>
  </si>
  <si>
    <t>California Pista Inshell 21-25</t>
  </si>
  <si>
    <t>Pista Kernal Roasted and Salted</t>
  </si>
  <si>
    <t>Pista Kernel</t>
  </si>
  <si>
    <t>Pistachios Total</t>
  </si>
  <si>
    <t>Prunes</t>
  </si>
  <si>
    <t>Dried Prunes (Pitted)</t>
  </si>
  <si>
    <t>Prunes Total</t>
  </si>
  <si>
    <t>Raisins</t>
  </si>
  <si>
    <t>Indian Green Raisins</t>
  </si>
  <si>
    <t>Afghan Black Raisins Seeded 1*2</t>
  </si>
  <si>
    <t>Afghan Black Raisins Seedless 1*2</t>
  </si>
  <si>
    <t>Afghan Munakka / Abjosh 1X2</t>
  </si>
  <si>
    <t>Raisins Total</t>
  </si>
  <si>
    <t>Almond</t>
  </si>
  <si>
    <t>California Almond Inshell Blue Diamond</t>
  </si>
  <si>
    <t>Almond Total</t>
  </si>
  <si>
    <t>Seasoning</t>
  </si>
  <si>
    <t>PREGEFLO C 100 G</t>
  </si>
  <si>
    <t>SIDCOT STARCH</t>
  </si>
  <si>
    <t>Sour Cream And Onion Seasoning</t>
  </si>
  <si>
    <t>Anardana Churan</t>
  </si>
  <si>
    <t>Anardana Powder</t>
  </si>
  <si>
    <t>Barbeque seasoning</t>
  </si>
  <si>
    <t>Black Pepper Seasoning</t>
  </si>
  <si>
    <t>Chipotle Honey Seasoning</t>
  </si>
  <si>
    <t>Magic Masala Seasoning</t>
  </si>
  <si>
    <t>Peri Peri Marination Seasoning</t>
  </si>
  <si>
    <t>Pudina seasoning</t>
  </si>
  <si>
    <t>Salt &amp; Pepper Seasoning</t>
  </si>
  <si>
    <t>Smoke Seasoning</t>
  </si>
  <si>
    <t>SWEET THAI CHILLI SEASONING</t>
  </si>
  <si>
    <t>Tandoori Seasoning</t>
  </si>
  <si>
    <t>URBAN PLATTER ARABIC GUM POWDER</t>
  </si>
  <si>
    <t>Wasabi Seasoning AB343</t>
  </si>
  <si>
    <t>Chatpata Seasoning</t>
  </si>
  <si>
    <t>Amchur Powder</t>
  </si>
  <si>
    <t>Seasoning Total</t>
  </si>
  <si>
    <t>Festive Hamper</t>
  </si>
  <si>
    <t>Festive Hamper Total</t>
  </si>
  <si>
    <t>Makhana</t>
  </si>
  <si>
    <t>Makhana Total</t>
  </si>
  <si>
    <t>Trail Mix</t>
  </si>
  <si>
    <t>Dates Mewa Classic 210gm</t>
  </si>
  <si>
    <t>Trail Mix Total</t>
  </si>
  <si>
    <t>Walnut</t>
  </si>
  <si>
    <t>Chilean Walnut Inshell</t>
  </si>
  <si>
    <t>Chilean Walnut Kernel 2 pcs</t>
  </si>
  <si>
    <t>Walnut Total</t>
  </si>
  <si>
    <t>In Kg</t>
  </si>
  <si>
    <t>Date Paste</t>
  </si>
  <si>
    <t>Date Paste Total</t>
  </si>
  <si>
    <t>Date Powder</t>
  </si>
  <si>
    <t>10KG AL BARAKAH DATE POWDER</t>
  </si>
  <si>
    <t>10KG AL BARAKAH DATE POWDER V2</t>
  </si>
  <si>
    <t>AL BARAKAH DATE POWDER</t>
  </si>
  <si>
    <t>10KG AL BARAKAH DATE POWDER V1</t>
  </si>
  <si>
    <t>AL BARAKAH DEHYDRATED DATE POWDER - BULK PACK 10KG</t>
  </si>
  <si>
    <t>Date Powder Total</t>
  </si>
  <si>
    <t>Date Syrup</t>
  </si>
  <si>
    <t>AL BARAKAH DATES SYRUP 25 kg Pack</t>
  </si>
  <si>
    <t>25KG AL BARAKAH DATE SYRUP V1</t>
  </si>
  <si>
    <t>AL BARAKHA DATE SYRUP ( 400G packing)</t>
  </si>
  <si>
    <t>Date Syrup Total</t>
  </si>
  <si>
    <t>Dry Dates</t>
  </si>
  <si>
    <t>Al Barakah Chopped Dates Dried 10KG</t>
  </si>
  <si>
    <t>Al Barakah Crushed Dates 10KG</t>
  </si>
  <si>
    <t>Dry Dates Total</t>
  </si>
  <si>
    <t>Economical Dates</t>
  </si>
  <si>
    <t>10 KG AL BARAKAH EMIRATES BLACK WET DATES</t>
  </si>
  <si>
    <t>10 KG FARD DATES EZAD</t>
  </si>
  <si>
    <t>AL BARAKAH FARD WET DATES PREMIUM 10KG</t>
  </si>
  <si>
    <t>AL BARAKAH FARD WET DATES STANDARD 10KG</t>
  </si>
  <si>
    <t>AL BARAKAH KHALAS DATES AFCTN-10KG</t>
  </si>
  <si>
    <t>AL BARAKAH KHALAS DATES Premium 10kgs</t>
  </si>
  <si>
    <t>AL BARAKAH KHALAS DATES Seedless 10kgs</t>
  </si>
  <si>
    <t>AL BARAKAH KHANEIZI DATES 10 KG</t>
  </si>
  <si>
    <t>AL BARAKAH LULU WET DATES (BLACK) 10KG</t>
  </si>
  <si>
    <t>AL BARAKAH LULU WET DATES (RED) 10KG</t>
  </si>
  <si>
    <t>AL BARAKAH REZIZ DATES Premium 10kgs</t>
  </si>
  <si>
    <t>AL BARAKAH SUFRI DATES Premium 10kgs</t>
  </si>
  <si>
    <t>Buman Dates</t>
  </si>
  <si>
    <t>Deri Dates</t>
  </si>
  <si>
    <t>Mazafati Dates</t>
  </si>
  <si>
    <t>Rabia Dates 5kg</t>
  </si>
  <si>
    <t>Royal Delight Fard-5kg</t>
  </si>
  <si>
    <t>Sayer Dates Seeded 10KG</t>
  </si>
  <si>
    <t>Sukkary Premium</t>
  </si>
  <si>
    <t>Royal Delight Arabian 8kg (250gx36)</t>
  </si>
  <si>
    <t>AL BARAKAH BARHI DATES 10KG</t>
  </si>
  <si>
    <t>Fard Dates - Leechants</t>
  </si>
  <si>
    <t>Oriental Dates</t>
  </si>
  <si>
    <t>Economical Dates Total</t>
  </si>
  <si>
    <t>Organic Dates</t>
  </si>
  <si>
    <t>Organic Ajwa Pr.Jumbo</t>
  </si>
  <si>
    <t>Organic Khidri Pr.Large</t>
  </si>
  <si>
    <t>Organic Khidri Pr.Medium</t>
  </si>
  <si>
    <t>Organic Khidri Sp.Jumbo</t>
  </si>
  <si>
    <t>Organic Medjoul Pr.Large</t>
  </si>
  <si>
    <t>Organic Seqee Pr.Large</t>
  </si>
  <si>
    <t>Organic Wanan Pr.Jumbo</t>
  </si>
  <si>
    <t>Organic Wanan Pr.Large</t>
  </si>
  <si>
    <t>Organic Khidri Large dates 1kg Pouch</t>
  </si>
  <si>
    <t>Organic Seqee Pr.Large 1kg pouch</t>
  </si>
  <si>
    <t>Organic Wanan Pr.Large 1 kg pouch</t>
  </si>
  <si>
    <t>Organic Dates Total</t>
  </si>
  <si>
    <t>Premium Dates</t>
  </si>
  <si>
    <t>Ajwa Regular</t>
  </si>
  <si>
    <t>AL BARAKAH MARYAM DATES 5KGS</t>
  </si>
  <si>
    <t>AL BARAKAH MEDJOUL DATES 500GM</t>
  </si>
  <si>
    <t>Al Barakah Medjoul Dates Grade B</t>
  </si>
  <si>
    <t>Azmah Dates 10kg</t>
  </si>
  <si>
    <t>Deglet Dates</t>
  </si>
  <si>
    <t>Deglet Nour Dates 5 KG</t>
  </si>
  <si>
    <t>Mabroom Regular</t>
  </si>
  <si>
    <t>MDJL Mini Dates 5 kg</t>
  </si>
  <si>
    <t>MEDJOUL DATES  JUMBO 5KG</t>
  </si>
  <si>
    <t>MEDJOUL DATES  JUMBO 8 kg</t>
  </si>
  <si>
    <t>MEDJOUL DATES  SUPER JUMBO 5KG</t>
  </si>
  <si>
    <t>Medjoul Dates Junior 5 kg</t>
  </si>
  <si>
    <t>Medjoul Dates Large 5 kg</t>
  </si>
  <si>
    <t>Medjoul Dates Medium 5 kg</t>
  </si>
  <si>
    <t>Medjoul Dates Premium Bon Bon</t>
  </si>
  <si>
    <t>Safavi Dates 20kg</t>
  </si>
  <si>
    <t>Safawi Dates 10kg</t>
  </si>
  <si>
    <t>Safawi Dates 20kg</t>
  </si>
  <si>
    <t>Safawi Dates 5kg</t>
  </si>
  <si>
    <t>Safawi Dates Arsh 10kg</t>
  </si>
  <si>
    <t>Safawi Dates -Azmah 500gm-Tajir RTV</t>
  </si>
  <si>
    <t>Safawi Dates National 10kg</t>
  </si>
  <si>
    <t>Royal Delight Safavi 5Kg (250gmx36)</t>
  </si>
  <si>
    <t>Al Barakah Safavi Dates 10 KG (500gmx20)</t>
  </si>
  <si>
    <t>Royal Delight Mabroom 5 Kg</t>
  </si>
  <si>
    <t>Royal Delight Ajwa 5kg</t>
  </si>
  <si>
    <t>Medjoul Tajir RTV</t>
  </si>
  <si>
    <t>Medjoul Large No.2 Sorted</t>
  </si>
  <si>
    <t>Royal Delight Medjoul Dates 800gm</t>
  </si>
  <si>
    <t>Medjoul Dates Medium 10 KG</t>
  </si>
  <si>
    <t>Premium Dates Total</t>
  </si>
  <si>
    <t>Savla Foods &amp; Rishi Cold Storage Pvt Ltd</t>
  </si>
  <si>
    <t>Report Date :</t>
  </si>
  <si>
    <t>As On Date :</t>
  </si>
  <si>
    <t>Stock Details Report</t>
  </si>
  <si>
    <t>Inward Dt</t>
  </si>
  <si>
    <t>Unit</t>
  </si>
  <si>
    <t>Inward No</t>
  </si>
  <si>
    <t>Item Description</t>
  </si>
  <si>
    <t>Item Mark</t>
  </si>
  <si>
    <t>Vakkal</t>
  </si>
  <si>
    <t>Net Qty On Cartons</t>
  </si>
  <si>
    <t>Weight KG</t>
  </si>
  <si>
    <t>Total Inventory Kgs</t>
  </si>
  <si>
    <t>Sub Group Name*</t>
  </si>
  <si>
    <t>Sub Sub Group Name*</t>
  </si>
  <si>
    <t>Tally Name</t>
  </si>
  <si>
    <t>Company Name</t>
  </si>
  <si>
    <t>Stock</t>
  </si>
  <si>
    <t>Exporter</t>
  </si>
  <si>
    <t>Last Purchase Rate</t>
  </si>
  <si>
    <t>Value</t>
  </si>
  <si>
    <t>Ageing</t>
  </si>
  <si>
    <t>D-39</t>
  </si>
  <si>
    <t>KHAJUR POWDER BOX 10</t>
  </si>
  <si>
    <t>AL BARAKAH</t>
  </si>
  <si>
    <t>-</t>
  </si>
  <si>
    <t>DATE POWDER</t>
  </si>
  <si>
    <t>CDPL</t>
  </si>
  <si>
    <t>Bond</t>
  </si>
  <si>
    <t>KHAJUR BOX 10</t>
  </si>
  <si>
    <t>Sayer</t>
  </si>
  <si>
    <t>Fix (M2G) (+)</t>
  </si>
  <si>
    <t>Local</t>
  </si>
  <si>
    <t>KHAJUR BOX 5</t>
  </si>
  <si>
    <t>Rental</t>
  </si>
  <si>
    <t>D-514</t>
  </si>
  <si>
    <t>Fard</t>
  </si>
  <si>
    <t>Premium</t>
  </si>
  <si>
    <t>Wet Dates Fardh</t>
  </si>
  <si>
    <t>Khalas</t>
  </si>
  <si>
    <t>Standard</t>
  </si>
  <si>
    <t>AL BARAKAH KHALAS DATES</t>
  </si>
  <si>
    <t>KHAJUR SYRUP BUCKET 25</t>
  </si>
  <si>
    <t>24/07/2023</t>
  </si>
  <si>
    <t>GR5903</t>
  </si>
  <si>
    <t>WHITE POWDER</t>
  </si>
  <si>
    <t>V-2</t>
  </si>
  <si>
    <t>KHAJUR BOX (M) 5</t>
  </si>
  <si>
    <t>Deri</t>
  </si>
  <si>
    <t>Wet Dates (Deri)</t>
  </si>
  <si>
    <t>Fix (202 F1) (-)</t>
  </si>
  <si>
    <t>Hadiklaim</t>
  </si>
  <si>
    <t>Khanezi</t>
  </si>
  <si>
    <t>AL BARAKAH KHANIZEE DATES 10KG</t>
  </si>
  <si>
    <t>Mazafati</t>
  </si>
  <si>
    <t>RTV</t>
  </si>
  <si>
    <t>Wet Dates (Mazafati)</t>
  </si>
  <si>
    <t>KHALAS</t>
  </si>
  <si>
    <t>06/12/2023</t>
  </si>
  <si>
    <t>GR14501</t>
  </si>
  <si>
    <t>KHAJUR BOX 8</t>
  </si>
  <si>
    <t>BASOOR=OMAN DRY DATES</t>
  </si>
  <si>
    <t>GRADE 2</t>
  </si>
  <si>
    <t>DRY DATES-GRADE 2</t>
  </si>
  <si>
    <t>NAKHEEL</t>
  </si>
  <si>
    <t>09/12/2023</t>
  </si>
  <si>
    <t>GR6307</t>
  </si>
  <si>
    <t>ARSH RABIA REGULAR</t>
  </si>
  <si>
    <t>Rabia</t>
  </si>
  <si>
    <t>Wet Dates (Rabia)</t>
  </si>
  <si>
    <t>KHAJUR BOX (M) 8</t>
  </si>
  <si>
    <t>500 GM</t>
  </si>
  <si>
    <t>Medium</t>
  </si>
  <si>
    <t>WET DATES MEDJOUL BULK MEDIUM(5)</t>
  </si>
  <si>
    <t>Lulu</t>
  </si>
  <si>
    <t>Black</t>
  </si>
  <si>
    <t>AL BARAKAH LULU BLACK DATES-10KG</t>
  </si>
  <si>
    <t>AL BARAKAH LULU RED DATES - 10KG</t>
  </si>
  <si>
    <t>22/12/2023</t>
  </si>
  <si>
    <t>GR15493</t>
  </si>
  <si>
    <t>1 KG</t>
  </si>
  <si>
    <t>AZMAH DATES</t>
  </si>
  <si>
    <t>500GM</t>
  </si>
  <si>
    <t>Safawi</t>
  </si>
  <si>
    <t>Azmah 500gm</t>
  </si>
  <si>
    <t>Wet Dates Safavi</t>
  </si>
  <si>
    <t>GR15515</t>
  </si>
  <si>
    <t>Barhi</t>
  </si>
  <si>
    <t>RABIA/RAWAT</t>
  </si>
  <si>
    <t>23/12/2023</t>
  </si>
  <si>
    <t>GR15573</t>
  </si>
  <si>
    <t>SAFAVI</t>
  </si>
  <si>
    <t>25/12/2023</t>
  </si>
  <si>
    <t>GR15667</t>
  </si>
  <si>
    <t>KHAJUR BOX 15</t>
  </si>
  <si>
    <t>KHAREK BOX 15</t>
  </si>
  <si>
    <t>CUTT</t>
  </si>
  <si>
    <t>KHAREK</t>
  </si>
  <si>
    <t>RED KHAREK</t>
  </si>
  <si>
    <t>Seedless Chopped Red Kharik Dry Dates</t>
  </si>
  <si>
    <t>JUMBO</t>
  </si>
  <si>
    <t>WET DATES MEDJOUL JUMBO</t>
  </si>
  <si>
    <t>Seedless</t>
  </si>
  <si>
    <t>Wet Dates Seedless Khalas</t>
  </si>
  <si>
    <t>MIX</t>
  </si>
  <si>
    <t>27/03/2024</t>
  </si>
  <si>
    <t>GR21140</t>
  </si>
  <si>
    <t>BUMAN DATES</t>
  </si>
  <si>
    <t>SAFAVI DATES</t>
  </si>
  <si>
    <t>WHITE</t>
  </si>
  <si>
    <t>KALMI DATES</t>
  </si>
  <si>
    <t>29/03/2024</t>
  </si>
  <si>
    <t>GR21245</t>
  </si>
  <si>
    <t>EZAD GREEN</t>
  </si>
  <si>
    <t>FARD</t>
  </si>
  <si>
    <t>AL BARAKAH FARD DATES 10KG - EZAD</t>
  </si>
  <si>
    <t>30/03/2024</t>
  </si>
  <si>
    <t>GR21328</t>
  </si>
  <si>
    <t>SAFAVI 5KG</t>
  </si>
  <si>
    <t>ROYAL DELIGHT</t>
  </si>
  <si>
    <t>09/05/2024</t>
  </si>
  <si>
    <t>GR1909</t>
  </si>
  <si>
    <t>FARAD STANDRAD</t>
  </si>
  <si>
    <t>AL BARAKAH FARD DATES STANDARD</t>
  </si>
  <si>
    <t>CANDOR FOODS</t>
  </si>
  <si>
    <t>AL BARAKAH KHALAS DATES-AFCTN</t>
  </si>
  <si>
    <t>AL BARAKAH EMIRATES BLACK DATES 10KG</t>
  </si>
  <si>
    <t>30/05/2024</t>
  </si>
  <si>
    <t>GR1590</t>
  </si>
  <si>
    <t>KHAJUR BOX 20</t>
  </si>
  <si>
    <t>SAFAWI DATES</t>
  </si>
  <si>
    <t>BROWN &amp; WHITE</t>
  </si>
  <si>
    <t>GR3119</t>
  </si>
  <si>
    <t>SAFAWI DATES BROWN BOX</t>
  </si>
  <si>
    <t>FARAD  WHITE BOX</t>
  </si>
  <si>
    <t>AL BARAKH</t>
  </si>
  <si>
    <t>Al Barakah Fard Dates Premium</t>
  </si>
  <si>
    <t>KHANAIZI AL BARKAH</t>
  </si>
  <si>
    <t>PINK BOX</t>
  </si>
  <si>
    <t>06/06/2024</t>
  </si>
  <si>
    <t>GR3498</t>
  </si>
  <si>
    <t>KHAJUR BOX 12</t>
  </si>
  <si>
    <t>BROWN</t>
  </si>
  <si>
    <t>DEGLET NOUR</t>
  </si>
  <si>
    <t>Wet Dates Deglet</t>
  </si>
  <si>
    <t>12/06/2024</t>
  </si>
  <si>
    <t>GR1968</t>
  </si>
  <si>
    <t>SAFAWI WHITE</t>
  </si>
  <si>
    <t>SAFAWI WHITE BOX</t>
  </si>
  <si>
    <t>03/07/2024</t>
  </si>
  <si>
    <t>GR2527</t>
  </si>
  <si>
    <t>FARAD DATES</t>
  </si>
  <si>
    <t>27/07/2024</t>
  </si>
  <si>
    <t>GR6534</t>
  </si>
  <si>
    <t>MEDJOUL SUPER JUMBO</t>
  </si>
  <si>
    <t>S.JUMBO</t>
  </si>
  <si>
    <t>Wet Dates Medjoul Bulk 5 Kgs Super Jumbo</t>
  </si>
  <si>
    <t>Mini</t>
  </si>
  <si>
    <t>WET DATES MEDJOUL BULK MINI (5)</t>
  </si>
  <si>
    <t>23/08/2024</t>
  </si>
  <si>
    <t>GR8325</t>
  </si>
  <si>
    <t>SAFAVI 500GM</t>
  </si>
  <si>
    <t>27/09/2024</t>
  </si>
  <si>
    <t>GR10651</t>
  </si>
  <si>
    <t>Chopped Date</t>
  </si>
  <si>
    <t>AL BARAKAH CHOPPED DATES</t>
  </si>
  <si>
    <t>02/10/2024</t>
  </si>
  <si>
    <t>GR4750</t>
  </si>
  <si>
    <t>DEGLET NOUR BRANCHES</t>
  </si>
  <si>
    <t>1299205412</t>
  </si>
  <si>
    <t>GR4752</t>
  </si>
  <si>
    <t>ARSH SUKKARY PREMIUM</t>
  </si>
  <si>
    <t>4.3 KG</t>
  </si>
  <si>
    <t>Sukkary</t>
  </si>
  <si>
    <t>Wet Dates (Sukkary)</t>
  </si>
  <si>
    <t>30/10/2024</t>
  </si>
  <si>
    <t>GR13179</t>
  </si>
  <si>
    <t>25/11/2024</t>
  </si>
  <si>
    <t>GR14538</t>
  </si>
  <si>
    <t>SAAD/ BROWN</t>
  </si>
  <si>
    <t>BLACK</t>
  </si>
  <si>
    <t>01/12/2024</t>
  </si>
  <si>
    <t>GR14927</t>
  </si>
  <si>
    <t>10/12/2024</t>
  </si>
  <si>
    <t>GR15535</t>
  </si>
  <si>
    <t>DATE CRUSHED</t>
  </si>
  <si>
    <t>Crushed Date</t>
  </si>
  <si>
    <t>AL BARAKAH CRUSHED DATES 10KG</t>
  </si>
  <si>
    <t>DATE POWDER V2</t>
  </si>
  <si>
    <t>26/12/2024</t>
  </si>
  <si>
    <t>GR6596</t>
  </si>
  <si>
    <t>MEDJOUL AL BARAKHA</t>
  </si>
  <si>
    <t>Al Barakah Medjoul Dates 500Gm</t>
  </si>
  <si>
    <t>08/01/2025</t>
  </si>
  <si>
    <t>GR17533</t>
  </si>
  <si>
    <t>15/01/2025</t>
  </si>
  <si>
    <t>GR7072</t>
  </si>
  <si>
    <t>SIAFA  AJWA G</t>
  </si>
  <si>
    <t>74228</t>
  </si>
  <si>
    <t>Ajwa</t>
  </si>
  <si>
    <t>Wet Dates Ajwa</t>
  </si>
  <si>
    <t>SIFA  AJWA S</t>
  </si>
  <si>
    <t>74229</t>
  </si>
  <si>
    <t>Mabroom</t>
  </si>
  <si>
    <t>Wet Dates (Mabroom)</t>
  </si>
  <si>
    <t>24/01/2025</t>
  </si>
  <si>
    <t>GR18618</t>
  </si>
  <si>
    <t>AL BARAKAH DATES</t>
  </si>
  <si>
    <t>DATES POWDER</t>
  </si>
  <si>
    <t>07/02/2025</t>
  </si>
  <si>
    <t>GR7620</t>
  </si>
  <si>
    <t>Junior</t>
  </si>
  <si>
    <t>MEDJOUL MEDIUM PREMIUM</t>
  </si>
  <si>
    <t>602410204</t>
  </si>
  <si>
    <t>10/02/2025</t>
  </si>
  <si>
    <t>GR7683</t>
  </si>
  <si>
    <t>DATE MEDJOUL KING SOLOMON</t>
  </si>
  <si>
    <t>Large</t>
  </si>
  <si>
    <t>WET DATES MEDJOUL BULK LARGE (5)</t>
  </si>
  <si>
    <t>DATES WET MEDJOUL BABY</t>
  </si>
  <si>
    <t>5KGX3</t>
  </si>
  <si>
    <t>11/02/2025</t>
  </si>
  <si>
    <t>GR7699</t>
  </si>
  <si>
    <t>NO.2</t>
  </si>
  <si>
    <t>12/02/2025</t>
  </si>
  <si>
    <t>GR19772</t>
  </si>
  <si>
    <t>B</t>
  </si>
  <si>
    <t>AL BARAKAH MEDJOOL DATES PREMIUM 5KG</t>
  </si>
  <si>
    <t>26/02/2025</t>
  </si>
  <si>
    <t>GR20724</t>
  </si>
  <si>
    <t>KING SOLOMON</t>
  </si>
  <si>
    <t>King Solomon Medjoul Dates 500 Gms</t>
  </si>
  <si>
    <t>28/02/2025</t>
  </si>
  <si>
    <t>GR20841</t>
  </si>
  <si>
    <t>05/03/2025</t>
  </si>
  <si>
    <t>GR21205</t>
  </si>
  <si>
    <t>AL-BARKAH DATE</t>
  </si>
  <si>
    <t>KHAJUR PASTE BOX 12</t>
  </si>
  <si>
    <t>AL BARAKAH DATE PASTE 12.5KG</t>
  </si>
  <si>
    <t>07/03/2025</t>
  </si>
  <si>
    <t>GR21347</t>
  </si>
  <si>
    <t>19/03/2025</t>
  </si>
  <si>
    <t>GR8554</t>
  </si>
  <si>
    <t>MDJL LARGE</t>
  </si>
  <si>
    <t>NO-2</t>
  </si>
  <si>
    <t>21/03/2025</t>
  </si>
  <si>
    <t>GR8597</t>
  </si>
  <si>
    <t>AJWA</t>
  </si>
  <si>
    <t>Royal Delight Ajwa Dates 5 Kgs</t>
  </si>
  <si>
    <t>Royal Delight Mabroom Dates 5 Kgs</t>
  </si>
  <si>
    <t>24/03/2025</t>
  </si>
  <si>
    <t>GR22314</t>
  </si>
  <si>
    <t>ARABIAN 250G</t>
  </si>
  <si>
    <t>Royal Delight Arabian 250gm</t>
  </si>
  <si>
    <t>RD SAFAVI</t>
  </si>
  <si>
    <t>250GM</t>
  </si>
  <si>
    <t>RD Safavi Dates 250g</t>
  </si>
  <si>
    <t>SAFAVI 500G</t>
  </si>
  <si>
    <t>Al Barakaha Safavi Dates 500g</t>
  </si>
  <si>
    <t>31/03/2025</t>
  </si>
  <si>
    <t>GR8855</t>
  </si>
  <si>
    <t>SUKHARI BROWN BOX</t>
  </si>
  <si>
    <t>KHAJUR BOX (M)12</t>
  </si>
  <si>
    <t>SEQEE DATES</t>
  </si>
  <si>
    <t>12.5 KG</t>
  </si>
  <si>
    <t>Organic Seqee Premium Large</t>
  </si>
  <si>
    <t>KHIDRI</t>
  </si>
  <si>
    <t>Organic Khidri Premium Medium</t>
  </si>
  <si>
    <t>WANAN DATES</t>
  </si>
  <si>
    <t>Organic Wanan Premium Large</t>
  </si>
  <si>
    <t>GR8856</t>
  </si>
  <si>
    <t>ROYAL MEDJOUL DATES</t>
  </si>
  <si>
    <t>800 GM</t>
  </si>
  <si>
    <t>Royal Delight Medjool Dates 800g</t>
  </si>
  <si>
    <t>DEGLET BROWN BOX</t>
  </si>
  <si>
    <t>MEJOUL MEDIUM</t>
  </si>
  <si>
    <t>02/04/2025</t>
  </si>
  <si>
    <t>GR118</t>
  </si>
  <si>
    <t>07/04/2025</t>
  </si>
  <si>
    <t>GR465</t>
  </si>
  <si>
    <t>CRUSHED WHITE</t>
  </si>
  <si>
    <t>GR117</t>
  </si>
  <si>
    <t>ORGANIC WANAN</t>
  </si>
  <si>
    <t>PR.JUMBO</t>
  </si>
  <si>
    <t>Jumbo</t>
  </si>
  <si>
    <t>Organic Wanan Premium Jumbo</t>
  </si>
  <si>
    <t>PR.LARGE</t>
  </si>
  <si>
    <t>30/04/2025</t>
  </si>
  <si>
    <t>GR748</t>
  </si>
  <si>
    <t>RABIA DETLAND DATES</t>
  </si>
  <si>
    <t>AL BARAKAH DATES SYRUP 400G</t>
  </si>
  <si>
    <t>16/05/2025</t>
  </si>
  <si>
    <t>GR3027</t>
  </si>
  <si>
    <t>CFPL</t>
  </si>
  <si>
    <t>Papaya Chunk</t>
  </si>
  <si>
    <t>GR15666</t>
  </si>
  <si>
    <t>KISMISH BOX 10</t>
  </si>
  <si>
    <t>AFGHAN</t>
  </si>
  <si>
    <t>Green Round</t>
  </si>
  <si>
    <t>Afghan Raisins 1*2 Green round</t>
  </si>
  <si>
    <t>Dried</t>
  </si>
  <si>
    <t>Afghan Apricot 1*2</t>
  </si>
  <si>
    <t>Mix</t>
  </si>
  <si>
    <t>27/02/2024</t>
  </si>
  <si>
    <t>GR19491</t>
  </si>
  <si>
    <t>MACADAMIA BOX 12</t>
  </si>
  <si>
    <t>ROASTED</t>
  </si>
  <si>
    <t>A-185-RMSIZE6</t>
  </si>
  <si>
    <t>Kernels</t>
  </si>
  <si>
    <t>28/02/2024</t>
  </si>
  <si>
    <t>GR19567</t>
  </si>
  <si>
    <t>ROASTED NIS SAWN PASTE</t>
  </si>
  <si>
    <t>A-185 RM</t>
  </si>
  <si>
    <t>Paste</t>
  </si>
  <si>
    <t>Indian</t>
  </si>
  <si>
    <t>Indian Long Green Raisins</t>
  </si>
  <si>
    <t>Plain</t>
  </si>
  <si>
    <t>HAZELNUT BOX 10</t>
  </si>
  <si>
    <t>Hazelnut Kernal</t>
  </si>
  <si>
    <t>Rosted/Salted</t>
  </si>
  <si>
    <t>Macadamia Roasted Salted - Size 4</t>
  </si>
  <si>
    <t>09/10/2024</t>
  </si>
  <si>
    <t>GR11739</t>
  </si>
  <si>
    <t>BLUEBERRY BOX 10</t>
  </si>
  <si>
    <t>WHOLE</t>
  </si>
  <si>
    <t>APPLE INFUSED</t>
  </si>
  <si>
    <t>Apple Infused</t>
  </si>
  <si>
    <t>Dried Blueberry Apple Infused</t>
  </si>
  <si>
    <t>26/10/2024</t>
  </si>
  <si>
    <t>GR12937</t>
  </si>
  <si>
    <t>DRY ROASTED MACAAMIA</t>
  </si>
  <si>
    <t>PASTE 2KG</t>
  </si>
  <si>
    <t>KISMISH BOX (INDIAN) 15</t>
  </si>
  <si>
    <t>Raisin</t>
  </si>
  <si>
    <t>08/11/2024</t>
  </si>
  <si>
    <t>GR5550</t>
  </si>
  <si>
    <t>ORGANIC KHIDRI</t>
  </si>
  <si>
    <t>PR.MEDIUM</t>
  </si>
  <si>
    <t>GR5551</t>
  </si>
  <si>
    <t>Organic Khidri Special Jumbo</t>
  </si>
  <si>
    <t>Organic Khidri Large dates</t>
  </si>
  <si>
    <t>ORGANIC SEQEE</t>
  </si>
  <si>
    <t>ORGANIC MEDJOUL</t>
  </si>
  <si>
    <t>Organic Medjool Premium Large</t>
  </si>
  <si>
    <t>14/11/2024</t>
  </si>
  <si>
    <t>GR13889</t>
  </si>
  <si>
    <t>Inshell</t>
  </si>
  <si>
    <t>Vannilla</t>
  </si>
  <si>
    <t>Macadamia Vanilla Whole - 320* Cut</t>
  </si>
  <si>
    <t>Macadamia Whole - 320* Cut</t>
  </si>
  <si>
    <t>MARAUIS</t>
  </si>
  <si>
    <t>Roasted</t>
  </si>
  <si>
    <t>Macadamia Roasted Salted - Size 1</t>
  </si>
  <si>
    <t>STYLE4 SALTED</t>
  </si>
  <si>
    <t>GR5704</t>
  </si>
  <si>
    <t>ORAGNIC KHIDRI</t>
  </si>
  <si>
    <t>16/11/2024</t>
  </si>
  <si>
    <t>GR5739</t>
  </si>
  <si>
    <t>ORAGNIC SEQCE LARGE</t>
  </si>
  <si>
    <t>LARGE</t>
  </si>
  <si>
    <t>27/11/2024</t>
  </si>
  <si>
    <t>GR5973</t>
  </si>
  <si>
    <t>ORGANIC KHIDRI LARGE</t>
  </si>
  <si>
    <t>ORGANIC KHIDRI MEDIUM</t>
  </si>
  <si>
    <t>GR6074</t>
  </si>
  <si>
    <t>PREMIUM LARGE</t>
  </si>
  <si>
    <t>MARQUIS</t>
  </si>
  <si>
    <t>PR. MEDIUM</t>
  </si>
  <si>
    <t>ORGANIC AJWA</t>
  </si>
  <si>
    <t>PR. JUMBO</t>
  </si>
  <si>
    <t>Organic Ajwa Premium Large</t>
  </si>
  <si>
    <t>04/12/2024</t>
  </si>
  <si>
    <t>GR15092</t>
  </si>
  <si>
    <t>APPLE INFUSEL</t>
  </si>
  <si>
    <t>Medjoul Dates Junior</t>
  </si>
  <si>
    <t>18/01/2025</t>
  </si>
  <si>
    <t>GR18188</t>
  </si>
  <si>
    <t>MDJL MIDEUM PREMIUM</t>
  </si>
  <si>
    <t>602410286</t>
  </si>
  <si>
    <t>Medjoul Dates Medium</t>
  </si>
  <si>
    <t>20/01/2025</t>
  </si>
  <si>
    <t>GR18282</t>
  </si>
  <si>
    <t>SRK-100-99</t>
  </si>
  <si>
    <t>28/01/2025</t>
  </si>
  <si>
    <t>GR18832</t>
  </si>
  <si>
    <t>SRK-24</t>
  </si>
  <si>
    <t>California Pista Inshell Jumbo</t>
  </si>
  <si>
    <t>02/02/2025</t>
  </si>
  <si>
    <t>GR19184</t>
  </si>
  <si>
    <t>KING SALOMONS</t>
  </si>
  <si>
    <t>602411646</t>
  </si>
  <si>
    <t>Medjoul Dates Mini</t>
  </si>
  <si>
    <t>502461345</t>
  </si>
  <si>
    <t>California Pista Inshell</t>
  </si>
  <si>
    <t>Tukda</t>
  </si>
  <si>
    <t>Dried Black Currant</t>
  </si>
  <si>
    <t>27/02/2025</t>
  </si>
  <si>
    <t>GR20770</t>
  </si>
  <si>
    <t>PECANS MAMMOTH BOX15</t>
  </si>
  <si>
    <t>SGPC BROWN BOX</t>
  </si>
  <si>
    <t>EX LARGE</t>
  </si>
  <si>
    <t>04/03/2025</t>
  </si>
  <si>
    <t>GR21100</t>
  </si>
  <si>
    <t>SOUTH GEORGIA</t>
  </si>
  <si>
    <t>GR21313</t>
  </si>
  <si>
    <t>GR8551</t>
  </si>
  <si>
    <t>ORGANIC KHUDRI BROWN BOX</t>
  </si>
  <si>
    <t>12 KG</t>
  </si>
  <si>
    <t>20/03/2025</t>
  </si>
  <si>
    <t>GR22089</t>
  </si>
  <si>
    <t>SRK-28</t>
  </si>
  <si>
    <t>29/03/2025</t>
  </si>
  <si>
    <t>GR22729</t>
  </si>
  <si>
    <t>MARQUIS STYLE 4L COOKED P</t>
  </si>
  <si>
    <t>Macadamia Roasted - Size 4L</t>
  </si>
  <si>
    <t>CRANBERRY BOX 5</t>
  </si>
  <si>
    <t>Whole</t>
  </si>
  <si>
    <t>Meduri</t>
  </si>
  <si>
    <t>TURKEL BOX 10</t>
  </si>
  <si>
    <t>MEHMET</t>
  </si>
  <si>
    <t>23/04/2025</t>
  </si>
  <si>
    <t>CRANBERRY BOX 10</t>
  </si>
  <si>
    <t>Sliced</t>
  </si>
  <si>
    <t>GR1601</t>
  </si>
  <si>
    <t>DOST</t>
  </si>
  <si>
    <t>6-8 MM</t>
  </si>
  <si>
    <t>GR747</t>
  </si>
  <si>
    <t>KHIDRI LARGE ORGANIC</t>
  </si>
  <si>
    <t>KHUDRI LARGE</t>
  </si>
  <si>
    <t>ORGANIC SEQEE LARGE</t>
  </si>
  <si>
    <t>ORGANIC WANAN LARGE</t>
  </si>
  <si>
    <t>MEDJOUL DATES JUMBO</t>
  </si>
  <si>
    <t>10/05/2025</t>
  </si>
  <si>
    <t>GR2702</t>
  </si>
  <si>
    <t>133878</t>
  </si>
  <si>
    <t>Turkey Apricot No. 0</t>
  </si>
  <si>
    <t>Tajir</t>
  </si>
  <si>
    <t>MEDURI</t>
  </si>
  <si>
    <t>1361105623</t>
  </si>
  <si>
    <t>Rishi Cold</t>
  </si>
  <si>
    <t>AL BARAKAH KHALAS PREMIUM DATES</t>
  </si>
  <si>
    <t>Kharik</t>
  </si>
  <si>
    <t>BARAHI</t>
  </si>
  <si>
    <t>BARHI</t>
  </si>
  <si>
    <t>WET DATES BOX 10KG</t>
  </si>
  <si>
    <t>Al Barakah</t>
  </si>
  <si>
    <t>Fard Standard</t>
  </si>
  <si>
    <t>Bam-Kimia</t>
  </si>
  <si>
    <t>Fard Premium</t>
  </si>
  <si>
    <t>Sufri</t>
  </si>
  <si>
    <t>AL BARAKAH SUFRI DATES 10KG</t>
  </si>
  <si>
    <t>10KG AL BARAKAH FARD DATES - STANDARD</t>
  </si>
  <si>
    <t>Reliance Rejected</t>
  </si>
  <si>
    <t>FARD STAND</t>
  </si>
  <si>
    <t>FARD-STAND</t>
  </si>
  <si>
    <t>AL - BARAKH</t>
  </si>
  <si>
    <t>Reziz</t>
  </si>
  <si>
    <t>AL BARAKAH REZIZ DATES 10KG</t>
  </si>
  <si>
    <t>FARD - PREMI</t>
  </si>
  <si>
    <t>FARD - STAND</t>
  </si>
  <si>
    <t>WET DATES BOX 5KG</t>
  </si>
  <si>
    <t>Wet Date Sayer ( Unpitted )</t>
  </si>
  <si>
    <t>EMIRAT-BLA</t>
  </si>
  <si>
    <t>DRY - CHURA</t>
  </si>
  <si>
    <t>185 Cold</t>
  </si>
  <si>
    <t>Factory</t>
  </si>
  <si>
    <t>Smoked Almonds</t>
  </si>
  <si>
    <t>Smoked</t>
  </si>
  <si>
    <t>Powder</t>
  </si>
  <si>
    <t>Suta</t>
  </si>
  <si>
    <t>Pegeflo</t>
  </si>
  <si>
    <t>C 100 G</t>
  </si>
  <si>
    <t>STARCH</t>
  </si>
  <si>
    <t>SIDCOT STA</t>
  </si>
  <si>
    <t>Blanched</t>
  </si>
  <si>
    <t>ROASTED BLANCHED PEANUT WHOLE</t>
  </si>
  <si>
    <t>R &amp; S</t>
  </si>
  <si>
    <t>Pitted</t>
  </si>
  <si>
    <t>Seedless 1*2</t>
  </si>
  <si>
    <t>Munakka</t>
  </si>
  <si>
    <t>Abjosh 1x2</t>
  </si>
  <si>
    <t>Anardana</t>
  </si>
  <si>
    <t>Churan</t>
  </si>
  <si>
    <t>seasoning</t>
  </si>
  <si>
    <t>Barbeque s</t>
  </si>
  <si>
    <t>Pepper Sea</t>
  </si>
  <si>
    <t>Masala Sea</t>
  </si>
  <si>
    <t>Honey</t>
  </si>
  <si>
    <t>Peri Peri</t>
  </si>
  <si>
    <t>Pudina sea</t>
  </si>
  <si>
    <t>CHILLI SEA</t>
  </si>
  <si>
    <t>Chilean</t>
  </si>
  <si>
    <t>Chatpata</t>
  </si>
  <si>
    <t>Dried Mango Powder - Amchur</t>
  </si>
  <si>
    <t>Sum of Total Inventory Kgs</t>
  </si>
  <si>
    <t>Total (CFPL+CDPL) KGS</t>
  </si>
  <si>
    <t>Total (CDPL+CFPL) KGS</t>
  </si>
  <si>
    <t>Brazil Nuts</t>
  </si>
  <si>
    <t>Brazil Nuts Total</t>
  </si>
  <si>
    <t>WET DATES BOX 15KG</t>
  </si>
  <si>
    <t>Sufri Dates</t>
  </si>
  <si>
    <t>03/06/2025</t>
  </si>
  <si>
    <t>GR3920</t>
  </si>
  <si>
    <t>MAS-70-B -19</t>
  </si>
  <si>
    <t>Almond Blanched, whole</t>
  </si>
  <si>
    <t>Sayer Dates</t>
  </si>
  <si>
    <t>Dried Kiwi</t>
  </si>
  <si>
    <t>Dried Mango Loose</t>
  </si>
  <si>
    <t>Mango</t>
  </si>
  <si>
    <t>Cut</t>
  </si>
  <si>
    <t>Peanuts Split</t>
  </si>
  <si>
    <t>Paan Seasoning AB319</t>
  </si>
  <si>
    <t>Urban Platter Soya Chaap Seasoning</t>
  </si>
  <si>
    <t>Soya Chaap</t>
  </si>
  <si>
    <t>Roasted &amp; Salted Almonds</t>
  </si>
  <si>
    <t>BLACK PEPPER CASHEW</t>
  </si>
  <si>
    <t>Carnival Roasted &amp; Salted Cashew 200g</t>
  </si>
  <si>
    <t>Cheese Cashew</t>
  </si>
  <si>
    <t>Roasted &amp; Salted Cashew</t>
  </si>
  <si>
    <t>Chatpata Cranberry</t>
  </si>
  <si>
    <t>Fresho Kimia Dates 500 Gm</t>
  </si>
  <si>
    <t>Mewa Mix Dryfruit Box 580gm</t>
  </si>
  <si>
    <t>Coated Peanuts</t>
  </si>
  <si>
    <t>Krack Nut Coated Peanuts Thai Firangi 85g</t>
  </si>
  <si>
    <t>Kracknut Coated Peanuts-Pudhina Patakha 1kg</t>
  </si>
  <si>
    <t>snack amor Coated Peanuts Pudina Patakha 100g</t>
  </si>
  <si>
    <t>California Pista Inshell Roasted and Salted</t>
  </si>
  <si>
    <t>Berry Mix</t>
  </si>
  <si>
    <t>Pan Cranberry</t>
  </si>
  <si>
    <t>Barbeque Coated Peanut</t>
  </si>
  <si>
    <t>Honey Chipotle Coated Peanut</t>
  </si>
  <si>
    <t>Carnival Crunchy Caramel Trail Mix</t>
  </si>
  <si>
    <t>Pecan Nuts Inshell</t>
  </si>
  <si>
    <t>Pecans Nuts Inshell</t>
  </si>
  <si>
    <t>WET DATES BOX 12KG</t>
  </si>
  <si>
    <t>WET DATES BOX 20KG</t>
  </si>
  <si>
    <t>12/06/2025</t>
  </si>
  <si>
    <t>GR4381</t>
  </si>
  <si>
    <t>BOB-68-13</t>
  </si>
  <si>
    <t>Seeds</t>
  </si>
  <si>
    <t>Seeds Total</t>
  </si>
  <si>
    <t>Choco Chips</t>
  </si>
  <si>
    <t>For Dates</t>
  </si>
  <si>
    <t>Other than Dates</t>
  </si>
  <si>
    <t>29/06/2025</t>
  </si>
  <si>
    <t>GR5609</t>
  </si>
  <si>
    <t>Almond Kernels 20-22</t>
  </si>
  <si>
    <t>American Almonds Kernel 20-22 count</t>
  </si>
  <si>
    <t>SLICE</t>
  </si>
  <si>
    <t>Pplain</t>
  </si>
  <si>
    <t>Chilli Garlic Masala Seasoning</t>
  </si>
  <si>
    <t>Chilli Garlic</t>
  </si>
  <si>
    <t>Kashmiri Walnut Kernels</t>
  </si>
  <si>
    <t>Walnut Tukda</t>
  </si>
  <si>
    <t>SHUBHKAMANYEN 180gm</t>
  </si>
  <si>
    <t>Krack Nut Coated Peanuts Tandoori Toofan 1 Kg</t>
  </si>
  <si>
    <t>Butter Seasoning</t>
  </si>
  <si>
    <t>AL BARAKAH DATE SYRUP(1.15KG X 12)</t>
  </si>
  <si>
    <t>Bucket</t>
  </si>
  <si>
    <t>Ageing Bucket</t>
  </si>
  <si>
    <t>&lt; 6 Months</t>
  </si>
  <si>
    <t>12-18 Months</t>
  </si>
  <si>
    <t>18-24 Months</t>
  </si>
  <si>
    <t>&gt;24 Months</t>
  </si>
  <si>
    <t>Overdays</t>
  </si>
  <si>
    <t>Orange Box</t>
  </si>
  <si>
    <t>ROYAL ARABIAN</t>
  </si>
  <si>
    <t>Delmonte 500g</t>
  </si>
  <si>
    <t>Delmonte Royal Arabian dates 500g RTV</t>
  </si>
  <si>
    <t>Delmonte Royal Arabian dates 500g [1 Case x 24 unit] Non-Promo</t>
  </si>
  <si>
    <t>Chia seeds 25kg bag</t>
  </si>
  <si>
    <t>14/07/2025</t>
  </si>
  <si>
    <t>GR6549</t>
  </si>
  <si>
    <t>DRIED GOOSEBERRY BOX 10</t>
  </si>
  <si>
    <t>GOJIBERRY</t>
  </si>
  <si>
    <t>Gojiberry</t>
  </si>
  <si>
    <t>Dried Goji Berry</t>
  </si>
  <si>
    <t>Dried Goji Berry RTV Alimento</t>
  </si>
  <si>
    <t>16/07/2025</t>
  </si>
  <si>
    <t>GR2804</t>
  </si>
  <si>
    <t>DEGLET NOOR</t>
  </si>
  <si>
    <t>552420399</t>
  </si>
  <si>
    <t>18/07/2025</t>
  </si>
  <si>
    <t>GR6846</t>
  </si>
  <si>
    <t>FANCY DRY ROASTED</t>
  </si>
  <si>
    <t>SGP -BROWN</t>
  </si>
  <si>
    <t>19/07/2025</t>
  </si>
  <si>
    <t>GR2898</t>
  </si>
  <si>
    <t>SIAFA AJWA REGULAR (2929)</t>
  </si>
  <si>
    <t>06-12 Months</t>
  </si>
  <si>
    <t>24/07/2025</t>
  </si>
  <si>
    <t>GR3016</t>
  </si>
  <si>
    <t>MEDJOUL MIX</t>
  </si>
  <si>
    <t>Off-Grade Dates</t>
  </si>
  <si>
    <t>29/07/2025</t>
  </si>
  <si>
    <t>GR7485</t>
  </si>
  <si>
    <t>MARQUIS SAWN 22+SP</t>
  </si>
  <si>
    <t>16.4KG</t>
  </si>
  <si>
    <t>NIS</t>
  </si>
  <si>
    <t>30/07/2025</t>
  </si>
  <si>
    <t>GR7579</t>
  </si>
  <si>
    <t>STYLE 4 L COOKED P</t>
  </si>
  <si>
    <t>Dried Prunes Pitted - Wilbur</t>
  </si>
  <si>
    <t>04/08/2025</t>
  </si>
  <si>
    <t>GR7901</t>
  </si>
  <si>
    <t>DRY ROAST</t>
  </si>
  <si>
    <t>STYLE -6</t>
  </si>
  <si>
    <t>Makhana 4+ Sutta</t>
  </si>
  <si>
    <t>Lemon Pepper Seasoning</t>
  </si>
  <si>
    <t>Lemon Pepper</t>
  </si>
  <si>
    <t>Urban Platter Mexican Chipotle Seasoning</t>
  </si>
  <si>
    <t>Urban Platter Tandoori Tikka Masala</t>
  </si>
  <si>
    <t>05/08/2025</t>
  </si>
  <si>
    <t>GR7967</t>
  </si>
  <si>
    <t>GR8257</t>
  </si>
  <si>
    <t>BROWN RAYECTION</t>
  </si>
  <si>
    <t>09/08/2025</t>
  </si>
  <si>
    <t>Pecan Nut Kernel</t>
  </si>
  <si>
    <t>V1</t>
  </si>
  <si>
    <t>V2</t>
  </si>
  <si>
    <t>13.8Kg</t>
  </si>
  <si>
    <t>Green</t>
  </si>
  <si>
    <t>Size-6</t>
  </si>
  <si>
    <t>Size-4</t>
  </si>
  <si>
    <t>Size-4L</t>
  </si>
  <si>
    <t>Pecan</t>
  </si>
  <si>
    <t>Magaz</t>
  </si>
  <si>
    <t>Kernels 2pc</t>
  </si>
  <si>
    <t>Pecan Inshell</t>
  </si>
  <si>
    <t>Inshell - R&amp;S</t>
  </si>
  <si>
    <t>NIS Vanilla</t>
  </si>
  <si>
    <t>Afghan Green</t>
  </si>
  <si>
    <t>Medjoul-Mini</t>
  </si>
  <si>
    <t>Medjoul-Rej</t>
  </si>
  <si>
    <t>Medjoul-Jumbo</t>
  </si>
  <si>
    <t>Medjoul-Junior</t>
  </si>
  <si>
    <t>Medjoul-Large</t>
  </si>
  <si>
    <t>Medjoul-Medium</t>
  </si>
  <si>
    <t>Medjoul-Sup.Jumbo</t>
  </si>
  <si>
    <t>Org Medjoul-Lar</t>
  </si>
  <si>
    <t>Bucket 25Kg</t>
  </si>
  <si>
    <t>Old Peanut</t>
  </si>
  <si>
    <t>400g x 12</t>
  </si>
  <si>
    <t>1.15kg x 12</t>
  </si>
  <si>
    <t>Macadamia</t>
  </si>
  <si>
    <t>Sunflower</t>
  </si>
  <si>
    <t>Macadamia Total</t>
  </si>
  <si>
    <t>Medjoul-ABD-B</t>
  </si>
  <si>
    <t>Avg Rate/Kg</t>
  </si>
  <si>
    <t>26/08/2025</t>
  </si>
  <si>
    <t>GR9080</t>
  </si>
  <si>
    <t>0 L</t>
  </si>
  <si>
    <t>Size-0</t>
  </si>
  <si>
    <t>Macadamia Roasted - Size 0</t>
  </si>
  <si>
    <t>Macadamia Roasted - Size 1</t>
  </si>
  <si>
    <t>FARD-RTV RETRANZ</t>
  </si>
  <si>
    <t>12.5kg</t>
  </si>
  <si>
    <t>Al Barakah Date Paste 12.5KG</t>
  </si>
  <si>
    <t>PREMIUM</t>
  </si>
  <si>
    <t>AL BARAKAH KHALAS DATES Premium 10kgs RTV</t>
  </si>
  <si>
    <t>AL BARAKAH FARD WET DATES PREMIUM 10KG RTV</t>
  </si>
  <si>
    <t>R&amp;S Style-4</t>
  </si>
  <si>
    <t>Roasted Style-0</t>
  </si>
  <si>
    <t>Roasted Style-1</t>
  </si>
  <si>
    <t>Roasted Style-4</t>
  </si>
  <si>
    <t>Roasted Style-4L</t>
  </si>
  <si>
    <t>Roasted Style-6</t>
  </si>
  <si>
    <t>Paste-2kg</t>
  </si>
  <si>
    <t>FARD WET DATES STANDARD 10KG Indian Overseas</t>
  </si>
  <si>
    <t>PRUNES BOX 10</t>
  </si>
  <si>
    <t>Wilbur</t>
  </si>
  <si>
    <t>502420403</t>
  </si>
  <si>
    <t>552420400</t>
  </si>
  <si>
    <t>4002433001</t>
  </si>
  <si>
    <t>Fard-Std</t>
  </si>
  <si>
    <t>Fard-Prem</t>
  </si>
  <si>
    <t>SAFAWI</t>
  </si>
  <si>
    <t>AL Barakah Maryam Dates 5 KG</t>
  </si>
  <si>
    <t>RTV Sunirse</t>
  </si>
  <si>
    <t>AL BARAKAH BARHI DATES 10KG RTV</t>
  </si>
  <si>
    <t>Fard-Ezad</t>
  </si>
  <si>
    <t>24/09/2025</t>
  </si>
  <si>
    <t>GR10777</t>
  </si>
  <si>
    <t>Watermelon Seeds 50Kgs</t>
  </si>
  <si>
    <t>AL BARAKAH SAYER DATES 10KG</t>
  </si>
  <si>
    <t>29/09/2025</t>
  </si>
  <si>
    <t>GR4583</t>
  </si>
  <si>
    <t>MDJL. MINI (6893</t>
  </si>
  <si>
    <t>GR4577</t>
  </si>
  <si>
    <t>DEGL.NOOR BRANCH(6902</t>
  </si>
  <si>
    <t>DEGL.NOOR BRANCH(6903</t>
  </si>
  <si>
    <t>Org Ajwa-Jumbo</t>
  </si>
  <si>
    <t>Org Khidri-Med</t>
  </si>
  <si>
    <t>Org Khidri-Large</t>
  </si>
  <si>
    <t>Org Seqee-Large</t>
  </si>
  <si>
    <t>Org Wanan-Large</t>
  </si>
  <si>
    <t>Org Wanan-Jumbo</t>
  </si>
  <si>
    <t>04/10/2025</t>
  </si>
  <si>
    <t>GR11598</t>
  </si>
  <si>
    <t>1350205472</t>
  </si>
  <si>
    <t>Sunflower Seeds</t>
  </si>
  <si>
    <t>AAT IMPEX</t>
  </si>
  <si>
    <t>09/10/2025</t>
  </si>
  <si>
    <t>GR11994</t>
  </si>
  <si>
    <t>WHOLE 090191</t>
  </si>
  <si>
    <t>10/10/2025</t>
  </si>
  <si>
    <t>GR12077</t>
  </si>
  <si>
    <t>GR4846</t>
  </si>
  <si>
    <t>MEDJOUL NO-2</t>
  </si>
  <si>
    <t>No-2</t>
  </si>
  <si>
    <t>WILBUR</t>
  </si>
  <si>
    <t>14/10/2025</t>
  </si>
  <si>
    <t>602504711</t>
  </si>
  <si>
    <t>602505870</t>
  </si>
  <si>
    <t>GR12327</t>
  </si>
  <si>
    <t>MEDJOUL S JUM PREM</t>
  </si>
  <si>
    <t>16/10/2025</t>
  </si>
  <si>
    <t>GR5011</t>
  </si>
  <si>
    <t>KHAJUR BOX K 6</t>
  </si>
  <si>
    <t>IRAN BAM MIX</t>
  </si>
  <si>
    <t>15/10/2025</t>
  </si>
  <si>
    <t>GR4992</t>
  </si>
  <si>
    <t>Iran</t>
  </si>
  <si>
    <t>Safawi(500gX20)</t>
  </si>
  <si>
    <t>Watermelon Seeds</t>
  </si>
  <si>
    <t>American Almonds Running 25-27 count</t>
  </si>
  <si>
    <t>Black Salt, Kala Namak - Crystal</t>
  </si>
  <si>
    <t>TANGY TOMATO SEASONING</t>
  </si>
  <si>
    <t>Pan Raisin</t>
  </si>
  <si>
    <t>Black Pepper Powder</t>
  </si>
  <si>
    <t>Hemp Seeds</t>
  </si>
  <si>
    <t>Hemp</t>
  </si>
  <si>
    <t>AL BARAKAH DATES SYRUP (400G Packing)</t>
  </si>
  <si>
    <t>4.8g</t>
  </si>
  <si>
    <t>Black Salt</t>
  </si>
  <si>
    <t>20/10/2025</t>
  </si>
  <si>
    <t>22/10/2025</t>
  </si>
  <si>
    <t>GR12770</t>
  </si>
  <si>
    <t>GR12815</t>
  </si>
  <si>
    <t>KISMISH BOX (INDIAN) 10</t>
  </si>
  <si>
    <t>GR12735</t>
  </si>
  <si>
    <t>FANCY GOLD</t>
  </si>
  <si>
    <t>PSP-86-129</t>
  </si>
  <si>
    <t>GDT-26</t>
  </si>
  <si>
    <t>Medjoul Dates Large</t>
  </si>
  <si>
    <t>Aldaka</t>
  </si>
  <si>
    <t>Aldaka Medjoul Jumbo</t>
  </si>
  <si>
    <t>Aldaka Medjoul Large</t>
  </si>
  <si>
    <t>Org Medjoul-Jumbo</t>
  </si>
  <si>
    <t>17/04/2025</t>
  </si>
  <si>
    <t>200 GM</t>
  </si>
  <si>
    <t>25/10/2025</t>
  </si>
  <si>
    <t>GR1178</t>
  </si>
  <si>
    <t>GR12947</t>
  </si>
  <si>
    <t>AL BARAKAH FARD WET DATES STANDARD 10KG DN</t>
  </si>
  <si>
    <t>28/10/2025</t>
  </si>
  <si>
    <t>GR13070</t>
  </si>
  <si>
    <t>ORGANIK JUMBO</t>
  </si>
  <si>
    <t>ORGANIK LARGE</t>
  </si>
  <si>
    <t>29/10/2025</t>
  </si>
  <si>
    <t>GR5298</t>
  </si>
  <si>
    <t>MDJL JUNIOR PR.(2312)</t>
  </si>
  <si>
    <t>602412586</t>
  </si>
  <si>
    <t>GR5297</t>
  </si>
  <si>
    <t>MDJL JUNIOR PR (2304)</t>
  </si>
  <si>
    <t>442401361</t>
  </si>
  <si>
    <t>MDJL JUNIOR PR.(2304,06,08</t>
  </si>
  <si>
    <t>GR13135</t>
  </si>
  <si>
    <t>31/10/2025</t>
  </si>
  <si>
    <t>GR13257</t>
  </si>
  <si>
    <t>Apple-Infused</t>
  </si>
  <si>
    <t>Dried Cranberry Sliced-Apple Infused</t>
  </si>
  <si>
    <t>Cranberry Slice Apple Infused</t>
  </si>
  <si>
    <t>Zahidi</t>
  </si>
  <si>
    <t>Rama</t>
  </si>
  <si>
    <t>Wet Dates Zahidi</t>
  </si>
  <si>
    <t>Zahidi Dates Rama 10 Kgs</t>
  </si>
  <si>
    <t>Mix RTV Dates DG Foods</t>
  </si>
  <si>
    <t>DG Foods RTV</t>
  </si>
  <si>
    <t>KHALAS,LULU,Black,Reziz</t>
  </si>
  <si>
    <t>DGFoods RTV</t>
  </si>
  <si>
    <t>Khalas RTV DG Foods</t>
  </si>
  <si>
    <t>OCEAN SPRAY/APPLE</t>
  </si>
  <si>
    <t>Tangy Tomato</t>
  </si>
  <si>
    <t>03/11/2025</t>
  </si>
  <si>
    <t>04/11/2025</t>
  </si>
  <si>
    <t>GR13565</t>
  </si>
  <si>
    <t>KHAJUR BOX KIMIA 6</t>
  </si>
  <si>
    <t>KIMIA GOLD</t>
  </si>
  <si>
    <t>GR13525</t>
  </si>
  <si>
    <t>MDJ-B</t>
  </si>
  <si>
    <t>STYLE SAWN 22</t>
  </si>
  <si>
    <t>Vanilla</t>
  </si>
  <si>
    <t>BLUEBERRY BOX 5</t>
  </si>
  <si>
    <t>Dried Blueberry Whole</t>
  </si>
  <si>
    <t>08/11/2025</t>
  </si>
  <si>
    <t>GR13952</t>
  </si>
  <si>
    <t>KING SALOMAN JUNR JTC</t>
  </si>
  <si>
    <t>502556537</t>
  </si>
  <si>
    <t>GR5564</t>
  </si>
  <si>
    <t>DERI BULK 1750105035</t>
  </si>
  <si>
    <t>672440369</t>
  </si>
  <si>
    <t>2024140168</t>
  </si>
  <si>
    <t>672440270</t>
  </si>
  <si>
    <t>672440271</t>
  </si>
  <si>
    <t>672440281</t>
  </si>
  <si>
    <t>672440285</t>
  </si>
  <si>
    <t>672440314</t>
  </si>
  <si>
    <t>672440318</t>
  </si>
  <si>
    <t>672440321</t>
  </si>
  <si>
    <t>672440342</t>
  </si>
  <si>
    <t>672440344</t>
  </si>
  <si>
    <t>672440354</t>
  </si>
  <si>
    <t>672440367</t>
  </si>
  <si>
    <t>Amary</t>
  </si>
  <si>
    <t>Amary Dates 5Kg</t>
  </si>
  <si>
    <t>Amary Dates</t>
  </si>
  <si>
    <t>BAM</t>
  </si>
  <si>
    <t>14/11/2025</t>
  </si>
  <si>
    <t>GR14480</t>
  </si>
  <si>
    <t>ALSI BAG 50</t>
  </si>
  <si>
    <t>Flax</t>
  </si>
  <si>
    <t>Flax Seeds 50Kg</t>
  </si>
  <si>
    <t>Flax Seeds (Alsi)</t>
  </si>
  <si>
    <t>Pizza Seasoning</t>
  </si>
  <si>
    <t>Pizza</t>
  </si>
  <si>
    <t>GR14561</t>
  </si>
  <si>
    <t>GR14575</t>
  </si>
  <si>
    <t>GR5756</t>
  </si>
  <si>
    <t>BLACK CURRANT BOX 10</t>
  </si>
  <si>
    <t>PAN WHITE</t>
  </si>
  <si>
    <t>MEDIUM</t>
  </si>
  <si>
    <t>VR</t>
  </si>
  <si>
    <t>ORGANIC KHIDRI S JUMBO</t>
  </si>
  <si>
    <t>Black Currant</t>
  </si>
  <si>
    <t>VR IND</t>
  </si>
  <si>
    <t>Blackcurrant</t>
  </si>
  <si>
    <t>Dried Black Currant 12.5KG</t>
  </si>
  <si>
    <t>GREEK DARK SEEDLESS RAISINS (Black Currant)</t>
  </si>
  <si>
    <t>Organic Wanan Pr. Jumbo</t>
  </si>
  <si>
    <t>Organic Wanan Pr. Large</t>
  </si>
  <si>
    <t>Organic Sequee Pr. Large</t>
  </si>
  <si>
    <t>Org Khidri-Jumbo</t>
  </si>
  <si>
    <t>GR5793</t>
  </si>
  <si>
    <t>GR14753</t>
  </si>
  <si>
    <t>GR14754</t>
  </si>
  <si>
    <t>MACADAMIA NUT K STYLE 0</t>
  </si>
  <si>
    <t>MACADAMIA MILK CHOCLATE</t>
  </si>
  <si>
    <t>MACADAMIA DARK CHOLTES</t>
  </si>
  <si>
    <t>HONEY ROASTED MACADAMIA</t>
  </si>
  <si>
    <t>Milk Choc</t>
  </si>
  <si>
    <t>Dark Choc</t>
  </si>
  <si>
    <t>Honey Roasted</t>
  </si>
  <si>
    <t>Sweet Chilli</t>
  </si>
  <si>
    <t>Macadamia Nut Milk Chocolate</t>
  </si>
  <si>
    <t>Macadamia Nut Dark Chocolate</t>
  </si>
  <si>
    <t>Macadamia Nut Honey Roasted</t>
  </si>
  <si>
    <t>Macadamia Nut Sweet Chilli</t>
  </si>
  <si>
    <t>Mexican Chilli Seasoning (PR01027/001)</t>
  </si>
  <si>
    <t>Cheesy Tomato Seasoning 2 (PR01895/001)</t>
  </si>
  <si>
    <t>GR5839</t>
  </si>
  <si>
    <t>GR14919</t>
  </si>
  <si>
    <t>Regular</t>
  </si>
  <si>
    <t>Ajwa Premium</t>
  </si>
  <si>
    <t>GR15015</t>
  </si>
  <si>
    <t>GR14954</t>
  </si>
  <si>
    <t>GR14955</t>
  </si>
  <si>
    <t>AL FAJR</t>
  </si>
  <si>
    <t>ARWA GREEN</t>
  </si>
  <si>
    <t>Medjoul Large Arwa 5KG</t>
  </si>
  <si>
    <t>Medjoul Large AL FAJIR 5 KG</t>
  </si>
  <si>
    <t>Medjoul-Large-Local</t>
  </si>
  <si>
    <t>19/11/2025</t>
  </si>
  <si>
    <t>AJWA REGULAR (JFD) 8884</t>
  </si>
  <si>
    <t>BAM MIX</t>
  </si>
  <si>
    <t>AJWA PREMIUM (JFD)8883</t>
  </si>
  <si>
    <t>20/11/2025</t>
  </si>
  <si>
    <t>LARGE DELIGHT</t>
  </si>
  <si>
    <t>LARGE PREMIUM</t>
  </si>
  <si>
    <t>21/11/2025</t>
  </si>
  <si>
    <t>GR15067</t>
  </si>
  <si>
    <t>400 GM</t>
  </si>
  <si>
    <t>15/11/2025</t>
  </si>
  <si>
    <t>ORAGANIC SEQCE LARGE</t>
  </si>
  <si>
    <t>WANUN LARGE ORGANIC</t>
  </si>
  <si>
    <t>AL BARAKAH KHALAS</t>
  </si>
  <si>
    <t>ORAGANIC WANUN JUMBO</t>
  </si>
  <si>
    <t>17/11/2025</t>
  </si>
  <si>
    <t>AMARY BULK1950105106(9110)</t>
  </si>
  <si>
    <t>18/11/2025</t>
  </si>
  <si>
    <t>SWEET CHIILI MACA MIA NUTS</t>
  </si>
  <si>
    <t>MACADAMIA NUT K STYLE 1 L</t>
  </si>
  <si>
    <t>502561568</t>
  </si>
  <si>
    <t>5025615467</t>
  </si>
  <si>
    <t>AL BARAKH SYRUP</t>
  </si>
  <si>
    <t>22/11/2025</t>
  </si>
  <si>
    <t>GR15128</t>
  </si>
  <si>
    <t>23/11/2025</t>
  </si>
  <si>
    <t>GR5957</t>
  </si>
  <si>
    <t>DERI BULK (9116)1750105035</t>
  </si>
  <si>
    <t>DERI BULK (9117)1750105035</t>
  </si>
  <si>
    <t>DERI BULK (9118)1750105035</t>
  </si>
  <si>
    <t>DERI BULK (9119)1750105035</t>
  </si>
  <si>
    <t>642440315</t>
  </si>
  <si>
    <t>DERI BULK (9120)1750105035</t>
  </si>
  <si>
    <t>642440317</t>
  </si>
  <si>
    <t>DERI BULK (9121)1750105035</t>
  </si>
  <si>
    <t>GR5956</t>
  </si>
  <si>
    <t>DERI BULK (9114)1750105035</t>
  </si>
  <si>
    <t>DERI BULK (9115)1750105035</t>
  </si>
  <si>
    <t>25/11/2025</t>
  </si>
  <si>
    <t>GR5992</t>
  </si>
  <si>
    <t>MDJL SUP JUMBO PR 9400</t>
  </si>
  <si>
    <t>MDJL JUMBO PR 9401</t>
  </si>
  <si>
    <t>GR5993</t>
  </si>
  <si>
    <t>DATELAND MEDJOUL JUMBO</t>
  </si>
  <si>
    <t>YELLOW BOX</t>
  </si>
  <si>
    <t>GR6001</t>
  </si>
  <si>
    <t>ORIENTAL</t>
  </si>
  <si>
    <t>MEDJOUL (A)</t>
  </si>
  <si>
    <t>DEGHLET</t>
  </si>
  <si>
    <t>Date Land</t>
  </si>
  <si>
    <t>MEDJOUL DATES  JUMBO 5 kg</t>
  </si>
  <si>
    <t>26/11/2025</t>
  </si>
  <si>
    <t>GR15447</t>
  </si>
  <si>
    <t>BLACK CHIA SEEDS BAG 50</t>
  </si>
  <si>
    <t>Omani Kharik</t>
  </si>
  <si>
    <t>GR15570</t>
  </si>
  <si>
    <t>Sesame Seeds (White Til)</t>
  </si>
  <si>
    <t>28/11/2025</t>
  </si>
  <si>
    <t>GR15586</t>
  </si>
  <si>
    <t>MIX BAM</t>
  </si>
  <si>
    <t>5Kg</t>
  </si>
  <si>
    <t>Sayer Dates Seeded 5KG</t>
  </si>
  <si>
    <t>Sayer-5Kg</t>
  </si>
  <si>
    <t>03/12/2025</t>
  </si>
  <si>
    <t>GR15889</t>
  </si>
  <si>
    <t>KING SOLOMON LARGE</t>
  </si>
  <si>
    <t>602514442</t>
  </si>
  <si>
    <t>602514450</t>
  </si>
  <si>
    <t>02/12/2025</t>
  </si>
  <si>
    <t>GR6188</t>
  </si>
  <si>
    <t>MEDJOUL LARGE</t>
  </si>
  <si>
    <t>MEDJOUL JUMBO</t>
  </si>
  <si>
    <t>1350905471</t>
  </si>
  <si>
    <t>05/12/2025</t>
  </si>
  <si>
    <t>GR16031</t>
  </si>
  <si>
    <t>SYRUP</t>
  </si>
  <si>
    <t>GR16030</t>
  </si>
  <si>
    <t>04/12/2025</t>
  </si>
  <si>
    <t>GR6226</t>
  </si>
  <si>
    <t>MEDJOUL MIX BOX</t>
  </si>
  <si>
    <t>HOH</t>
  </si>
  <si>
    <t>06/12/2025</t>
  </si>
  <si>
    <t>GR6286</t>
  </si>
  <si>
    <t>HM</t>
  </si>
  <si>
    <t>GR16109</t>
  </si>
  <si>
    <t>OCEANSPRAY</t>
  </si>
  <si>
    <t>Medjoul Large</t>
  </si>
  <si>
    <t>Medjoul No.2 Sorted</t>
  </si>
  <si>
    <t>Medjoul-Large HM</t>
  </si>
  <si>
    <t>Medjoul Dates Large HM 5 kg for HOH</t>
  </si>
  <si>
    <t>09/12/2025</t>
  </si>
  <si>
    <t>GR6353</t>
  </si>
  <si>
    <t>AKHROT KERNAL BOX 6</t>
  </si>
  <si>
    <t>BROWN BOX</t>
  </si>
  <si>
    <t>JARDALU BOX 15</t>
  </si>
  <si>
    <t>RAJAT</t>
  </si>
  <si>
    <t>W-202</t>
  </si>
  <si>
    <t>For StarBazar</t>
  </si>
  <si>
    <t>Afghan</t>
  </si>
  <si>
    <t>Barhi Seedless</t>
  </si>
  <si>
    <t>Crushed Dates</t>
  </si>
  <si>
    <t>Excess Mat</t>
  </si>
  <si>
    <t>Chopped+Crush</t>
  </si>
  <si>
    <t>Reliance RTV Barhi Seedless (PL Classic)</t>
  </si>
  <si>
    <t>13/12/2025</t>
  </si>
  <si>
    <t>GR6454</t>
  </si>
  <si>
    <t>SIAFA MABROOM REGUL.[8701]</t>
  </si>
  <si>
    <t>AJWA PREMIUM JFD[8883]</t>
  </si>
  <si>
    <t>AJWA REGULAR [8884]</t>
  </si>
  <si>
    <t>SIAFA SAFAWI REGULAR[8726</t>
  </si>
  <si>
    <t>11/12/2025</t>
  </si>
  <si>
    <t>GR16412</t>
  </si>
  <si>
    <t>Mamoth</t>
  </si>
  <si>
    <t>Fard-Seedless</t>
  </si>
  <si>
    <t>Al Barakah Fard Dates Seedless</t>
  </si>
  <si>
    <t>Fard Dates Seedless B Grade</t>
  </si>
  <si>
    <t>Khalas-Seedless</t>
  </si>
  <si>
    <t>Khalas-Mix</t>
  </si>
  <si>
    <t>Fard-Mix</t>
  </si>
  <si>
    <t>17/12/2025</t>
  </si>
  <si>
    <t>GR16844</t>
  </si>
  <si>
    <t>DARK CHOCOLATE</t>
  </si>
  <si>
    <t>20/12/2025</t>
  </si>
  <si>
    <t>GR6624</t>
  </si>
  <si>
    <t>KALI DRAKH BOX 15</t>
  </si>
  <si>
    <t>MANIK WHITE(9524)</t>
  </si>
  <si>
    <t>NB 777</t>
  </si>
  <si>
    <t>GR17097</t>
  </si>
  <si>
    <t>SAAD CREAM PREMIUM</t>
  </si>
  <si>
    <t>KHALAS-LI</t>
  </si>
  <si>
    <t>Brown 13KG</t>
  </si>
  <si>
    <t>Brown</t>
  </si>
  <si>
    <t>Indian Overseas</t>
  </si>
  <si>
    <t>Khalas VR</t>
  </si>
  <si>
    <t>27/12/2025</t>
  </si>
  <si>
    <t>MEDURI FARM</t>
  </si>
  <si>
    <t>BAM-MIX</t>
  </si>
  <si>
    <t>Small Count</t>
  </si>
  <si>
    <t>Mazafati-B (Small)</t>
  </si>
  <si>
    <t>Mazafati Dates Small count sorted (Curate)</t>
  </si>
  <si>
    <t>REZIZ</t>
  </si>
  <si>
    <t>Almond Blanched Sliced</t>
  </si>
  <si>
    <t>American Almonds Kernal Sanora</t>
  </si>
  <si>
    <t>Chilli Almonds Bulk</t>
  </si>
  <si>
    <t>Cinnamon Glazed Almond</t>
  </si>
  <si>
    <t>Cocoa Glazed Almonds</t>
  </si>
  <si>
    <t>Cashew 320</t>
  </si>
  <si>
    <t>Chilli Garlic Cashew Bulk</t>
  </si>
  <si>
    <t>Kharik Tukda</t>
  </si>
  <si>
    <t>Dehydrated Strawberry fruit</t>
  </si>
  <si>
    <t>Dried Ginger Powder - Saunth Powder</t>
  </si>
  <si>
    <t>Dehydrated Mango</t>
  </si>
  <si>
    <t>Orange Slice / Pieces</t>
  </si>
  <si>
    <t>Dried Apple</t>
  </si>
  <si>
    <t>Dried Pineapple</t>
  </si>
  <si>
    <t>Coating Mix</t>
  </si>
  <si>
    <t>Cocoa Powder</t>
  </si>
  <si>
    <t>Dark Compound Chips</t>
  </si>
  <si>
    <t>PREGEFLO C100</t>
  </si>
  <si>
    <t>Pista Irani Inshell Roasted and Salted</t>
  </si>
  <si>
    <t>Cocoa Glazed Hazelnuts</t>
  </si>
  <si>
    <t>CHAT MASALA MDH</t>
  </si>
  <si>
    <t>Dalchini (Cinnamon) Powder</t>
  </si>
  <si>
    <t>Mango Slice Chilli Seasoning</t>
  </si>
  <si>
    <t>Smokey BBQ seasoning</t>
  </si>
  <si>
    <t>Sour Cream And Seasoning</t>
  </si>
  <si>
    <t>Tandoori Masala</t>
  </si>
  <si>
    <t>Urban Platter Chipotle Seasoning</t>
  </si>
  <si>
    <t>Wasabi Seasoning  AB343</t>
  </si>
  <si>
    <t>Natch Glazed Nut Mix Cocoa</t>
  </si>
  <si>
    <t>Dried Bluberry ( Natch )</t>
  </si>
  <si>
    <t xml:space="preserve">Kharik </t>
  </si>
  <si>
    <t>Cinnamon Glazed Mix</t>
  </si>
  <si>
    <t>Cinnamon Glazed Pecan</t>
  </si>
  <si>
    <t>CURATE DATES MEDJOUL IMP ISREL 500G</t>
  </si>
  <si>
    <t>Sanora</t>
  </si>
  <si>
    <t>Chilli Almond</t>
  </si>
  <si>
    <t>Cinnamon Glazed</t>
  </si>
  <si>
    <t>Cocoa Glazed</t>
  </si>
  <si>
    <t>Natch</t>
  </si>
  <si>
    <t>Blueberry - Apple Infused</t>
  </si>
  <si>
    <t>Apple</t>
  </si>
  <si>
    <t>Cashew</t>
  </si>
  <si>
    <t>Sliced - Apple Infused</t>
  </si>
  <si>
    <t>Strawberry</t>
  </si>
  <si>
    <t>Miscellaneous</t>
  </si>
  <si>
    <t>Inshell - 18-21</t>
  </si>
  <si>
    <t>California Pista Inshell 18-21</t>
  </si>
  <si>
    <t>GR17727</t>
  </si>
  <si>
    <t>MEDURI CRANBERRY  WHOLE</t>
  </si>
  <si>
    <t>Pineapple</t>
  </si>
  <si>
    <t>30/12/2025</t>
  </si>
  <si>
    <t>05/01/2026</t>
  </si>
  <si>
    <t>DATE SYRUP</t>
  </si>
  <si>
    <t>GR18127</t>
  </si>
  <si>
    <t>09/01/2026</t>
  </si>
  <si>
    <t>GR7065</t>
  </si>
  <si>
    <t>BROWN BOX MDJL BOB BON</t>
  </si>
  <si>
    <t>4KGX2</t>
  </si>
  <si>
    <t>Medjoul-Bon Bon</t>
  </si>
  <si>
    <t>Bon Bon</t>
  </si>
  <si>
    <t>WET DATES BOX 7KG</t>
  </si>
  <si>
    <t>Al Barakah Kimia 500g</t>
  </si>
  <si>
    <t>Fresho Kimia 500g</t>
  </si>
  <si>
    <t>ABD Kimia 500g</t>
  </si>
  <si>
    <t>Al Barakah Kimia Dates 500 Gm</t>
  </si>
  <si>
    <t>12/01/2026</t>
  </si>
  <si>
    <t>GR7119</t>
  </si>
  <si>
    <t>AJWA WHITE BOX</t>
  </si>
  <si>
    <t>18/01/2026</t>
  </si>
  <si>
    <t>GR7275</t>
  </si>
  <si>
    <t>SUPER SELECT AJWA</t>
  </si>
  <si>
    <t>A</t>
  </si>
  <si>
    <t>SUPER SELECT SAFAWI</t>
  </si>
  <si>
    <t>SS</t>
  </si>
  <si>
    <t>1350105480</t>
  </si>
  <si>
    <t>14/01/2026</t>
  </si>
  <si>
    <t>GR18736</t>
  </si>
  <si>
    <t>ROSEMARY &amp; SEA SALL</t>
  </si>
  <si>
    <t>B111</t>
  </si>
  <si>
    <t>FINGERLINE JALAPENO</t>
  </si>
  <si>
    <t>B119</t>
  </si>
  <si>
    <t>ROASST SALTED INSHELL</t>
  </si>
  <si>
    <t>WASABI KERNAL</t>
  </si>
  <si>
    <t>B105</t>
  </si>
  <si>
    <t>15/01/2026</t>
  </si>
  <si>
    <t>GR18760</t>
  </si>
  <si>
    <t>PISTA INSHELL BOX 10</t>
  </si>
  <si>
    <t>CALIFORNIA PISTACHIOS</t>
  </si>
  <si>
    <t>25# JTC</t>
  </si>
  <si>
    <t>PISTA INSHELL BAG 50</t>
  </si>
  <si>
    <t>WHITE BAG BLACK PATTI</t>
  </si>
  <si>
    <t>26-28 JTC</t>
  </si>
  <si>
    <t>BRAZIL NUT BOX 20</t>
  </si>
  <si>
    <t>GR18900</t>
  </si>
  <si>
    <t>OCEANSPRAY WH98008</t>
  </si>
  <si>
    <t>JTC</t>
  </si>
  <si>
    <t>Brazil Nut</t>
  </si>
  <si>
    <t>Rosemary &amp; Seasalt</t>
  </si>
  <si>
    <t>Fingerline Jalapeno</t>
  </si>
  <si>
    <t>R&amp;S Seasalt</t>
  </si>
  <si>
    <t>Wasabi Style 4</t>
  </si>
  <si>
    <t>WASABI MACADAMIA STYLE 4</t>
  </si>
  <si>
    <t>MACADAMIA FINGER LIME &amp; JALAPENO</t>
  </si>
  <si>
    <t>MACADAMIA ROSEMARY &amp; SEA SALT</t>
  </si>
  <si>
    <t>MACADAMIA NIS - ROASTED SEA SALT</t>
  </si>
  <si>
    <t>Crestnut</t>
  </si>
  <si>
    <t>Ajwa-SS</t>
  </si>
  <si>
    <t>Super Select</t>
  </si>
  <si>
    <t>Ajwa Super Select</t>
  </si>
  <si>
    <t>Safawi-SS</t>
  </si>
  <si>
    <t>Wet Dates Safavi - Super Select</t>
  </si>
  <si>
    <t>Fingerlime Jalapeno</t>
  </si>
  <si>
    <t>19/01/2026</t>
  </si>
  <si>
    <t>GR18963</t>
  </si>
  <si>
    <t>602512323</t>
  </si>
  <si>
    <t>602512324</t>
  </si>
  <si>
    <t>602512325</t>
  </si>
  <si>
    <t>602512326</t>
  </si>
  <si>
    <t>602512327</t>
  </si>
  <si>
    <t>602512328</t>
  </si>
  <si>
    <t>602512329</t>
  </si>
  <si>
    <t>602512330</t>
  </si>
  <si>
    <t>602512331</t>
  </si>
  <si>
    <t>602512332</t>
  </si>
  <si>
    <t>602510341</t>
  </si>
  <si>
    <t>602510340</t>
  </si>
  <si>
    <t>602510339</t>
  </si>
  <si>
    <t>602512335</t>
  </si>
  <si>
    <t>Egyptian</t>
  </si>
  <si>
    <t>Egyptian Wet Dates 10Kg</t>
  </si>
  <si>
    <t>Muffaddar</t>
  </si>
  <si>
    <t>27/01/2026</t>
  </si>
  <si>
    <t>GR7474</t>
  </si>
  <si>
    <t>602504579</t>
  </si>
  <si>
    <t>Pista Inshell Iranian 26-28</t>
  </si>
  <si>
    <t>29/01/2026</t>
  </si>
  <si>
    <t>GR7518</t>
  </si>
  <si>
    <t>SAFAWI DATES(WHITE BOX )</t>
  </si>
  <si>
    <t>31/01/2026</t>
  </si>
  <si>
    <t>GR19678</t>
  </si>
  <si>
    <t>OCEANS PRAY</t>
  </si>
  <si>
    <t>Kimia</t>
  </si>
  <si>
    <t>Irani 26-28</t>
  </si>
  <si>
    <t>04/02/2026</t>
  </si>
  <si>
    <t>GR19922</t>
  </si>
  <si>
    <t>PECANS MAMMOTH BOX 10</t>
  </si>
  <si>
    <t>CARTER PECAN</t>
  </si>
  <si>
    <t>12KG</t>
  </si>
  <si>
    <t>MIDGET</t>
  </si>
  <si>
    <t>Amary Dates 5 Kg</t>
  </si>
  <si>
    <t>California 18-21</t>
  </si>
  <si>
    <t>Wet Dates Khalas</t>
  </si>
  <si>
    <t>Premium Harvest</t>
  </si>
  <si>
    <t>WET DATE BOX 10KG</t>
  </si>
  <si>
    <t>Supreme</t>
  </si>
  <si>
    <t>06/02/2026</t>
  </si>
  <si>
    <t>GR20053</t>
  </si>
  <si>
    <t>552520202</t>
  </si>
  <si>
    <t>Medjoul Dates Super Jumbo</t>
  </si>
  <si>
    <t>08/02/2026</t>
  </si>
  <si>
    <t>GR20161</t>
  </si>
  <si>
    <t>JORDAN RIVER</t>
  </si>
  <si>
    <t>SUPER JUICY</t>
  </si>
  <si>
    <t>XXL</t>
  </si>
  <si>
    <t>ORIENTAL DATES</t>
  </si>
  <si>
    <t>FARD-RELIANCE</t>
  </si>
  <si>
    <t>Reliance</t>
  </si>
  <si>
    <t>Wet Dates Fard</t>
  </si>
  <si>
    <t>Fard-Reliance</t>
  </si>
  <si>
    <t>Medjoul-Medium Local</t>
  </si>
  <si>
    <t>11/02/2026</t>
  </si>
  <si>
    <t>GR7864</t>
  </si>
  <si>
    <t>MEDJ.LARGE 672526111</t>
  </si>
  <si>
    <t>MEDJ.LARGE 672526110</t>
  </si>
  <si>
    <t>MEDJ.LARGE 672526109</t>
  </si>
  <si>
    <t>MEDJ.LARGE 672526108</t>
  </si>
  <si>
    <t>MEDJ.LARGE 672526107</t>
  </si>
  <si>
    <t>MEDJ.LARGE 672526106</t>
  </si>
  <si>
    <t>MEDJ.LARGE 672526105</t>
  </si>
  <si>
    <t>MEDJ.LARGE 672526104</t>
  </si>
  <si>
    <t>MEDJ.LARGE 672526103</t>
  </si>
  <si>
    <t>MEDJ.LARGE 672526102</t>
  </si>
  <si>
    <t>MEDJ.LARGE 672526101</t>
  </si>
  <si>
    <t>MEDJ.LARGE 672526100</t>
  </si>
  <si>
    <t>MEDJ.LARGE 672526099</t>
  </si>
  <si>
    <t>MEDJ.LARGE  672526098</t>
  </si>
  <si>
    <t>MEDJ.SUPER JUMBO 502572027</t>
  </si>
  <si>
    <t>MEDJ.SUPER JUMBO 502572026</t>
  </si>
  <si>
    <t>MEDJ.JUMBO 502572025</t>
  </si>
  <si>
    <t>MEDJ.JUMBO 502572024</t>
  </si>
  <si>
    <t>AMARY BULK 2025140199</t>
  </si>
  <si>
    <t>1950105106</t>
  </si>
  <si>
    <t>MEDJ.JUMBO 502572023</t>
  </si>
  <si>
    <t>W202</t>
  </si>
  <si>
    <t>Pumpkin</t>
  </si>
  <si>
    <t>RTV-Orange Nageshwar</t>
  </si>
  <si>
    <t>Sayer Dates WEFOOD 5KG</t>
  </si>
  <si>
    <t>16/02/2026</t>
  </si>
  <si>
    <t>GR20645</t>
  </si>
  <si>
    <t>DARK SEEDLESS RAISINS BOX 12</t>
  </si>
  <si>
    <t>RABIA SEEDLESS</t>
  </si>
  <si>
    <t>FARD SEEDLESS</t>
  </si>
  <si>
    <t>Rabia Seedless</t>
  </si>
  <si>
    <t>KHANEIZI</t>
  </si>
  <si>
    <t>Khaneizi</t>
  </si>
  <si>
    <t>Wet Dates Khaneizi</t>
  </si>
  <si>
    <t>18/02/2026</t>
  </si>
  <si>
    <t>GR20794</t>
  </si>
  <si>
    <t>KING SOLOMON DATE MUDIUM</t>
  </si>
  <si>
    <t>302505072</t>
  </si>
  <si>
    <t>KING SOLOMON DATE LARGE</t>
  </si>
  <si>
    <t>KING SOLOMON DATE JUMBO</t>
  </si>
  <si>
    <t>552520303</t>
  </si>
  <si>
    <t>602509913</t>
  </si>
  <si>
    <t>442501364</t>
  </si>
  <si>
    <t>602514258</t>
  </si>
  <si>
    <t>FARD C</t>
  </si>
  <si>
    <t>Fard-C</t>
  </si>
  <si>
    <t>C Grade</t>
  </si>
  <si>
    <t>AL BARAKAH FARD DATES STANDARD C 10KG</t>
  </si>
  <si>
    <t>FARD AB</t>
  </si>
  <si>
    <t>Fard-AB</t>
  </si>
  <si>
    <t>AB Grade</t>
  </si>
  <si>
    <t>AL BARAKAH FARD DATES PREMIUM AB 10KG</t>
  </si>
  <si>
    <t>Fresho Kimia Dates 500 Gmx 15 Units</t>
  </si>
  <si>
    <t>Al Barakah Kimia 500g x 12 Units</t>
  </si>
  <si>
    <t>FARD-RTV</t>
  </si>
  <si>
    <t>21/02/2026</t>
  </si>
  <si>
    <t>GR8116</t>
  </si>
  <si>
    <t>DATELAND MEDJOUL MEDIUM</t>
  </si>
  <si>
    <t>GR20995</t>
  </si>
  <si>
    <t>24/02/2026</t>
  </si>
  <si>
    <t>GR21092</t>
  </si>
  <si>
    <t>PISTA KERNAL BOX 10</t>
  </si>
  <si>
    <t>NUTRITE</t>
  </si>
  <si>
    <t>KP-600</t>
  </si>
  <si>
    <t>Nona</t>
  </si>
  <si>
    <t>Dried Cranberry Slice</t>
  </si>
  <si>
    <t>SUN DATES - Maryam</t>
  </si>
  <si>
    <t>Piyarom-Maryam</t>
  </si>
  <si>
    <t>New Iran</t>
  </si>
  <si>
    <t>Wet Dates Mazafati Green Iran</t>
  </si>
  <si>
    <t>PIYAROM DATES</t>
  </si>
  <si>
    <t>PIYAROM DATES - 5 Kgs IRAN</t>
  </si>
  <si>
    <t>25/02/2026</t>
  </si>
  <si>
    <t>GR21236</t>
  </si>
  <si>
    <t>672526287</t>
  </si>
  <si>
    <t>672526288</t>
  </si>
  <si>
    <t>672526285</t>
  </si>
  <si>
    <t>672526295</t>
  </si>
  <si>
    <t>672526283</t>
  </si>
  <si>
    <t>672556861</t>
  </si>
  <si>
    <t>672526284</t>
  </si>
  <si>
    <t>67252699</t>
  </si>
  <si>
    <t>672526294</t>
  </si>
  <si>
    <t>672526296</t>
  </si>
  <si>
    <t>672526298</t>
  </si>
  <si>
    <t>672526292</t>
  </si>
  <si>
    <t>672526293</t>
  </si>
  <si>
    <t>672526280</t>
  </si>
  <si>
    <t>672526862</t>
  </si>
  <si>
    <t>672526282</t>
  </si>
  <si>
    <t>ORIENTAL DATESQ</t>
  </si>
  <si>
    <t>672526289</t>
  </si>
  <si>
    <t>Seedless-Mix</t>
  </si>
  <si>
    <t>26/02/2026</t>
  </si>
  <si>
    <t>GR8220</t>
  </si>
  <si>
    <t>WANAN JUMBO</t>
  </si>
  <si>
    <t>9497</t>
  </si>
  <si>
    <t>WANAN LARGE</t>
  </si>
  <si>
    <t>9496</t>
  </si>
  <si>
    <t>ORGANIC KHIDRI JUMBO</t>
  </si>
  <si>
    <t>9495</t>
  </si>
  <si>
    <t>76577</t>
  </si>
  <si>
    <t>ORGANIC KHUDRI</t>
  </si>
  <si>
    <t>76576</t>
  </si>
  <si>
    <t>ORGANIC MEDJOUL JUMBO</t>
  </si>
  <si>
    <t>162074</t>
  </si>
  <si>
    <t>ORAGANIC MEDJOUL LARGE</t>
  </si>
  <si>
    <t>162095</t>
  </si>
  <si>
    <t>GR21306</t>
  </si>
  <si>
    <t>NUTWORKS</t>
  </si>
  <si>
    <t>SALTED</t>
  </si>
  <si>
    <t>ROSEMARY &amp; SEA SALT</t>
  </si>
  <si>
    <t>JALAPENO</t>
  </si>
  <si>
    <t>WASABI</t>
  </si>
  <si>
    <t>VANILA</t>
  </si>
  <si>
    <t>SEQEE LARGE</t>
  </si>
  <si>
    <t>9498</t>
  </si>
  <si>
    <t>TUKDA</t>
  </si>
  <si>
    <t>05/03/2026</t>
  </si>
  <si>
    <t>GR21661</t>
  </si>
  <si>
    <t>07/03/2026</t>
  </si>
  <si>
    <t>GR21824</t>
  </si>
  <si>
    <t>SUNFLOWER SEEDS BOX 25</t>
  </si>
  <si>
    <t>KIMIA BROWN</t>
  </si>
  <si>
    <t>WET DATES BOX 8KG</t>
  </si>
  <si>
    <t>MIE RTV</t>
  </si>
  <si>
    <t>Fard-A</t>
  </si>
  <si>
    <t>A Grade</t>
  </si>
  <si>
    <t>AL BARAKAH FARD DATES PREMIUM A 10KG</t>
  </si>
  <si>
    <t>PUMPKIN SEEDS BOX 25</t>
  </si>
  <si>
    <t>FARD A</t>
  </si>
  <si>
    <t>GR8472</t>
  </si>
  <si>
    <t>MDJL.MEDIUM  PREM.12433</t>
  </si>
  <si>
    <t>Medjoul-Mini Local</t>
  </si>
  <si>
    <t>Medjoul Dates Mini 5 kg</t>
  </si>
  <si>
    <t>RTV Tajir</t>
  </si>
  <si>
    <t>WET DATE BOX 9KG</t>
  </si>
  <si>
    <t>FASEEL MIX</t>
  </si>
  <si>
    <t>RTV Rajguru</t>
  </si>
  <si>
    <t>10/03/2026</t>
  </si>
  <si>
    <t>12/03/2026</t>
  </si>
  <si>
    <t>GR22128</t>
  </si>
  <si>
    <t>CALIFORNIA</t>
  </si>
  <si>
    <t>11.9 KG</t>
  </si>
  <si>
    <t>CALIFORINA GREEN</t>
  </si>
  <si>
    <t>11.850 KG</t>
  </si>
  <si>
    <t>CALIFORNIA GREEN</t>
  </si>
  <si>
    <t>California 21-25</t>
  </si>
  <si>
    <t>Wonderful</t>
  </si>
  <si>
    <t>Fard-Prem-RTV Nageshwar</t>
  </si>
  <si>
    <t>Khalas-RTV-AATIMPEX</t>
  </si>
  <si>
    <t>Khalas-Seedless-RTV-MIE</t>
  </si>
  <si>
    <t>Khalas-Seedless-RTV-Rajguru</t>
  </si>
  <si>
    <t>Khalas-Seedless-RTV-Tajir</t>
  </si>
  <si>
    <t>Barhi-RTV-Sunrise</t>
  </si>
  <si>
    <t>Pecan Nut Tukda W202</t>
  </si>
  <si>
    <t>Al Sakhi</t>
  </si>
  <si>
    <t>Krishna</t>
  </si>
  <si>
    <t>AL Assal 10KG</t>
  </si>
  <si>
    <t>Zahidi Dates Al Assal 10 Kgs</t>
  </si>
  <si>
    <t>Zahidi Dates Al Sultan 10 Kgs</t>
  </si>
  <si>
    <t>AA IMPEX</t>
  </si>
  <si>
    <t>Meharwan</t>
  </si>
  <si>
    <t>SEEDLESS</t>
  </si>
  <si>
    <t>Khanizi</t>
  </si>
  <si>
    <t>W202-Small</t>
  </si>
  <si>
    <t>WET DATE BOX 11KG</t>
  </si>
  <si>
    <t>AL Assal 11KG</t>
  </si>
  <si>
    <t>AL Sultan 10KG Mix 10,11 Kgs</t>
  </si>
  <si>
    <t>23/03/2026</t>
  </si>
  <si>
    <t>GR22725</t>
  </si>
  <si>
    <t>ATM-72-B-28</t>
  </si>
  <si>
    <t>ATM-69-A-40</t>
  </si>
  <si>
    <t>ABK-76-B-12</t>
  </si>
  <si>
    <t>SPK-86-B-17</t>
  </si>
  <si>
    <t>KSS-58-B-18</t>
  </si>
  <si>
    <t>ATM-81-B-33</t>
  </si>
  <si>
    <t>ATM-69-B-29</t>
  </si>
  <si>
    <t>ATM-82-B-36</t>
  </si>
  <si>
    <t>ATM-82-A-46</t>
  </si>
  <si>
    <t>ATM-81-A-49</t>
  </si>
  <si>
    <t>ATM-72A-45</t>
  </si>
  <si>
    <t>SPK-86-A-69</t>
  </si>
  <si>
    <t>AKM-105-A-68</t>
  </si>
  <si>
    <t>AKM-105-B-36</t>
  </si>
  <si>
    <t>RTV MIE</t>
  </si>
  <si>
    <t>Khaneizi-Seedless</t>
  </si>
  <si>
    <t>AL BARAKAH Khaneizi DATES Seedless 10kgs</t>
  </si>
  <si>
    <t>Aldaka Medjool Premium Large</t>
  </si>
  <si>
    <t>Aldaka Medjool Premium Jumbo</t>
  </si>
  <si>
    <t>Honey Roasted Macadamia Nut</t>
  </si>
  <si>
    <t>Sweet Chilli Macadamia Nut</t>
  </si>
  <si>
    <t>Macadamia Dark Chocolate Clusters</t>
  </si>
  <si>
    <t>Macadamia Milk Chocolate Clusters</t>
  </si>
  <si>
    <t>King Solomon Medjoul Dates Medium 500 Gm</t>
  </si>
  <si>
    <t>Pumpkin Seed ( 5% )</t>
  </si>
  <si>
    <t>AL BARAKAH FARD DATES STANDARD A 10KG</t>
  </si>
  <si>
    <t>KS SUFRI</t>
  </si>
  <si>
    <t>Sufri Dates UAE</t>
  </si>
  <si>
    <t>25/03/2026</t>
  </si>
  <si>
    <t>GR22829</t>
  </si>
  <si>
    <t>OCEAN SPRAY= 11.3 KG</t>
  </si>
  <si>
    <t>SLICED</t>
  </si>
  <si>
    <t>OCEAN SPRAY 12 KG</t>
  </si>
  <si>
    <t>26/03/2026</t>
  </si>
  <si>
    <t>GR8759</t>
  </si>
  <si>
    <t>HIGH MOISTURE</t>
  </si>
  <si>
    <t>Oceanspray-12</t>
  </si>
  <si>
    <t>Oceanspray-11.9</t>
  </si>
  <si>
    <t>Large No-2</t>
  </si>
  <si>
    <t>High Moisture</t>
  </si>
  <si>
    <t>Medjoul Dates Large HM Rejection</t>
  </si>
  <si>
    <t>30/03/2026</t>
  </si>
  <si>
    <t>GR23074</t>
  </si>
  <si>
    <t>GR23073</t>
  </si>
  <si>
    <t>MEDJOUL PREMIUM MEDIUM</t>
  </si>
  <si>
    <t>502575474</t>
  </si>
  <si>
    <t>MEDJOUL LARGE PREMIUM</t>
  </si>
  <si>
    <t>MEDJOUL JUMBO PREMIUM</t>
  </si>
  <si>
    <t>502575493</t>
  </si>
  <si>
    <t>ORIENTAL DATES-DERI</t>
  </si>
  <si>
    <t>672527023</t>
  </si>
  <si>
    <t>602515412</t>
  </si>
  <si>
    <t>602514321</t>
  </si>
  <si>
    <t>602515414</t>
  </si>
  <si>
    <t>602512567</t>
  </si>
  <si>
    <t>602514322</t>
  </si>
  <si>
    <t>602512568</t>
  </si>
  <si>
    <t>602514328</t>
  </si>
  <si>
    <t>602515413</t>
  </si>
  <si>
    <t>602514324</t>
  </si>
  <si>
    <t>602514325</t>
  </si>
  <si>
    <t>602514326</t>
  </si>
  <si>
    <t>672541529</t>
  </si>
  <si>
    <t>31/03/2026</t>
  </si>
  <si>
    <t>GR23125</t>
  </si>
  <si>
    <t>Khalas-Local</t>
  </si>
  <si>
    <t>01/04/2026</t>
  </si>
  <si>
    <t>GR16</t>
  </si>
  <si>
    <t>DERI</t>
  </si>
  <si>
    <t>GR18</t>
  </si>
  <si>
    <t>PTR-67</t>
  </si>
  <si>
    <t>ORIENTAL MIX</t>
  </si>
  <si>
    <t>SSI-48</t>
  </si>
  <si>
    <t>PTR-67A-52</t>
  </si>
  <si>
    <t>SSI-48A-32</t>
  </si>
  <si>
    <t>SSI-60</t>
  </si>
  <si>
    <t>KSP-73</t>
  </si>
  <si>
    <t>Sufri Wet Dates</t>
  </si>
  <si>
    <t>03/04/2026</t>
  </si>
  <si>
    <t>GR175</t>
  </si>
  <si>
    <t>STYEL -6</t>
  </si>
  <si>
    <t>04/04/2026</t>
  </si>
  <si>
    <t>GR77</t>
  </si>
  <si>
    <t>AKHROT KERNAL BOX 10</t>
  </si>
  <si>
    <t>VACCUM PLAIN</t>
  </si>
  <si>
    <t>250 GM</t>
  </si>
  <si>
    <t>Kernels 2pc 250gm</t>
  </si>
  <si>
    <t>250gm</t>
  </si>
  <si>
    <t>California Walnut Kernels 2pc</t>
  </si>
  <si>
    <t>07/04/2026</t>
  </si>
  <si>
    <t>GR120</t>
  </si>
  <si>
    <t>MACADAMIA BOX 5</t>
  </si>
  <si>
    <t>MACADAMIA PASTE BROWN BOX</t>
  </si>
  <si>
    <t>2KG TAB</t>
  </si>
  <si>
    <t>Paste-2Kg Tub</t>
  </si>
  <si>
    <t>Macadamia Paste 2kg Tub</t>
  </si>
  <si>
    <t>11/04/2026</t>
  </si>
  <si>
    <t>GR643</t>
  </si>
  <si>
    <t>KHAJUR BOX 6</t>
  </si>
  <si>
    <t>GR717</t>
  </si>
  <si>
    <t>GPP-57-B-22</t>
  </si>
  <si>
    <t>SMT-53-B-10</t>
  </si>
  <si>
    <t>SYJ-58-45-A</t>
  </si>
  <si>
    <t>DNS-74-50-A</t>
  </si>
  <si>
    <t>SYJ-61-12-B</t>
  </si>
  <si>
    <t>GR675</t>
  </si>
  <si>
    <t>R/S INSHELL</t>
  </si>
  <si>
    <t>DNS-74-23-B</t>
  </si>
  <si>
    <t>SYJ-58-12-B</t>
  </si>
  <si>
    <t>SVR-62-B-12</t>
  </si>
  <si>
    <t>SYJ-61-49-A</t>
  </si>
  <si>
    <t>MRB-101-A-38</t>
  </si>
  <si>
    <t>SVR-62-A-51</t>
  </si>
  <si>
    <t>APM-73-B-23</t>
  </si>
  <si>
    <t>MRB-101-B-13</t>
  </si>
  <si>
    <t>VTM-47-B-19</t>
  </si>
  <si>
    <t>HPK-49-B-16</t>
  </si>
  <si>
    <t>GPP-57-A-35</t>
  </si>
  <si>
    <t>DNV-75-B-15</t>
  </si>
  <si>
    <t>PHV-57-B-16</t>
  </si>
  <si>
    <t>PHV-57-A-41</t>
  </si>
  <si>
    <t>VTM-47-A-29</t>
  </si>
  <si>
    <t>HPK-49-A-33</t>
  </si>
  <si>
    <t>NGP-48-33-A</t>
  </si>
  <si>
    <t>BBB-70-A-48</t>
  </si>
  <si>
    <t>SMT-53A-43</t>
  </si>
  <si>
    <t>DNV-75-A-60</t>
  </si>
  <si>
    <t>APM-73-A-50</t>
  </si>
  <si>
    <t>BBB-70-B-21</t>
  </si>
  <si>
    <t>NGP-51-15-B</t>
  </si>
  <si>
    <t>WET DATE BOX 7KG</t>
  </si>
  <si>
    <t>BUM-KIMIA</t>
  </si>
  <si>
    <t>Bhavesh</t>
  </si>
  <si>
    <t>14/04/2026</t>
  </si>
  <si>
    <t>GR857</t>
  </si>
  <si>
    <t>PRIMEX GREEN MIX WEIGHT</t>
  </si>
  <si>
    <t>21-25</t>
  </si>
  <si>
    <t>PRIMEX GREEN</t>
  </si>
  <si>
    <t>15/04/2026</t>
  </si>
  <si>
    <t>GR915</t>
  </si>
  <si>
    <t>GR899</t>
  </si>
  <si>
    <t>PREMIUM NUTS</t>
  </si>
  <si>
    <t>SPLIT</t>
  </si>
  <si>
    <t>GR933</t>
  </si>
  <si>
    <t>SLICES BR</t>
  </si>
  <si>
    <t>OCEAN SPRAY</t>
  </si>
  <si>
    <t>Seed</t>
  </si>
  <si>
    <t>OceanSpray</t>
  </si>
  <si>
    <t>Primex</t>
  </si>
  <si>
    <t>Pumpkin Seeds</t>
  </si>
  <si>
    <t>Goel</t>
  </si>
  <si>
    <t>21/04/2026</t>
  </si>
  <si>
    <t>GR1319</t>
  </si>
  <si>
    <t>DATE SYRUP 400 GM AL BARAK</t>
  </si>
  <si>
    <t>DATES</t>
  </si>
  <si>
    <t>20/04/2026</t>
  </si>
  <si>
    <t>GR464</t>
  </si>
  <si>
    <t>MDJL LARGE PREM (12441)</t>
  </si>
  <si>
    <t>GR463</t>
  </si>
  <si>
    <t>MDJL  JUMBO PREMIUM 12436</t>
  </si>
  <si>
    <t>MDJL LARGE PREM (12443)</t>
  </si>
  <si>
    <t>MDJL LARGE PREM (12444)</t>
  </si>
  <si>
    <t>MDJL LARGE PREM (12445)</t>
  </si>
  <si>
    <t>MDJL LARGE PREM (12446)</t>
  </si>
  <si>
    <t>MDJL LARGE PREM (12447)</t>
  </si>
  <si>
    <t>MDJL LARGE PREM (12448)</t>
  </si>
  <si>
    <t>MDJL LARGE PREM (12449)</t>
  </si>
  <si>
    <t>MDJL LARGE PREM (12450)</t>
  </si>
  <si>
    <t>MDJL S JUMBO PREMIUM 12439</t>
  </si>
  <si>
    <t>6025123201</t>
  </si>
  <si>
    <t>MDJL  JUMBO PREMIUM 12434</t>
  </si>
  <si>
    <t>MDJL  JUMBO PREMIUM 12435</t>
  </si>
  <si>
    <t>MDJL LARGE PREM (12442)</t>
  </si>
  <si>
    <t>GR1320</t>
  </si>
  <si>
    <t>ORIENTAL DATE</t>
  </si>
  <si>
    <t>GR1322</t>
  </si>
  <si>
    <t>GPP-57-35-A</t>
  </si>
  <si>
    <t>SMJ-53-43-A</t>
  </si>
  <si>
    <t>MRB-101-38-A</t>
  </si>
  <si>
    <t>VTM-47-29-A</t>
  </si>
  <si>
    <t>MPB-101-13B</t>
  </si>
  <si>
    <t>VTM-47-19 B</t>
  </si>
  <si>
    <t>PHV-57-41 A</t>
  </si>
  <si>
    <t>HPK-49-16-3</t>
  </si>
  <si>
    <t>PHU-57-16-B</t>
  </si>
  <si>
    <t>GPP-57-22-B</t>
  </si>
  <si>
    <t>APM-73-A</t>
  </si>
  <si>
    <t>HPK-49-33-A</t>
  </si>
  <si>
    <t>BBB-71-21-B</t>
  </si>
  <si>
    <t>DNS-74-23 B</t>
  </si>
  <si>
    <t>SMT-53-10-B</t>
  </si>
  <si>
    <t>GR468</t>
  </si>
  <si>
    <t>MDJL LARGE SEEDLESS 4KG</t>
  </si>
  <si>
    <t>902503145</t>
  </si>
  <si>
    <t>MDJL AMARY BULK</t>
  </si>
  <si>
    <t>2025140202</t>
  </si>
  <si>
    <t>MDJL MEDIUM PREMIUM</t>
  </si>
  <si>
    <t>562532256</t>
  </si>
  <si>
    <t>502575477</t>
  </si>
  <si>
    <t>502575475</t>
  </si>
  <si>
    <t>502575478</t>
  </si>
  <si>
    <t>5625322570</t>
  </si>
  <si>
    <t>MDJL JUMBO PREMIUM</t>
  </si>
  <si>
    <t>502575489</t>
  </si>
  <si>
    <t>502575492</t>
  </si>
  <si>
    <t>MDJL SUP JUM PRIMUM</t>
  </si>
  <si>
    <t>502575491</t>
  </si>
  <si>
    <t>MDJL LARGE PREMIUM</t>
  </si>
  <si>
    <t>602514333</t>
  </si>
  <si>
    <t>602515415</t>
  </si>
  <si>
    <t>602515416</t>
  </si>
  <si>
    <t>602514331</t>
  </si>
  <si>
    <t>MDJL LARGE PREMIUM...</t>
  </si>
  <si>
    <t>602515417</t>
  </si>
  <si>
    <t>MDJL LARGE PREMIUM..</t>
  </si>
  <si>
    <t>602515418</t>
  </si>
  <si>
    <t>MDJL LARGE PREMIUM.</t>
  </si>
  <si>
    <t>602515419</t>
  </si>
  <si>
    <t>302514332</t>
  </si>
  <si>
    <t>2025140211</t>
  </si>
  <si>
    <t>Medjoul-Large-Seedless</t>
  </si>
  <si>
    <t>Large Seedless</t>
  </si>
  <si>
    <t>Medjoul Dates Large Seedless</t>
  </si>
  <si>
    <t>Mazafati-Shrink Wrap</t>
  </si>
  <si>
    <t>Grade B W-202</t>
  </si>
  <si>
    <t>23/04/2026</t>
  </si>
  <si>
    <t>GR1494</t>
  </si>
  <si>
    <t>DATELAND</t>
  </si>
  <si>
    <t>OPEN DAMAGES</t>
  </si>
  <si>
    <t>DATEELAND</t>
  </si>
  <si>
    <t>MINI</t>
  </si>
  <si>
    <t>GR1473</t>
  </si>
  <si>
    <t>Dev Int</t>
  </si>
  <si>
    <t>Open Box</t>
  </si>
  <si>
    <t>26/04/2026</t>
  </si>
  <si>
    <t>GR1642</t>
  </si>
  <si>
    <t>SAMPLE</t>
  </si>
  <si>
    <t>Date Spread</t>
  </si>
  <si>
    <t>Al Barakah Date Spread 330gx12</t>
  </si>
  <si>
    <t>Spread 330gx12Nos</t>
  </si>
  <si>
    <t>30/04/2026</t>
  </si>
  <si>
    <t>GR1809</t>
  </si>
  <si>
    <t>AL BARKHA</t>
  </si>
  <si>
    <t>02/05/2026</t>
  </si>
  <si>
    <t>GR1904</t>
  </si>
  <si>
    <t>04/05/2026</t>
  </si>
  <si>
    <t>GR1981</t>
  </si>
  <si>
    <t>DATE SYRUP 400GM ALBARAKAH</t>
  </si>
  <si>
    <t>400GM</t>
  </si>
  <si>
    <t>03/05/2026</t>
  </si>
  <si>
    <t>GR1948</t>
  </si>
  <si>
    <t>BADAM KERNAL BAG 30</t>
  </si>
  <si>
    <t>BLUE DIAMOND</t>
  </si>
  <si>
    <t>SIZE 20 SD ST</t>
  </si>
  <si>
    <t>SIZE 22</t>
  </si>
  <si>
    <t>RUNNING 26-27</t>
  </si>
  <si>
    <t>06/05/2026</t>
  </si>
  <si>
    <t>GR2130</t>
  </si>
  <si>
    <t>GMC-112 A-69</t>
  </si>
  <si>
    <t>GMC-112 B-44</t>
  </si>
  <si>
    <t>GBK-164 A-132</t>
  </si>
  <si>
    <t>SSK-90 A-66</t>
  </si>
  <si>
    <t>LBV-70 B-25</t>
  </si>
  <si>
    <t>SSK-90 B-24</t>
  </si>
  <si>
    <t>LBV-70 A-44</t>
  </si>
  <si>
    <t>RBK-72 B-21</t>
  </si>
  <si>
    <t>VBD-72-36 A17</t>
  </si>
  <si>
    <t>PRG-93 B-22</t>
  </si>
  <si>
    <t>GND-72 A-47</t>
  </si>
  <si>
    <t>GND-72 B-25</t>
  </si>
  <si>
    <t>VBD-72-36 B17</t>
  </si>
  <si>
    <t>SMG-54 A-35</t>
  </si>
  <si>
    <t>SMG-54 B-19</t>
  </si>
  <si>
    <t>RVP-45 A-34</t>
  </si>
  <si>
    <t>RVP-45 B-11</t>
  </si>
  <si>
    <t>NSM-36 B-15</t>
  </si>
  <si>
    <t>NSM-36 A-20</t>
  </si>
  <si>
    <t>HVM-55 B-21</t>
  </si>
  <si>
    <t>HVM-55 A-34</t>
  </si>
  <si>
    <t>GBK-164 B-29</t>
  </si>
  <si>
    <t>RBP-72 A-52</t>
  </si>
  <si>
    <t>GR2134</t>
  </si>
  <si>
    <t>PRG-93 A-70</t>
  </si>
  <si>
    <t>Urban Platter</t>
  </si>
  <si>
    <t>URBAN PLATTER DATE SYRUP (400GX12)</t>
  </si>
  <si>
    <t>Kernel Size 20</t>
  </si>
  <si>
    <t>Kernel Size 22</t>
  </si>
  <si>
    <t>Unazo</t>
  </si>
  <si>
    <t>Kernel Size 25-27</t>
  </si>
  <si>
    <t>American Almonds ( 18-20 Count)</t>
  </si>
  <si>
    <t>California Pista Inshell 18-20</t>
  </si>
  <si>
    <t>MIX - ABD, Raihan, Dateland</t>
  </si>
  <si>
    <t>Khalas-AAT Impex</t>
  </si>
  <si>
    <t>Khalas-Seedless-AAT</t>
  </si>
  <si>
    <t>Wet Dates Khalas Seedless</t>
  </si>
  <si>
    <t>KERNAL</t>
  </si>
  <si>
    <t>STYLE-1</t>
  </si>
  <si>
    <t>SIZE-4</t>
  </si>
  <si>
    <t>SIZE-6</t>
  </si>
  <si>
    <t>SIZE-0</t>
  </si>
  <si>
    <t>Carter W202</t>
  </si>
  <si>
    <t>Vannilla W202-F53</t>
  </si>
  <si>
    <t>08/05/2026</t>
  </si>
  <si>
    <t>GR2263</t>
  </si>
  <si>
    <t>CARTES PECAN</t>
  </si>
  <si>
    <t>INSHELL</t>
  </si>
  <si>
    <t>VANILLA</t>
  </si>
  <si>
    <t>BROWM</t>
  </si>
  <si>
    <t>DESSERT STAR</t>
  </si>
  <si>
    <t>&lt;30 Days</t>
  </si>
  <si>
    <t>30-60 Days</t>
  </si>
  <si>
    <t>60-90 Days</t>
  </si>
  <si>
    <t>90-180 Days</t>
  </si>
  <si>
    <t>&gt;181 Days</t>
  </si>
  <si>
    <t>DAYS AGEING</t>
  </si>
  <si>
    <t>Spl. Remarks</t>
  </si>
  <si>
    <t>Medjoul-Seedless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</si>
</sst>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_ ;_ @_ "/>
    <numFmt numFmtId="166" formatCode="_ * #,##0.0_ ;_ * \-#,##0.0_ ;_ * &quot;-&quot;??_ ;_ @_ "/>
    <numFmt numFmtId="167" formatCode="_(* #,##0.00_);_(* \(#,##0.00\);_(* &quot;-&quot;??_);_(@_)"/>
    <numFmt numFmtId="168" formatCode="_(* #,##0_);_(* \(#,##0\);_(* &quot;-&quot;??_);_(@_)"/>
    <numFmt numFmtId="169" formatCode="[$-409]d/mmm/yy;@"/>
    <numFmt numFmtId="170" formatCode="[$-409]d/mmm/yyyy;@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34"/>
      <scheme val="minor"/>
    </font>
    <font>
      <b/>
      <sz val="11"/>
      <color indexed="18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0"/>
      <color rgb="FFFF3333"/>
      <name val="Calibri"/>
      <family val="2"/>
      <scheme val="minor"/>
    </font>
    <font>
      <sz val="11"/>
      <name val="Calibri"/>
      <family val="2"/>
      <scheme val="minor"/>
    </font>
    <font>
      <b/>
      <sz val="9"/>
      <name val="Times New Roman"/>
      <family val="1"/>
    </font>
    <font>
      <sz val="9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gradientFill degree="90">
        <stop position="0">
          <color theme="0" tint="-0.25098422193060094"/>
        </stop>
        <stop position="1">
          <color theme="0" tint="-0.14889980773339029"/>
        </stop>
      </gradient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9D9D9"/>
        <bgColor rgb="FFCCCCCC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13" fillId="0" borderId="0"/>
    <xf numFmtId="43" fontId="1" fillId="0" borderId="0" applyFont="0" applyFill="0" applyBorder="0" applyAlignment="0" applyProtection="0"/>
  </cellStyleXfs>
  <cellXfs count="132">
    <xf numFmtId="0" fontId="0" fillId="0" borderId="0" xfId="0"/>
    <xf numFmtId="0" fontId="3" fillId="0" borderId="1" xfId="2" applyBorder="1" applyAlignment="1">
      <alignment vertical="center"/>
    </xf>
    <xf numFmtId="0" fontId="3" fillId="0" borderId="0" xfId="2"/>
    <xf numFmtId="0" fontId="3" fillId="0" borderId="1" xfId="2" applyBorder="1" applyAlignment="1">
      <alignment horizontal="center" vertical="center" wrapText="1"/>
    </xf>
    <xf numFmtId="164" fontId="3" fillId="0" borderId="1" xfId="2" applyNumberFormat="1" applyBorder="1" applyAlignment="1">
      <alignment vertical="center"/>
    </xf>
    <xf numFmtId="164" fontId="4" fillId="0" borderId="1" xfId="2" applyNumberFormat="1" applyFont="1" applyBorder="1" applyAlignment="1">
      <alignment vertical="center"/>
    </xf>
    <xf numFmtId="0" fontId="3" fillId="0" borderId="0" xfId="2" applyAlignment="1">
      <alignment vertical="center" wrapText="1"/>
    </xf>
    <xf numFmtId="164" fontId="2" fillId="0" borderId="0" xfId="1" applyNumberFormat="1" applyFont="1" applyAlignment="1">
      <alignment vertical="center" wrapText="1"/>
    </xf>
    <xf numFmtId="164" fontId="0" fillId="0" borderId="0" xfId="1" applyNumberFormat="1" applyFont="1" applyAlignment="1">
      <alignment vertical="center" wrapText="1"/>
    </xf>
    <xf numFmtId="0" fontId="3" fillId="0" borderId="0" xfId="2" applyAlignment="1">
      <alignment vertical="center"/>
    </xf>
    <xf numFmtId="0" fontId="4" fillId="0" borderId="0" xfId="2" applyFont="1" applyAlignment="1">
      <alignment vertical="center"/>
    </xf>
    <xf numFmtId="15" fontId="2" fillId="2" borderId="1" xfId="2" applyNumberFormat="1" applyFont="1" applyFill="1" applyBorder="1" applyAlignment="1">
      <alignment horizontal="center" vertical="center" wrapText="1"/>
    </xf>
    <xf numFmtId="164" fontId="2" fillId="0" borderId="1" xfId="1" applyNumberFormat="1" applyFont="1" applyBorder="1" applyAlignment="1">
      <alignment vertical="center" wrapText="1"/>
    </xf>
    <xf numFmtId="0" fontId="3" fillId="0" borderId="0" xfId="2" applyAlignment="1">
      <alignment horizontal="center" vertical="center" wrapText="1"/>
    </xf>
    <xf numFmtId="164" fontId="0" fillId="0" borderId="0" xfId="1" applyNumberFormat="1" applyFont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 vertical="center" wrapText="1"/>
    </xf>
    <xf numFmtId="164" fontId="2" fillId="0" borderId="0" xfId="1" applyNumberFormat="1" applyFont="1" applyBorder="1" applyAlignment="1">
      <alignment horizontal="center" vertical="center" wrapText="1"/>
    </xf>
    <xf numFmtId="0" fontId="2" fillId="0" borderId="0" xfId="2" applyFont="1" applyAlignment="1">
      <alignment horizontal="center" vertical="center"/>
    </xf>
    <xf numFmtId="0" fontId="3" fillId="0" borderId="0" xfId="2" applyAlignment="1">
      <alignment horizontal="center" vertical="center"/>
    </xf>
    <xf numFmtId="0" fontId="2" fillId="3" borderId="1" xfId="2" applyFont="1" applyFill="1" applyBorder="1" applyAlignment="1">
      <alignment horizontal="center" vertical="center" wrapText="1"/>
    </xf>
    <xf numFmtId="0" fontId="2" fillId="3" borderId="1" xfId="2" applyFont="1" applyFill="1" applyBorder="1" applyAlignment="1">
      <alignment horizontal="center" vertical="center"/>
    </xf>
    <xf numFmtId="3" fontId="2" fillId="3" borderId="1" xfId="2" applyNumberFormat="1" applyFont="1" applyFill="1" applyBorder="1" applyAlignment="1">
      <alignment horizontal="center" vertical="center"/>
    </xf>
    <xf numFmtId="4" fontId="2" fillId="3" borderId="1" xfId="2" applyNumberFormat="1" applyFont="1" applyFill="1" applyBorder="1" applyAlignment="1">
      <alignment horizontal="center" vertical="center"/>
    </xf>
    <xf numFmtId="3" fontId="2" fillId="3" borderId="0" xfId="2" applyNumberFormat="1" applyFont="1" applyFill="1" applyAlignment="1">
      <alignment horizontal="center" vertical="center"/>
    </xf>
    <xf numFmtId="164" fontId="2" fillId="3" borderId="0" xfId="2" applyNumberFormat="1" applyFont="1" applyFill="1" applyAlignment="1">
      <alignment horizontal="center" vertical="center" wrapText="1"/>
    </xf>
    <xf numFmtId="164" fontId="4" fillId="0" borderId="0" xfId="2" applyNumberFormat="1" applyFont="1" applyAlignment="1">
      <alignment vertical="center"/>
    </xf>
    <xf numFmtId="3" fontId="3" fillId="0" borderId="1" xfId="2" applyNumberFormat="1" applyBorder="1" applyAlignment="1">
      <alignment horizontal="center" vertical="center"/>
    </xf>
    <xf numFmtId="164" fontId="4" fillId="4" borderId="0" xfId="2" applyNumberFormat="1" applyFont="1" applyFill="1" applyAlignment="1">
      <alignment vertical="center"/>
    </xf>
    <xf numFmtId="0" fontId="2" fillId="4" borderId="1" xfId="2" applyFont="1" applyFill="1" applyBorder="1" applyAlignment="1">
      <alignment vertical="center"/>
    </xf>
    <xf numFmtId="164" fontId="2" fillId="4" borderId="1" xfId="2" applyNumberFormat="1" applyFont="1" applyFill="1" applyBorder="1" applyAlignment="1">
      <alignment vertical="center"/>
    </xf>
    <xf numFmtId="3" fontId="2" fillId="4" borderId="1" xfId="2" applyNumberFormat="1" applyFont="1" applyFill="1" applyBorder="1" applyAlignment="1">
      <alignment horizontal="center" vertical="center"/>
    </xf>
    <xf numFmtId="164" fontId="2" fillId="4" borderId="0" xfId="2" applyNumberFormat="1" applyFont="1" applyFill="1" applyAlignment="1">
      <alignment vertical="center"/>
    </xf>
    <xf numFmtId="164" fontId="2" fillId="0" borderId="0" xfId="1" applyNumberFormat="1" applyFont="1" applyAlignment="1">
      <alignment vertical="center"/>
    </xf>
    <xf numFmtId="164" fontId="0" fillId="0" borderId="0" xfId="1" applyNumberFormat="1" applyFont="1" applyAlignment="1">
      <alignment vertical="center"/>
    </xf>
    <xf numFmtId="0" fontId="2" fillId="0" borderId="0" xfId="2" applyFont="1" applyAlignment="1">
      <alignment horizontal="center" vertical="center" wrapText="1"/>
    </xf>
    <xf numFmtId="0" fontId="2" fillId="0" borderId="1" xfId="2" applyFont="1" applyBorder="1" applyAlignment="1">
      <alignment horizontal="center" vertical="center" wrapText="1"/>
    </xf>
    <xf numFmtId="3" fontId="2" fillId="3" borderId="1" xfId="2" applyNumberFormat="1" applyFont="1" applyFill="1" applyBorder="1" applyAlignment="1">
      <alignment horizontal="center" vertical="center" wrapText="1"/>
    </xf>
    <xf numFmtId="4" fontId="2" fillId="3" borderId="1" xfId="2" applyNumberFormat="1" applyFont="1" applyFill="1" applyBorder="1" applyAlignment="1">
      <alignment horizontal="center" vertical="center" wrapText="1"/>
    </xf>
    <xf numFmtId="0" fontId="2" fillId="0" borderId="1" xfId="2" applyFont="1" applyBorder="1" applyAlignment="1">
      <alignment vertical="center"/>
    </xf>
    <xf numFmtId="0" fontId="5" fillId="0" borderId="1" xfId="2" applyFont="1" applyBorder="1" applyAlignment="1">
      <alignment horizontal="center" vertical="center"/>
    </xf>
    <xf numFmtId="0" fontId="5" fillId="0" borderId="1" xfId="2" applyFont="1" applyBorder="1" applyAlignment="1">
      <alignment vertical="center"/>
    </xf>
    <xf numFmtId="0" fontId="2" fillId="0" borderId="1" xfId="2" applyFont="1" applyBorder="1" applyAlignment="1">
      <alignment horizontal="center" vertical="center"/>
    </xf>
    <xf numFmtId="166" fontId="1" fillId="0" borderId="1" xfId="1" applyNumberFormat="1" applyFont="1" applyBorder="1" applyAlignment="1">
      <alignment horizontal="center" vertical="center"/>
    </xf>
    <xf numFmtId="0" fontId="1" fillId="0" borderId="1" xfId="2" applyFont="1" applyBorder="1" applyAlignment="1">
      <alignment vertical="center"/>
    </xf>
    <xf numFmtId="14" fontId="1" fillId="0" borderId="1" xfId="2" applyNumberFormat="1" applyFont="1" applyBorder="1" applyAlignment="1">
      <alignment vertical="center"/>
    </xf>
    <xf numFmtId="0" fontId="1" fillId="0" borderId="1" xfId="2" applyFont="1" applyBorder="1" applyAlignment="1">
      <alignment horizontal="center" vertical="center"/>
    </xf>
    <xf numFmtId="15" fontId="5" fillId="0" borderId="1" xfId="2" applyNumberFormat="1" applyFont="1" applyBorder="1" applyAlignment="1">
      <alignment horizontal="center" vertical="center"/>
    </xf>
    <xf numFmtId="167" fontId="1" fillId="0" borderId="1" xfId="2" applyNumberFormat="1" applyFont="1" applyBorder="1" applyAlignment="1">
      <alignment vertical="center"/>
    </xf>
    <xf numFmtId="2" fontId="1" fillId="0" borderId="1" xfId="2" applyNumberFormat="1" applyFont="1" applyBorder="1" applyAlignment="1">
      <alignment vertical="center"/>
    </xf>
    <xf numFmtId="43" fontId="5" fillId="0" borderId="1" xfId="2" applyNumberFormat="1" applyFont="1" applyBorder="1" applyAlignment="1">
      <alignment horizontal="center" vertical="center"/>
    </xf>
    <xf numFmtId="15" fontId="2" fillId="0" borderId="1" xfId="2" applyNumberFormat="1" applyFont="1" applyBorder="1" applyAlignment="1">
      <alignment horizontal="center" vertical="center"/>
    </xf>
    <xf numFmtId="168" fontId="2" fillId="2" borderId="1" xfId="1" applyNumberFormat="1" applyFont="1" applyFill="1" applyBorder="1" applyAlignment="1">
      <alignment horizontal="center" vertical="center"/>
    </xf>
    <xf numFmtId="0" fontId="2" fillId="2" borderId="1" xfId="2" applyFont="1" applyFill="1" applyBorder="1" applyAlignment="1">
      <alignment horizontal="center" vertical="center"/>
    </xf>
    <xf numFmtId="15" fontId="2" fillId="2" borderId="1" xfId="1" applyNumberFormat="1" applyFont="1" applyFill="1" applyBorder="1" applyAlignment="1">
      <alignment horizontal="center" vertical="center"/>
    </xf>
    <xf numFmtId="168" fontId="2" fillId="2" borderId="1" xfId="1" applyNumberFormat="1" applyFont="1" applyFill="1" applyBorder="1" applyAlignment="1">
      <alignment vertical="center"/>
    </xf>
    <xf numFmtId="43" fontId="1" fillId="0" borderId="1" xfId="2" applyNumberFormat="1" applyFont="1" applyBorder="1" applyAlignment="1">
      <alignment vertical="center"/>
    </xf>
    <xf numFmtId="2" fontId="1" fillId="0" borderId="1" xfId="2" applyNumberFormat="1" applyFont="1" applyBorder="1" applyAlignment="1">
      <alignment horizontal="center" vertical="center"/>
    </xf>
    <xf numFmtId="169" fontId="2" fillId="0" borderId="1" xfId="2" applyNumberFormat="1" applyFont="1" applyBorder="1" applyAlignment="1">
      <alignment horizontal="center" vertical="center"/>
    </xf>
    <xf numFmtId="0" fontId="5" fillId="0" borderId="1" xfId="2" applyFont="1" applyBorder="1" applyAlignment="1">
      <alignment horizontal="left" vertical="center"/>
    </xf>
    <xf numFmtId="0" fontId="8" fillId="9" borderId="1" xfId="2" applyFont="1" applyFill="1" applyBorder="1" applyAlignment="1">
      <alignment horizontal="center" vertical="center" wrapText="1"/>
    </xf>
    <xf numFmtId="0" fontId="1" fillId="10" borderId="1" xfId="2" applyFont="1" applyFill="1" applyBorder="1" applyAlignment="1">
      <alignment vertical="center"/>
    </xf>
    <xf numFmtId="0" fontId="2" fillId="2" borderId="1" xfId="2" applyFont="1" applyFill="1" applyBorder="1" applyAlignment="1">
      <alignment vertical="center"/>
    </xf>
    <xf numFmtId="165" fontId="2" fillId="2" borderId="1" xfId="2" applyNumberFormat="1" applyFont="1" applyFill="1" applyBorder="1" applyAlignment="1">
      <alignment vertical="center"/>
    </xf>
    <xf numFmtId="1" fontId="1" fillId="0" borderId="1" xfId="1" applyNumberFormat="1" applyFont="1" applyBorder="1" applyAlignment="1">
      <alignment horizontal="center" vertical="center"/>
    </xf>
    <xf numFmtId="0" fontId="2" fillId="2" borderId="0" xfId="2" applyFont="1" applyFill="1" applyAlignment="1">
      <alignment vertical="center"/>
    </xf>
    <xf numFmtId="170" fontId="9" fillId="0" borderId="1" xfId="2" applyNumberFormat="1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9" fillId="0" borderId="1" xfId="2" applyFont="1" applyBorder="1" applyAlignment="1">
      <alignment vertical="center"/>
    </xf>
    <xf numFmtId="170" fontId="9" fillId="2" borderId="1" xfId="2" applyNumberFormat="1" applyFont="1" applyFill="1" applyBorder="1" applyAlignment="1">
      <alignment horizontal="center" vertical="center"/>
    </xf>
    <xf numFmtId="0" fontId="1" fillId="2" borderId="1" xfId="2" applyFont="1" applyFill="1" applyBorder="1" applyAlignment="1">
      <alignment horizontal="center" vertical="center"/>
    </xf>
    <xf numFmtId="0" fontId="1" fillId="2" borderId="1" xfId="2" applyFont="1" applyFill="1" applyBorder="1" applyAlignment="1">
      <alignment vertical="center"/>
    </xf>
    <xf numFmtId="0" fontId="3" fillId="2" borderId="0" xfId="2" applyFill="1" applyAlignment="1">
      <alignment vertical="center"/>
    </xf>
    <xf numFmtId="3" fontId="2" fillId="0" borderId="1" xfId="1" applyNumberFormat="1" applyFont="1" applyBorder="1" applyAlignment="1">
      <alignment horizontal="center" vertical="center"/>
    </xf>
    <xf numFmtId="166" fontId="0" fillId="0" borderId="0" xfId="1" applyNumberFormat="1" applyFont="1" applyBorder="1" applyAlignment="1">
      <alignment horizontal="center" vertical="center"/>
    </xf>
    <xf numFmtId="0" fontId="3" fillId="0" borderId="1" xfId="2" applyBorder="1"/>
    <xf numFmtId="0" fontId="2" fillId="0" borderId="1" xfId="2" applyFont="1" applyBorder="1"/>
    <xf numFmtId="164" fontId="2" fillId="0" borderId="0" xfId="1" applyNumberFormat="1" applyFont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pivotButton="1" applyBorder="1"/>
    <xf numFmtId="0" fontId="0" fillId="0" borderId="1" xfId="0" pivotButton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pivotButton="1" applyBorder="1" applyAlignment="1">
      <alignment vertical="center" wrapText="1"/>
    </xf>
    <xf numFmtId="164" fontId="0" fillId="0" borderId="1" xfId="0" applyNumberFormat="1" applyBorder="1" applyAlignment="1">
      <alignment vertical="center"/>
    </xf>
    <xf numFmtId="0" fontId="0" fillId="0" borderId="1" xfId="0" pivotButton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2" fillId="0" borderId="1" xfId="0" applyNumberFormat="1" applyFont="1" applyBorder="1" applyAlignment="1">
      <alignment vertical="center"/>
    </xf>
    <xf numFmtId="0" fontId="0" fillId="5" borderId="1" xfId="0" applyFill="1" applyBorder="1"/>
    <xf numFmtId="0" fontId="0" fillId="5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164" fontId="0" fillId="4" borderId="1" xfId="0" applyNumberFormat="1" applyFill="1" applyBorder="1" applyAlignment="1">
      <alignment vertical="center"/>
    </xf>
    <xf numFmtId="164" fontId="0" fillId="0" borderId="1" xfId="0" applyNumberForma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vertical="center"/>
    </xf>
    <xf numFmtId="164" fontId="2" fillId="0" borderId="1" xfId="0" applyNumberFormat="1" applyFont="1" applyBorder="1"/>
    <xf numFmtId="164" fontId="2" fillId="5" borderId="1" xfId="0" applyNumberFormat="1" applyFont="1" applyFill="1" applyBorder="1"/>
    <xf numFmtId="3" fontId="2" fillId="3" borderId="0" xfId="2" applyNumberFormat="1" applyFont="1" applyFill="1" applyAlignment="1">
      <alignment horizontal="center" vertical="center" wrapText="1"/>
    </xf>
    <xf numFmtId="0" fontId="2" fillId="3" borderId="0" xfId="2" applyFont="1" applyFill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 vertical="center"/>
    </xf>
    <xf numFmtId="0" fontId="0" fillId="0" borderId="1" xfId="2" applyFont="1" applyBorder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2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164" fontId="0" fillId="0" borderId="1" xfId="2" applyNumberFormat="1" applyFont="1" applyBorder="1" applyAlignment="1">
      <alignment vertical="center"/>
    </xf>
    <xf numFmtId="164" fontId="2" fillId="0" borderId="1" xfId="2" applyNumberFormat="1" applyFont="1" applyBorder="1" applyAlignment="1">
      <alignment vertical="center"/>
    </xf>
    <xf numFmtId="3" fontId="0" fillId="0" borderId="1" xfId="2" applyNumberFormat="1" applyFont="1" applyBorder="1" applyAlignment="1">
      <alignment horizontal="center" vertical="center"/>
    </xf>
    <xf numFmtId="15" fontId="2" fillId="3" borderId="1" xfId="2" applyNumberFormat="1" applyFont="1" applyFill="1" applyBorder="1" applyAlignment="1">
      <alignment horizontal="center" vertical="center" wrapText="1"/>
    </xf>
    <xf numFmtId="3" fontId="2" fillId="0" borderId="0" xfId="2" applyNumberFormat="1" applyFont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0" fontId="0" fillId="0" borderId="0" xfId="2" applyFont="1" applyAlignment="1">
      <alignment vertical="center"/>
    </xf>
    <xf numFmtId="0" fontId="2" fillId="0" borderId="0" xfId="0" applyFont="1"/>
    <xf numFmtId="0" fontId="2" fillId="0" borderId="0" xfId="2" applyFont="1"/>
    <xf numFmtId="0" fontId="2" fillId="0" borderId="0" xfId="2" applyFont="1" applyAlignment="1">
      <alignment vertical="center"/>
    </xf>
    <xf numFmtId="164" fontId="2" fillId="5" borderId="1" xfId="0" applyNumberFormat="1" applyFont="1" applyFill="1" applyBorder="1" applyAlignment="1">
      <alignment vertical="center"/>
    </xf>
    <xf numFmtId="14" fontId="1" fillId="0" borderId="1" xfId="2" applyNumberFormat="1" applyFont="1" applyBorder="1" applyAlignment="1">
      <alignment horizontal="center" vertical="center"/>
    </xf>
    <xf numFmtId="3" fontId="2" fillId="0" borderId="1" xfId="2" applyNumberFormat="1" applyFont="1" applyBorder="1" applyAlignment="1">
      <alignment horizontal="center" vertical="center"/>
    </xf>
    <xf numFmtId="164" fontId="2" fillId="0" borderId="2" xfId="1" applyNumberFormat="1" applyFont="1" applyBorder="1"/>
    <xf numFmtId="164" fontId="2" fillId="0" borderId="2" xfId="1" applyNumberFormat="1" applyFont="1" applyBorder="1" applyAlignment="1">
      <alignment vertical="center"/>
    </xf>
    <xf numFmtId="4" fontId="2" fillId="2" borderId="1" xfId="2" applyNumberFormat="1" applyFont="1" applyFill="1" applyBorder="1" applyAlignment="1">
      <alignment vertical="center"/>
    </xf>
    <xf numFmtId="4" fontId="3" fillId="0" borderId="1" xfId="2" applyNumberFormat="1" applyBorder="1" applyAlignment="1">
      <alignment vertical="center"/>
    </xf>
    <xf numFmtId="164" fontId="6" fillId="6" borderId="1" xfId="1" applyNumberFormat="1" applyFont="1" applyFill="1" applyBorder="1" applyAlignment="1">
      <alignment horizontal="center" vertical="center"/>
    </xf>
    <xf numFmtId="170" fontId="7" fillId="7" borderId="1" xfId="2" applyNumberFormat="1" applyFont="1" applyFill="1" applyBorder="1" applyAlignment="1">
      <alignment horizontal="center" vertical="center" wrapText="1"/>
    </xf>
    <xf numFmtId="0" fontId="7" fillId="7" borderId="1" xfId="2" applyFont="1" applyFill="1" applyBorder="1" applyAlignment="1">
      <alignment horizontal="center" vertical="center" wrapText="1"/>
    </xf>
    <xf numFmtId="0" fontId="5" fillId="8" borderId="1" xfId="2" applyFont="1" applyFill="1" applyBorder="1" applyAlignment="1">
      <alignment horizontal="center" vertical="center" wrapText="1"/>
    </xf>
    <xf numFmtId="166" fontId="5" fillId="8" borderId="1" xfId="1" applyNumberFormat="1" applyFont="1" applyFill="1" applyBorder="1" applyAlignment="1">
      <alignment horizontal="center" vertical="center" wrapText="1"/>
    </xf>
    <xf numFmtId="4" fontId="2" fillId="0" borderId="1" xfId="2" applyNumberFormat="1" applyFont="1" applyBorder="1" applyAlignment="1">
      <alignment vertical="center"/>
    </xf>
    <xf numFmtId="15" fontId="1" fillId="0" borderId="1" xfId="2" applyNumberFormat="1" applyFont="1" applyBorder="1" applyAlignment="1">
      <alignment horizontal="center" vertical="center"/>
    </xf>
    <xf numFmtId="15" fontId="1" fillId="2" borderId="1" xfId="2" applyNumberFormat="1" applyFont="1" applyFill="1" applyBorder="1" applyAlignment="1">
      <alignment horizontal="center" vertical="center"/>
    </xf>
    <xf numFmtId="15" fontId="9" fillId="0" borderId="1" xfId="2" applyNumberFormat="1" applyFont="1" applyBorder="1" applyAlignment="1">
      <alignment horizontal="center" vertical="center"/>
    </xf>
    <xf numFmtId="0" fontId="1" fillId="11" borderId="1" xfId="2" applyFont="1" applyFill="1" applyBorder="1" applyAlignment="1">
      <alignment vertical="center"/>
    </xf>
    <xf numFmtId="0" fontId="8" fillId="9" borderId="0" xfId="2" applyFont="1" applyFill="1" applyAlignment="1">
      <alignment horizontal="center" vertical="center" wrapText="1"/>
    </xf>
  </cellXfs>
  <cellStyles count="5">
    <cellStyle name="Comma" xfId="1" builtinId="3"/>
    <cellStyle name="Comma 2" xfId="4" xr:uid="{DF72ECA4-333C-49CE-96ED-5D0AC0568110}"/>
    <cellStyle name="Normal" xfId="0" builtinId="0"/>
    <cellStyle name="Normal 2" xfId="2" xr:uid="{772B6593-586E-4D7A-BF6D-37FF6B041457}"/>
    <cellStyle name="Normal 3" xfId="3" xr:uid="{D9C12284-7472-407C-B8E5-A9513E990F12}"/>
  </cellStyles>
  <dxfs count="56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wrapText="1"/>
    </dxf>
    <dxf>
      <alignment wrapText="1"/>
    </dxf>
    <dxf>
      <alignment wrapText="1"/>
    </dxf>
    <dxf>
      <font>
        <b/>
        <family val="2"/>
      </font>
    </dxf>
    <dxf>
      <font>
        <b/>
        <family val="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fill>
        <patternFill patternType="solid">
          <bgColor theme="8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wrapText="1"/>
    </dxf>
    <dxf>
      <alignment wrapText="1"/>
    </dxf>
    <dxf>
      <alignment wrapText="1"/>
    </dxf>
    <dxf>
      <font>
        <b/>
        <family val="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fill>
        <patternFill patternType="solid">
          <bgColor theme="8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 * #,##0_ ;_ * \-#,##0_ ;_ * &quot;-&quot;??_ ;_ @_ "/>
    </dxf>
    <dxf>
      <numFmt numFmtId="166" formatCode="_ * #,##0.0_ ;_ * \-#,##0.0_ ;_ * &quot;-&quot;??_ ;_ @_ "/>
    </dxf>
    <dxf>
      <font>
        <b/>
      </font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numFmt numFmtId="164" formatCode="_ * #,##0_ ;_ * \-#,##0_ ;_ * &quot;-&quot;??_ ;_ @_ "/>
    </dxf>
    <dxf>
      <numFmt numFmtId="166" formatCode="_ * #,##0.0_ ;_ * \-#,##0.0_ ;_ * &quot;-&quot;??_ ;_ @_ "/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andor%20Foods\Downloads\GST%20Rate%20Setup%20CFPL%20&amp;%20CDPL%2017th%20Apr.xlsx" TargetMode="External"/><Relationship Id="rId1" Type="http://schemas.openxmlformats.org/officeDocument/2006/relationships/externalLinkPath" Target="GST%20Rate%20Setup%20CFPL%20&amp;%20CDPL%2017th%20Ap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FPL"/>
      <sheetName val="CDPL"/>
    </sheetNames>
    <sheetDataSet>
      <sheetData sheetId="0">
        <row r="1">
          <cell r="A1" t="str">
            <v>Particulars</v>
          </cell>
          <cell r="B1" t="str">
            <v>FG/RM/PM</v>
          </cell>
          <cell r="C1" t="str">
            <v>Group</v>
          </cell>
          <cell r="D1" t="str">
            <v>Sub-Group</v>
          </cell>
        </row>
        <row r="2">
          <cell r="A2" t="str">
            <v>0M24-Carnival Chana Pouch 250 gm Sample Digital</v>
          </cell>
          <cell r="B2" t="str">
            <v>PM</v>
          </cell>
          <cell r="C2" t="str">
            <v>Packaging</v>
          </cell>
          <cell r="D2" t="str">
            <v>Pouch Roll</v>
          </cell>
        </row>
        <row r="3">
          <cell r="A3" t="str">
            <v>4 PET WOODEN BOX WITH LID HAMPER</v>
          </cell>
          <cell r="B3" t="str">
            <v>FG</v>
          </cell>
          <cell r="C3" t="str">
            <v>FESTIVE HAMPERS</v>
          </cell>
          <cell r="D3" t="str">
            <v>Gifting</v>
          </cell>
        </row>
        <row r="4">
          <cell r="A4" t="str">
            <v>Air conditioning equipment installation services</v>
          </cell>
          <cell r="B4">
            <v>0</v>
          </cell>
          <cell r="C4" t="str">
            <v>Others</v>
          </cell>
          <cell r="D4" t="str">
            <v>Others</v>
          </cell>
        </row>
        <row r="5">
          <cell r="A5" t="str">
            <v>Airconditioning Unit, Accessories, Fans Etc 8415</v>
          </cell>
          <cell r="B5">
            <v>0</v>
          </cell>
          <cell r="C5" t="str">
            <v>Others</v>
          </cell>
          <cell r="D5" t="str">
            <v>Others</v>
          </cell>
        </row>
        <row r="6">
          <cell r="A6" t="str">
            <v>Banana flavour (241114) NATURAL</v>
          </cell>
          <cell r="B6" t="str">
            <v>RM</v>
          </cell>
          <cell r="C6" t="str">
            <v>SEASONING</v>
          </cell>
          <cell r="D6" t="str">
            <v>Seasoning</v>
          </cell>
        </row>
        <row r="7">
          <cell r="A7" t="str">
            <v>Barbeque Flavour</v>
          </cell>
          <cell r="B7" t="str">
            <v>RM</v>
          </cell>
          <cell r="C7" t="str">
            <v>SEASONING</v>
          </cell>
          <cell r="D7" t="str">
            <v>Seasoning</v>
          </cell>
        </row>
        <row r="8">
          <cell r="A8" t="str">
            <v>BLACKPEPPER SEASONING BLEND</v>
          </cell>
          <cell r="B8" t="str">
            <v>RM</v>
          </cell>
          <cell r="C8" t="str">
            <v>SEASONING</v>
          </cell>
          <cell r="D8" t="str">
            <v>Seasoning</v>
          </cell>
        </row>
        <row r="9">
          <cell r="A9" t="str">
            <v>BLACK PEPPER TOPNOTE LIQUID</v>
          </cell>
          <cell r="B9" t="str">
            <v>RM</v>
          </cell>
          <cell r="C9" t="str">
            <v>SEASONING</v>
          </cell>
          <cell r="D9" t="str">
            <v>Seasoning</v>
          </cell>
        </row>
        <row r="10">
          <cell r="A10" t="str">
            <v>Brahmi Extract</v>
          </cell>
          <cell r="B10" t="str">
            <v>RM</v>
          </cell>
          <cell r="C10" t="str">
            <v>MISCELLANEOUS - RM</v>
          </cell>
          <cell r="D10" t="str">
            <v>Other Misc</v>
          </cell>
        </row>
        <row r="11">
          <cell r="A11" t="str">
            <v xml:space="preserve">CALIBRATION CHARGES_x000D_
</v>
          </cell>
          <cell r="B11">
            <v>0</v>
          </cell>
          <cell r="C11" t="str">
            <v>Service</v>
          </cell>
          <cell r="D11" t="str">
            <v>Charges</v>
          </cell>
        </row>
        <row r="12">
          <cell r="A12" t="str">
            <v>Capital Item</v>
          </cell>
          <cell r="B12">
            <v>0</v>
          </cell>
          <cell r="C12" t="str">
            <v>Others</v>
          </cell>
          <cell r="D12" t="str">
            <v>Capital</v>
          </cell>
        </row>
        <row r="13">
          <cell r="A13" t="str">
            <v>Caramel Sweet Popcorn Flavour</v>
          </cell>
          <cell r="B13" t="str">
            <v>RM</v>
          </cell>
          <cell r="C13" t="str">
            <v>SEASONING</v>
          </cell>
          <cell r="D13" t="str">
            <v>Seasoning</v>
          </cell>
        </row>
        <row r="14">
          <cell r="A14" t="str">
            <v>Carpentry Furniture Work</v>
          </cell>
          <cell r="B14">
            <v>0</v>
          </cell>
          <cell r="C14" t="str">
            <v>Others</v>
          </cell>
          <cell r="D14" t="str">
            <v>Others</v>
          </cell>
        </row>
        <row r="15">
          <cell r="A15" t="str">
            <v>CCTV Camera &amp; Accessories</v>
          </cell>
          <cell r="B15">
            <v>0</v>
          </cell>
          <cell r="C15" t="str">
            <v>Others</v>
          </cell>
          <cell r="D15" t="str">
            <v>Others</v>
          </cell>
        </row>
        <row r="16">
          <cell r="A16" t="str">
            <v>CELEBRATION SLEEK BOX 300gm</v>
          </cell>
          <cell r="B16" t="str">
            <v>FG</v>
          </cell>
          <cell r="C16" t="str">
            <v>FESTIVE HAMPERS</v>
          </cell>
          <cell r="D16" t="str">
            <v>Gifting</v>
          </cell>
        </row>
        <row r="17">
          <cell r="A17" t="str">
            <v>Chilli Garlic Flavour</v>
          </cell>
          <cell r="B17" t="str">
            <v>RM</v>
          </cell>
          <cell r="C17" t="str">
            <v>SEASONING</v>
          </cell>
          <cell r="D17" t="str">
            <v>Seasoning</v>
          </cell>
        </row>
        <row r="18">
          <cell r="A18" t="str">
            <v>Chocolate Flavour</v>
          </cell>
          <cell r="B18" t="str">
            <v>RM</v>
          </cell>
          <cell r="C18" t="str">
            <v>SEASONING</v>
          </cell>
          <cell r="D18" t="str">
            <v>Seasoning</v>
          </cell>
        </row>
        <row r="19">
          <cell r="A19" t="str">
            <v>Chocolate Flavour 170522</v>
          </cell>
          <cell r="B19" t="str">
            <v>RM</v>
          </cell>
          <cell r="C19" t="str">
            <v>SEASONING</v>
          </cell>
          <cell r="D19" t="str">
            <v>Seasoning</v>
          </cell>
        </row>
        <row r="20">
          <cell r="A20" t="str">
            <v>Cinnamon Flavour</v>
          </cell>
          <cell r="B20" t="str">
            <v>RM</v>
          </cell>
          <cell r="C20" t="str">
            <v>MISCELLANEOUS - RM</v>
          </cell>
          <cell r="D20" t="str">
            <v>Other Misc</v>
          </cell>
        </row>
        <row r="21">
          <cell r="A21" t="str">
            <v>Citric Acid</v>
          </cell>
          <cell r="B21" t="str">
            <v>RM</v>
          </cell>
          <cell r="C21" t="str">
            <v>MISCELLANEOUS - RM</v>
          </cell>
          <cell r="D21" t="str">
            <v>Other Misc</v>
          </cell>
        </row>
        <row r="22">
          <cell r="A22" t="str">
            <v>CLASSIC WOODEN BOX 480gm</v>
          </cell>
          <cell r="B22" t="str">
            <v>FG</v>
          </cell>
          <cell r="C22" t="str">
            <v>FESTIVE HAMPERS</v>
          </cell>
          <cell r="D22" t="str">
            <v>Gifting</v>
          </cell>
        </row>
        <row r="23">
          <cell r="A23" t="str">
            <v>CLEANING AGENT OFFICE USE</v>
          </cell>
          <cell r="B23">
            <v>0</v>
          </cell>
          <cell r="C23" t="str">
            <v>Others</v>
          </cell>
          <cell r="D23" t="str">
            <v>Others</v>
          </cell>
        </row>
        <row r="24">
          <cell r="A24" t="str">
            <v>Cleaning Machinery, Packing Machinery Etc 8422</v>
          </cell>
          <cell r="B24">
            <v>0</v>
          </cell>
          <cell r="C24" t="str">
            <v>Others</v>
          </cell>
          <cell r="D24" t="str">
            <v>Others</v>
          </cell>
        </row>
        <row r="25">
          <cell r="A25" t="str">
            <v>Cocoa Butter</v>
          </cell>
          <cell r="B25" t="str">
            <v>RM</v>
          </cell>
          <cell r="C25" t="str">
            <v>MISCELLANEOUS - RM</v>
          </cell>
          <cell r="D25" t="str">
            <v>Other Misc</v>
          </cell>
        </row>
        <row r="26">
          <cell r="A26" t="str">
            <v>Cocoa Powder</v>
          </cell>
          <cell r="B26" t="str">
            <v>RM</v>
          </cell>
          <cell r="C26" t="str">
            <v>MISCELLANEOUS - RM</v>
          </cell>
          <cell r="D26" t="str">
            <v>Other Misc</v>
          </cell>
        </row>
        <row r="27">
          <cell r="A27" t="str">
            <v>COFFEE EXT AQU ALC - 4010000239</v>
          </cell>
          <cell r="B27" t="str">
            <v>RM</v>
          </cell>
          <cell r="C27" t="str">
            <v>MISCELLANEOUS - RM</v>
          </cell>
          <cell r="D27" t="str">
            <v>Other Misc</v>
          </cell>
        </row>
        <row r="28">
          <cell r="A28" t="str">
            <v>Coffee Flavour</v>
          </cell>
          <cell r="B28" t="str">
            <v>RM</v>
          </cell>
          <cell r="C28" t="str">
            <v>SEASONING</v>
          </cell>
          <cell r="D28" t="str">
            <v>Seasoning</v>
          </cell>
        </row>
        <row r="29">
          <cell r="A29" t="str">
            <v>Compound [Strawberry Flvours]</v>
          </cell>
          <cell r="B29" t="str">
            <v>RM</v>
          </cell>
          <cell r="C29" t="str">
            <v>MISCELLANEOUS - RM</v>
          </cell>
          <cell r="D29" t="str">
            <v>Other Misc</v>
          </cell>
        </row>
        <row r="30">
          <cell r="A30" t="str">
            <v>Construction Material</v>
          </cell>
          <cell r="B30">
            <v>0</v>
          </cell>
          <cell r="C30" t="str">
            <v>Others</v>
          </cell>
          <cell r="D30" t="str">
            <v>Others</v>
          </cell>
        </row>
        <row r="31">
          <cell r="A31" t="str">
            <v>Construction Material in Nos, Pcs</v>
          </cell>
          <cell r="B31">
            <v>0</v>
          </cell>
          <cell r="C31" t="str">
            <v>Others</v>
          </cell>
          <cell r="D31" t="str">
            <v>Others</v>
          </cell>
        </row>
        <row r="32">
          <cell r="A32" t="str">
            <v>Construction - Structural Work</v>
          </cell>
          <cell r="B32">
            <v>0</v>
          </cell>
          <cell r="C32" t="str">
            <v>Others</v>
          </cell>
          <cell r="D32" t="str">
            <v>Others</v>
          </cell>
        </row>
        <row r="33">
          <cell r="A33" t="str">
            <v>Cranberry Flavour 280619</v>
          </cell>
          <cell r="B33" t="str">
            <v>RM</v>
          </cell>
          <cell r="C33" t="str">
            <v>SEASONING</v>
          </cell>
          <cell r="D33" t="str">
            <v>Seasoning</v>
          </cell>
        </row>
        <row r="34">
          <cell r="A34" t="str">
            <v>Design Art Plates and Cylinders</v>
          </cell>
          <cell r="B34">
            <v>0</v>
          </cell>
          <cell r="C34" t="str">
            <v>Others</v>
          </cell>
          <cell r="D34" t="str">
            <v>Others</v>
          </cell>
        </row>
        <row r="35">
          <cell r="A35" t="str">
            <v>Disposable Nitrile Gloves 18 %</v>
          </cell>
          <cell r="B35">
            <v>0</v>
          </cell>
          <cell r="C35" t="str">
            <v>Others</v>
          </cell>
          <cell r="D35" t="str">
            <v>Others</v>
          </cell>
        </row>
        <row r="36">
          <cell r="A36" t="str">
            <v>DIS SHOE COVER</v>
          </cell>
          <cell r="B36">
            <v>0</v>
          </cell>
          <cell r="C36" t="str">
            <v>Others</v>
          </cell>
          <cell r="D36" t="str">
            <v>Others</v>
          </cell>
        </row>
        <row r="37">
          <cell r="A37" t="str">
            <v>Ele Cables All Type</v>
          </cell>
          <cell r="B37">
            <v>0</v>
          </cell>
          <cell r="C37" t="str">
            <v>Others</v>
          </cell>
          <cell r="D37" t="str">
            <v>Others</v>
          </cell>
        </row>
        <row r="38">
          <cell r="A38" t="str">
            <v>Electrical Apparatus for Switching, Fuses, Etc 8536</v>
          </cell>
          <cell r="B38">
            <v>0</v>
          </cell>
          <cell r="C38" t="str">
            <v>Others</v>
          </cell>
          <cell r="D38" t="str">
            <v>Others</v>
          </cell>
        </row>
        <row r="39">
          <cell r="A39" t="str">
            <v>Electronic Scale Cap</v>
          </cell>
          <cell r="B39">
            <v>0</v>
          </cell>
          <cell r="C39" t="str">
            <v>Others</v>
          </cell>
          <cell r="D39" t="str">
            <v>Capital</v>
          </cell>
        </row>
        <row r="40">
          <cell r="A40" t="str">
            <v>Events, Exhibitions, Conventions &amp; Trade Shows Stalls  with design, inst.</v>
          </cell>
          <cell r="B40">
            <v>0</v>
          </cell>
          <cell r="C40" t="str">
            <v>Others</v>
          </cell>
          <cell r="D40" t="str">
            <v>Others</v>
          </cell>
        </row>
        <row r="41">
          <cell r="A41" t="str">
            <v>Extra Cheese Label - TPL</v>
          </cell>
          <cell r="B41" t="str">
            <v>PM</v>
          </cell>
          <cell r="C41" t="str">
            <v>Packaging</v>
          </cell>
          <cell r="D41" t="str">
            <v>Label</v>
          </cell>
        </row>
        <row r="42">
          <cell r="A42" t="str">
            <v>Fire Extinguishers 3813</v>
          </cell>
          <cell r="B42">
            <v>0</v>
          </cell>
          <cell r="C42" t="str">
            <v>Others</v>
          </cell>
          <cell r="D42" t="str">
            <v>Others</v>
          </cell>
        </row>
        <row r="43">
          <cell r="A43" t="str">
            <v>FUMIGATION</v>
          </cell>
          <cell r="B43">
            <v>0</v>
          </cell>
          <cell r="C43" t="str">
            <v>Others</v>
          </cell>
          <cell r="D43" t="str">
            <v>Others</v>
          </cell>
        </row>
        <row r="44">
          <cell r="A44" t="str">
            <v>Furniture Material</v>
          </cell>
          <cell r="B44">
            <v>0</v>
          </cell>
          <cell r="C44" t="str">
            <v>Others</v>
          </cell>
          <cell r="D44" t="str">
            <v>Others</v>
          </cell>
        </row>
        <row r="45">
          <cell r="A45" t="str">
            <v>Furniture Wooden Counter</v>
          </cell>
          <cell r="B45">
            <v>0</v>
          </cell>
          <cell r="C45" t="str">
            <v>Others</v>
          </cell>
          <cell r="D45" t="str">
            <v>Others</v>
          </cell>
        </row>
        <row r="46">
          <cell r="A46" t="str">
            <v>GARLIC LIQUID - 4010003414</v>
          </cell>
          <cell r="B46" t="str">
            <v>RM</v>
          </cell>
          <cell r="C46" t="str">
            <v>MISCELLANEOUS - RM</v>
          </cell>
          <cell r="D46" t="str">
            <v>Other Misc</v>
          </cell>
        </row>
        <row r="47">
          <cell r="A47" t="str">
            <v>Glues / Gum</v>
          </cell>
          <cell r="B47" t="str">
            <v>PM</v>
          </cell>
          <cell r="C47" t="str">
            <v>Packaging</v>
          </cell>
          <cell r="D47" t="str">
            <v>PM</v>
          </cell>
        </row>
        <row r="48">
          <cell r="A48" t="str">
            <v>Glycerin</v>
          </cell>
          <cell r="B48" t="str">
            <v>RM</v>
          </cell>
          <cell r="C48" t="str">
            <v>MISCELLANEOUS - RM</v>
          </cell>
          <cell r="D48" t="str">
            <v>Other Misc</v>
          </cell>
        </row>
        <row r="49">
          <cell r="A49" t="str">
            <v>Glycerol Monostearate (GMS) Powder</v>
          </cell>
          <cell r="B49" t="str">
            <v>RM</v>
          </cell>
          <cell r="C49" t="str">
            <v>MISCELLANEOUS - RM</v>
          </cell>
          <cell r="D49" t="str">
            <v>Other Misc</v>
          </cell>
        </row>
        <row r="50">
          <cell r="A50" t="str">
            <v>Google Workspace</v>
          </cell>
          <cell r="B50">
            <v>0</v>
          </cell>
          <cell r="C50" t="str">
            <v>Others</v>
          </cell>
          <cell r="D50" t="str">
            <v>Others</v>
          </cell>
        </row>
        <row r="51">
          <cell r="A51" t="str">
            <v>GOUR GUM</v>
          </cell>
          <cell r="B51" t="str">
            <v>RM</v>
          </cell>
          <cell r="C51" t="str">
            <v>MISCELLANEOUS - RM</v>
          </cell>
          <cell r="D51" t="str">
            <v>Other Misc</v>
          </cell>
        </row>
        <row r="52">
          <cell r="A52" t="str">
            <v>Green Chilli ( 4010000169 )</v>
          </cell>
          <cell r="B52" t="str">
            <v>RM</v>
          </cell>
          <cell r="C52" t="str">
            <v>SEASONING</v>
          </cell>
          <cell r="D52" t="str">
            <v>Seasoning</v>
          </cell>
        </row>
        <row r="53">
          <cell r="A53" t="str">
            <v>Green Tea Extract</v>
          </cell>
          <cell r="B53" t="str">
            <v>RM</v>
          </cell>
          <cell r="C53" t="str">
            <v>MISCELLANEOUS - RM</v>
          </cell>
          <cell r="D53" t="str">
            <v>Other Misc</v>
          </cell>
        </row>
        <row r="54">
          <cell r="A54" t="str">
            <v>Grey Carry All Basket Hamper</v>
          </cell>
          <cell r="B54" t="str">
            <v>FG</v>
          </cell>
          <cell r="C54" t="str">
            <v>FESTIVE HAMPERS</v>
          </cell>
          <cell r="D54" t="str">
            <v>Gifting</v>
          </cell>
        </row>
        <row r="55">
          <cell r="A55" t="str">
            <v>Hemp Seed Oil</v>
          </cell>
          <cell r="B55" t="str">
            <v>RM</v>
          </cell>
          <cell r="C55" t="str">
            <v>MISCELLANEOUS - RM</v>
          </cell>
          <cell r="D55" t="str">
            <v>Other Misc</v>
          </cell>
        </row>
        <row r="56">
          <cell r="A56" t="str">
            <v>HPT CONSUMABLES</v>
          </cell>
          <cell r="B56">
            <v>0</v>
          </cell>
          <cell r="C56" t="str">
            <v>Consumables</v>
          </cell>
          <cell r="D56" t="str">
            <v>Consumables</v>
          </cell>
        </row>
        <row r="57">
          <cell r="A57" t="str">
            <v>HVAC,AC Installation &amp; Commissioning in All</v>
          </cell>
          <cell r="B57">
            <v>0</v>
          </cell>
          <cell r="C57" t="str">
            <v>Others</v>
          </cell>
          <cell r="D57" t="str">
            <v>Others</v>
          </cell>
        </row>
        <row r="58">
          <cell r="A58" t="str">
            <v>INK_printing, Writing, Drawing &amp; Others 3215</v>
          </cell>
          <cell r="B58">
            <v>0</v>
          </cell>
          <cell r="C58" t="str">
            <v>Others</v>
          </cell>
          <cell r="D58" t="str">
            <v>Others</v>
          </cell>
        </row>
        <row r="59">
          <cell r="A59" t="str">
            <v>Installation of Modular Panelling Work</v>
          </cell>
          <cell r="B59">
            <v>0</v>
          </cell>
          <cell r="C59" t="str">
            <v>Service</v>
          </cell>
          <cell r="D59" t="str">
            <v>Charges</v>
          </cell>
        </row>
        <row r="60">
          <cell r="A60" t="str">
            <v>Instant Coffee Powder</v>
          </cell>
          <cell r="B60" t="str">
            <v>RM</v>
          </cell>
          <cell r="C60" t="str">
            <v>MISCELLANEOUS - RM</v>
          </cell>
          <cell r="D60" t="str">
            <v>Other Misc</v>
          </cell>
        </row>
        <row r="61">
          <cell r="A61" t="str">
            <v>Integrated Facility Management Services</v>
          </cell>
          <cell r="B61">
            <v>0</v>
          </cell>
          <cell r="C61" t="str">
            <v>Service</v>
          </cell>
          <cell r="D61" t="str">
            <v>Charges</v>
          </cell>
        </row>
        <row r="62">
          <cell r="A62" t="str">
            <v>IP Lease Lines and Others-18%</v>
          </cell>
          <cell r="B62">
            <v>0</v>
          </cell>
          <cell r="C62" t="str">
            <v>Others</v>
          </cell>
          <cell r="D62" t="str">
            <v>Others</v>
          </cell>
        </row>
        <row r="63">
          <cell r="A63" t="str">
            <v>Jute Floppy Bag Hamper</v>
          </cell>
          <cell r="B63" t="str">
            <v>FG</v>
          </cell>
          <cell r="C63" t="str">
            <v>FESTIVE HAMPERS</v>
          </cell>
          <cell r="D63" t="str">
            <v>Gifting</v>
          </cell>
        </row>
        <row r="64">
          <cell r="A64" t="str">
            <v>KERRY ARTIFICIAL CHEESE FLAVOR - TPL</v>
          </cell>
          <cell r="B64" t="str">
            <v>RM</v>
          </cell>
          <cell r="C64" t="str">
            <v>TAJIR</v>
          </cell>
          <cell r="D64" t="str">
            <v>Tajir - Other</v>
          </cell>
        </row>
        <row r="65">
          <cell r="A65" t="str">
            <v>Kerry N&amp;A Butter Flavour - TPL</v>
          </cell>
          <cell r="B65" t="str">
            <v>RM</v>
          </cell>
          <cell r="C65" t="str">
            <v>SEASONING</v>
          </cell>
          <cell r="D65" t="str">
            <v>Seasoning</v>
          </cell>
        </row>
        <row r="66">
          <cell r="A66" t="str">
            <v>Lab Chemicals As Per List-18%</v>
          </cell>
          <cell r="B66">
            <v>0</v>
          </cell>
          <cell r="C66" t="str">
            <v>Others</v>
          </cell>
          <cell r="D66" t="str">
            <v>Others</v>
          </cell>
        </row>
        <row r="67">
          <cell r="A67" t="str">
            <v>Labour Charges</v>
          </cell>
          <cell r="B67">
            <v>0</v>
          </cell>
          <cell r="C67" t="str">
            <v>Service</v>
          </cell>
          <cell r="D67" t="str">
            <v>Charges</v>
          </cell>
        </row>
        <row r="68">
          <cell r="A68" t="str">
            <v>Lab Testing Charges</v>
          </cell>
          <cell r="B68">
            <v>0</v>
          </cell>
          <cell r="C68" t="str">
            <v>Service</v>
          </cell>
          <cell r="D68" t="str">
            <v>Charges</v>
          </cell>
        </row>
        <row r="69">
          <cell r="A69" t="str">
            <v>Laptop Accessories</v>
          </cell>
          <cell r="B69">
            <v>0</v>
          </cell>
          <cell r="C69" t="str">
            <v>Others</v>
          </cell>
          <cell r="D69" t="str">
            <v>Others</v>
          </cell>
        </row>
        <row r="70">
          <cell r="A70" t="str">
            <v>Leaf Green 500 Gm</v>
          </cell>
          <cell r="B70" t="str">
            <v>RM</v>
          </cell>
          <cell r="C70" t="str">
            <v>MISCELLANEOUS - RM</v>
          </cell>
          <cell r="D70" t="str">
            <v>Other Misc</v>
          </cell>
        </row>
        <row r="71">
          <cell r="A71" t="str">
            <v>Lemon Pickle</v>
          </cell>
          <cell r="B71" t="str">
            <v>RM</v>
          </cell>
          <cell r="C71" t="str">
            <v>MISCELLANEOUS - RM</v>
          </cell>
          <cell r="D71" t="str">
            <v>Other Misc</v>
          </cell>
        </row>
        <row r="72">
          <cell r="A72" t="str">
            <v>Lift Maintenance</v>
          </cell>
          <cell r="B72">
            <v>0</v>
          </cell>
          <cell r="C72" t="str">
            <v>Service</v>
          </cell>
          <cell r="D72" t="str">
            <v>Charges</v>
          </cell>
        </row>
        <row r="73">
          <cell r="A73" t="str">
            <v>Maggi Masala Flavours</v>
          </cell>
          <cell r="B73" t="str">
            <v>RM</v>
          </cell>
          <cell r="C73" t="str">
            <v>SEASONING</v>
          </cell>
          <cell r="D73" t="str">
            <v>Seasoning</v>
          </cell>
        </row>
        <row r="74">
          <cell r="A74" t="str">
            <v>Maintenance &amp; Service Charges</v>
          </cell>
          <cell r="B74">
            <v>0</v>
          </cell>
          <cell r="C74" t="str">
            <v>Service</v>
          </cell>
          <cell r="D74" t="str">
            <v>Charges</v>
          </cell>
        </row>
        <row r="75">
          <cell r="A75" t="str">
            <v>Maltitol Liquid</v>
          </cell>
          <cell r="B75" t="str">
            <v>RM</v>
          </cell>
          <cell r="C75" t="str">
            <v>MISCELLANEOUS - RM</v>
          </cell>
          <cell r="D75" t="str">
            <v>Other Misc</v>
          </cell>
        </row>
        <row r="76">
          <cell r="A76" t="str">
            <v>Mango Flavour 291018</v>
          </cell>
          <cell r="B76" t="str">
            <v>RM</v>
          </cell>
          <cell r="C76" t="str">
            <v>SEASONING</v>
          </cell>
          <cell r="D76" t="str">
            <v>Seasoning</v>
          </cell>
        </row>
        <row r="77">
          <cell r="A77" t="str">
            <v>MDF Premium Medjoul Dates Box 18 Pcs</v>
          </cell>
          <cell r="B77" t="str">
            <v>FG</v>
          </cell>
          <cell r="C77" t="str">
            <v>FESTIVE HAMPERS</v>
          </cell>
          <cell r="D77" t="str">
            <v>Gifting</v>
          </cell>
        </row>
        <row r="78">
          <cell r="A78" t="str">
            <v>Mint Chutney Flavour 1</v>
          </cell>
          <cell r="B78" t="str">
            <v>RM</v>
          </cell>
          <cell r="C78" t="str">
            <v>SEASONING</v>
          </cell>
          <cell r="D78" t="str">
            <v>Seasoning</v>
          </cell>
        </row>
        <row r="79">
          <cell r="A79" t="str">
            <v>Mint Chutney Flavour 2</v>
          </cell>
          <cell r="B79" t="str">
            <v>RM</v>
          </cell>
          <cell r="C79" t="str">
            <v>SEASONING</v>
          </cell>
          <cell r="D79" t="str">
            <v>Seasoning</v>
          </cell>
        </row>
        <row r="80">
          <cell r="A80" t="str">
            <v>Misc Packing Material</v>
          </cell>
          <cell r="B80" t="str">
            <v>PM</v>
          </cell>
          <cell r="C80" t="str">
            <v>Packaging</v>
          </cell>
          <cell r="D80" t="str">
            <v>PM</v>
          </cell>
        </row>
        <row r="81">
          <cell r="A81" t="str">
            <v>MODIFIED STARCH- CRISPYTEC</v>
          </cell>
          <cell r="B81" t="str">
            <v>RM</v>
          </cell>
          <cell r="C81" t="str">
            <v>MISCELLANEOUS - RM</v>
          </cell>
          <cell r="D81" t="str">
            <v>Other Misc</v>
          </cell>
        </row>
        <row r="82">
          <cell r="A82" t="str">
            <v>Moringa Extract</v>
          </cell>
          <cell r="B82" t="str">
            <v>RM</v>
          </cell>
          <cell r="C82" t="str">
            <v>MISCELLANEOUS - RM</v>
          </cell>
          <cell r="D82" t="str">
            <v>Other Misc</v>
          </cell>
        </row>
        <row r="83">
          <cell r="A83" t="str">
            <v>MOULD  &amp; DESIGN PLATE FOR PM</v>
          </cell>
          <cell r="B83" t="str">
            <v>PM</v>
          </cell>
          <cell r="C83" t="str">
            <v>Packaging</v>
          </cell>
          <cell r="D83" t="str">
            <v>Mould</v>
          </cell>
        </row>
        <row r="84">
          <cell r="A84" t="str">
            <v>NASURE 19</v>
          </cell>
          <cell r="B84" t="str">
            <v>RM</v>
          </cell>
          <cell r="C84" t="str">
            <v>MISCELLANEOUS - RM</v>
          </cell>
          <cell r="D84" t="str">
            <v>Other Misc</v>
          </cell>
        </row>
        <row r="85">
          <cell r="A85" t="str">
            <v>Natural Pineapple Falvour 170914</v>
          </cell>
          <cell r="B85" t="str">
            <v>RM</v>
          </cell>
          <cell r="C85" t="str">
            <v>SEASONING</v>
          </cell>
          <cell r="D85" t="str">
            <v>Seasoning</v>
          </cell>
        </row>
        <row r="86">
          <cell r="A86" t="str">
            <v>Natural Red Colour - TPL</v>
          </cell>
          <cell r="B86" t="str">
            <v>RM</v>
          </cell>
          <cell r="C86" t="str">
            <v>TAJIR</v>
          </cell>
          <cell r="D86" t="str">
            <v>Tajir - Other</v>
          </cell>
        </row>
        <row r="87">
          <cell r="A87" t="str">
            <v>NEALSOYA 16-B</v>
          </cell>
          <cell r="B87" t="str">
            <v>RM</v>
          </cell>
          <cell r="C87" t="str">
            <v>MISCELLANEOUS - RM</v>
          </cell>
          <cell r="D87" t="str">
            <v>Other Misc</v>
          </cell>
        </row>
        <row r="88">
          <cell r="A88" t="str">
            <v>Nitrogen F Grade</v>
          </cell>
          <cell r="B88" t="str">
            <v>RM</v>
          </cell>
          <cell r="C88" t="str">
            <v>MISCELLANEOUS - RM</v>
          </cell>
          <cell r="D88" t="str">
            <v>Other Misc</v>
          </cell>
        </row>
        <row r="89">
          <cell r="A89" t="str">
            <v>NUTS CUTTER</v>
          </cell>
          <cell r="B89" t="str">
            <v>PM</v>
          </cell>
          <cell r="C89" t="str">
            <v>Packaging</v>
          </cell>
          <cell r="D89" t="str">
            <v>PM</v>
          </cell>
        </row>
        <row r="90">
          <cell r="A90" t="str">
            <v>Orange Flavour 220509</v>
          </cell>
          <cell r="B90" t="str">
            <v>RM</v>
          </cell>
          <cell r="C90" t="str">
            <v>SEASONING</v>
          </cell>
          <cell r="D90" t="str">
            <v>Seasoning</v>
          </cell>
        </row>
        <row r="91">
          <cell r="A91" t="str">
            <v>ORANGE SUPREME OIL FLAVOUR</v>
          </cell>
          <cell r="B91" t="str">
            <v>RM</v>
          </cell>
          <cell r="C91" t="str">
            <v>SEASONING</v>
          </cell>
          <cell r="D91" t="str">
            <v>Seasoning</v>
          </cell>
        </row>
        <row r="92">
          <cell r="A92" t="str">
            <v>Orange Zest Liquid Extract</v>
          </cell>
          <cell r="B92" t="str">
            <v>RM</v>
          </cell>
          <cell r="C92" t="str">
            <v>MISCELLANEOUS - RM</v>
          </cell>
          <cell r="D92" t="str">
            <v>Other Misc</v>
          </cell>
        </row>
        <row r="93">
          <cell r="A93" t="str">
            <v>Other professional, tech. &amp; Business Services-9983</v>
          </cell>
          <cell r="B93">
            <v>0</v>
          </cell>
          <cell r="C93" t="str">
            <v>Service</v>
          </cell>
          <cell r="D93" t="str">
            <v>Charges</v>
          </cell>
        </row>
        <row r="94">
          <cell r="A94" t="str">
            <v>Other Scrap</v>
          </cell>
          <cell r="B94" t="str">
            <v>RM</v>
          </cell>
          <cell r="C94" t="str">
            <v>MISCELLANEOUS - RM</v>
          </cell>
          <cell r="D94" t="str">
            <v>Off-Grade Misc</v>
          </cell>
        </row>
        <row r="95">
          <cell r="A95" t="str">
            <v>Peri Peri Liquid</v>
          </cell>
          <cell r="B95" t="str">
            <v>RM</v>
          </cell>
          <cell r="C95" t="str">
            <v>SEASONING</v>
          </cell>
          <cell r="D95" t="str">
            <v>Seasoning</v>
          </cell>
        </row>
        <row r="96">
          <cell r="A96" t="str">
            <v>PERI PERI LIQUID - 4010003520</v>
          </cell>
          <cell r="B96" t="str">
            <v>RM</v>
          </cell>
          <cell r="C96" t="str">
            <v>MISCELLANEOUS - RM</v>
          </cell>
          <cell r="D96" t="str">
            <v>Other Misc</v>
          </cell>
        </row>
        <row r="97">
          <cell r="A97" t="str">
            <v>Pest Control Management</v>
          </cell>
          <cell r="B97">
            <v>0</v>
          </cell>
          <cell r="C97" t="str">
            <v>Others</v>
          </cell>
          <cell r="D97" t="str">
            <v>Others</v>
          </cell>
        </row>
        <row r="98">
          <cell r="A98" t="str">
            <v>Pickwick 300g Roll Jar</v>
          </cell>
          <cell r="B98" t="str">
            <v>RM</v>
          </cell>
          <cell r="C98" t="str">
            <v>MISCELLANEOUS - RM</v>
          </cell>
          <cell r="D98" t="str">
            <v>Other Misc</v>
          </cell>
        </row>
        <row r="99">
          <cell r="A99" t="str">
            <v>Pickwick Hollow Wafer Stick</v>
          </cell>
          <cell r="B99" t="str">
            <v>RM</v>
          </cell>
          <cell r="C99" t="str">
            <v>MISCELLANEOUS - RM</v>
          </cell>
          <cell r="D99" t="str">
            <v>Other Misc</v>
          </cell>
        </row>
        <row r="100">
          <cell r="A100" t="str">
            <v>Pickwick Plain Wafers</v>
          </cell>
          <cell r="B100" t="str">
            <v>RM</v>
          </cell>
          <cell r="C100" t="str">
            <v>MISCELLANEOUS - RM</v>
          </cell>
          <cell r="D100" t="str">
            <v>Other Misc</v>
          </cell>
        </row>
        <row r="101">
          <cell r="A101" t="str">
            <v>Plant Epoxy, Paint, Repair and Other Service</v>
          </cell>
          <cell r="B101">
            <v>0</v>
          </cell>
          <cell r="C101" t="str">
            <v>Others</v>
          </cell>
          <cell r="D101" t="str">
            <v>Others</v>
          </cell>
        </row>
        <row r="102">
          <cell r="A102" t="str">
            <v>Plant Epoxy, Paint, Repair Etc -RMT</v>
          </cell>
          <cell r="B102">
            <v>0</v>
          </cell>
          <cell r="C102" t="str">
            <v>Others</v>
          </cell>
          <cell r="D102" t="str">
            <v>Others</v>
          </cell>
        </row>
        <row r="103">
          <cell r="A103" t="str">
            <v>Plastic Waste Bulk Pickup</v>
          </cell>
          <cell r="B103">
            <v>0</v>
          </cell>
          <cell r="C103" t="str">
            <v>Others</v>
          </cell>
          <cell r="D103" t="str">
            <v>Others</v>
          </cell>
        </row>
        <row r="104">
          <cell r="A104" t="str">
            <v>PM24-1000 Ml Oval Container-Habit Dates (White Jar With White Colour Lid). 900 gm</v>
          </cell>
          <cell r="B104" t="str">
            <v>PM</v>
          </cell>
          <cell r="C104" t="str">
            <v>Packaging</v>
          </cell>
          <cell r="D104" t="str">
            <v>Tub</v>
          </cell>
        </row>
        <row r="105">
          <cell r="A105" t="str">
            <v>PM24-100 Gm Glass Bottle-Medium Sized 100 gm</v>
          </cell>
          <cell r="B105" t="str">
            <v>PM</v>
          </cell>
          <cell r="C105" t="str">
            <v>Packaging</v>
          </cell>
          <cell r="D105" t="str">
            <v>Glass Bottle</v>
          </cell>
        </row>
        <row r="106">
          <cell r="A106" t="str">
            <v>PM24-100gm Pet-53mm neck with Cap &amp; IW</v>
          </cell>
          <cell r="B106" t="str">
            <v>PM</v>
          </cell>
          <cell r="C106" t="str">
            <v>Packaging</v>
          </cell>
          <cell r="D106" t="str">
            <v>Pet</v>
          </cell>
        </row>
        <row r="107">
          <cell r="A107" t="str">
            <v>PM24-100 Ml Yenki Jar Bottle 100 gm</v>
          </cell>
          <cell r="B107" t="str">
            <v>PM</v>
          </cell>
          <cell r="C107" t="str">
            <v>Packaging</v>
          </cell>
          <cell r="D107" t="str">
            <v>Glass Bottle</v>
          </cell>
        </row>
        <row r="108">
          <cell r="A108" t="str">
            <v>PM24-100Ml Yenki Jar Bottle Top 100 gm</v>
          </cell>
          <cell r="B108" t="str">
            <v>PM</v>
          </cell>
          <cell r="C108" t="str">
            <v>Packaging</v>
          </cell>
          <cell r="D108" t="str">
            <v>Glass Cap</v>
          </cell>
        </row>
        <row r="109">
          <cell r="A109" t="str">
            <v>PM24-100 mm RO Caps Reliance PGP 1 Kg</v>
          </cell>
          <cell r="B109" t="str">
            <v>PM</v>
          </cell>
          <cell r="C109" t="str">
            <v>Packaging</v>
          </cell>
          <cell r="D109" t="str">
            <v>Cap</v>
          </cell>
        </row>
        <row r="110">
          <cell r="A110" t="str">
            <v>PM24-100mm Silver Cap for Glass Jar Reliance RGP 1 Kg</v>
          </cell>
          <cell r="B110" t="str">
            <v>PM</v>
          </cell>
          <cell r="C110" t="str">
            <v>Packaging</v>
          </cell>
          <cell r="D110" t="str">
            <v>Cap</v>
          </cell>
        </row>
        <row r="111">
          <cell r="A111" t="str">
            <v>PM24-100mm x 100mm Plain 1000 Label</v>
          </cell>
          <cell r="B111" t="str">
            <v>PM</v>
          </cell>
          <cell r="C111" t="str">
            <v>Packaging</v>
          </cell>
          <cell r="D111" t="str">
            <v>Label</v>
          </cell>
        </row>
        <row r="112">
          <cell r="A112" t="str">
            <v>PM24-100mm x 50mm 1000L 1 Core, Choromo Veg Logo 500 units</v>
          </cell>
          <cell r="B112" t="str">
            <v>PM</v>
          </cell>
          <cell r="C112" t="str">
            <v>Packaging</v>
          </cell>
          <cell r="D112" t="str">
            <v>Label</v>
          </cell>
        </row>
        <row r="113">
          <cell r="A113" t="str">
            <v>PM24- 100x100mm-Chromo Labels -Plain Veg Mark</v>
          </cell>
          <cell r="B113" t="str">
            <v>PM</v>
          </cell>
          <cell r="C113" t="str">
            <v>Packaging</v>
          </cell>
          <cell r="D113" t="str">
            <v>Label</v>
          </cell>
        </row>
        <row r="114">
          <cell r="A114" t="str">
            <v>PM24- 100x100mm-Chromo Labels -Veg Logo With Candor Print (Without Address)</v>
          </cell>
          <cell r="B114" t="str">
            <v>PM</v>
          </cell>
          <cell r="C114" t="str">
            <v>Packaging</v>
          </cell>
          <cell r="D114" t="str">
            <v>Label</v>
          </cell>
        </row>
        <row r="115">
          <cell r="A115" t="str">
            <v>PM24-10Kg Candor Print LD Pouch (18.5x26) 10 Kg</v>
          </cell>
          <cell r="B115" t="str">
            <v>PM</v>
          </cell>
          <cell r="C115" t="str">
            <v>Packaging</v>
          </cell>
          <cell r="D115" t="str">
            <v>Pouch</v>
          </cell>
        </row>
        <row r="116">
          <cell r="A116" t="str">
            <v>PM24-10X12 Plain Pouch 1000 gm</v>
          </cell>
          <cell r="B116" t="str">
            <v>PM</v>
          </cell>
          <cell r="C116" t="str">
            <v>Packaging</v>
          </cell>
          <cell r="D116" t="str">
            <v>Pouch</v>
          </cell>
        </row>
        <row r="117">
          <cell r="A117" t="str">
            <v>PM24-12 Dates Printed Box 12 pc</v>
          </cell>
          <cell r="B117" t="str">
            <v>PM</v>
          </cell>
          <cell r="C117" t="str">
            <v>Packaging</v>
          </cell>
          <cell r="D117" t="str">
            <v>PM</v>
          </cell>
        </row>
        <row r="118">
          <cell r="A118" t="str">
            <v>PM24-12 Pc Cavity Printed Box 500 gm</v>
          </cell>
          <cell r="B118" t="str">
            <v>PM</v>
          </cell>
          <cell r="C118" t="str">
            <v>Packaging</v>
          </cell>
          <cell r="D118" t="str">
            <v>Box</v>
          </cell>
        </row>
        <row r="119">
          <cell r="A119" t="str">
            <v>PM24-13"CT 303 Shrink Film ( For 500 gm) Cryovac® Brand, 11/12 Micron-1900 Mtr. 500 gm</v>
          </cell>
          <cell r="B119" t="str">
            <v>PM</v>
          </cell>
          <cell r="C119" t="str">
            <v>Packaging</v>
          </cell>
          <cell r="D119" t="str">
            <v>Shrink Film</v>
          </cell>
        </row>
        <row r="120">
          <cell r="A120" t="str">
            <v>PM 24-15" CT 303 Shrink Film , 11/12 micron-1900 Mtr</v>
          </cell>
          <cell r="B120" t="str">
            <v>PM</v>
          </cell>
          <cell r="C120" t="str">
            <v>Packaging</v>
          </cell>
          <cell r="D120" t="str">
            <v>Shrink Film</v>
          </cell>
        </row>
        <row r="121">
          <cell r="A121" t="str">
            <v>PM24-16" CT 303 Shrink Film, Cryovac® Brand (11/12) Micron-1900 Mtr. 1000 gm</v>
          </cell>
          <cell r="B121" t="str">
            <v>PM</v>
          </cell>
          <cell r="C121" t="str">
            <v>Packaging</v>
          </cell>
          <cell r="D121" t="str">
            <v>Shrink Film</v>
          </cell>
        </row>
        <row r="122">
          <cell r="A122" t="str">
            <v>PM24-18 Dates Sticker</v>
          </cell>
          <cell r="B122" t="str">
            <v>PM</v>
          </cell>
          <cell r="C122" t="str">
            <v>Packaging</v>
          </cell>
          <cell r="D122" t="str">
            <v>Label</v>
          </cell>
        </row>
        <row r="123">
          <cell r="A123" t="str">
            <v>PM24-20" CT 303 Shrink Film (11/12) Micron 1000 gm</v>
          </cell>
          <cell r="B123" t="str">
            <v>PM</v>
          </cell>
          <cell r="C123" t="str">
            <v>Packaging</v>
          </cell>
          <cell r="D123" t="str">
            <v>Shrink Film</v>
          </cell>
        </row>
        <row r="124">
          <cell r="A124" t="str">
            <v>PM24-20 Cavity Blister</v>
          </cell>
          <cell r="B124" t="str">
            <v>PM</v>
          </cell>
          <cell r="C124" t="str">
            <v>Packaging</v>
          </cell>
          <cell r="D124" t="str">
            <v>Tub Bottom</v>
          </cell>
        </row>
        <row r="125">
          <cell r="A125" t="str">
            <v>PM24-21 GM Date Bite Blister</v>
          </cell>
          <cell r="B125" t="str">
            <v>PM</v>
          </cell>
          <cell r="C125" t="str">
            <v>Packaging</v>
          </cell>
          <cell r="D125" t="str">
            <v>Blister</v>
          </cell>
        </row>
        <row r="126">
          <cell r="A126" t="str">
            <v>PM24-(21O Pet) Top With Black Cap 150 gm</v>
          </cell>
          <cell r="B126" t="str">
            <v>PM</v>
          </cell>
          <cell r="C126" t="str">
            <v>Packaging</v>
          </cell>
          <cell r="D126" t="str">
            <v>Pet</v>
          </cell>
        </row>
        <row r="127">
          <cell r="A127" t="str">
            <v>PM24-22 x 30 LD Liner -375 Guage 2000 gm</v>
          </cell>
          <cell r="B127" t="str">
            <v>PM</v>
          </cell>
          <cell r="C127" t="str">
            <v>Packaging</v>
          </cell>
          <cell r="D127" t="str">
            <v>Liner</v>
          </cell>
        </row>
        <row r="128">
          <cell r="A128" t="str">
            <v>PM24-22 x 30 LD Liner -375 Guage 20 kg</v>
          </cell>
          <cell r="B128" t="str">
            <v>PM</v>
          </cell>
          <cell r="C128" t="str">
            <v>Packaging</v>
          </cell>
          <cell r="D128" t="str">
            <v>PM</v>
          </cell>
        </row>
        <row r="129">
          <cell r="A129" t="str">
            <v>PM24-24x36 PP Woven Bag Blue</v>
          </cell>
          <cell r="B129" t="str">
            <v>PM</v>
          </cell>
          <cell r="C129" t="str">
            <v>Packaging</v>
          </cell>
          <cell r="D129" t="str">
            <v>Gooni</v>
          </cell>
        </row>
        <row r="130">
          <cell r="A130" t="str">
            <v>PM24-24x36 PP Woven Bag Brown</v>
          </cell>
          <cell r="B130" t="str">
            <v>PM</v>
          </cell>
          <cell r="C130" t="str">
            <v>Packaging</v>
          </cell>
          <cell r="D130" t="str">
            <v>Gooni</v>
          </cell>
        </row>
        <row r="131">
          <cell r="A131" t="str">
            <v>PM24-24 X 36 PP Woven Bag Yellow</v>
          </cell>
          <cell r="B131" t="str">
            <v>PM</v>
          </cell>
          <cell r="C131" t="str">
            <v>Packaging</v>
          </cell>
          <cell r="D131" t="str">
            <v>Gooni</v>
          </cell>
        </row>
        <row r="132">
          <cell r="A132" t="str">
            <v>PM24-25"CT 303 Shrink Film</v>
          </cell>
          <cell r="B132" t="str">
            <v>PM</v>
          </cell>
          <cell r="C132" t="str">
            <v>Packaging</v>
          </cell>
          <cell r="D132" t="str">
            <v>Shrink Film</v>
          </cell>
        </row>
        <row r="133">
          <cell r="A133" t="str">
            <v>PM24-300 Dia Two Pc Tin Cans With Easy Peei Off + Plastic Lid 50 gm</v>
          </cell>
          <cell r="B133" t="str">
            <v>PM</v>
          </cell>
          <cell r="C133" t="str">
            <v>Packaging</v>
          </cell>
          <cell r="D133" t="str">
            <v>Tin</v>
          </cell>
        </row>
        <row r="134">
          <cell r="A134" t="str">
            <v>PM24-32x48 PP Polythene Liner Bag 50 Kg</v>
          </cell>
          <cell r="B134" t="str">
            <v>PM</v>
          </cell>
          <cell r="C134" t="str">
            <v>Packaging</v>
          </cell>
          <cell r="D134" t="str">
            <v>Liner</v>
          </cell>
        </row>
        <row r="135">
          <cell r="A135" t="str">
            <v>PM24-350 Ml Bottle Matki 350 ml</v>
          </cell>
          <cell r="B135" t="str">
            <v>PM</v>
          </cell>
          <cell r="C135" t="str">
            <v>Packaging</v>
          </cell>
          <cell r="D135" t="str">
            <v>Glass Bottle</v>
          </cell>
        </row>
        <row r="136">
          <cell r="A136" t="str">
            <v>PM24-38x38 Label</v>
          </cell>
          <cell r="B136" t="str">
            <v>PM</v>
          </cell>
          <cell r="C136" t="str">
            <v>Packaging</v>
          </cell>
          <cell r="D136" t="str">
            <v>Label</v>
          </cell>
        </row>
        <row r="137">
          <cell r="A137" t="str">
            <v>PM24-3D Transparent Pouch 250 gm</v>
          </cell>
          <cell r="B137" t="str">
            <v>PM</v>
          </cell>
          <cell r="C137" t="str">
            <v>Packaging</v>
          </cell>
          <cell r="D137" t="str">
            <v>Pouch</v>
          </cell>
        </row>
        <row r="138">
          <cell r="A138" t="str">
            <v>PM24-48x31 White Liner Bag</v>
          </cell>
          <cell r="B138" t="str">
            <v>PM</v>
          </cell>
          <cell r="C138" t="str">
            <v>Packaging</v>
          </cell>
          <cell r="D138" t="str">
            <v>Liner</v>
          </cell>
        </row>
        <row r="139">
          <cell r="A139" t="str">
            <v>PM24-48x32 PP Polythene Liner Bag 5 Kg</v>
          </cell>
          <cell r="B139" t="str">
            <v>PM</v>
          </cell>
          <cell r="C139" t="str">
            <v>Packaging</v>
          </cell>
          <cell r="D139" t="str">
            <v>Liner</v>
          </cell>
        </row>
        <row r="140">
          <cell r="A140" t="str">
            <v>PM24-500 Gm Blister Top/Bottom 500 gm</v>
          </cell>
          <cell r="B140" t="str">
            <v>PM</v>
          </cell>
          <cell r="C140" t="str">
            <v>Packaging</v>
          </cell>
          <cell r="D140" t="str">
            <v>Blister</v>
          </cell>
        </row>
        <row r="141">
          <cell r="A141" t="str">
            <v>PM24-500 Ml Oval Transparent Container With Lid-Dates 350/400 gm</v>
          </cell>
          <cell r="B141" t="str">
            <v>PM</v>
          </cell>
          <cell r="C141" t="str">
            <v>Packaging</v>
          </cell>
          <cell r="D141" t="str">
            <v>Tub</v>
          </cell>
        </row>
        <row r="142">
          <cell r="A142" t="str">
            <v>PM24-500 Ml Sqaure Pet-73 mm Neck With Trans Cap &amp; Wad Square Bottle 250 gm</v>
          </cell>
          <cell r="B142" t="str">
            <v>PM</v>
          </cell>
          <cell r="C142" t="str">
            <v>Packaging</v>
          </cell>
          <cell r="D142" t="str">
            <v>Pet</v>
          </cell>
        </row>
        <row r="143">
          <cell r="A143" t="str">
            <v>PM24-50mm x 25mm 2AC Chromo Label 300 mt</v>
          </cell>
          <cell r="B143" t="str">
            <v>PM</v>
          </cell>
          <cell r="C143" t="str">
            <v>Packaging</v>
          </cell>
          <cell r="D143" t="str">
            <v>Label</v>
          </cell>
        </row>
        <row r="144">
          <cell r="A144" t="str">
            <v>PM24- 50X25mm-Chromo Labels -Plain</v>
          </cell>
          <cell r="B144" t="str">
            <v>PM</v>
          </cell>
          <cell r="C144" t="str">
            <v>Packaging</v>
          </cell>
          <cell r="D144" t="str">
            <v>Label</v>
          </cell>
        </row>
        <row r="145">
          <cell r="A145" t="str">
            <v>PM24-5 Grain Cereal Granola (Standy Pouch) 300 gm Digital Dark Chocolate</v>
          </cell>
          <cell r="B145" t="str">
            <v>PM</v>
          </cell>
          <cell r="C145" t="str">
            <v>Packaging</v>
          </cell>
          <cell r="D145" t="str">
            <v>Pouch Roll</v>
          </cell>
        </row>
        <row r="146">
          <cell r="A146" t="str">
            <v>PM24-5 Grain Cereal Original (Standy Pouch) 300 gm Digital</v>
          </cell>
          <cell r="B146" t="str">
            <v>PM</v>
          </cell>
          <cell r="C146" t="str">
            <v>Packaging</v>
          </cell>
          <cell r="D146" t="str">
            <v>Pouch Roll</v>
          </cell>
        </row>
        <row r="147">
          <cell r="A147" t="str">
            <v>PM24-5 Grain Cereal Printed Cup Pp, 5 Grain Cereal 50G-Original 50 gm</v>
          </cell>
          <cell r="B147" t="str">
            <v>PM</v>
          </cell>
          <cell r="C147" t="str">
            <v>Packaging</v>
          </cell>
          <cell r="D147" t="str">
            <v>Cup</v>
          </cell>
        </row>
        <row r="148">
          <cell r="A148" t="str">
            <v>PM24-5 Grain Choclate Cereal Printed Cup Pp, 5 Grain Cereal 50G-Dark Chocolate 50 gm</v>
          </cell>
          <cell r="B148" t="str">
            <v>PM</v>
          </cell>
          <cell r="C148" t="str">
            <v>Packaging</v>
          </cell>
          <cell r="D148" t="str">
            <v>Cup</v>
          </cell>
        </row>
        <row r="149">
          <cell r="A149" t="str">
            <v>PM24-5 Kg Printed LD Pouch (14.25x18x325) 5 Kg</v>
          </cell>
          <cell r="B149" t="str">
            <v>PM</v>
          </cell>
          <cell r="C149" t="str">
            <v>Packaging</v>
          </cell>
          <cell r="D149" t="str">
            <v>Pouch</v>
          </cell>
        </row>
        <row r="150">
          <cell r="A150" t="str">
            <v>PM24-5 Partition Season Greeting Corrogation Box Big Red 800 gm</v>
          </cell>
          <cell r="B150" t="str">
            <v>PM</v>
          </cell>
          <cell r="C150" t="str">
            <v>Packaging</v>
          </cell>
          <cell r="D150" t="str">
            <v>Hamper-Box</v>
          </cell>
        </row>
        <row r="151">
          <cell r="A151" t="str">
            <v>PM24-600Ml Tub With Container Lid And Handle 250 gm</v>
          </cell>
          <cell r="B151" t="str">
            <v>PM</v>
          </cell>
          <cell r="C151" t="str">
            <v>Packaging</v>
          </cell>
          <cell r="D151" t="str">
            <v>Tub</v>
          </cell>
        </row>
        <row r="152">
          <cell r="A152" t="str">
            <v>PM24-63 mm Golden Cap 350 ml</v>
          </cell>
          <cell r="B152" t="str">
            <v>PM</v>
          </cell>
          <cell r="C152" t="str">
            <v>Packaging</v>
          </cell>
          <cell r="D152" t="str">
            <v>Cap</v>
          </cell>
        </row>
        <row r="153">
          <cell r="A153" t="str">
            <v>PM24-700 Ml Round Pet-73 mm Neck-With Trans Cap &amp; Wad Square Bottle 400 gm</v>
          </cell>
          <cell r="B153" t="str">
            <v>PM</v>
          </cell>
          <cell r="C153" t="str">
            <v>Packaging</v>
          </cell>
          <cell r="D153" t="str">
            <v>Pet</v>
          </cell>
        </row>
        <row r="154">
          <cell r="A154" t="str">
            <v>PM24-70 mm x30 mm Matt Inkjet</v>
          </cell>
          <cell r="B154" t="str">
            <v>PM</v>
          </cell>
          <cell r="C154" t="str">
            <v>Packaging</v>
          </cell>
          <cell r="D154" t="str">
            <v>Label</v>
          </cell>
        </row>
        <row r="155">
          <cell r="A155" t="str">
            <v>PM24-70mm x 80mm x 1 Ac Chromo Labels 500 Per Label Roll 250 gm</v>
          </cell>
          <cell r="B155" t="str">
            <v>PM</v>
          </cell>
          <cell r="C155" t="str">
            <v>Packaging</v>
          </cell>
          <cell r="D155" t="str">
            <v>Label</v>
          </cell>
        </row>
        <row r="156">
          <cell r="A156" t="str">
            <v>PM24-82 mm RO Caps Reliance PGP 500 gm aluminum</v>
          </cell>
          <cell r="B156" t="str">
            <v>PM</v>
          </cell>
          <cell r="C156" t="str">
            <v>Packaging</v>
          </cell>
          <cell r="D156" t="str">
            <v>Cap</v>
          </cell>
        </row>
        <row r="157">
          <cell r="A157" t="str">
            <v>PM24-83mm Round Pet Jar 1100 ml Cap Pet With Wad 500 gm</v>
          </cell>
          <cell r="B157" t="str">
            <v>PM</v>
          </cell>
          <cell r="C157" t="str">
            <v>Packaging</v>
          </cell>
          <cell r="D157" t="str">
            <v>Pet</v>
          </cell>
        </row>
        <row r="158">
          <cell r="A158" t="str">
            <v>PM24-8 Dates Printed Box 500 gm</v>
          </cell>
          <cell r="B158" t="str">
            <v>PM</v>
          </cell>
          <cell r="C158" t="str">
            <v>Packaging</v>
          </cell>
          <cell r="D158" t="str">
            <v>Box</v>
          </cell>
        </row>
        <row r="159">
          <cell r="A159" t="str">
            <v>PM24-Abjosh Manuka Pouch 100 gm</v>
          </cell>
          <cell r="B159" t="str">
            <v>PM</v>
          </cell>
          <cell r="C159" t="str">
            <v>Packaging</v>
          </cell>
          <cell r="D159" t="str">
            <v>Pouch</v>
          </cell>
        </row>
        <row r="160">
          <cell r="A160" t="str">
            <v>PM24-Acrylic Stand For Display 100 gm</v>
          </cell>
          <cell r="B160" t="str">
            <v>PM</v>
          </cell>
          <cell r="C160" t="str">
            <v>Packaging</v>
          </cell>
          <cell r="D160" t="str">
            <v>Stand</v>
          </cell>
        </row>
        <row r="161">
          <cell r="A161" t="str">
            <v>PM24-Ahlan Dark Chocolate Dates Pouch 13 gm Digital</v>
          </cell>
          <cell r="B161" t="str">
            <v>PM</v>
          </cell>
          <cell r="C161" t="str">
            <v>Packaging</v>
          </cell>
          <cell r="D161" t="str">
            <v>Pouch Roll</v>
          </cell>
        </row>
        <row r="162">
          <cell r="A162" t="str">
            <v>PM24-Ahlan Milk Chocolate Dates Pouch 13 gm Digital</v>
          </cell>
          <cell r="B162" t="str">
            <v>PM</v>
          </cell>
          <cell r="C162" t="str">
            <v>Packaging</v>
          </cell>
          <cell r="D162" t="str">
            <v>Pouch Roll</v>
          </cell>
        </row>
        <row r="163">
          <cell r="A163" t="str">
            <v>PM24-Ahlan White Chocolate Dates Pouch 13 gm Digital</v>
          </cell>
          <cell r="B163" t="str">
            <v>PM</v>
          </cell>
          <cell r="C163" t="str">
            <v>Packaging</v>
          </cell>
          <cell r="D163" t="str">
            <v>Pouch Roll</v>
          </cell>
        </row>
        <row r="164">
          <cell r="A164" t="str">
            <v>PM24-Airbag Bubble Roll</v>
          </cell>
          <cell r="B164" t="str">
            <v>PM</v>
          </cell>
          <cell r="C164" t="str">
            <v>Packaging</v>
          </cell>
          <cell r="D164" t="str">
            <v>Roll</v>
          </cell>
        </row>
        <row r="165">
          <cell r="A165" t="str">
            <v>PM24-Airbag Pillow 200mm 50 Gsm 100 gm</v>
          </cell>
          <cell r="B165" t="str">
            <v>PM</v>
          </cell>
          <cell r="C165" t="str">
            <v>Packaging</v>
          </cell>
          <cell r="D165" t="str">
            <v>Roll</v>
          </cell>
        </row>
        <row r="166">
          <cell r="A166" t="str">
            <v>PM24-Airbag Pillow 400mm 70 Gsm 100 gm</v>
          </cell>
          <cell r="B166" t="str">
            <v>PM</v>
          </cell>
          <cell r="C166" t="str">
            <v>Packaging</v>
          </cell>
          <cell r="D166" t="str">
            <v>Roll</v>
          </cell>
        </row>
        <row r="167">
          <cell r="A167" t="str">
            <v>PM24-Ajfan Barbeque Trail Mix Nuts Composite Tin 100 gm</v>
          </cell>
          <cell r="B167" t="str">
            <v>PM</v>
          </cell>
          <cell r="C167" t="str">
            <v>Packaging</v>
          </cell>
          <cell r="D167" t="str">
            <v>Tin</v>
          </cell>
        </row>
        <row r="168">
          <cell r="A168" t="str">
            <v>PM24-Ajfan Caramel &amp; Himayan Salted Trail Mix Nuts Composite Tin 100 gm</v>
          </cell>
          <cell r="B168" t="str">
            <v>PM</v>
          </cell>
          <cell r="C168" t="str">
            <v>Packaging</v>
          </cell>
          <cell r="D168" t="str">
            <v>Tin</v>
          </cell>
        </row>
        <row r="169">
          <cell r="A169" t="str">
            <v>PM24-Ajfan Premium Kimia Dates-500Gm 700 Ml Rct Tub With Purple Lid Transparent 500 gm</v>
          </cell>
          <cell r="B169" t="str">
            <v>PM</v>
          </cell>
          <cell r="C169" t="str">
            <v>Packaging</v>
          </cell>
          <cell r="D169" t="str">
            <v>Tub</v>
          </cell>
        </row>
        <row r="170">
          <cell r="A170" t="str">
            <v>PM24-Ajfan Roasted &amp; Salted Trail Mix Nuts Composite Tin 100 gm</v>
          </cell>
          <cell r="B170" t="str">
            <v>PM</v>
          </cell>
          <cell r="C170" t="str">
            <v>Packaging</v>
          </cell>
          <cell r="D170" t="str">
            <v>Tin</v>
          </cell>
        </row>
        <row r="171">
          <cell r="A171" t="str">
            <v>PM24-Al Barakah Ajwa Dates Pouch-190mm x 115 mm-Sample Pouch 50 gm</v>
          </cell>
          <cell r="B171" t="str">
            <v>PM</v>
          </cell>
          <cell r="C171" t="str">
            <v>Packaging</v>
          </cell>
          <cell r="D171" t="str">
            <v>Pouch</v>
          </cell>
        </row>
        <row r="172">
          <cell r="A172" t="str">
            <v>PM24-Al Barakah Date Powder Pouch 250gm</v>
          </cell>
          <cell r="B172" t="str">
            <v>PM</v>
          </cell>
          <cell r="C172" t="str">
            <v>Packaging</v>
          </cell>
          <cell r="D172" t="str">
            <v>Pouch</v>
          </cell>
        </row>
        <row r="173">
          <cell r="A173" t="str">
            <v>PM24-Al Barakah Fard Dates Pouch (185 x 235 mm) 500 gm</v>
          </cell>
          <cell r="B173" t="str">
            <v>PM</v>
          </cell>
          <cell r="C173" t="str">
            <v>Packaging</v>
          </cell>
          <cell r="D173" t="str">
            <v>Pouch</v>
          </cell>
        </row>
        <row r="174">
          <cell r="A174" t="str">
            <v>PM24-Al Barakah Fard Delight Dates 500 gm Pouch Digital</v>
          </cell>
          <cell r="B174" t="str">
            <v>PM</v>
          </cell>
          <cell r="C174" t="str">
            <v>Packaging</v>
          </cell>
          <cell r="D174" t="str">
            <v>Pouch Roll</v>
          </cell>
        </row>
        <row r="175">
          <cell r="A175" t="str">
            <v>PM24-Al Barakah Golden Date Pouch 500 gm</v>
          </cell>
          <cell r="B175" t="str">
            <v>PM</v>
          </cell>
          <cell r="C175" t="str">
            <v>Packaging</v>
          </cell>
          <cell r="D175" t="str">
            <v>Pouch</v>
          </cell>
        </row>
        <row r="176">
          <cell r="A176" t="str">
            <v>PM24-Al Barakah Khalas Dates 500 gm Pouch Digital</v>
          </cell>
          <cell r="B176" t="str">
            <v>PM</v>
          </cell>
          <cell r="C176" t="str">
            <v>Packaging</v>
          </cell>
          <cell r="D176" t="str">
            <v>Pouch Roll</v>
          </cell>
        </row>
        <row r="177">
          <cell r="A177" t="str">
            <v>PM24-Al Barakah Khalas Dates Pouch (185 x 235 mm) 500 gm</v>
          </cell>
          <cell r="B177" t="str">
            <v>PM</v>
          </cell>
          <cell r="C177" t="str">
            <v>Packaging</v>
          </cell>
          <cell r="D177" t="str">
            <v>Pouch</v>
          </cell>
        </row>
        <row r="178">
          <cell r="A178" t="str">
            <v>PM24-Al Barakah Khalas Dates Pouch-Sample Pouch 30 gm</v>
          </cell>
          <cell r="B178" t="str">
            <v>PM</v>
          </cell>
          <cell r="C178" t="str">
            <v>Packaging</v>
          </cell>
          <cell r="D178" t="str">
            <v>Pouch</v>
          </cell>
        </row>
        <row r="179">
          <cell r="A179" t="str">
            <v>PM24-Al Barakah Khneize Dates Pouch-(185 x 235 mm) 500 gm</v>
          </cell>
          <cell r="B179" t="str">
            <v>PM</v>
          </cell>
          <cell r="C179" t="str">
            <v>Packaging</v>
          </cell>
          <cell r="D179" t="str">
            <v>Pouch</v>
          </cell>
        </row>
        <row r="180">
          <cell r="A180" t="str">
            <v>PM24-Al Barakah Khneize Dates Pouch-3 Dates-190mm x 115 mm-Sample Pouch 50 gm</v>
          </cell>
          <cell r="B180" t="str">
            <v>PM</v>
          </cell>
          <cell r="C180" t="str">
            <v>Packaging</v>
          </cell>
          <cell r="D180" t="str">
            <v>Pouch</v>
          </cell>
        </row>
        <row r="181">
          <cell r="A181" t="str">
            <v>PM24-Al Barakah Kimia Dates Top 500 gm</v>
          </cell>
          <cell r="B181" t="str">
            <v>PM</v>
          </cell>
          <cell r="C181" t="str">
            <v>Packaging</v>
          </cell>
          <cell r="D181" t="str">
            <v>Top</v>
          </cell>
        </row>
        <row r="182">
          <cell r="A182" t="str">
            <v>PM24-Al Barakah Kimia Dates Tub 700Ml-Square Container 500 gm</v>
          </cell>
          <cell r="B182" t="str">
            <v>PM</v>
          </cell>
          <cell r="C182" t="str">
            <v>Packaging</v>
          </cell>
          <cell r="D182" t="str">
            <v>Tub</v>
          </cell>
        </row>
        <row r="183">
          <cell r="A183" t="str">
            <v>PM24-Al Barakah Kimia Dates Tub 700Ml-Square Container (Halal Logo) 500 gm</v>
          </cell>
          <cell r="B183" t="str">
            <v>PM</v>
          </cell>
          <cell r="C183" t="str">
            <v>Packaging</v>
          </cell>
          <cell r="D183" t="str">
            <v>Tub</v>
          </cell>
        </row>
        <row r="184">
          <cell r="A184" t="str">
            <v>PM24-Al barakah Medjoul Dates Top 500 gm</v>
          </cell>
          <cell r="B184" t="str">
            <v>PM</v>
          </cell>
          <cell r="C184" t="str">
            <v>Packaging</v>
          </cell>
          <cell r="D184" t="str">
            <v>Top</v>
          </cell>
        </row>
        <row r="185">
          <cell r="A185" t="str">
            <v>PM24-Al Barakah Oman Date Pouch 500 gm</v>
          </cell>
          <cell r="B185" t="str">
            <v>PM</v>
          </cell>
          <cell r="C185" t="str">
            <v>Packaging</v>
          </cell>
          <cell r="D185" t="str">
            <v>Pouch</v>
          </cell>
        </row>
        <row r="186">
          <cell r="A186" t="str">
            <v>PM24-Al Barakah Oman Dates Pouch 1kg</v>
          </cell>
          <cell r="B186" t="str">
            <v>PM</v>
          </cell>
          <cell r="C186" t="str">
            <v>Packaging</v>
          </cell>
          <cell r="D186" t="str">
            <v>Pouch</v>
          </cell>
        </row>
        <row r="187">
          <cell r="A187" t="str">
            <v>PM24-AL Barakah Premium Seedless Dates Pouch 500 gm</v>
          </cell>
          <cell r="B187" t="str">
            <v>PM</v>
          </cell>
          <cell r="C187" t="str">
            <v>Packaging</v>
          </cell>
          <cell r="D187" t="str">
            <v>Pouch</v>
          </cell>
        </row>
        <row r="188">
          <cell r="A188" t="str">
            <v>PM24-Al Barakah Safawi Dates Pouch 500 gm</v>
          </cell>
          <cell r="B188" t="str">
            <v>PM</v>
          </cell>
          <cell r="C188" t="str">
            <v>Packaging</v>
          </cell>
          <cell r="D188" t="str">
            <v>Pouch</v>
          </cell>
        </row>
        <row r="189">
          <cell r="A189" t="str">
            <v>PM24-Al Barakah Safawi Dates-Sample Pouch 30 gm</v>
          </cell>
          <cell r="B189" t="str">
            <v>PM</v>
          </cell>
          <cell r="C189" t="str">
            <v>Packaging</v>
          </cell>
          <cell r="D189" t="str">
            <v>Pouch</v>
          </cell>
        </row>
        <row r="190">
          <cell r="A190" t="str">
            <v>PM24-Al Barakah (Seeded) Kalmi Dates Top 400 gm</v>
          </cell>
          <cell r="B190" t="str">
            <v>PM</v>
          </cell>
          <cell r="C190" t="str">
            <v>Packaging</v>
          </cell>
          <cell r="D190" t="str">
            <v>Top</v>
          </cell>
        </row>
        <row r="191">
          <cell r="A191" t="str">
            <v>PM24-Al Barakakh Kimia Dates 500 gm Pouch Digital</v>
          </cell>
          <cell r="B191" t="str">
            <v>PM</v>
          </cell>
          <cell r="C191" t="str">
            <v>Packaging</v>
          </cell>
          <cell r="D191" t="str">
            <v>Pouch Roll</v>
          </cell>
        </row>
        <row r="192">
          <cell r="A192" t="str">
            <v>PM24-Al Barakha Arabian Dates Pouch 400gm</v>
          </cell>
          <cell r="B192" t="str">
            <v>PM</v>
          </cell>
          <cell r="C192" t="str">
            <v>Packaging</v>
          </cell>
          <cell r="D192" t="str">
            <v>Pouch</v>
          </cell>
        </row>
        <row r="193">
          <cell r="A193" t="str">
            <v>PM24-All is Well Choco Crunch Bar 30 gm Pouch Digital</v>
          </cell>
          <cell r="B193" t="str">
            <v>PM</v>
          </cell>
          <cell r="C193" t="str">
            <v>Packaging</v>
          </cell>
          <cell r="D193" t="str">
            <v>Pouch Roll</v>
          </cell>
        </row>
        <row r="194">
          <cell r="A194" t="str">
            <v>PM24-All Is Well Coffee Bites 10 gm Pouch Digital</v>
          </cell>
          <cell r="B194" t="str">
            <v>PM</v>
          </cell>
          <cell r="C194" t="str">
            <v>Packaging</v>
          </cell>
          <cell r="D194" t="str">
            <v>Pouch Roll</v>
          </cell>
        </row>
        <row r="195">
          <cell r="A195" t="str">
            <v>PM24-All Is Well Coffee Bites 60 gm Triangular Monocarton</v>
          </cell>
          <cell r="B195" t="str">
            <v>PM</v>
          </cell>
          <cell r="C195" t="str">
            <v>Packaging</v>
          </cell>
          <cell r="D195" t="str">
            <v xml:space="preserve">Monocarton </v>
          </cell>
        </row>
        <row r="196">
          <cell r="A196" t="str">
            <v>PM24-All is Well Fig And Dates Bar 30 gm Pouch Digital</v>
          </cell>
          <cell r="B196" t="str">
            <v>PM</v>
          </cell>
          <cell r="C196" t="str">
            <v>Packaging</v>
          </cell>
          <cell r="D196" t="str">
            <v>Pouch Roll</v>
          </cell>
        </row>
        <row r="197">
          <cell r="A197" t="str">
            <v>PM24-All Is Well Hazelnut Bar 30 gm Pouch Digital</v>
          </cell>
          <cell r="B197" t="str">
            <v>PM</v>
          </cell>
          <cell r="C197" t="str">
            <v>Packaging</v>
          </cell>
          <cell r="D197" t="str">
            <v>Pouch Roll</v>
          </cell>
        </row>
        <row r="198">
          <cell r="A198" t="str">
            <v>PM24-All is Well Oats And Aprictos Bar 30 gm Pouch Digital</v>
          </cell>
          <cell r="B198" t="str">
            <v>PM</v>
          </cell>
          <cell r="C198" t="str">
            <v>Packaging</v>
          </cell>
          <cell r="D198" t="str">
            <v>Pouch Roll</v>
          </cell>
        </row>
        <row r="199">
          <cell r="A199" t="str">
            <v>PM24- Almonds Stand UP Pouch</v>
          </cell>
          <cell r="B199" t="str">
            <v>PM</v>
          </cell>
          <cell r="C199" t="str">
            <v>Packaging</v>
          </cell>
          <cell r="D199" t="str">
            <v>Pouch</v>
          </cell>
        </row>
        <row r="200">
          <cell r="A200" t="str">
            <v>PM24-Alpina Bbq Peanut Pouch 200 gm</v>
          </cell>
          <cell r="B200" t="str">
            <v>PM</v>
          </cell>
          <cell r="C200" t="str">
            <v>Packaging</v>
          </cell>
          <cell r="D200" t="str">
            <v>Pouch</v>
          </cell>
        </row>
        <row r="201">
          <cell r="A201" t="str">
            <v>PM24-Alpina Honey Peanut Pouch 200 gm</v>
          </cell>
          <cell r="B201" t="str">
            <v>PM</v>
          </cell>
          <cell r="C201" t="str">
            <v>Packaging</v>
          </cell>
          <cell r="D201" t="str">
            <v>Pouch</v>
          </cell>
        </row>
        <row r="202">
          <cell r="A202" t="str">
            <v>PM24-Aluminum Seal Big 430 ml</v>
          </cell>
          <cell r="B202" t="str">
            <v>PM</v>
          </cell>
          <cell r="C202" t="str">
            <v>Packaging</v>
          </cell>
          <cell r="D202" t="str">
            <v>Aluminum Seal</v>
          </cell>
        </row>
        <row r="203">
          <cell r="A203" t="str">
            <v>PM24-Aluminum Seal Big 800 ml</v>
          </cell>
          <cell r="B203" t="str">
            <v>PM</v>
          </cell>
          <cell r="C203" t="str">
            <v>Packaging</v>
          </cell>
          <cell r="D203" t="str">
            <v>Aluminum Seal</v>
          </cell>
        </row>
        <row r="204">
          <cell r="A204" t="str">
            <v>PM24-Aluminum Seal Small 180 gm</v>
          </cell>
          <cell r="B204" t="str">
            <v>PM</v>
          </cell>
          <cell r="C204" t="str">
            <v>Packaging</v>
          </cell>
          <cell r="D204" t="str">
            <v>Aluminum Seal</v>
          </cell>
        </row>
        <row r="205">
          <cell r="A205" t="str">
            <v>PM24-Amazon Brand-Kitchen Cheer Nuts, Berries And Seed Mix | 200G Pouch</v>
          </cell>
          <cell r="B205" t="str">
            <v>PM</v>
          </cell>
          <cell r="C205" t="str">
            <v>Packaging</v>
          </cell>
          <cell r="D205" t="str">
            <v>Pouch</v>
          </cell>
        </row>
        <row r="206">
          <cell r="A206" t="str">
            <v>PM24-Amazon Brand-Kitchen Cheer Nuts, Berries Mix | 200G Pouch</v>
          </cell>
          <cell r="B206" t="str">
            <v>PM</v>
          </cell>
          <cell r="C206" t="str">
            <v>Packaging</v>
          </cell>
          <cell r="D206" t="str">
            <v>Pouch</v>
          </cell>
        </row>
        <row r="207">
          <cell r="A207" t="str">
            <v>PM24-Amazon Brand-Kitchen Cheer Nuts, Dry Fruit Nut Mix | 200G Pouch</v>
          </cell>
          <cell r="B207" t="str">
            <v>PM</v>
          </cell>
          <cell r="C207" t="str">
            <v>Packaging</v>
          </cell>
          <cell r="D207" t="str">
            <v>Pouch</v>
          </cell>
        </row>
        <row r="208">
          <cell r="A208" t="str">
            <v>PM24-Amazon Brand-Kitchen Cheer Nuts, Seed Mix | 200G Pouch</v>
          </cell>
          <cell r="B208" t="str">
            <v>PM</v>
          </cell>
          <cell r="C208" t="str">
            <v>Packaging</v>
          </cell>
          <cell r="D208" t="str">
            <v>Pouch</v>
          </cell>
        </row>
        <row r="209">
          <cell r="A209" t="str">
            <v>PM24-Amazon Prime BOPP Tape (72 mm x 65 mtr) 42 Mic - New</v>
          </cell>
          <cell r="B209" t="str">
            <v>PM</v>
          </cell>
          <cell r="C209" t="str">
            <v>Packaging</v>
          </cell>
          <cell r="D209" t="str">
            <v>Tape</v>
          </cell>
        </row>
        <row r="210">
          <cell r="A210" t="str">
            <v>PM24-Amery Dates Carton Label 8000 gm</v>
          </cell>
          <cell r="B210" t="str">
            <v>PM</v>
          </cell>
          <cell r="C210" t="str">
            <v>Packaging</v>
          </cell>
          <cell r="D210" t="str">
            <v>Label</v>
          </cell>
        </row>
        <row r="211">
          <cell r="A211" t="str">
            <v>PM24-Anjeer 250 gm</v>
          </cell>
          <cell r="B211" t="str">
            <v>PM</v>
          </cell>
          <cell r="C211" t="str">
            <v>Packaging</v>
          </cell>
          <cell r="D211" t="str">
            <v>Blister</v>
          </cell>
        </row>
        <row r="212">
          <cell r="A212" t="str">
            <v>PM24-Anjeer 300 gm</v>
          </cell>
          <cell r="B212" t="str">
            <v>PM</v>
          </cell>
          <cell r="C212" t="str">
            <v>Packaging</v>
          </cell>
          <cell r="D212" t="str">
            <v>Blister</v>
          </cell>
        </row>
        <row r="213">
          <cell r="A213" t="str">
            <v>PM24-Anjeer Large Premium 250 gm</v>
          </cell>
          <cell r="B213" t="str">
            <v>PM</v>
          </cell>
          <cell r="C213" t="str">
            <v>Packaging</v>
          </cell>
          <cell r="D213" t="str">
            <v>Blister</v>
          </cell>
        </row>
        <row r="214">
          <cell r="A214" t="str">
            <v>PM24-Apollo Standy Dates Pouch 500 gm</v>
          </cell>
          <cell r="B214" t="str">
            <v>PM</v>
          </cell>
          <cell r="C214" t="str">
            <v>Packaging</v>
          </cell>
          <cell r="D214" t="str">
            <v>Pouch</v>
          </cell>
        </row>
        <row r="215">
          <cell r="A215" t="str">
            <v>PM24-Apricot Bottom 250 gm</v>
          </cell>
          <cell r="B215" t="str">
            <v>PM</v>
          </cell>
          <cell r="C215" t="str">
            <v>Packaging</v>
          </cell>
          <cell r="D215" t="str">
            <v>Bottom</v>
          </cell>
        </row>
        <row r="216">
          <cell r="A216" t="str">
            <v>PM24-Arabian Dates Ajwa Dates Top 500 gm</v>
          </cell>
          <cell r="B216" t="str">
            <v>PM</v>
          </cell>
          <cell r="C216" t="str">
            <v>Packaging</v>
          </cell>
          <cell r="D216" t="str">
            <v>Top</v>
          </cell>
        </row>
        <row r="217">
          <cell r="A217" t="str">
            <v>PM24-Arabian Dates Ameri Dates Top 500 gm</v>
          </cell>
          <cell r="B217" t="str">
            <v>PM</v>
          </cell>
          <cell r="C217" t="str">
            <v>Packaging</v>
          </cell>
          <cell r="D217" t="str">
            <v>Top</v>
          </cell>
        </row>
        <row r="218">
          <cell r="A218" t="str">
            <v>PM24-Arabian Dates Deglet Dates Top 500 gm</v>
          </cell>
          <cell r="B218" t="str">
            <v>PM</v>
          </cell>
          <cell r="C218" t="str">
            <v>Packaging</v>
          </cell>
          <cell r="D218" t="str">
            <v>Top</v>
          </cell>
        </row>
        <row r="219">
          <cell r="A219" t="str">
            <v>PM24-Arabian Dates Fardh Dates 500 gm</v>
          </cell>
          <cell r="B219" t="str">
            <v>PM</v>
          </cell>
          <cell r="C219" t="str">
            <v>Packaging</v>
          </cell>
          <cell r="D219" t="str">
            <v>PM</v>
          </cell>
        </row>
        <row r="220">
          <cell r="A220" t="str">
            <v>PM24-Arabian Dates Khidri Dates 500 gm</v>
          </cell>
          <cell r="B220" t="str">
            <v>PM</v>
          </cell>
          <cell r="C220" t="str">
            <v>Packaging</v>
          </cell>
          <cell r="D220" t="str">
            <v>PM</v>
          </cell>
        </row>
        <row r="221">
          <cell r="A221" t="str">
            <v>PM24-Arabian Dates Mabroom Dates Top 500 gm</v>
          </cell>
          <cell r="B221" t="str">
            <v>PM</v>
          </cell>
          <cell r="C221" t="str">
            <v>Packaging</v>
          </cell>
          <cell r="D221" t="str">
            <v>Top</v>
          </cell>
        </row>
        <row r="222">
          <cell r="A222" t="str">
            <v>PM24-Arabian Dates Mazafati Dates 500 gm</v>
          </cell>
          <cell r="B222" t="str">
            <v>PM</v>
          </cell>
          <cell r="C222" t="str">
            <v>Packaging</v>
          </cell>
          <cell r="D222" t="str">
            <v>PM</v>
          </cell>
        </row>
        <row r="223">
          <cell r="A223" t="str">
            <v>PM24-Arabian Dates Rabia Dates Top 500 gm</v>
          </cell>
          <cell r="B223" t="str">
            <v>PM</v>
          </cell>
          <cell r="C223" t="str">
            <v>Packaging</v>
          </cell>
          <cell r="D223" t="str">
            <v>Top</v>
          </cell>
        </row>
        <row r="224">
          <cell r="A224" t="str">
            <v>PM24-Arabian Dates Safavi Dates Top 500 gm</v>
          </cell>
          <cell r="B224" t="str">
            <v>PM</v>
          </cell>
          <cell r="C224" t="str">
            <v>Packaging</v>
          </cell>
          <cell r="D224" t="str">
            <v>Top</v>
          </cell>
        </row>
        <row r="225">
          <cell r="A225" t="str">
            <v>PM24-Arabian Dates Segai Dates 500 gm</v>
          </cell>
          <cell r="B225" t="str">
            <v>PM</v>
          </cell>
          <cell r="C225" t="str">
            <v>Packaging</v>
          </cell>
          <cell r="D225" t="str">
            <v>PM</v>
          </cell>
        </row>
        <row r="226">
          <cell r="A226" t="str">
            <v>PM24-Arabian Dates Sukkari Dates Top 500 gm</v>
          </cell>
          <cell r="B226" t="str">
            <v>PM</v>
          </cell>
          <cell r="C226" t="str">
            <v>Packaging</v>
          </cell>
          <cell r="D226" t="str">
            <v>Top</v>
          </cell>
        </row>
        <row r="227">
          <cell r="A227" t="str">
            <v>PM24-Australia Macadamia Dark Chocolate Clusters  Pouch</v>
          </cell>
          <cell r="B227" t="str">
            <v>PM</v>
          </cell>
          <cell r="C227" t="str">
            <v>Packaging</v>
          </cell>
          <cell r="D227" t="str">
            <v>Pouch</v>
          </cell>
        </row>
        <row r="228">
          <cell r="A228" t="str">
            <v>PM24-Australia Macadamia Honey Roast Pouch</v>
          </cell>
          <cell r="B228" t="str">
            <v>PM</v>
          </cell>
          <cell r="C228" t="str">
            <v>Packaging</v>
          </cell>
          <cell r="D228" t="str">
            <v>Pouch</v>
          </cell>
        </row>
        <row r="229">
          <cell r="A229" t="str">
            <v>PM24-Australia Macadamia Milk Chocolate Clusters  Pouch</v>
          </cell>
          <cell r="B229" t="str">
            <v>PM</v>
          </cell>
          <cell r="C229" t="str">
            <v>Packaging</v>
          </cell>
          <cell r="D229" t="str">
            <v>Pouch</v>
          </cell>
        </row>
        <row r="230">
          <cell r="A230" t="str">
            <v>PM24-Australia Macadamia Sweet Chilli  Pouch</v>
          </cell>
          <cell r="B230" t="str">
            <v>PM</v>
          </cell>
          <cell r="C230" t="str">
            <v>Packaging</v>
          </cell>
          <cell r="D230" t="str">
            <v>Pouch</v>
          </cell>
        </row>
        <row r="231">
          <cell r="A231" t="str">
            <v>PM24-Azmah Pouch 500 gm</v>
          </cell>
          <cell r="B231" t="str">
            <v>PM</v>
          </cell>
          <cell r="C231" t="str">
            <v>Packaging</v>
          </cell>
          <cell r="D231" t="str">
            <v>Pouch</v>
          </cell>
        </row>
        <row r="232">
          <cell r="A232" t="str">
            <v>PM24-Azmah Pouches 500 gm (BOP Khandar)</v>
          </cell>
          <cell r="B232" t="str">
            <v>PM</v>
          </cell>
          <cell r="C232" t="str">
            <v>Packaging</v>
          </cell>
          <cell r="D232" t="str">
            <v>Pouch</v>
          </cell>
        </row>
        <row r="233">
          <cell r="A233" t="str">
            <v>PM24-Bag 12/19/30 x 350 Plastic Bags Plain / Printed 350 gm</v>
          </cell>
          <cell r="B233" t="str">
            <v>PM</v>
          </cell>
          <cell r="C233" t="str">
            <v>Packaging</v>
          </cell>
          <cell r="D233" t="str">
            <v>Liner</v>
          </cell>
        </row>
        <row r="234">
          <cell r="A234" t="str">
            <v>PM24-BAPS Choco Crunch Bar Pouch 30 gm Digital</v>
          </cell>
          <cell r="B234" t="str">
            <v>PM</v>
          </cell>
          <cell r="C234" t="str">
            <v>Packaging</v>
          </cell>
          <cell r="D234" t="str">
            <v>Pouch Roll</v>
          </cell>
        </row>
        <row r="235">
          <cell r="A235" t="str">
            <v>PM24-BAPS Choco Crunch Energy Bar Monocarton 180 gm</v>
          </cell>
          <cell r="B235" t="str">
            <v>PM</v>
          </cell>
          <cell r="C235" t="str">
            <v>Packaging</v>
          </cell>
          <cell r="D235" t="str">
            <v xml:space="preserve">Monocarton </v>
          </cell>
        </row>
        <row r="236">
          <cell r="A236" t="str">
            <v>PM24-BAPS-Choco Crunch Energy Bar Pouch 30 gm</v>
          </cell>
          <cell r="B236" t="str">
            <v>PM</v>
          </cell>
          <cell r="C236" t="str">
            <v>Packaging</v>
          </cell>
          <cell r="D236" t="str">
            <v>Pouch</v>
          </cell>
        </row>
        <row r="237">
          <cell r="A237" t="str">
            <v>PM24-Baps-Choco Crunch-Roll Digital</v>
          </cell>
          <cell r="B237" t="str">
            <v>PM</v>
          </cell>
          <cell r="C237" t="str">
            <v>Packaging</v>
          </cell>
          <cell r="D237" t="str">
            <v>Pouch Roll</v>
          </cell>
        </row>
        <row r="238">
          <cell r="A238" t="str">
            <v>PM24-BAPS Fig And Date Bar Pouch 30 gm Digital</v>
          </cell>
          <cell r="B238" t="str">
            <v>PM</v>
          </cell>
          <cell r="C238" t="str">
            <v>Packaging</v>
          </cell>
          <cell r="D238" t="str">
            <v>Pouch Roll</v>
          </cell>
        </row>
        <row r="239">
          <cell r="A239" t="str">
            <v>PM24-BAPS Fig And Date Energy Bar Monocarton 180 gm</v>
          </cell>
          <cell r="B239" t="str">
            <v>PM</v>
          </cell>
          <cell r="C239" t="str">
            <v>Packaging</v>
          </cell>
          <cell r="D239" t="str">
            <v xml:space="preserve">Monocarton </v>
          </cell>
        </row>
        <row r="240">
          <cell r="A240" t="str">
            <v>PM24-BAPS Fig And Date Energy Bar Pouch 30 gm</v>
          </cell>
          <cell r="B240" t="str">
            <v>PM</v>
          </cell>
          <cell r="C240" t="str">
            <v>Packaging</v>
          </cell>
          <cell r="D240" t="str">
            <v>Pouch</v>
          </cell>
        </row>
        <row r="241">
          <cell r="A241" t="str">
            <v>PM24-BAPS Hazelnut Magic Bar Pouch 30 gm Digital</v>
          </cell>
          <cell r="B241" t="str">
            <v>PM</v>
          </cell>
          <cell r="C241" t="str">
            <v>Packaging</v>
          </cell>
          <cell r="D241" t="str">
            <v>Pouch Roll</v>
          </cell>
        </row>
        <row r="242">
          <cell r="A242" t="str">
            <v>PM24-BAPS Hazelnut Magic Energy Bar Monocarton 180 gm</v>
          </cell>
          <cell r="B242" t="str">
            <v>PM</v>
          </cell>
          <cell r="C242" t="str">
            <v>Packaging</v>
          </cell>
          <cell r="D242" t="str">
            <v xml:space="preserve">Monocarton </v>
          </cell>
        </row>
        <row r="243">
          <cell r="A243" t="str">
            <v>PM24-BAPS-Hazelnut Magic Energy Bar Pouch 30 gm</v>
          </cell>
          <cell r="B243" t="str">
            <v>PM</v>
          </cell>
          <cell r="C243" t="str">
            <v>Packaging</v>
          </cell>
          <cell r="D243" t="str">
            <v>Pouch</v>
          </cell>
        </row>
        <row r="244">
          <cell r="A244" t="str">
            <v>PM24-BAPS Oats And Apricot Bar Pouch 30 gm Digital</v>
          </cell>
          <cell r="B244" t="str">
            <v>PM</v>
          </cell>
          <cell r="C244" t="str">
            <v>Packaging</v>
          </cell>
          <cell r="D244" t="str">
            <v>Pouch Roll</v>
          </cell>
        </row>
        <row r="245">
          <cell r="A245" t="str">
            <v>PM24-BAPS-Oats And Apricot Energy Bar Pouch 30 gm</v>
          </cell>
          <cell r="B245" t="str">
            <v>PM</v>
          </cell>
          <cell r="C245" t="str">
            <v>Packaging</v>
          </cell>
          <cell r="D245" t="str">
            <v>Pouch</v>
          </cell>
        </row>
        <row r="246">
          <cell r="A246" t="str">
            <v>PM24-BAPS Oats &amp; Apricot Energy Bar Monocarton 180 gm</v>
          </cell>
          <cell r="B246" t="str">
            <v>PM</v>
          </cell>
          <cell r="C246" t="str">
            <v>Packaging</v>
          </cell>
          <cell r="D246" t="str">
            <v xml:space="preserve">Monocarton </v>
          </cell>
        </row>
        <row r="247">
          <cell r="A247" t="str">
            <v>PM24-Bar Candor Roll</v>
          </cell>
          <cell r="B247" t="str">
            <v>PM</v>
          </cell>
          <cell r="C247" t="str">
            <v>Packaging</v>
          </cell>
          <cell r="D247" t="str">
            <v>Roll</v>
          </cell>
        </row>
        <row r="248">
          <cell r="A248" t="str">
            <v>PM24-BB Royal Ajwa Dates 250 gm Tub</v>
          </cell>
          <cell r="B248" t="str">
            <v>PM</v>
          </cell>
          <cell r="C248" t="str">
            <v>Packaging</v>
          </cell>
          <cell r="D248" t="str">
            <v>Tub</v>
          </cell>
        </row>
        <row r="249">
          <cell r="A249" t="str">
            <v>PM24-BB Royal Ajwa Dates Back Label 500 gm</v>
          </cell>
          <cell r="B249" t="str">
            <v>PM</v>
          </cell>
          <cell r="C249" t="str">
            <v>Packaging</v>
          </cell>
          <cell r="D249" t="str">
            <v>Label</v>
          </cell>
        </row>
        <row r="250">
          <cell r="A250" t="str">
            <v>PM24-BB Royal Ajwa Dates Tub 500 gm</v>
          </cell>
          <cell r="B250" t="str">
            <v>PM</v>
          </cell>
          <cell r="C250" t="str">
            <v>Packaging</v>
          </cell>
          <cell r="D250" t="str">
            <v>Tub</v>
          </cell>
        </row>
        <row r="251">
          <cell r="A251" t="str">
            <v>PM24-BB Royal Black Carton Label 8000 gm</v>
          </cell>
          <cell r="B251" t="str">
            <v>PM</v>
          </cell>
          <cell r="C251" t="str">
            <v>Packaging</v>
          </cell>
          <cell r="D251" t="str">
            <v>Label</v>
          </cell>
        </row>
        <row r="252">
          <cell r="A252" t="str">
            <v>PM24-BB Royal Black Currant Label 100 gm</v>
          </cell>
          <cell r="B252" t="str">
            <v>PM</v>
          </cell>
          <cell r="C252" t="str">
            <v>Packaging</v>
          </cell>
          <cell r="D252" t="str">
            <v>Label</v>
          </cell>
        </row>
        <row r="253">
          <cell r="A253" t="str">
            <v>PM24-BB Royal Black Currant Label 250 gm F800 /B930 /R770</v>
          </cell>
          <cell r="B253" t="str">
            <v>PM</v>
          </cell>
          <cell r="C253" t="str">
            <v>Packaging</v>
          </cell>
          <cell r="D253" t="str">
            <v>Label</v>
          </cell>
        </row>
        <row r="254">
          <cell r="A254" t="str">
            <v>PM24-BB Royal Blueberris Label 100 gm</v>
          </cell>
          <cell r="B254" t="str">
            <v>PM</v>
          </cell>
          <cell r="C254" t="str">
            <v>Packaging</v>
          </cell>
          <cell r="D254" t="str">
            <v>Label</v>
          </cell>
        </row>
        <row r="255">
          <cell r="A255" t="str">
            <v>PM24-BB Royal Blueberry Set Label 250 gm F4000 /B2300 /R3100</v>
          </cell>
          <cell r="B255" t="str">
            <v>PM</v>
          </cell>
          <cell r="C255" t="str">
            <v>Packaging</v>
          </cell>
          <cell r="D255" t="str">
            <v>Label</v>
          </cell>
        </row>
        <row r="256">
          <cell r="A256" t="str">
            <v>PM24-BB Royal Blue Carton Label 8000 gm</v>
          </cell>
          <cell r="B256" t="str">
            <v>PM</v>
          </cell>
          <cell r="C256" t="str">
            <v>Packaging</v>
          </cell>
          <cell r="D256" t="str">
            <v>Label</v>
          </cell>
        </row>
        <row r="257">
          <cell r="A257" t="str">
            <v>PM24-BB Royal Mazafati Dates 250 gm Tub</v>
          </cell>
          <cell r="B257" t="str">
            <v>PM</v>
          </cell>
          <cell r="C257" t="str">
            <v>Packaging</v>
          </cell>
          <cell r="D257" t="str">
            <v>Tub</v>
          </cell>
        </row>
        <row r="258">
          <cell r="A258" t="str">
            <v>PM24-Bb Royal Mazafati Dates Tub 250 gm</v>
          </cell>
          <cell r="B258" t="str">
            <v>PM</v>
          </cell>
          <cell r="C258" t="str">
            <v>Packaging</v>
          </cell>
          <cell r="D258" t="str">
            <v>Tub</v>
          </cell>
        </row>
        <row r="259">
          <cell r="A259" t="str">
            <v>PM24-BB Royal Mazafati Dates Tub 500 gm</v>
          </cell>
          <cell r="B259" t="str">
            <v>PM</v>
          </cell>
          <cell r="C259" t="str">
            <v>Packaging</v>
          </cell>
          <cell r="D259" t="str">
            <v>Tub</v>
          </cell>
        </row>
        <row r="260">
          <cell r="A260" t="str">
            <v>PM24-BB Royal Medjool Dates Front Label 500 gm</v>
          </cell>
          <cell r="B260" t="str">
            <v>PM</v>
          </cell>
          <cell r="C260" t="str">
            <v>Packaging</v>
          </cell>
          <cell r="D260" t="str">
            <v>Label</v>
          </cell>
        </row>
        <row r="261">
          <cell r="A261" t="str">
            <v>PM24-Bb Royal Medjool Dates Tub 250 gm</v>
          </cell>
          <cell r="B261" t="str">
            <v>PM</v>
          </cell>
          <cell r="C261" t="str">
            <v>Packaging</v>
          </cell>
          <cell r="D261" t="str">
            <v>Tub</v>
          </cell>
        </row>
        <row r="262">
          <cell r="A262" t="str">
            <v>PM24-BB Royal Medjool Dates Tub 500 gm</v>
          </cell>
          <cell r="B262" t="str">
            <v>PM</v>
          </cell>
          <cell r="C262" t="str">
            <v>Packaging</v>
          </cell>
          <cell r="D262" t="str">
            <v>Tub</v>
          </cell>
        </row>
        <row r="263">
          <cell r="A263" t="str">
            <v>PM24-BB Royal Omani Dates Tub 250 gm</v>
          </cell>
          <cell r="B263" t="str">
            <v>PM</v>
          </cell>
          <cell r="C263" t="str">
            <v>Packaging</v>
          </cell>
          <cell r="D263" t="str">
            <v>Tub</v>
          </cell>
        </row>
        <row r="264">
          <cell r="A264" t="str">
            <v>PM24-BB Royal Omani Dates Tub 500 gm</v>
          </cell>
          <cell r="B264" t="str">
            <v>PM</v>
          </cell>
          <cell r="C264" t="str">
            <v>Packaging</v>
          </cell>
          <cell r="D264" t="str">
            <v>Tub</v>
          </cell>
        </row>
        <row r="265">
          <cell r="A265" t="str">
            <v>PM24-BB Royal Safavi Dates Front Label 500 gm</v>
          </cell>
          <cell r="B265" t="str">
            <v>PM</v>
          </cell>
          <cell r="C265" t="str">
            <v>Packaging</v>
          </cell>
          <cell r="D265" t="str">
            <v>Label</v>
          </cell>
        </row>
        <row r="266">
          <cell r="A266" t="str">
            <v>PM24-BB Royal Safavi Dates Tub 250 gm</v>
          </cell>
          <cell r="B266" t="str">
            <v>PM</v>
          </cell>
          <cell r="C266" t="str">
            <v>Packaging</v>
          </cell>
          <cell r="D266" t="str">
            <v>Tub</v>
          </cell>
        </row>
        <row r="267">
          <cell r="A267" t="str">
            <v>PM24-BB Royal Safavi Dates Tub 500 gm</v>
          </cell>
          <cell r="B267" t="str">
            <v>PM</v>
          </cell>
          <cell r="C267" t="str">
            <v>Packaging</v>
          </cell>
          <cell r="D267" t="str">
            <v>Tub</v>
          </cell>
        </row>
        <row r="268">
          <cell r="A268" t="str">
            <v>PM24-Best Farms 100G Pouch -DF-1</v>
          </cell>
          <cell r="B268" t="str">
            <v>PM</v>
          </cell>
          <cell r="C268" t="str">
            <v>Packaging</v>
          </cell>
          <cell r="D268" t="str">
            <v>Pouch</v>
          </cell>
        </row>
        <row r="269">
          <cell r="A269" t="str">
            <v>PM24-Big Basket-Red Dates Pouch 250 gm</v>
          </cell>
          <cell r="B269" t="str">
            <v>PM</v>
          </cell>
          <cell r="C269" t="str">
            <v>Packaging</v>
          </cell>
          <cell r="D269" t="str">
            <v>Pouch</v>
          </cell>
        </row>
        <row r="270">
          <cell r="A270" t="str">
            <v>PM24-Big Basket-Red Dates Pouch 500 gm</v>
          </cell>
          <cell r="B270" t="str">
            <v>PM</v>
          </cell>
          <cell r="C270" t="str">
            <v>Packaging</v>
          </cell>
          <cell r="D270" t="str">
            <v>Pouch</v>
          </cell>
        </row>
        <row r="271">
          <cell r="A271" t="str">
            <v>PM24-Biospark Hemp Seeds Barbeques Monocarton 60 gm</v>
          </cell>
          <cell r="B271" t="str">
            <v>PM</v>
          </cell>
          <cell r="C271" t="str">
            <v>Packaging</v>
          </cell>
          <cell r="D271" t="str">
            <v xml:space="preserve">Monocarton </v>
          </cell>
        </row>
        <row r="272">
          <cell r="A272" t="str">
            <v>PM24-Biospark Hemp Seeds Barbeques Pouch Roll 20 gm Digital</v>
          </cell>
          <cell r="B272" t="str">
            <v>PM</v>
          </cell>
          <cell r="C272" t="str">
            <v>Packaging</v>
          </cell>
          <cell r="D272" t="str">
            <v>Pouch Roll</v>
          </cell>
        </row>
        <row r="273">
          <cell r="A273" t="str">
            <v>PM24-Biospark Hemp Seeds Chilli Garlic Monocarton 60 gm</v>
          </cell>
          <cell r="B273" t="str">
            <v>PM</v>
          </cell>
          <cell r="C273" t="str">
            <v>Packaging</v>
          </cell>
          <cell r="D273" t="str">
            <v xml:space="preserve">Monocarton </v>
          </cell>
        </row>
        <row r="274">
          <cell r="A274" t="str">
            <v>PM24-Biospark Hemp Seeds Chilli Garlic Pouch Roll 20 gm Digital</v>
          </cell>
          <cell r="B274" t="str">
            <v>PM</v>
          </cell>
          <cell r="C274" t="str">
            <v>Packaging</v>
          </cell>
          <cell r="D274" t="str">
            <v>Pouch Roll</v>
          </cell>
        </row>
        <row r="275">
          <cell r="A275" t="str">
            <v>PM24-Biospark Hemp Seeds Lemon Pickle Monocarton 60 gm</v>
          </cell>
          <cell r="B275" t="str">
            <v>PM</v>
          </cell>
          <cell r="C275" t="str">
            <v>Packaging</v>
          </cell>
          <cell r="D275" t="str">
            <v xml:space="preserve">Monocarton </v>
          </cell>
        </row>
        <row r="276">
          <cell r="A276" t="str">
            <v>PM24-Biospark Hemp Seeds Lemon Pickle Pouch Roll 20 gm Digital</v>
          </cell>
          <cell r="B276" t="str">
            <v>PM</v>
          </cell>
          <cell r="C276" t="str">
            <v>Packaging</v>
          </cell>
          <cell r="D276" t="str">
            <v>Pouch Roll</v>
          </cell>
        </row>
        <row r="277">
          <cell r="A277" t="str">
            <v>PM24-Biospark Hemp Seeds Masala Monocarton 60 gm</v>
          </cell>
          <cell r="B277" t="str">
            <v>PM</v>
          </cell>
          <cell r="C277" t="str">
            <v>Packaging</v>
          </cell>
          <cell r="D277" t="str">
            <v xml:space="preserve">Monocarton </v>
          </cell>
        </row>
        <row r="278">
          <cell r="A278" t="str">
            <v>PM24-Biospark Hemp Seeds Masala Pouch Roll 20 gm Digital</v>
          </cell>
          <cell r="B278" t="str">
            <v>PM</v>
          </cell>
          <cell r="C278" t="str">
            <v>Packaging</v>
          </cell>
          <cell r="D278" t="str">
            <v>Pouch Roll</v>
          </cell>
        </row>
        <row r="279">
          <cell r="A279" t="str">
            <v>PM24-Biospark Hemp Seeds Mint Monocarton 60 gm</v>
          </cell>
          <cell r="B279" t="str">
            <v>PM</v>
          </cell>
          <cell r="C279" t="str">
            <v>Packaging</v>
          </cell>
          <cell r="D279" t="str">
            <v xml:space="preserve">Monocarton </v>
          </cell>
        </row>
        <row r="280">
          <cell r="A280" t="str">
            <v>PM24-Biospark Hemp Seeds Mint Pouch Roll 20 gm Digital</v>
          </cell>
          <cell r="B280" t="str">
            <v>PM</v>
          </cell>
          <cell r="C280" t="str">
            <v>Packaging</v>
          </cell>
          <cell r="D280" t="str">
            <v>Pouch Roll</v>
          </cell>
        </row>
        <row r="281">
          <cell r="A281" t="str">
            <v>PM24-Biospark Hemp Seeds Salted Monocarton 60 gm</v>
          </cell>
          <cell r="B281" t="str">
            <v>PM</v>
          </cell>
          <cell r="C281" t="str">
            <v>Packaging</v>
          </cell>
          <cell r="D281" t="str">
            <v xml:space="preserve">Monocarton </v>
          </cell>
        </row>
        <row r="282">
          <cell r="A282" t="str">
            <v>PM24-Biospark Hemp Seeds Salted Pouch Roll 20 gm Digital</v>
          </cell>
          <cell r="B282" t="str">
            <v>PM</v>
          </cell>
          <cell r="C282" t="str">
            <v>Packaging</v>
          </cell>
          <cell r="D282" t="str">
            <v>Pouch Roll</v>
          </cell>
        </row>
        <row r="283">
          <cell r="A283" t="str">
            <v>PM24-Biospark Hemp Seeds Tandoor Monocarton 60 gm</v>
          </cell>
          <cell r="B283" t="str">
            <v>PM</v>
          </cell>
          <cell r="C283" t="str">
            <v>Packaging</v>
          </cell>
          <cell r="D283" t="str">
            <v xml:space="preserve">Monocarton </v>
          </cell>
        </row>
        <row r="284">
          <cell r="A284" t="str">
            <v>PM24-Biospark Hemp Seeds Tandoor Pouch Roll 20 gm Digital</v>
          </cell>
          <cell r="B284" t="str">
            <v>PM</v>
          </cell>
          <cell r="C284" t="str">
            <v>Packaging</v>
          </cell>
          <cell r="D284" t="str">
            <v>Pouch Roll</v>
          </cell>
        </row>
        <row r="285">
          <cell r="A285" t="str">
            <v>PM24-Biospark Nutri Barbites Chocolate &amp; Oats Monocarton 30 gm</v>
          </cell>
          <cell r="B285" t="str">
            <v>PM</v>
          </cell>
          <cell r="C285" t="str">
            <v>Packaging</v>
          </cell>
          <cell r="D285" t="str">
            <v xml:space="preserve">Monocarton </v>
          </cell>
        </row>
        <row r="286">
          <cell r="A286" t="str">
            <v>PM24-Biospark Nutri BARbites Chocolate &amp; Oats Pouch Roll 10 gm Digital</v>
          </cell>
          <cell r="B286" t="str">
            <v>PM</v>
          </cell>
          <cell r="C286" t="str">
            <v>Packaging</v>
          </cell>
          <cell r="D286" t="str">
            <v>Pouch Roll</v>
          </cell>
        </row>
        <row r="287">
          <cell r="A287" t="str">
            <v>PM24-Biospark Nutri BARbites Dates &amp; Nuts Monocarton 30 gm</v>
          </cell>
          <cell r="B287" t="str">
            <v>PM</v>
          </cell>
          <cell r="C287" t="str">
            <v>Packaging</v>
          </cell>
          <cell r="D287" t="str">
            <v xml:space="preserve">Monocarton </v>
          </cell>
        </row>
        <row r="288">
          <cell r="A288" t="str">
            <v>PM24-Biospark Nutri BARbites Dates &amp; Nuts Pouch Roll 10 gm Digital</v>
          </cell>
          <cell r="B288" t="str">
            <v>PM</v>
          </cell>
          <cell r="C288" t="str">
            <v>Packaging</v>
          </cell>
          <cell r="D288" t="str">
            <v>Pouch Roll</v>
          </cell>
        </row>
        <row r="289">
          <cell r="A289" t="str">
            <v>PM24-Black Clip 250 gm</v>
          </cell>
          <cell r="B289" t="str">
            <v>PM</v>
          </cell>
          <cell r="C289" t="str">
            <v>Packaging</v>
          </cell>
          <cell r="D289" t="str">
            <v>Clip</v>
          </cell>
        </row>
        <row r="290">
          <cell r="A290" t="str">
            <v>PM24-Black Diamond /6 Dates Transparnt Top 250 gm</v>
          </cell>
          <cell r="B290" t="str">
            <v>PM</v>
          </cell>
          <cell r="C290" t="str">
            <v>Packaging</v>
          </cell>
          <cell r="D290" t="str">
            <v>Blister</v>
          </cell>
        </row>
        <row r="291">
          <cell r="A291" t="str">
            <v>PM24-Black Diamond Blister 250 gm</v>
          </cell>
          <cell r="B291" t="str">
            <v>PM</v>
          </cell>
          <cell r="C291" t="str">
            <v>Packaging</v>
          </cell>
          <cell r="D291" t="str">
            <v>Blister</v>
          </cell>
        </row>
        <row r="292">
          <cell r="A292" t="str">
            <v>PM24-Blueberries Pouch (Reliance-unbranded) 100 gm</v>
          </cell>
          <cell r="B292" t="str">
            <v>PM</v>
          </cell>
          <cell r="C292" t="str">
            <v>Packaging</v>
          </cell>
          <cell r="D292" t="str">
            <v>Pouch</v>
          </cell>
        </row>
        <row r="293">
          <cell r="A293" t="str">
            <v>PM24-Blue Laminate 180 mm 30 gm</v>
          </cell>
          <cell r="B293" t="str">
            <v>PM</v>
          </cell>
          <cell r="C293" t="str">
            <v>Packaging</v>
          </cell>
          <cell r="D293" t="str">
            <v>Roll</v>
          </cell>
        </row>
        <row r="294">
          <cell r="A294" t="str">
            <v>PM24-Bopp Adhesive Tape</v>
          </cell>
          <cell r="B294" t="str">
            <v>PM</v>
          </cell>
          <cell r="C294" t="str">
            <v>Packaging</v>
          </cell>
          <cell r="D294" t="str">
            <v>Tape</v>
          </cell>
        </row>
        <row r="295">
          <cell r="A295" t="str">
            <v>PM24-BOPP Adhesive Tape 3" x 55 Mtr</v>
          </cell>
          <cell r="B295" t="str">
            <v>PM</v>
          </cell>
          <cell r="C295" t="str">
            <v>Packaging</v>
          </cell>
          <cell r="D295" t="str">
            <v>Tape</v>
          </cell>
        </row>
        <row r="296">
          <cell r="A296" t="str">
            <v>PM24-Bopp Adhesive Tape 48 mm-23 Micron-Unprinted</v>
          </cell>
          <cell r="B296" t="str">
            <v>PM</v>
          </cell>
          <cell r="C296" t="str">
            <v>Packaging</v>
          </cell>
          <cell r="D296" t="str">
            <v>Tape</v>
          </cell>
        </row>
        <row r="297">
          <cell r="A297" t="str">
            <v>PM24-Bopp Adhesive Tape Printed ( 60 mm x 650 Mtr ) for machine 500 gm</v>
          </cell>
          <cell r="B297" t="str">
            <v>PM</v>
          </cell>
          <cell r="C297" t="str">
            <v>Packaging</v>
          </cell>
          <cell r="D297" t="str">
            <v>Tape</v>
          </cell>
        </row>
        <row r="298">
          <cell r="A298" t="str">
            <v>PM24-Brown Pouch (Origin)100 gm</v>
          </cell>
          <cell r="B298" t="str">
            <v>PM</v>
          </cell>
          <cell r="C298" t="str">
            <v>Packaging</v>
          </cell>
          <cell r="D298" t="str">
            <v>Pouch</v>
          </cell>
        </row>
        <row r="299">
          <cell r="A299" t="str">
            <v>PM24-Buy One Get One Free Label 500 gm</v>
          </cell>
          <cell r="B299" t="str">
            <v>PM</v>
          </cell>
          <cell r="C299" t="str">
            <v>Packaging</v>
          </cell>
          <cell r="D299" t="str">
            <v>Label</v>
          </cell>
        </row>
        <row r="300">
          <cell r="A300" t="str">
            <v>PM24-Cafe Coffee Day Nuts</v>
          </cell>
          <cell r="B300" t="str">
            <v>PM</v>
          </cell>
          <cell r="C300" t="str">
            <v>Packaging</v>
          </cell>
          <cell r="D300" t="str">
            <v>Pouch</v>
          </cell>
        </row>
        <row r="301">
          <cell r="A301" t="str">
            <v>PM24-Cafe Coffee Day Nuts &amp; Seeds Snack Bar Pouch 30gm</v>
          </cell>
          <cell r="B301" t="str">
            <v>PM</v>
          </cell>
          <cell r="C301" t="str">
            <v>Packaging</v>
          </cell>
          <cell r="D301" t="str">
            <v>Pouch</v>
          </cell>
        </row>
        <row r="302">
          <cell r="A302" t="str">
            <v>PM24-Cafe Galleria Dry Fruit Pouch 250 gm</v>
          </cell>
          <cell r="B302" t="str">
            <v>PM</v>
          </cell>
          <cell r="C302" t="str">
            <v>Packaging</v>
          </cell>
          <cell r="D302" t="str">
            <v>Pouch</v>
          </cell>
        </row>
        <row r="303">
          <cell r="A303" t="str">
            <v>PM24-Cafe Galleria Dry Fruit Pouch 500 gm Digital</v>
          </cell>
          <cell r="B303" t="str">
            <v>PM</v>
          </cell>
          <cell r="C303" t="str">
            <v>Packaging</v>
          </cell>
          <cell r="D303" t="str">
            <v>Pouch Roll</v>
          </cell>
        </row>
        <row r="304">
          <cell r="A304" t="str">
            <v>PM24-Caffine Rush Laminated 180 mm 30 gm</v>
          </cell>
          <cell r="B304" t="str">
            <v>PM</v>
          </cell>
          <cell r="C304" t="str">
            <v>Packaging</v>
          </cell>
          <cell r="D304" t="str">
            <v>Roll</v>
          </cell>
        </row>
        <row r="305">
          <cell r="A305" t="str">
            <v>PM24-Café Galleria Milan Tub Big Set 500 gm</v>
          </cell>
          <cell r="B305" t="str">
            <v>PM</v>
          </cell>
          <cell r="C305" t="str">
            <v>Packaging</v>
          </cell>
          <cell r="D305" t="str">
            <v>Tub</v>
          </cell>
        </row>
        <row r="306">
          <cell r="A306" t="str">
            <v>PM24-Candor Pouch 5 Kg 4 Kg 5000 gm (D Mart)</v>
          </cell>
          <cell r="B306" t="str">
            <v>PM</v>
          </cell>
          <cell r="C306" t="str">
            <v>Packaging</v>
          </cell>
          <cell r="D306" t="str">
            <v>Pouch</v>
          </cell>
        </row>
        <row r="307">
          <cell r="A307" t="str">
            <v>PM24-Candor Tape Printed 60 mm</v>
          </cell>
          <cell r="B307" t="str">
            <v>PM</v>
          </cell>
          <cell r="C307" t="str">
            <v>Packaging</v>
          </cell>
          <cell r="D307" t="str">
            <v>Tape</v>
          </cell>
        </row>
        <row r="308">
          <cell r="A308" t="str">
            <v>PM24 - Carnival 4P Box Sleeve 360 gm</v>
          </cell>
          <cell r="B308" t="str">
            <v>PM</v>
          </cell>
          <cell r="C308" t="str">
            <v>Packaging</v>
          </cell>
          <cell r="D308" t="str">
            <v>Sleeve</v>
          </cell>
        </row>
        <row r="309">
          <cell r="A309" t="str">
            <v>PM24-Carnival Ajwa Dates Blister Octagon Set 400 gm</v>
          </cell>
          <cell r="B309" t="str">
            <v>PM</v>
          </cell>
          <cell r="C309" t="str">
            <v>Packaging</v>
          </cell>
          <cell r="D309" t="str">
            <v>Blister</v>
          </cell>
        </row>
        <row r="310">
          <cell r="A310" t="str">
            <v>PM24-Carnival Ajwa Dates Label Back 400 gm</v>
          </cell>
          <cell r="B310" t="str">
            <v>PM</v>
          </cell>
          <cell r="C310" t="str">
            <v>Packaging</v>
          </cell>
          <cell r="D310" t="str">
            <v>Label</v>
          </cell>
        </row>
        <row r="311">
          <cell r="A311" t="str">
            <v>PM24-Carnival Almond Label 100 gm</v>
          </cell>
          <cell r="B311" t="str">
            <v>PM</v>
          </cell>
          <cell r="C311" t="str">
            <v>Packaging</v>
          </cell>
          <cell r="D311" t="str">
            <v>Label</v>
          </cell>
        </row>
        <row r="312">
          <cell r="A312" t="str">
            <v>PM24-Carnival Almond Pouch Roll (cred) 250 gm</v>
          </cell>
          <cell r="B312" t="str">
            <v>PM</v>
          </cell>
          <cell r="C312" t="str">
            <v>Packaging</v>
          </cell>
          <cell r="D312" t="str">
            <v>Pouch Roll</v>
          </cell>
        </row>
        <row r="313">
          <cell r="A313" t="str">
            <v>PM24-Carnival Almond Roasted Salted Pouch 250 gm</v>
          </cell>
          <cell r="B313" t="str">
            <v>PM</v>
          </cell>
          <cell r="C313" t="str">
            <v>Packaging</v>
          </cell>
          <cell r="D313" t="str">
            <v>Pouch</v>
          </cell>
        </row>
        <row r="314">
          <cell r="A314" t="str">
            <v>PM24-Carnival Almonds Pouch (150mm x 230mm) 250 gm</v>
          </cell>
          <cell r="B314" t="str">
            <v>PM</v>
          </cell>
          <cell r="C314" t="str">
            <v>Packaging</v>
          </cell>
          <cell r="D314" t="str">
            <v>Pouch</v>
          </cell>
        </row>
        <row r="315">
          <cell r="A315" t="str">
            <v>PM24-Carnival Anjeer Blister 500 gm</v>
          </cell>
          <cell r="B315" t="str">
            <v>PM</v>
          </cell>
          <cell r="C315" t="str">
            <v>Packaging</v>
          </cell>
          <cell r="D315" t="str">
            <v>Blister</v>
          </cell>
        </row>
        <row r="316">
          <cell r="A316" t="str">
            <v>PM24-Carnival Anjeer Butterfly Blister Set 300 gm</v>
          </cell>
          <cell r="B316" t="str">
            <v>PM</v>
          </cell>
          <cell r="C316" t="str">
            <v>Packaging</v>
          </cell>
          <cell r="D316" t="str">
            <v>Blister</v>
          </cell>
        </row>
        <row r="317">
          <cell r="A317" t="str">
            <v>PM24-Carnival Arabian Dates Pouch (160 x 240 mm) 350 gm</v>
          </cell>
          <cell r="B317" t="str">
            <v>PM</v>
          </cell>
          <cell r="C317" t="str">
            <v>Packaging</v>
          </cell>
          <cell r="D317" t="str">
            <v>Pouch</v>
          </cell>
        </row>
        <row r="318">
          <cell r="A318" t="str">
            <v>PM24-Carnival Barbeque Cashew Pouch 250 gm Digital</v>
          </cell>
          <cell r="B318" t="str">
            <v>PM</v>
          </cell>
          <cell r="C318" t="str">
            <v>Packaging</v>
          </cell>
          <cell r="D318" t="str">
            <v>Pouch Roll</v>
          </cell>
        </row>
        <row r="319">
          <cell r="A319" t="str">
            <v>PM24-Carnival Barbeque (Cred) Pouch 30 gm Digital</v>
          </cell>
          <cell r="B319" t="str">
            <v>PM</v>
          </cell>
          <cell r="C319" t="str">
            <v>Packaging</v>
          </cell>
          <cell r="D319" t="str">
            <v>Pouch Roll</v>
          </cell>
        </row>
        <row r="320">
          <cell r="A320" t="str">
            <v>PM24-Carnival Berry Barbeque Trail Mix 200G Pre Printed Pouch ( 150mm x 225mm ) 200 gm</v>
          </cell>
          <cell r="B320" t="str">
            <v>PM</v>
          </cell>
          <cell r="C320" t="str">
            <v>Packaging</v>
          </cell>
          <cell r="D320" t="str">
            <v>Pouch</v>
          </cell>
        </row>
        <row r="321">
          <cell r="A321" t="str">
            <v>PM24-Carnival Black Raisin Seedless Indian Pouch (150mm x 230mm) 200 gm Digital</v>
          </cell>
          <cell r="B321" t="str">
            <v>PM</v>
          </cell>
          <cell r="C321" t="str">
            <v>Packaging</v>
          </cell>
          <cell r="D321" t="str">
            <v>Pouch Roll</v>
          </cell>
        </row>
        <row r="322">
          <cell r="A322" t="str">
            <v>PM24-Carnival Blueberry Set 250 gm</v>
          </cell>
          <cell r="B322" t="str">
            <v>PM</v>
          </cell>
          <cell r="C322" t="str">
            <v>Packaging</v>
          </cell>
          <cell r="D322" t="str">
            <v>Label</v>
          </cell>
        </row>
        <row r="323">
          <cell r="A323" t="str">
            <v>PM24-Carnival Blue K Seal Standy Pouch (Pista Pouch) 1000 gm</v>
          </cell>
          <cell r="B323" t="str">
            <v>PM</v>
          </cell>
          <cell r="C323" t="str">
            <v>Packaging</v>
          </cell>
          <cell r="D323" t="str">
            <v>Pouch</v>
          </cell>
        </row>
        <row r="324">
          <cell r="A324" t="str">
            <v>PM24-Carnival Blue Pouch Standee Zipper Pouch-135 x 185 mm 150 gm</v>
          </cell>
          <cell r="B324" t="str">
            <v>PM</v>
          </cell>
          <cell r="C324" t="str">
            <v>Packaging</v>
          </cell>
          <cell r="D324" t="str">
            <v>Pouch</v>
          </cell>
        </row>
        <row r="325">
          <cell r="A325" t="str">
            <v>PM24-Carnival California Almonds Independence (Cred) Pouch 1 kg</v>
          </cell>
          <cell r="B325" t="str">
            <v>PM</v>
          </cell>
          <cell r="C325" t="str">
            <v>Packaging</v>
          </cell>
          <cell r="D325" t="str">
            <v>Pouch</v>
          </cell>
        </row>
        <row r="326">
          <cell r="A326" t="str">
            <v>PM24-Carnival California Pitted Prunes 250 gm</v>
          </cell>
          <cell r="B326" t="str">
            <v>PM</v>
          </cell>
          <cell r="C326" t="str">
            <v>Packaging</v>
          </cell>
          <cell r="D326" t="str">
            <v>Pouch</v>
          </cell>
        </row>
        <row r="327">
          <cell r="A327" t="str">
            <v>PM24-Carnival California Roasted &amp; Salted Pistachio With Barcode 250/200 gm</v>
          </cell>
          <cell r="B327" t="str">
            <v>PM</v>
          </cell>
          <cell r="C327" t="str">
            <v>Packaging</v>
          </cell>
          <cell r="D327" t="str">
            <v>Pouch</v>
          </cell>
        </row>
        <row r="328">
          <cell r="A328" t="str">
            <v>PM24-Carnival California Roasted &amp; Salted Pistachio Without Barcode 250/200 gm</v>
          </cell>
          <cell r="B328" t="str">
            <v>PM</v>
          </cell>
          <cell r="C328" t="str">
            <v>Packaging</v>
          </cell>
          <cell r="D328" t="str">
            <v>Pouch</v>
          </cell>
        </row>
        <row r="329">
          <cell r="A329" t="str">
            <v>PM24-Carnival California Walnut Kernel (Cred) Monocarton 200 gm</v>
          </cell>
          <cell r="B329" t="str">
            <v>PM</v>
          </cell>
          <cell r="C329" t="str">
            <v>Packaging</v>
          </cell>
          <cell r="D329" t="str">
            <v xml:space="preserve">Monocarton </v>
          </cell>
        </row>
        <row r="330">
          <cell r="A330" t="str">
            <v>PM24-Carnival Cashew 320 Pouch 1 kg</v>
          </cell>
          <cell r="B330" t="str">
            <v>PM</v>
          </cell>
          <cell r="C330" t="str">
            <v>Packaging</v>
          </cell>
          <cell r="D330" t="str">
            <v>Pouch</v>
          </cell>
        </row>
        <row r="331">
          <cell r="A331" t="str">
            <v>PM24-Carnival Cashew Kani + Tukda Pouch 500 gm Digital</v>
          </cell>
          <cell r="B331" t="str">
            <v>PM</v>
          </cell>
          <cell r="C331" t="str">
            <v>Packaging</v>
          </cell>
          <cell r="D331" t="str">
            <v>Pouch Roll</v>
          </cell>
        </row>
        <row r="332">
          <cell r="A332" t="str">
            <v>PM24-Carnival Cashewnut Pouch (150mm x 230mm) 250 gm</v>
          </cell>
          <cell r="B332" t="str">
            <v>PM</v>
          </cell>
          <cell r="C332" t="str">
            <v>Packaging</v>
          </cell>
          <cell r="D332" t="str">
            <v>Pouch</v>
          </cell>
        </row>
        <row r="333">
          <cell r="A333" t="str">
            <v>PM24-Carnival Cashew Roasted Salted Pouch 250 gm</v>
          </cell>
          <cell r="B333" t="str">
            <v>PM</v>
          </cell>
          <cell r="C333" t="str">
            <v>Packaging</v>
          </cell>
          <cell r="D333" t="str">
            <v>Pouch</v>
          </cell>
        </row>
        <row r="334">
          <cell r="A334" t="str">
            <v>PM24-Carnival Chatpata Black Raisin Composite Tin With Tin Lid (74mmx130mm) 200 gm</v>
          </cell>
          <cell r="B334" t="str">
            <v>PM</v>
          </cell>
          <cell r="C334" t="str">
            <v>Packaging</v>
          </cell>
          <cell r="D334" t="str">
            <v>Tin</v>
          </cell>
        </row>
        <row r="335">
          <cell r="A335" t="str">
            <v>PM24-Carnival Chatpata Cranberry Composite Tin With Tin Lid (74mmx130mm) 200 gm</v>
          </cell>
          <cell r="B335" t="str">
            <v>PM</v>
          </cell>
          <cell r="C335" t="str">
            <v>Packaging</v>
          </cell>
          <cell r="D335" t="str">
            <v>Tin</v>
          </cell>
        </row>
        <row r="336">
          <cell r="A336" t="str">
            <v>PM24-Carnival Cheese Cashew Pouch 30 gm Digital</v>
          </cell>
          <cell r="B336" t="str">
            <v>PM</v>
          </cell>
          <cell r="C336" t="str">
            <v>Packaging</v>
          </cell>
          <cell r="D336" t="str">
            <v>Pouch Roll</v>
          </cell>
        </row>
        <row r="337">
          <cell r="A337" t="str">
            <v>PM24-Carnival Cheese Makhana Label 125 gm</v>
          </cell>
          <cell r="B337" t="str">
            <v>PM</v>
          </cell>
          <cell r="C337" t="str">
            <v>Packaging</v>
          </cell>
          <cell r="D337" t="str">
            <v>Label</v>
          </cell>
        </row>
        <row r="338">
          <cell r="A338" t="str">
            <v>PM24-Carnival Cheese Makhana Label 55 gm</v>
          </cell>
          <cell r="B338" t="str">
            <v>PM</v>
          </cell>
          <cell r="C338" t="str">
            <v>Packaging</v>
          </cell>
          <cell r="D338" t="str">
            <v>Label</v>
          </cell>
        </row>
        <row r="339">
          <cell r="A339" t="str">
            <v>PM24-Carnival Chia Seeds 100 gm</v>
          </cell>
          <cell r="B339" t="str">
            <v>PM</v>
          </cell>
          <cell r="C339" t="str">
            <v>Packaging</v>
          </cell>
          <cell r="D339" t="str">
            <v>Pouch</v>
          </cell>
        </row>
        <row r="340">
          <cell r="A340" t="str">
            <v>PM24-Carnival Classic 100 gm Roll</v>
          </cell>
          <cell r="B340" t="str">
            <v>PM</v>
          </cell>
          <cell r="C340" t="str">
            <v>Packaging</v>
          </cell>
          <cell r="D340" t="str">
            <v>Roll</v>
          </cell>
        </row>
        <row r="341">
          <cell r="A341" t="str">
            <v>PM24-Carnival Classic Anjeer Blister (Small) 250 gm</v>
          </cell>
          <cell r="B341" t="str">
            <v>PM</v>
          </cell>
          <cell r="C341" t="str">
            <v>Packaging</v>
          </cell>
          <cell r="D341" t="str">
            <v>Blister</v>
          </cell>
        </row>
        <row r="342">
          <cell r="A342" t="str">
            <v>PM24-Carnival Classic Printed Laminated Silver Pouch (115mm x 230mm) 500 gm</v>
          </cell>
          <cell r="B342" t="str">
            <v>PM</v>
          </cell>
          <cell r="C342" t="str">
            <v>Packaging</v>
          </cell>
          <cell r="D342" t="str">
            <v>Pouch</v>
          </cell>
        </row>
        <row r="343">
          <cell r="A343" t="str">
            <v>PM24-Carnival Classic  Printed Laminated  Silver Pouch-80 x 200mm 250 gm</v>
          </cell>
          <cell r="B343" t="str">
            <v>PM</v>
          </cell>
          <cell r="C343" t="str">
            <v>Packaging</v>
          </cell>
          <cell r="D343" t="str">
            <v>Pouch</v>
          </cell>
        </row>
        <row r="344">
          <cell r="A344" t="str">
            <v>PM24-Carnival coated Seeds Pouch 10 gm Digital</v>
          </cell>
          <cell r="B344" t="str">
            <v>PM</v>
          </cell>
          <cell r="C344" t="str">
            <v>Packaging</v>
          </cell>
          <cell r="D344" t="str">
            <v>Pouch Roll</v>
          </cell>
        </row>
        <row r="345">
          <cell r="A345" t="str">
            <v>PM24-Carnival Cocktail Mix 250 gm</v>
          </cell>
          <cell r="B345" t="str">
            <v>PM</v>
          </cell>
          <cell r="C345" t="str">
            <v>Packaging</v>
          </cell>
          <cell r="D345" t="str">
            <v>Pouch</v>
          </cell>
        </row>
        <row r="346">
          <cell r="A346" t="str">
            <v>PM24-Carnival Cranberry slice 250 gm</v>
          </cell>
          <cell r="B346" t="str">
            <v>PM</v>
          </cell>
          <cell r="C346" t="str">
            <v>Packaging</v>
          </cell>
          <cell r="D346" t="str">
            <v>Pouch</v>
          </cell>
        </row>
        <row r="347">
          <cell r="A347" t="str">
            <v>PM24-Carnival Cranberry Standy Pouch (115x160mm+60) 100 gm</v>
          </cell>
          <cell r="B347" t="str">
            <v>PM</v>
          </cell>
          <cell r="C347" t="str">
            <v>Packaging</v>
          </cell>
          <cell r="D347" t="str">
            <v>Pouch</v>
          </cell>
        </row>
        <row r="348">
          <cell r="A348" t="str">
            <v>PM24-Carnival Cranberry Whole 250 gm</v>
          </cell>
          <cell r="B348" t="str">
            <v>PM</v>
          </cell>
          <cell r="C348" t="str">
            <v>Packaging</v>
          </cell>
          <cell r="D348" t="str">
            <v>Pouch</v>
          </cell>
        </row>
        <row r="349">
          <cell r="A349" t="str">
            <v>PM24-Carnival Crunchy Caramel Trail Mix Pre Printed Pouch 200G ( 150mm x 225mm ) 200 gm</v>
          </cell>
          <cell r="B349" t="str">
            <v>PM</v>
          </cell>
          <cell r="C349" t="str">
            <v>Packaging</v>
          </cell>
          <cell r="D349" t="str">
            <v>Pouch</v>
          </cell>
        </row>
        <row r="350">
          <cell r="A350" t="str">
            <v>PM24-Carnival Delux Blue Pouch 250 gm</v>
          </cell>
          <cell r="B350" t="str">
            <v>PM</v>
          </cell>
          <cell r="C350" t="str">
            <v>Packaging</v>
          </cell>
          <cell r="D350" t="str">
            <v>Pouch</v>
          </cell>
        </row>
        <row r="351">
          <cell r="A351" t="str">
            <v>PM24-Carnival Dried Blueberry 100G Standup Pouch 100 gm</v>
          </cell>
          <cell r="B351" t="str">
            <v>PM</v>
          </cell>
          <cell r="C351" t="str">
            <v>Packaging</v>
          </cell>
          <cell r="D351" t="str">
            <v>Pouch</v>
          </cell>
        </row>
        <row r="352">
          <cell r="A352" t="str">
            <v>PM24-Carnival Dried Blueberry 100G Standup Pouch Old 100 gm</v>
          </cell>
          <cell r="B352" t="str">
            <v>PM</v>
          </cell>
          <cell r="C352" t="str">
            <v>Packaging</v>
          </cell>
          <cell r="D352" t="str">
            <v>Pouch</v>
          </cell>
        </row>
        <row r="353">
          <cell r="A353" t="str">
            <v>PM24-Carnival Dried Blueberry Whole Pouch 250 gm</v>
          </cell>
          <cell r="B353" t="str">
            <v>PM</v>
          </cell>
          <cell r="C353" t="str">
            <v>Packaging</v>
          </cell>
          <cell r="D353" t="str">
            <v>Pouch</v>
          </cell>
        </row>
        <row r="354">
          <cell r="A354" t="str">
            <v>PM24-Carnival Dried Cranberry Slice</v>
          </cell>
          <cell r="B354" t="str">
            <v>PM</v>
          </cell>
          <cell r="C354" t="str">
            <v>Packaging</v>
          </cell>
          <cell r="D354" t="str">
            <v>Label</v>
          </cell>
        </row>
        <row r="355">
          <cell r="A355" t="str">
            <v>PM24-Carnival Everyday Cashew Pouch 1 kg</v>
          </cell>
          <cell r="B355" t="str">
            <v>PM</v>
          </cell>
          <cell r="C355" t="str">
            <v>Packaging</v>
          </cell>
          <cell r="D355" t="str">
            <v>Pouch</v>
          </cell>
        </row>
        <row r="356">
          <cell r="A356" t="str">
            <v>PM24-Carnival Flavoured Makgana Fox Nut Sample Pouch 10gm Digital</v>
          </cell>
          <cell r="B356" t="str">
            <v>PM</v>
          </cell>
          <cell r="C356" t="str">
            <v>Packaging</v>
          </cell>
          <cell r="D356" t="str">
            <v>Pouch Roll</v>
          </cell>
        </row>
        <row r="357">
          <cell r="A357" t="str">
            <v>PM24-Carnival Flax Seeds Roasted 100 Gm 100 gm</v>
          </cell>
          <cell r="B357" t="str">
            <v>PM</v>
          </cell>
          <cell r="C357" t="str">
            <v>Packaging</v>
          </cell>
          <cell r="D357" t="str">
            <v>Pouch</v>
          </cell>
        </row>
        <row r="358">
          <cell r="A358" t="str">
            <v>PM24-Carnival Green Chilli Cashew Pouch 30 gm Digital</v>
          </cell>
          <cell r="B358" t="str">
            <v>PM</v>
          </cell>
          <cell r="C358" t="str">
            <v>Packaging</v>
          </cell>
          <cell r="D358" t="str">
            <v>Pouch Roll</v>
          </cell>
        </row>
        <row r="359">
          <cell r="A359" t="str">
            <v>PM24-Carnival Green K Seal Standy Pouch (Pista Pouch) 1000 gm</v>
          </cell>
          <cell r="B359" t="str">
            <v>PM</v>
          </cell>
          <cell r="C359" t="str">
            <v>Packaging</v>
          </cell>
          <cell r="D359" t="str">
            <v>Pouch</v>
          </cell>
        </row>
        <row r="360">
          <cell r="A360" t="str">
            <v>PM24-Carnival Green Pouch Standee Zipper Pouch-135 x 185 mm 150 gm</v>
          </cell>
          <cell r="B360" t="str">
            <v>PM</v>
          </cell>
          <cell r="C360" t="str">
            <v>Packaging</v>
          </cell>
          <cell r="D360" t="str">
            <v>Pouch</v>
          </cell>
        </row>
        <row r="361">
          <cell r="A361" t="str">
            <v>PM24-Carnival Green Raisin 250 Gm-Pouch 250 gm</v>
          </cell>
          <cell r="B361" t="str">
            <v>PM</v>
          </cell>
          <cell r="C361" t="str">
            <v>Packaging</v>
          </cell>
          <cell r="D361" t="str">
            <v>Pouch</v>
          </cell>
        </row>
        <row r="362">
          <cell r="A362" t="str">
            <v>PM24-Carnival Green Raisin Pouch 1000 gm Digital</v>
          </cell>
          <cell r="B362" t="str">
            <v>PM</v>
          </cell>
          <cell r="C362" t="str">
            <v>Packaging</v>
          </cell>
          <cell r="D362" t="str">
            <v>Pouch Roll</v>
          </cell>
        </row>
        <row r="363">
          <cell r="A363" t="str">
            <v>PM24-Carnival Green Raisins 1Kg</v>
          </cell>
          <cell r="B363" t="str">
            <v>PM</v>
          </cell>
          <cell r="C363" t="str">
            <v>Packaging</v>
          </cell>
          <cell r="D363" t="str">
            <v>Pouch</v>
          </cell>
        </row>
        <row r="364">
          <cell r="A364" t="str">
            <v>PM24-Carnival-Green-StandyZipper Pouch-120×170 mm-Masala Masti Seed Mix7in1</v>
          </cell>
          <cell r="B364" t="str">
            <v>PM</v>
          </cell>
          <cell r="C364" t="str">
            <v>Packaging</v>
          </cell>
          <cell r="D364" t="str">
            <v>Pouch</v>
          </cell>
        </row>
        <row r="365">
          <cell r="A365" t="str">
            <v>PM24-Carnival Grey Generic 1 Kg Pouch-Lpp Generic Standup Pouch 1 Kg (210x265mm) Grey 1000 gm</v>
          </cell>
          <cell r="B365" t="str">
            <v>PM</v>
          </cell>
          <cell r="C365" t="str">
            <v>Packaging</v>
          </cell>
          <cell r="D365" t="str">
            <v>Pouch</v>
          </cell>
        </row>
        <row r="366">
          <cell r="A366" t="str">
            <v>PM24-Carnival Himalayan Salt &amp; Pepper Pistachios Pouch Roll</v>
          </cell>
          <cell r="B366" t="str">
            <v>PM</v>
          </cell>
          <cell r="C366" t="str">
            <v>Packaging</v>
          </cell>
          <cell r="D366" t="str">
            <v>Roll</v>
          </cell>
        </row>
        <row r="367">
          <cell r="A367" t="str">
            <v>PM24-Carnival Himalayan Salt &amp; Pepper Pistachios Standy Zipper Pouch</v>
          </cell>
          <cell r="B367" t="str">
            <v>PM</v>
          </cell>
          <cell r="C367" t="str">
            <v>Packaging</v>
          </cell>
          <cell r="D367" t="str">
            <v>Pouch</v>
          </cell>
        </row>
        <row r="368">
          <cell r="A368" t="str">
            <v>PM24-Carnival Indian Green Raisin Pouch 900 gm Digital</v>
          </cell>
          <cell r="B368" t="str">
            <v>PM</v>
          </cell>
          <cell r="C368" t="str">
            <v>Packaging</v>
          </cell>
          <cell r="D368" t="str">
            <v>Pouch Roll</v>
          </cell>
        </row>
        <row r="369">
          <cell r="A369" t="str">
            <v>PM24-Carnival Indian Green Raisins (Cred) 250 gm Monocarton</v>
          </cell>
          <cell r="B369" t="str">
            <v>PM</v>
          </cell>
          <cell r="C369" t="str">
            <v>Packaging</v>
          </cell>
          <cell r="D369" t="str">
            <v xml:space="preserve">Monocarton </v>
          </cell>
        </row>
        <row r="370">
          <cell r="A370" t="str">
            <v>PM24-Carnival Indian Seedless Black Raisin Pouch (150mm x 230mm) 250 gm</v>
          </cell>
          <cell r="B370" t="str">
            <v>PM</v>
          </cell>
          <cell r="C370" t="str">
            <v>Packaging</v>
          </cell>
          <cell r="D370" t="str">
            <v>Pouch</v>
          </cell>
        </row>
        <row r="371">
          <cell r="A371" t="str">
            <v>PM24-Carnival Irani Roasted &amp; Salted Pistachio Box Pouch With Zipper 250 gm</v>
          </cell>
          <cell r="B371" t="str">
            <v>PM</v>
          </cell>
          <cell r="C371" t="str">
            <v>Packaging</v>
          </cell>
          <cell r="D371" t="str">
            <v>Pouch</v>
          </cell>
        </row>
        <row r="372">
          <cell r="A372" t="str">
            <v>PM24-Carnival Kashmir Kesar .05 gm</v>
          </cell>
          <cell r="B372" t="str">
            <v>PM</v>
          </cell>
          <cell r="C372" t="str">
            <v>Packaging</v>
          </cell>
          <cell r="D372" t="str">
            <v>Card</v>
          </cell>
        </row>
        <row r="373">
          <cell r="A373" t="str">
            <v>PM24-Carnival Kashmir Kesar Blister 0.05 gm</v>
          </cell>
          <cell r="B373" t="str">
            <v>PM</v>
          </cell>
          <cell r="C373" t="str">
            <v>Packaging</v>
          </cell>
          <cell r="D373" t="str">
            <v>Blister</v>
          </cell>
        </row>
        <row r="374">
          <cell r="A374" t="str">
            <v>PM24-Carnival Kashmir Kesar Blister 1 gm</v>
          </cell>
          <cell r="B374" t="str">
            <v>PM</v>
          </cell>
          <cell r="C374" t="str">
            <v>Packaging</v>
          </cell>
          <cell r="D374" t="str">
            <v>Blister</v>
          </cell>
        </row>
        <row r="375">
          <cell r="A375" t="str">
            <v>PM24-Carnival Kashmir Kesar Dabbi 0.05 gm</v>
          </cell>
          <cell r="B375" t="str">
            <v>PM</v>
          </cell>
          <cell r="C375" t="str">
            <v>Packaging</v>
          </cell>
          <cell r="D375" t="str">
            <v>Dibbi</v>
          </cell>
        </row>
        <row r="376">
          <cell r="A376" t="str">
            <v>PM24-Carnival Kashmir Kesar Dabbi 1 gm</v>
          </cell>
          <cell r="B376" t="str">
            <v>PM</v>
          </cell>
          <cell r="C376" t="str">
            <v>Packaging</v>
          </cell>
          <cell r="D376" t="str">
            <v>Dibbi</v>
          </cell>
        </row>
        <row r="377">
          <cell r="A377" t="str">
            <v>PM24-Carnival Makhana Label Barbeque 125 gm</v>
          </cell>
          <cell r="B377" t="str">
            <v>PM</v>
          </cell>
          <cell r="C377" t="str">
            <v>Packaging</v>
          </cell>
          <cell r="D377" t="str">
            <v>Label</v>
          </cell>
        </row>
        <row r="378">
          <cell r="A378" t="str">
            <v>PM24-Carnival Makhana Rejected Label 125 gm</v>
          </cell>
          <cell r="B378" t="str">
            <v>PM</v>
          </cell>
          <cell r="C378" t="str">
            <v>Packaging</v>
          </cell>
          <cell r="D378" t="str">
            <v>Label</v>
          </cell>
        </row>
        <row r="379">
          <cell r="A379" t="str">
            <v>PM24-Carnival Maroon Standee Zipper Pouch-135 x 185 mm 150 gm</v>
          </cell>
          <cell r="B379" t="str">
            <v>PM</v>
          </cell>
          <cell r="C379" t="str">
            <v>Packaging</v>
          </cell>
          <cell r="D379" t="str">
            <v>Pouch</v>
          </cell>
        </row>
        <row r="380">
          <cell r="A380" t="str">
            <v>PM24-Carnival Mocha Mojo Trail Mix Pre Printed Pouch 200G ( 150mm x 225mm ) 200 gm</v>
          </cell>
          <cell r="B380" t="str">
            <v>PM</v>
          </cell>
          <cell r="C380" t="str">
            <v>Packaging</v>
          </cell>
          <cell r="D380" t="str">
            <v>Pouch</v>
          </cell>
        </row>
        <row r="381">
          <cell r="A381" t="str">
            <v>PM24-Carnival Mocho Moja Trail Mix Pouch 30 gm Digital</v>
          </cell>
          <cell r="B381" t="str">
            <v>PM</v>
          </cell>
          <cell r="C381" t="str">
            <v>Packaging</v>
          </cell>
          <cell r="D381" t="str">
            <v>Pouch Roll</v>
          </cell>
        </row>
        <row r="382">
          <cell r="A382" t="str">
            <v>PM24-Carnival Monocarton 100 gm</v>
          </cell>
          <cell r="B382" t="str">
            <v>PM</v>
          </cell>
          <cell r="C382" t="str">
            <v>Packaging</v>
          </cell>
          <cell r="D382" t="str">
            <v xml:space="preserve">Monocarton </v>
          </cell>
        </row>
        <row r="383">
          <cell r="A383" t="str">
            <v>PM24-Carnival Orange Pouch Standee Zipper Pouch-135 x 185 mm 150 gm</v>
          </cell>
          <cell r="B383" t="str">
            <v>PM</v>
          </cell>
          <cell r="C383" t="str">
            <v>Packaging</v>
          </cell>
          <cell r="D383" t="str">
            <v>Pouch</v>
          </cell>
        </row>
        <row r="384">
          <cell r="A384" t="str">
            <v>PM24-Carnival Paan Cranberry Pouch Roll 30 gm</v>
          </cell>
          <cell r="B384" t="str">
            <v>PM</v>
          </cell>
          <cell r="C384" t="str">
            <v>Packaging</v>
          </cell>
          <cell r="D384" t="str">
            <v>Pouch Roll</v>
          </cell>
        </row>
        <row r="385">
          <cell r="A385" t="str">
            <v>PM24-Carnival Pan Cranberry Roll Digital</v>
          </cell>
          <cell r="B385" t="str">
            <v>PM</v>
          </cell>
          <cell r="C385" t="str">
            <v>Packaging</v>
          </cell>
          <cell r="D385" t="str">
            <v>Pouch Roll</v>
          </cell>
        </row>
        <row r="386">
          <cell r="A386" t="str">
            <v>PM24-Carnival Pan Raisins Roll</v>
          </cell>
          <cell r="B386" t="str">
            <v>PM</v>
          </cell>
          <cell r="C386" t="str">
            <v>Packaging</v>
          </cell>
          <cell r="D386" t="str">
            <v>Roll</v>
          </cell>
        </row>
        <row r="387">
          <cell r="A387" t="str">
            <v>PM24-Carnival Pan Raisins Roll Digital</v>
          </cell>
          <cell r="B387" t="str">
            <v>PM</v>
          </cell>
          <cell r="C387" t="str">
            <v>Packaging</v>
          </cell>
          <cell r="D387" t="str">
            <v>Pouch Roll</v>
          </cell>
        </row>
        <row r="388">
          <cell r="A388" t="str">
            <v>PM24-Carnival Pepper Cashew Pouch 250 gm Digital</v>
          </cell>
          <cell r="B388" t="str">
            <v>PM</v>
          </cell>
          <cell r="C388" t="str">
            <v>Packaging</v>
          </cell>
          <cell r="D388" t="str">
            <v>Pouch Roll</v>
          </cell>
        </row>
        <row r="389">
          <cell r="A389" t="str">
            <v>PM24-Carnival Pepper Cashew Pouch Roll 30 gm Digital</v>
          </cell>
          <cell r="B389" t="str">
            <v>PM</v>
          </cell>
          <cell r="C389" t="str">
            <v>Packaging</v>
          </cell>
          <cell r="D389" t="str">
            <v>Pouch Roll</v>
          </cell>
        </row>
        <row r="390">
          <cell r="A390" t="str">
            <v>PM24-Carnival Pepper Makhana Label 125 gm</v>
          </cell>
          <cell r="B390" t="str">
            <v>PM</v>
          </cell>
          <cell r="C390" t="str">
            <v>Packaging</v>
          </cell>
          <cell r="D390" t="str">
            <v>Label</v>
          </cell>
        </row>
        <row r="391">
          <cell r="A391" t="str">
            <v>PM24-Carnival Peri Peri Cashew Pouch 250 gm Digital</v>
          </cell>
          <cell r="B391" t="str">
            <v>PM</v>
          </cell>
          <cell r="C391" t="str">
            <v>Packaging</v>
          </cell>
          <cell r="D391" t="str">
            <v>Pouch Roll</v>
          </cell>
        </row>
        <row r="392">
          <cell r="A392" t="str">
            <v>PM24-Carnival Peri Peri Makhana Label 125 gm</v>
          </cell>
          <cell r="B392" t="str">
            <v>PM</v>
          </cell>
          <cell r="C392" t="str">
            <v>Packaging</v>
          </cell>
          <cell r="D392" t="str">
            <v>Label</v>
          </cell>
        </row>
        <row r="393">
          <cell r="A393" t="str">
            <v>PM24-Carnival Pet Label (230x60mm) 230/250 gm</v>
          </cell>
          <cell r="B393" t="str">
            <v>PM</v>
          </cell>
          <cell r="C393" t="str">
            <v>Packaging</v>
          </cell>
          <cell r="D393" t="str">
            <v>Label</v>
          </cell>
        </row>
        <row r="394">
          <cell r="A394" t="str">
            <v>PM24-Carnival-Pink-StandyZipper Pouch-120×170 mm-Masala Masti Cranberry</v>
          </cell>
          <cell r="B394" t="str">
            <v>PM</v>
          </cell>
          <cell r="C394" t="str">
            <v>Packaging</v>
          </cell>
          <cell r="D394" t="str">
            <v>Pouch</v>
          </cell>
        </row>
        <row r="395">
          <cell r="A395" t="str">
            <v>PM24-Carnival Pista Kernals 100 gm</v>
          </cell>
          <cell r="B395" t="str">
            <v>PM</v>
          </cell>
          <cell r="C395" t="str">
            <v>Packaging</v>
          </cell>
          <cell r="D395" t="str">
            <v>Label</v>
          </cell>
        </row>
        <row r="396">
          <cell r="A396" t="str">
            <v>PM24-Carnival Popcorn Makhana Label 125 gm</v>
          </cell>
          <cell r="B396" t="str">
            <v>PM</v>
          </cell>
          <cell r="C396" t="str">
            <v>Packaging</v>
          </cell>
          <cell r="D396" t="str">
            <v>Label</v>
          </cell>
        </row>
        <row r="397">
          <cell r="A397" t="str">
            <v>PM24-Carnival Popcorn Makhana Label 55 gm</v>
          </cell>
          <cell r="B397" t="str">
            <v>PM</v>
          </cell>
          <cell r="C397" t="str">
            <v>Packaging</v>
          </cell>
          <cell r="D397" t="str">
            <v>Label</v>
          </cell>
        </row>
        <row r="398">
          <cell r="A398" t="str">
            <v>PM24 - Carnival Printed Laminated Gold Premium Pouch Roll (80/100 gm) 190 mm</v>
          </cell>
          <cell r="B398" t="str">
            <v>PM</v>
          </cell>
          <cell r="C398" t="str">
            <v>Packaging</v>
          </cell>
          <cell r="D398" t="str">
            <v>Pouch Roll</v>
          </cell>
        </row>
        <row r="399">
          <cell r="A399" t="str">
            <v>PM24-Carnival Printed Laminated Premium Gold Pouch (115mm x 230mm) 500 gm</v>
          </cell>
          <cell r="B399" t="str">
            <v>PM</v>
          </cell>
          <cell r="C399" t="str">
            <v>Packaging</v>
          </cell>
          <cell r="D399" t="str">
            <v>Pouch</v>
          </cell>
        </row>
        <row r="400">
          <cell r="A400" t="str">
            <v>PM24-Carnival Printed Laminated Premium Gold Pouch 80 x 200 250 gm</v>
          </cell>
          <cell r="B400" t="str">
            <v>PM</v>
          </cell>
          <cell r="C400" t="str">
            <v>Packaging</v>
          </cell>
          <cell r="D400" t="str">
            <v>Pouch</v>
          </cell>
        </row>
        <row r="401">
          <cell r="A401" t="str">
            <v>PM24-Carnival Printed(red) Transparent Pouch 100 gm old</v>
          </cell>
          <cell r="B401" t="str">
            <v>PM</v>
          </cell>
          <cell r="C401" t="str">
            <v>Packaging</v>
          </cell>
          <cell r="D401" t="str">
            <v>Pouch</v>
          </cell>
        </row>
        <row r="402">
          <cell r="A402" t="str">
            <v>PM24-Carnival Pudina Almond Pouch 250 gm Digital</v>
          </cell>
          <cell r="B402" t="str">
            <v>PM</v>
          </cell>
          <cell r="C402" t="str">
            <v>Packaging</v>
          </cell>
          <cell r="D402" t="str">
            <v>Pouch Roll</v>
          </cell>
        </row>
        <row r="403">
          <cell r="A403" t="str">
            <v>PM24-Carnival Pudina Makhana Label 125 gm</v>
          </cell>
          <cell r="B403" t="str">
            <v>PM</v>
          </cell>
          <cell r="C403" t="str">
            <v>Packaging</v>
          </cell>
          <cell r="D403" t="str">
            <v>Label</v>
          </cell>
        </row>
        <row r="404">
          <cell r="A404" t="str">
            <v>PM24-Carnival Pudina Makhana Label 55 gm</v>
          </cell>
          <cell r="B404" t="str">
            <v>PM</v>
          </cell>
          <cell r="C404" t="str">
            <v>Packaging</v>
          </cell>
          <cell r="D404" t="str">
            <v>Label</v>
          </cell>
        </row>
        <row r="405">
          <cell r="A405" t="str">
            <v>PM24-Carnival Puffed Snack Sample Pouch 10 gm Digital</v>
          </cell>
          <cell r="B405" t="str">
            <v>PM</v>
          </cell>
          <cell r="C405" t="str">
            <v>Packaging</v>
          </cell>
          <cell r="D405" t="str">
            <v>Pouch Roll</v>
          </cell>
        </row>
        <row r="406">
          <cell r="A406" t="str">
            <v>PM24-Carnival Pumpkin Seeds 100Gm 100 gm</v>
          </cell>
          <cell r="B406" t="str">
            <v>PM</v>
          </cell>
          <cell r="C406" t="str">
            <v>Packaging</v>
          </cell>
          <cell r="D406" t="str">
            <v>Pouch</v>
          </cell>
        </row>
        <row r="407">
          <cell r="A407" t="str">
            <v>PM24 - Carnival Roasted Makhana Pouch Roll 50 gm</v>
          </cell>
          <cell r="B407" t="str">
            <v>PM</v>
          </cell>
          <cell r="C407" t="str">
            <v>Packaging</v>
          </cell>
          <cell r="D407" t="str">
            <v>Pouch Roll</v>
          </cell>
        </row>
        <row r="408">
          <cell r="A408" t="str">
            <v>PM24-Carnival Roasted Salted Pista Pouch 250 gm</v>
          </cell>
          <cell r="B408" t="str">
            <v>PM</v>
          </cell>
          <cell r="C408" t="str">
            <v>Packaging</v>
          </cell>
          <cell r="D408" t="str">
            <v>Pouch</v>
          </cell>
        </row>
        <row r="409">
          <cell r="A409" t="str">
            <v>PM24-Carnival Rose Gold Standee Zipper Pouch-135 x 185 mm 150 gm</v>
          </cell>
          <cell r="B409" t="str">
            <v>PM</v>
          </cell>
          <cell r="C409" t="str">
            <v>Packaging</v>
          </cell>
          <cell r="D409" t="str">
            <v>Pouch</v>
          </cell>
        </row>
        <row r="410">
          <cell r="A410" t="str">
            <v>PM24-Carnival Seedless Black Raisin Pouch (150mm x 230mm) 250 gm</v>
          </cell>
          <cell r="B410" t="str">
            <v>PM</v>
          </cell>
          <cell r="C410" t="str">
            <v>Packaging</v>
          </cell>
          <cell r="D410" t="str">
            <v>Pouch</v>
          </cell>
        </row>
        <row r="411">
          <cell r="A411" t="str">
            <v>PM24-Carnival Seedless Dates 350 gm Label</v>
          </cell>
          <cell r="B411" t="str">
            <v>PM</v>
          </cell>
          <cell r="C411" t="str">
            <v>Packaging</v>
          </cell>
          <cell r="D411" t="str">
            <v>Label</v>
          </cell>
        </row>
        <row r="412">
          <cell r="A412" t="str">
            <v>PM24-Carnival Seeds Pouch 30 gm Digital</v>
          </cell>
          <cell r="B412" t="str">
            <v>PM</v>
          </cell>
          <cell r="C412" t="str">
            <v>Packaging</v>
          </cell>
          <cell r="D412" t="str">
            <v>Pouch Roll</v>
          </cell>
        </row>
        <row r="413">
          <cell r="A413" t="str">
            <v>PM24-Carnival Shubkamnaye 2P Box Set</v>
          </cell>
          <cell r="B413" t="str">
            <v>PM</v>
          </cell>
          <cell r="C413" t="str">
            <v>Packaging</v>
          </cell>
          <cell r="D413" t="str">
            <v>Box</v>
          </cell>
        </row>
        <row r="414">
          <cell r="A414" t="str">
            <v>PM24-Carnival Silver Classic Pouch  100 gm</v>
          </cell>
          <cell r="B414" t="str">
            <v>PM</v>
          </cell>
          <cell r="C414" t="str">
            <v>Packaging</v>
          </cell>
          <cell r="D414" t="str">
            <v>Pouch</v>
          </cell>
        </row>
        <row r="415">
          <cell r="A415" t="str">
            <v>PM24-Carnival Smoked Almonds Label 100 gm</v>
          </cell>
          <cell r="B415" t="str">
            <v>PM</v>
          </cell>
          <cell r="C415" t="str">
            <v>Packaging</v>
          </cell>
          <cell r="D415" t="str">
            <v>Label</v>
          </cell>
        </row>
        <row r="416">
          <cell r="A416" t="str">
            <v>PM24-Carnival Smoked Almonds Pouch 250 gm Digital</v>
          </cell>
          <cell r="B416" t="str">
            <v>PM</v>
          </cell>
          <cell r="C416" t="str">
            <v>Packaging</v>
          </cell>
          <cell r="D416" t="str">
            <v>Pouch Roll</v>
          </cell>
        </row>
        <row r="417">
          <cell r="A417" t="str">
            <v>PM24-Carnival Spanish Tomato Flavour Pouch Roll 30 gm Digital</v>
          </cell>
          <cell r="B417" t="str">
            <v>PM</v>
          </cell>
          <cell r="C417" t="str">
            <v>Packaging</v>
          </cell>
          <cell r="D417" t="str">
            <v>Pouch Roll</v>
          </cell>
        </row>
        <row r="418">
          <cell r="A418" t="str">
            <v>PM24-Carnival-Standy Zipper Pouch-120×170 mm-Black Pepper Cashew</v>
          </cell>
          <cell r="B418" t="str">
            <v>PM</v>
          </cell>
          <cell r="C418" t="str">
            <v>Packaging</v>
          </cell>
          <cell r="D418" t="str">
            <v>Pouch</v>
          </cell>
        </row>
        <row r="419">
          <cell r="A419" t="str">
            <v>PM24-Carnival-Standy Zipper Pouch-120×170 mm-Roasted Salted Almond</v>
          </cell>
          <cell r="B419" t="str">
            <v>PM</v>
          </cell>
          <cell r="C419" t="str">
            <v>Packaging</v>
          </cell>
          <cell r="D419" t="str">
            <v>Pouch</v>
          </cell>
        </row>
        <row r="420">
          <cell r="A420" t="str">
            <v>PM24-Carnival-Standy Zipper Pouch-120×170 mm-Roasted Salted Cashew</v>
          </cell>
          <cell r="B420" t="str">
            <v>PM</v>
          </cell>
          <cell r="C420" t="str">
            <v>Packaging</v>
          </cell>
          <cell r="D420" t="str">
            <v>Pouch</v>
          </cell>
        </row>
        <row r="421">
          <cell r="A421" t="str">
            <v>PM24-Carnival Sunflower Seed 100 gm</v>
          </cell>
          <cell r="B421" t="str">
            <v>PM</v>
          </cell>
          <cell r="C421" t="str">
            <v>Packaging</v>
          </cell>
          <cell r="D421" t="str">
            <v>Pouch</v>
          </cell>
        </row>
        <row r="422">
          <cell r="A422" t="str">
            <v>PM24-Carnival Sweet Pop Makhana Label 125 gm</v>
          </cell>
          <cell r="B422" t="str">
            <v>PM</v>
          </cell>
          <cell r="C422" t="str">
            <v>Packaging</v>
          </cell>
          <cell r="D422" t="str">
            <v>Label</v>
          </cell>
        </row>
        <row r="423">
          <cell r="A423" t="str">
            <v>PM24-Carnival Thandai Mix 100 gm</v>
          </cell>
          <cell r="B423" t="str">
            <v>PM</v>
          </cell>
          <cell r="C423" t="str">
            <v>Packaging</v>
          </cell>
          <cell r="D423" t="str">
            <v xml:space="preserve">Monocarton </v>
          </cell>
        </row>
        <row r="424">
          <cell r="A424" t="str">
            <v>PM24-Carnival White Round Tub Label 250 gm</v>
          </cell>
          <cell r="B424" t="str">
            <v>PM</v>
          </cell>
          <cell r="C424" t="str">
            <v>Packaging</v>
          </cell>
          <cell r="D424" t="str">
            <v>Label</v>
          </cell>
        </row>
        <row r="425">
          <cell r="A425" t="str">
            <v>PM24-Cbr-Pharma-For Kracknut 50 gm</v>
          </cell>
          <cell r="B425" t="str">
            <v>PM</v>
          </cell>
          <cell r="C425" t="str">
            <v>Packaging</v>
          </cell>
          <cell r="D425" t="str">
            <v>Tin</v>
          </cell>
        </row>
        <row r="426">
          <cell r="A426" t="str">
            <v>PM24 - Chat Makhana Pouch 60 gm</v>
          </cell>
          <cell r="B426" t="str">
            <v>PM</v>
          </cell>
          <cell r="C426" t="str">
            <v>Packaging</v>
          </cell>
          <cell r="D426" t="str">
            <v>Pouch</v>
          </cell>
        </row>
        <row r="427">
          <cell r="A427" t="str">
            <v>PM24-Chatpata Chaat 540mmx160mm 200 gm Pouch Digital</v>
          </cell>
          <cell r="B427" t="str">
            <v>PM</v>
          </cell>
          <cell r="C427" t="str">
            <v>Packaging</v>
          </cell>
          <cell r="D427" t="str">
            <v>Pouch Roll</v>
          </cell>
        </row>
        <row r="428">
          <cell r="A428" t="str">
            <v>PM24-Cheesy Mast 540mmx160mm 200 gm Pouch Digital</v>
          </cell>
          <cell r="B428" t="str">
            <v>PM</v>
          </cell>
          <cell r="C428" t="str">
            <v>Packaging</v>
          </cell>
          <cell r="D428" t="str">
            <v>Pouch Roll</v>
          </cell>
        </row>
        <row r="429">
          <cell r="A429" t="str">
            <v>PM24-Chef Pick 500 gm Roll</v>
          </cell>
          <cell r="B429" t="str">
            <v>PM</v>
          </cell>
          <cell r="C429" t="str">
            <v>Packaging</v>
          </cell>
          <cell r="D429" t="str">
            <v>Roll</v>
          </cell>
        </row>
        <row r="430">
          <cell r="A430" t="str">
            <v>PM24-Chef Pick Gold n White Generic Pouch roll 375 mm 500 gm</v>
          </cell>
          <cell r="B430" t="str">
            <v>PM</v>
          </cell>
          <cell r="C430" t="str">
            <v>Packaging</v>
          </cell>
          <cell r="D430" t="str">
            <v>Pouch Roll</v>
          </cell>
        </row>
        <row r="431">
          <cell r="A431" t="str">
            <v>PM24-Chile Walnuts (4P) (Cred) 200 gm</v>
          </cell>
          <cell r="B431" t="str">
            <v>PM</v>
          </cell>
          <cell r="C431" t="str">
            <v>Packaging</v>
          </cell>
          <cell r="D431" t="str">
            <v xml:space="preserve">Monocarton </v>
          </cell>
        </row>
        <row r="432">
          <cell r="A432" t="str">
            <v>PM24-Choco Almond Protein 10 Grm On The Run Choco Almond Protein Bar Printed Laminated Pouch Roll-10 Gm (105 mm x 190 mm) 40 gm</v>
          </cell>
          <cell r="B432" t="str">
            <v>PM</v>
          </cell>
          <cell r="C432" t="str">
            <v>Packaging</v>
          </cell>
          <cell r="D432" t="str">
            <v>Pouch Roll</v>
          </cell>
        </row>
        <row r="433">
          <cell r="A433" t="str">
            <v>PM24-Chocolate Coated Date Blister</v>
          </cell>
          <cell r="B433" t="str">
            <v>PM</v>
          </cell>
          <cell r="C433" t="str">
            <v>Packaging</v>
          </cell>
          <cell r="D433" t="str">
            <v>Blister</v>
          </cell>
        </row>
        <row r="434">
          <cell r="A434" t="str">
            <v>PM24-Chocolate Protein Bar 500 gm</v>
          </cell>
          <cell r="B434" t="str">
            <v>PM</v>
          </cell>
          <cell r="C434" t="str">
            <v>Packaging</v>
          </cell>
          <cell r="D434" t="str">
            <v>Pouch</v>
          </cell>
        </row>
        <row r="435">
          <cell r="A435" t="str">
            <v>PM24-Cic-Pharma-For Kracknut 50 gm</v>
          </cell>
          <cell r="B435" t="str">
            <v>PM</v>
          </cell>
          <cell r="C435" t="str">
            <v>Packaging</v>
          </cell>
          <cell r="D435" t="str">
            <v>Tin</v>
          </cell>
        </row>
        <row r="436">
          <cell r="A436" t="str">
            <v>PM24-Cilicant Pouch Moisture Absorber 2G 2 gm</v>
          </cell>
          <cell r="B436" t="str">
            <v>PM</v>
          </cell>
          <cell r="C436" t="str">
            <v>Packaging</v>
          </cell>
          <cell r="D436" t="str">
            <v>Pouch</v>
          </cell>
        </row>
        <row r="437">
          <cell r="A437" t="str">
            <v>PM24-Cococart-Almond And Coffee Digital</v>
          </cell>
          <cell r="B437" t="str">
            <v>PM</v>
          </cell>
          <cell r="C437" t="str">
            <v>Packaging</v>
          </cell>
          <cell r="D437" t="str">
            <v>Pouch Roll</v>
          </cell>
        </row>
        <row r="438">
          <cell r="A438" t="str">
            <v>PM24-Cococart-Almond And Orange Digital</v>
          </cell>
          <cell r="B438" t="str">
            <v>PM</v>
          </cell>
          <cell r="C438" t="str">
            <v>Packaging</v>
          </cell>
          <cell r="D438" t="str">
            <v>Pouch Roll</v>
          </cell>
        </row>
        <row r="439">
          <cell r="A439" t="str">
            <v>PM24-Cococart-Almond Cranberry Digital</v>
          </cell>
          <cell r="B439" t="str">
            <v>PM</v>
          </cell>
          <cell r="C439" t="str">
            <v>Packaging</v>
          </cell>
          <cell r="D439" t="str">
            <v>Pouch Roll</v>
          </cell>
        </row>
        <row r="440">
          <cell r="A440" t="str">
            <v>PM24-Cococart-Fruit And Nut Digital</v>
          </cell>
          <cell r="B440" t="str">
            <v>PM</v>
          </cell>
          <cell r="C440" t="str">
            <v>Packaging</v>
          </cell>
          <cell r="D440" t="str">
            <v>Pouch Roll</v>
          </cell>
        </row>
        <row r="441">
          <cell r="A441" t="str">
            <v>PM24-Cococart Masala Masti Trial Mix Pouch Digital</v>
          </cell>
          <cell r="B441" t="str">
            <v>PM</v>
          </cell>
          <cell r="C441" t="str">
            <v>Packaging</v>
          </cell>
          <cell r="D441" t="str">
            <v>Pouch Roll</v>
          </cell>
        </row>
        <row r="442">
          <cell r="A442" t="str">
            <v>PM24-Cococart-Raspberry Almond Digital</v>
          </cell>
          <cell r="B442" t="str">
            <v>PM</v>
          </cell>
          <cell r="C442" t="str">
            <v>Packaging</v>
          </cell>
          <cell r="D442" t="str">
            <v>Pouch Roll</v>
          </cell>
        </row>
        <row r="443">
          <cell r="A443" t="str">
            <v>PM24-Cococart-Rose And Pista Digital</v>
          </cell>
          <cell r="B443" t="str">
            <v>PM</v>
          </cell>
          <cell r="C443" t="str">
            <v>Packaging</v>
          </cell>
          <cell r="D443" t="str">
            <v>Pouch Roll</v>
          </cell>
        </row>
        <row r="444">
          <cell r="A444" t="str">
            <v>PM24-Coffee Bite 30 gm</v>
          </cell>
          <cell r="B444" t="str">
            <v>PM</v>
          </cell>
          <cell r="C444" t="str">
            <v>Packaging</v>
          </cell>
          <cell r="D444" t="str">
            <v>Pouch</v>
          </cell>
        </row>
        <row r="445">
          <cell r="A445" t="str">
            <v>PM24-Cold Transfer Security Hologram 20mmx30mm,24Ups Rectangle Sha Azmah 500 gm</v>
          </cell>
          <cell r="B445" t="str">
            <v>PM</v>
          </cell>
          <cell r="C445" t="str">
            <v>Packaging</v>
          </cell>
          <cell r="D445" t="str">
            <v>Label</v>
          </cell>
        </row>
        <row r="446">
          <cell r="A446" t="str">
            <v>PM24-Cold Transfer Security Hologram 20mmx30mm,24Ups Rectangle Sha Dilkash 500 gm</v>
          </cell>
          <cell r="B446" t="str">
            <v>PM</v>
          </cell>
          <cell r="C446" t="str">
            <v>Packaging</v>
          </cell>
          <cell r="D446" t="str">
            <v>Label</v>
          </cell>
        </row>
        <row r="447">
          <cell r="A447" t="str">
            <v>PM24-Cold Transfer Security Hologram 20mmx30mm,35Ups-King Solomon Original 500 gm</v>
          </cell>
          <cell r="B447" t="str">
            <v>PM</v>
          </cell>
          <cell r="C447" t="str">
            <v>Packaging</v>
          </cell>
          <cell r="D447" t="str">
            <v>Label</v>
          </cell>
        </row>
        <row r="448">
          <cell r="A448" t="str">
            <v>PM24-Combo Pack 1000 gm</v>
          </cell>
          <cell r="B448" t="str">
            <v>PM</v>
          </cell>
          <cell r="C448" t="str">
            <v>Packaging</v>
          </cell>
          <cell r="D448" t="str">
            <v>Box</v>
          </cell>
        </row>
        <row r="449">
          <cell r="A449" t="str">
            <v>PM24-Composite Tin 99 mm(Dia)*180 mm(H) White-Sample 85 gm</v>
          </cell>
          <cell r="B449" t="str">
            <v>PM</v>
          </cell>
          <cell r="C449" t="str">
            <v>Packaging</v>
          </cell>
          <cell r="D449" t="str">
            <v>Tin</v>
          </cell>
        </row>
        <row r="450">
          <cell r="A450" t="str">
            <v>PM24-Composite Tin With Tin Lid 200 gm</v>
          </cell>
          <cell r="B450" t="str">
            <v>PM</v>
          </cell>
          <cell r="C450" t="str">
            <v>Packaging</v>
          </cell>
          <cell r="D450" t="str">
            <v>Tin</v>
          </cell>
        </row>
        <row r="451">
          <cell r="A451" t="str">
            <v>PM24-Courier Bags 8x10 No Pod 500 gm</v>
          </cell>
          <cell r="B451" t="str">
            <v>PM</v>
          </cell>
          <cell r="C451" t="str">
            <v>Packaging</v>
          </cell>
          <cell r="D451" t="str">
            <v>Bag</v>
          </cell>
        </row>
        <row r="452">
          <cell r="A452" t="str">
            <v>PM24-Cranberries Pouch (Reliance-no brand) 100 gm</v>
          </cell>
          <cell r="B452" t="str">
            <v>PM</v>
          </cell>
          <cell r="C452" t="str">
            <v>Packaging</v>
          </cell>
          <cell r="D452" t="str">
            <v>Pouch</v>
          </cell>
        </row>
        <row r="453">
          <cell r="A453" t="str">
            <v>PM24-Cranberries Pouch (Reliance-unbranded) 100 gm</v>
          </cell>
          <cell r="B453" t="str">
            <v>PM</v>
          </cell>
          <cell r="C453" t="str">
            <v>Packaging</v>
          </cell>
          <cell r="D453" t="str">
            <v>Pouch</v>
          </cell>
        </row>
        <row r="454">
          <cell r="A454" t="str">
            <v>PM24-Cranberry Label 100 gm</v>
          </cell>
          <cell r="B454" t="str">
            <v>PM</v>
          </cell>
          <cell r="C454" t="str">
            <v>Packaging</v>
          </cell>
          <cell r="D454" t="str">
            <v>Label</v>
          </cell>
        </row>
        <row r="455">
          <cell r="A455" t="str">
            <v>PM24-Cranberry Set Label 250 gm</v>
          </cell>
          <cell r="B455" t="str">
            <v>PM</v>
          </cell>
          <cell r="C455" t="str">
            <v>Packaging</v>
          </cell>
          <cell r="D455" t="str">
            <v>Label</v>
          </cell>
        </row>
        <row r="456">
          <cell r="A456" t="str">
            <v>PM24-Cranberry Set Label 250 gm Carnival</v>
          </cell>
          <cell r="B456" t="str">
            <v>PM</v>
          </cell>
          <cell r="C456" t="str">
            <v>Packaging</v>
          </cell>
          <cell r="D456" t="str">
            <v>Label</v>
          </cell>
        </row>
        <row r="457">
          <cell r="A457" t="str">
            <v>PM24-Cred/HOH Fard Dates Label 1kg</v>
          </cell>
          <cell r="B457" t="str">
            <v>PM</v>
          </cell>
          <cell r="C457" t="str">
            <v>Packaging</v>
          </cell>
          <cell r="D457" t="str">
            <v>Label</v>
          </cell>
        </row>
        <row r="458">
          <cell r="A458" t="str">
            <v>PM24-Crunchy Granola Iron Rich Kakvi (Standy Pouch) 250 gm</v>
          </cell>
          <cell r="B458" t="str">
            <v>PM</v>
          </cell>
          <cell r="C458" t="str">
            <v>Packaging</v>
          </cell>
          <cell r="D458" t="str">
            <v>Pouch</v>
          </cell>
        </row>
        <row r="459">
          <cell r="A459" t="str">
            <v>PM24-Curate Ajwa Top 500 gm</v>
          </cell>
          <cell r="B459" t="str">
            <v>PM</v>
          </cell>
          <cell r="C459" t="str">
            <v>Packaging</v>
          </cell>
          <cell r="D459" t="str">
            <v>Top</v>
          </cell>
        </row>
        <row r="460">
          <cell r="A460" t="str">
            <v>PM24-Curate Anjeer Jumbo Label 250 gm</v>
          </cell>
          <cell r="B460" t="str">
            <v>PM</v>
          </cell>
          <cell r="C460" t="str">
            <v>Packaging</v>
          </cell>
          <cell r="D460" t="str">
            <v>Label</v>
          </cell>
        </row>
        <row r="461">
          <cell r="A461" t="str">
            <v>PM24-Curate Anjeer Label  250 gm</v>
          </cell>
          <cell r="B461" t="str">
            <v>PM</v>
          </cell>
          <cell r="C461" t="str">
            <v>Packaging</v>
          </cell>
          <cell r="D461" t="str">
            <v>Label</v>
          </cell>
        </row>
        <row r="462">
          <cell r="A462" t="str">
            <v>PM24-Curate Apricot Jardalu Label 550 gm</v>
          </cell>
          <cell r="B462" t="str">
            <v>PM</v>
          </cell>
          <cell r="C462" t="str">
            <v>Packaging</v>
          </cell>
          <cell r="D462" t="str">
            <v>Label</v>
          </cell>
        </row>
        <row r="463">
          <cell r="A463" t="str">
            <v>PM24-Curate Assorted Top 500G 500 gm</v>
          </cell>
          <cell r="B463" t="str">
            <v>PM</v>
          </cell>
          <cell r="C463" t="str">
            <v>Packaging</v>
          </cell>
          <cell r="D463" t="str">
            <v>Top</v>
          </cell>
        </row>
        <row r="464">
          <cell r="A464" t="str">
            <v>PM24-Curate BOPP Adhesive Tape (60mm x 65 mt)</v>
          </cell>
          <cell r="B464" t="str">
            <v>PM</v>
          </cell>
          <cell r="C464" t="str">
            <v>Packaging</v>
          </cell>
          <cell r="D464" t="str">
            <v>Tape</v>
          </cell>
        </row>
        <row r="465">
          <cell r="A465" t="str">
            <v>PM24-Curate Cashew 250 gm Label</v>
          </cell>
          <cell r="B465" t="str">
            <v>PM</v>
          </cell>
          <cell r="C465" t="str">
            <v>Packaging</v>
          </cell>
          <cell r="D465" t="str">
            <v>Label</v>
          </cell>
        </row>
        <row r="466">
          <cell r="A466" t="str">
            <v>PM24-Curate Cashew Label  550 gm</v>
          </cell>
          <cell r="B466" t="str">
            <v>PM</v>
          </cell>
          <cell r="C466" t="str">
            <v>Packaging</v>
          </cell>
          <cell r="D466" t="str">
            <v>Label</v>
          </cell>
        </row>
        <row r="467">
          <cell r="A467" t="str">
            <v>PM24-Curate Cranberry Whole Label  300 gm</v>
          </cell>
          <cell r="B467" t="str">
            <v>PM</v>
          </cell>
          <cell r="C467" t="str">
            <v>Packaging</v>
          </cell>
          <cell r="D467" t="str">
            <v>Label</v>
          </cell>
        </row>
        <row r="468">
          <cell r="A468" t="str">
            <v>PM24-Curate-Date Bite Blisters / Top DM03</v>
          </cell>
          <cell r="B468" t="str">
            <v>PM</v>
          </cell>
          <cell r="C468" t="str">
            <v>Packaging</v>
          </cell>
          <cell r="D468" t="str">
            <v>Blister</v>
          </cell>
        </row>
        <row r="469">
          <cell r="A469" t="str">
            <v>PM24-Curate Fard Dates With Lid Black Tub-Square Container-Reliance PGP 500 gm</v>
          </cell>
          <cell r="B469" t="str">
            <v>PM</v>
          </cell>
          <cell r="C469" t="str">
            <v>Packaging</v>
          </cell>
          <cell r="D469" t="str">
            <v>Tub</v>
          </cell>
        </row>
        <row r="470">
          <cell r="A470" t="str">
            <v>PM24-Curate Kimia Dates Sqaure Tub Curate PGP 500 gm</v>
          </cell>
          <cell r="B470" t="str">
            <v>PM</v>
          </cell>
          <cell r="C470" t="str">
            <v>Packaging</v>
          </cell>
          <cell r="D470" t="str">
            <v>Tub</v>
          </cell>
        </row>
        <row r="471">
          <cell r="A471" t="str">
            <v>PM24-Curate Kimia Dates With Lid Black Tub Curate-Square Container-Reliance PGP 500 gm</v>
          </cell>
          <cell r="B471" t="str">
            <v>PM</v>
          </cell>
          <cell r="C471" t="str">
            <v>Packaging</v>
          </cell>
          <cell r="D471" t="str">
            <v>Tub</v>
          </cell>
        </row>
        <row r="472">
          <cell r="A472" t="str">
            <v>PM24-Curate Mamra Almond Label 250 gm</v>
          </cell>
          <cell r="B472" t="str">
            <v>PM</v>
          </cell>
          <cell r="C472" t="str">
            <v>Packaging</v>
          </cell>
          <cell r="D472" t="str">
            <v>Label</v>
          </cell>
        </row>
        <row r="473">
          <cell r="A473" t="str">
            <v>PM24-Curate Mamra Almond Label 600 gm</v>
          </cell>
          <cell r="B473" t="str">
            <v>PM</v>
          </cell>
          <cell r="C473" t="str">
            <v>Packaging</v>
          </cell>
          <cell r="D473" t="str">
            <v>Label</v>
          </cell>
        </row>
        <row r="474">
          <cell r="A474" t="str">
            <v>PM24-Curate Oriental Dates Top 500 gm</v>
          </cell>
          <cell r="B474" t="str">
            <v>PM</v>
          </cell>
          <cell r="C474" t="str">
            <v>Packaging</v>
          </cell>
          <cell r="D474" t="str">
            <v>Top</v>
          </cell>
        </row>
        <row r="475">
          <cell r="A475" t="str">
            <v>PM24-Curate Oriental Dates Tub 500 Gm</v>
          </cell>
          <cell r="B475" t="str">
            <v>PM</v>
          </cell>
          <cell r="C475" t="str">
            <v>Packaging</v>
          </cell>
          <cell r="D475" t="str">
            <v>Tub</v>
          </cell>
        </row>
        <row r="476">
          <cell r="A476" t="str">
            <v>PM24-Curate Pista Akbari Label 250 gm</v>
          </cell>
          <cell r="B476" t="str">
            <v>PM</v>
          </cell>
          <cell r="C476" t="str">
            <v>Packaging</v>
          </cell>
          <cell r="D476" t="str">
            <v>Label</v>
          </cell>
        </row>
        <row r="477">
          <cell r="A477" t="str">
            <v>PM24-Curate Pista Akbari Label 550 gm</v>
          </cell>
          <cell r="B477" t="str">
            <v>PM</v>
          </cell>
          <cell r="C477" t="str">
            <v>Packaging</v>
          </cell>
          <cell r="D477" t="str">
            <v>Label</v>
          </cell>
        </row>
        <row r="478">
          <cell r="A478" t="str">
            <v>PM24-Curate Pista Peshawari Label 300 gm</v>
          </cell>
          <cell r="B478" t="str">
            <v>PM</v>
          </cell>
          <cell r="C478" t="str">
            <v>Packaging</v>
          </cell>
          <cell r="D478" t="str">
            <v>Label</v>
          </cell>
        </row>
        <row r="479">
          <cell r="A479" t="str">
            <v>PM24-Curate Prunes Label 300 gm</v>
          </cell>
          <cell r="B479" t="str">
            <v>PM</v>
          </cell>
          <cell r="C479" t="str">
            <v>Packaging</v>
          </cell>
          <cell r="D479" t="str">
            <v>Label</v>
          </cell>
        </row>
        <row r="480">
          <cell r="A480" t="str">
            <v>PM24-Curate Roasted Hazelnut 250 gm Label</v>
          </cell>
          <cell r="B480" t="str">
            <v>PM</v>
          </cell>
          <cell r="C480" t="str">
            <v>Packaging</v>
          </cell>
          <cell r="D480" t="str">
            <v>Label</v>
          </cell>
        </row>
        <row r="481">
          <cell r="A481" t="str">
            <v>PM24-Curate Round Label Big 250 gm</v>
          </cell>
          <cell r="B481" t="str">
            <v>PM</v>
          </cell>
          <cell r="C481" t="str">
            <v>Packaging</v>
          </cell>
          <cell r="D481" t="str">
            <v>Label</v>
          </cell>
        </row>
        <row r="482">
          <cell r="A482" t="str">
            <v>PM24-Curate Round Label Small 550 gm</v>
          </cell>
          <cell r="B482" t="str">
            <v>PM</v>
          </cell>
          <cell r="C482" t="str">
            <v>Packaging</v>
          </cell>
          <cell r="D482" t="str">
            <v>Label</v>
          </cell>
        </row>
        <row r="483">
          <cell r="A483" t="str">
            <v>PM24-Curate Safavi Top 500 gm</v>
          </cell>
          <cell r="B483" t="str">
            <v>PM</v>
          </cell>
          <cell r="C483" t="str">
            <v>Packaging</v>
          </cell>
          <cell r="D483" t="str">
            <v>Top</v>
          </cell>
        </row>
        <row r="484">
          <cell r="A484" t="str">
            <v>PM24-Curate Sandhukani Kismis Label 600 gm</v>
          </cell>
          <cell r="B484" t="str">
            <v>PM</v>
          </cell>
          <cell r="C484" t="str">
            <v>Packaging</v>
          </cell>
          <cell r="D484" t="str">
            <v>Label</v>
          </cell>
        </row>
        <row r="485">
          <cell r="A485" t="str">
            <v>PM24-Date A Chocolate 30 gm Pouch Digital</v>
          </cell>
          <cell r="B485" t="str">
            <v>PM</v>
          </cell>
          <cell r="C485" t="str">
            <v>Packaging</v>
          </cell>
          <cell r="D485" t="str">
            <v>Pouch Roll</v>
          </cell>
        </row>
        <row r="486">
          <cell r="A486" t="str">
            <v>PM24-Date Blister Top n Bottom 300 gm</v>
          </cell>
          <cell r="B486" t="str">
            <v>PM</v>
          </cell>
          <cell r="C486" t="str">
            <v>Packaging</v>
          </cell>
          <cell r="D486" t="str">
            <v>Blister</v>
          </cell>
        </row>
        <row r="487">
          <cell r="A487" t="str">
            <v>PM24-Date Blister Top n Bottom 500 gm</v>
          </cell>
          <cell r="B487" t="str">
            <v>PM</v>
          </cell>
          <cell r="C487" t="str">
            <v>Packaging</v>
          </cell>
          <cell r="D487" t="str">
            <v>Blister</v>
          </cell>
        </row>
        <row r="488">
          <cell r="A488" t="str">
            <v>PM24-Date Delight Classic</v>
          </cell>
          <cell r="B488" t="str">
            <v>PM</v>
          </cell>
          <cell r="C488" t="str">
            <v>Packaging</v>
          </cell>
          <cell r="D488" t="str">
            <v xml:space="preserve">Monocarton </v>
          </cell>
        </row>
        <row r="489">
          <cell r="A489" t="str">
            <v>PM24-Dates Ball Blister 200 gm</v>
          </cell>
          <cell r="B489" t="str">
            <v>PM</v>
          </cell>
          <cell r="C489" t="str">
            <v>Packaging</v>
          </cell>
          <cell r="D489" t="str">
            <v>Blister</v>
          </cell>
        </row>
        <row r="490">
          <cell r="A490" t="str">
            <v>PM24-Dates Delight Pvc Box 375 gm</v>
          </cell>
          <cell r="B490" t="str">
            <v>PM</v>
          </cell>
          <cell r="C490" t="str">
            <v>Packaging</v>
          </cell>
          <cell r="D490" t="str">
            <v>Box</v>
          </cell>
        </row>
        <row r="491">
          <cell r="A491" t="str">
            <v>PM24-D Cut Bags 11x16 Inch ( Kingdom Of Dates ) 500 gm</v>
          </cell>
          <cell r="B491" t="str">
            <v>PM</v>
          </cell>
          <cell r="C491" t="str">
            <v>Packaging</v>
          </cell>
          <cell r="D491" t="str">
            <v>Bag</v>
          </cell>
        </row>
        <row r="492">
          <cell r="A492" t="str">
            <v>PM24-D Cut Pouch-136x280mm+80mm 1000 gm</v>
          </cell>
          <cell r="B492" t="str">
            <v>PM</v>
          </cell>
          <cell r="C492" t="str">
            <v>Packaging</v>
          </cell>
          <cell r="D492" t="str">
            <v>Pouch</v>
          </cell>
        </row>
        <row r="493">
          <cell r="A493" t="str">
            <v>PM24-Delmonte Arabian Dates 500G Pouch</v>
          </cell>
          <cell r="B493" t="str">
            <v>PM</v>
          </cell>
          <cell r="C493" t="str">
            <v>Packaging</v>
          </cell>
          <cell r="D493" t="str">
            <v>Pouch</v>
          </cell>
        </row>
        <row r="494">
          <cell r="A494" t="str">
            <v>PM24-Delmonte Arabian Dates Pouch 200 gm</v>
          </cell>
          <cell r="B494" t="str">
            <v>PM</v>
          </cell>
          <cell r="C494" t="str">
            <v>Packaging</v>
          </cell>
          <cell r="D494" t="str">
            <v>Pouch</v>
          </cell>
        </row>
        <row r="495">
          <cell r="A495" t="str">
            <v>PM24-Del Monte Arabian Dates Pouch 500 gm</v>
          </cell>
          <cell r="B495" t="str">
            <v>PM</v>
          </cell>
          <cell r="C495" t="str">
            <v>Packaging</v>
          </cell>
          <cell r="D495" t="str">
            <v>Pouch</v>
          </cell>
        </row>
        <row r="496">
          <cell r="A496" t="str">
            <v>PM24-Del Monte Arabian Dates Promo Pouch 200 gm</v>
          </cell>
          <cell r="B496" t="str">
            <v>PM</v>
          </cell>
          <cell r="C496" t="str">
            <v>Packaging</v>
          </cell>
          <cell r="D496" t="str">
            <v>Pouch</v>
          </cell>
        </row>
        <row r="497">
          <cell r="A497" t="str">
            <v>PM24-Del Monte Arabian Dates Promo Pouch 500 gm</v>
          </cell>
          <cell r="B497" t="str">
            <v>PM</v>
          </cell>
          <cell r="C497" t="str">
            <v>Packaging</v>
          </cell>
          <cell r="D497" t="str">
            <v>Pouch</v>
          </cell>
        </row>
        <row r="498">
          <cell r="A498" t="str">
            <v>PM24-Del Monte Arabian Fard Dates Pouch 200 gm</v>
          </cell>
          <cell r="B498" t="str">
            <v>PM</v>
          </cell>
          <cell r="C498" t="str">
            <v>Packaging</v>
          </cell>
          <cell r="D498" t="str">
            <v>Pouch</v>
          </cell>
        </row>
        <row r="499">
          <cell r="A499" t="str">
            <v>PM24-Del Monte BOPP Adhesive Tape (60 mm x 65 mt)</v>
          </cell>
          <cell r="B499" t="str">
            <v>PM</v>
          </cell>
          <cell r="C499" t="str">
            <v>Packaging</v>
          </cell>
          <cell r="D499" t="str">
            <v>Tape</v>
          </cell>
        </row>
        <row r="500">
          <cell r="A500" t="str">
            <v>PM24-Del Monte Dried Cranberries Zipper Pouch 130 gm</v>
          </cell>
          <cell r="B500" t="str">
            <v>PM</v>
          </cell>
          <cell r="C500" t="str">
            <v>Packaging</v>
          </cell>
          <cell r="D500" t="str">
            <v>Pouch</v>
          </cell>
        </row>
        <row r="501">
          <cell r="A501" t="str">
            <v>PM24-Del Monte Fard Dates Promo Pouch 200 gm</v>
          </cell>
          <cell r="B501" t="str">
            <v>PM</v>
          </cell>
          <cell r="C501" t="str">
            <v>Packaging</v>
          </cell>
          <cell r="D501" t="str">
            <v>Pouch</v>
          </cell>
        </row>
        <row r="502">
          <cell r="A502" t="str">
            <v>PM24-Del Monte Fard Dates Promo Pouch 500 gm</v>
          </cell>
          <cell r="B502" t="str">
            <v>PM</v>
          </cell>
          <cell r="C502" t="str">
            <v>Packaging</v>
          </cell>
          <cell r="D502" t="str">
            <v>Pouch</v>
          </cell>
        </row>
        <row r="503">
          <cell r="A503" t="str">
            <v>PM24-Del Monte Pitted Prunes Pouch 130 gm</v>
          </cell>
          <cell r="B503" t="str">
            <v>PM</v>
          </cell>
          <cell r="C503" t="str">
            <v>Packaging</v>
          </cell>
          <cell r="D503" t="str">
            <v>Pouch</v>
          </cell>
        </row>
        <row r="504">
          <cell r="A504" t="str">
            <v>PM24-Del Monte Pitted Prunes Pouch 340 gm</v>
          </cell>
          <cell r="B504" t="str">
            <v>PM</v>
          </cell>
          <cell r="C504" t="str">
            <v>Packaging</v>
          </cell>
          <cell r="D504" t="str">
            <v>Pouch</v>
          </cell>
        </row>
        <row r="505">
          <cell r="A505" t="str">
            <v>PM24-Del Monte Royal Fard Dates Pouch 450 gm</v>
          </cell>
          <cell r="B505" t="str">
            <v>PM</v>
          </cell>
          <cell r="C505" t="str">
            <v>Packaging</v>
          </cell>
          <cell r="D505" t="str">
            <v>Pouch</v>
          </cell>
        </row>
        <row r="506">
          <cell r="A506" t="str">
            <v>PM24-Del Monte Royal Fard Dates Pouch 500 gm</v>
          </cell>
          <cell r="B506" t="str">
            <v>PM</v>
          </cell>
          <cell r="C506" t="str">
            <v>Packaging</v>
          </cell>
          <cell r="D506" t="str">
            <v>Pouch</v>
          </cell>
        </row>
        <row r="507">
          <cell r="A507" t="str">
            <v>PM24-Dilkash Pouch 500 gm</v>
          </cell>
          <cell r="B507" t="str">
            <v>PM</v>
          </cell>
          <cell r="C507" t="str">
            <v>Packaging</v>
          </cell>
          <cell r="D507" t="str">
            <v>Pouch</v>
          </cell>
        </row>
        <row r="508">
          <cell r="A508" t="str">
            <v>PM24-Dilkash Pouch 500 gm - (BOP Kandhar)</v>
          </cell>
          <cell r="B508" t="str">
            <v>PM</v>
          </cell>
          <cell r="C508" t="str">
            <v>Packaging</v>
          </cell>
          <cell r="D508" t="str">
            <v>Pouch</v>
          </cell>
        </row>
        <row r="509">
          <cell r="A509" t="str">
            <v>PM24-Diwali Pouch 5.5 x 7.5 Laminated Pouch( 115mm x 200 mm)-Center Sealing Pouch 200 gm</v>
          </cell>
          <cell r="B509" t="str">
            <v>PM</v>
          </cell>
          <cell r="C509" t="str">
            <v>Packaging</v>
          </cell>
          <cell r="D509" t="str">
            <v>Pouch</v>
          </cell>
        </row>
        <row r="510">
          <cell r="A510" t="str">
            <v>PM24-Diwali Pouch Laminated Centre Sealing 4.5 x 7.5 200 gm</v>
          </cell>
          <cell r="B510" t="str">
            <v>PM</v>
          </cell>
          <cell r="C510" t="str">
            <v>Packaging</v>
          </cell>
          <cell r="D510" t="str">
            <v>Pouch</v>
          </cell>
        </row>
        <row r="511">
          <cell r="A511" t="str">
            <v>PM24-DM03 Bottom Golden Blister</v>
          </cell>
          <cell r="B511" t="str">
            <v>PM</v>
          </cell>
          <cell r="C511" t="str">
            <v>Packaging</v>
          </cell>
          <cell r="D511" t="str">
            <v>Blister</v>
          </cell>
        </row>
        <row r="512">
          <cell r="A512" t="str">
            <v>PM24-DM 03 Top Transparent (for blister) 210 gm</v>
          </cell>
          <cell r="B512" t="str">
            <v>PM</v>
          </cell>
          <cell r="C512" t="str">
            <v>Packaging</v>
          </cell>
          <cell r="D512" t="str">
            <v>Top</v>
          </cell>
        </row>
        <row r="513">
          <cell r="A513" t="str">
            <v>PM24-DM10 Blister Bottom Golden 210g</v>
          </cell>
          <cell r="B513" t="str">
            <v>PM</v>
          </cell>
          <cell r="C513" t="str">
            <v>Packaging</v>
          </cell>
          <cell r="D513" t="str">
            <v>Blister</v>
          </cell>
        </row>
        <row r="514">
          <cell r="A514" t="str">
            <v>PM24-DM10 Blister Lid Transparent 210g</v>
          </cell>
          <cell r="B514" t="str">
            <v>PM</v>
          </cell>
          <cell r="C514" t="str">
            <v>Packaging</v>
          </cell>
          <cell r="D514" t="str">
            <v>Blister Lid</v>
          </cell>
        </row>
        <row r="515">
          <cell r="A515" t="str">
            <v>PM24-D M 10 Gm Inner Tray 210 gm</v>
          </cell>
          <cell r="B515" t="str">
            <v>PM</v>
          </cell>
          <cell r="C515" t="str">
            <v>Packaging</v>
          </cell>
          <cell r="D515" t="str">
            <v>Tray</v>
          </cell>
        </row>
        <row r="516">
          <cell r="A516" t="str">
            <v>PM24-D M 10 Gm Inner Tray 210 gm (blister)</v>
          </cell>
          <cell r="B516" t="str">
            <v>PM</v>
          </cell>
          <cell r="C516" t="str">
            <v>Packaging</v>
          </cell>
          <cell r="D516" t="str">
            <v>Blister</v>
          </cell>
        </row>
        <row r="517">
          <cell r="A517" t="str">
            <v>PM24-D M 10 Gm Inner Tray 210 gm (Top)</v>
          </cell>
          <cell r="B517" t="str">
            <v>PM</v>
          </cell>
          <cell r="C517" t="str">
            <v>Packaging</v>
          </cell>
          <cell r="D517" t="str">
            <v>Top</v>
          </cell>
        </row>
        <row r="518">
          <cell r="A518" t="str">
            <v>PM24-D M 10 gm Tray</v>
          </cell>
          <cell r="B518" t="str">
            <v>PM</v>
          </cell>
          <cell r="C518" t="str">
            <v>Packaging</v>
          </cell>
          <cell r="D518" t="str">
            <v>Tray</v>
          </cell>
        </row>
        <row r="519">
          <cell r="A519" t="str">
            <v>PM24-D M 25 Gm Inner Tray 350 gm (blister)</v>
          </cell>
          <cell r="B519" t="str">
            <v>PM</v>
          </cell>
          <cell r="C519" t="str">
            <v>Packaging</v>
          </cell>
          <cell r="D519" t="str">
            <v>Blister</v>
          </cell>
        </row>
        <row r="520">
          <cell r="A520" t="str">
            <v>PM24-D Mart 210 ML EMPTY PET CANS - 100gm</v>
          </cell>
          <cell r="B520" t="str">
            <v>PM</v>
          </cell>
          <cell r="C520" t="str">
            <v>Packaging</v>
          </cell>
          <cell r="D520" t="str">
            <v>Pet</v>
          </cell>
        </row>
        <row r="521">
          <cell r="A521" t="str">
            <v>PM24-D Mart Healthy Choice 5 In 1 Seeds Mix 200g Standy Zipper Pouch</v>
          </cell>
          <cell r="B521" t="str">
            <v>PM</v>
          </cell>
          <cell r="C521" t="str">
            <v>Packaging</v>
          </cell>
          <cell r="D521" t="str">
            <v>Pouch</v>
          </cell>
        </row>
        <row r="522">
          <cell r="A522" t="str">
            <v>PM24-D Mart Healthy Choice Chia Seeds 100g (115x160mm) Standy Pouch</v>
          </cell>
          <cell r="B522" t="str">
            <v>PM</v>
          </cell>
          <cell r="C522" t="str">
            <v>Packaging</v>
          </cell>
          <cell r="D522" t="str">
            <v>Pouch</v>
          </cell>
        </row>
        <row r="523">
          <cell r="A523" t="str">
            <v>PM24-D Mart Healthy Choice Roasted Chia Seeds 200g Standy Zipper Pouch</v>
          </cell>
          <cell r="B523" t="str">
            <v>PM</v>
          </cell>
          <cell r="C523" t="str">
            <v>Packaging</v>
          </cell>
          <cell r="D523" t="str">
            <v>Pouch</v>
          </cell>
        </row>
        <row r="524">
          <cell r="A524" t="str">
            <v>PM24-D Mart Healthy Choice Roasted Pumpkin Seeds 100g (115x160mm) Standy Pouch</v>
          </cell>
          <cell r="B524" t="str">
            <v>PM</v>
          </cell>
          <cell r="C524" t="str">
            <v>Packaging</v>
          </cell>
          <cell r="D524" t="str">
            <v>Pouch</v>
          </cell>
        </row>
        <row r="525">
          <cell r="A525" t="str">
            <v>PM24-D Mart Healthy Choice Roasted Pumpkin Seeds 200g Standy Zipper Pouch</v>
          </cell>
          <cell r="B525" t="str">
            <v>PM</v>
          </cell>
          <cell r="C525" t="str">
            <v>Packaging</v>
          </cell>
          <cell r="D525" t="str">
            <v>Pouch</v>
          </cell>
        </row>
        <row r="526">
          <cell r="A526" t="str">
            <v>PM24-D Mart Healthy Choice Roasted Sunflower Seeds 100g (115x160mm) Standy Pouch</v>
          </cell>
          <cell r="B526" t="str">
            <v>PM</v>
          </cell>
          <cell r="C526" t="str">
            <v>Packaging</v>
          </cell>
          <cell r="D526" t="str">
            <v>Pouch</v>
          </cell>
        </row>
        <row r="527">
          <cell r="A527" t="str">
            <v>PM24-D Mart Healthy Choice Roasted Sunflower Seeds 200g Standy Zipper Pouch</v>
          </cell>
          <cell r="B527" t="str">
            <v>PM</v>
          </cell>
          <cell r="C527" t="str">
            <v>Packaging</v>
          </cell>
          <cell r="D527" t="str">
            <v>Pouch</v>
          </cell>
        </row>
        <row r="528">
          <cell r="A528" t="str">
            <v>PM24-D Mart Healthy Choice Roasted Watermelon Seeds 100g (115x160mm) Standy Pouch</v>
          </cell>
          <cell r="B528" t="str">
            <v>PM</v>
          </cell>
          <cell r="C528" t="str">
            <v>Packaging</v>
          </cell>
          <cell r="D528" t="str">
            <v>Pouch</v>
          </cell>
        </row>
        <row r="529">
          <cell r="A529" t="str">
            <v>PM24-D Mart Healthy Choice Roasted Watermelon Seeds 200g Standy Zipper Pouch</v>
          </cell>
          <cell r="B529" t="str">
            <v>PM</v>
          </cell>
          <cell r="C529" t="str">
            <v>Packaging</v>
          </cell>
          <cell r="D529" t="str">
            <v>Pouch</v>
          </cell>
        </row>
        <row r="530">
          <cell r="A530" t="str">
            <v>PM24-D Mart INDUCTION WAD FOR 210 ML PET CANS- 100gm</v>
          </cell>
          <cell r="B530" t="str">
            <v>PM</v>
          </cell>
          <cell r="C530" t="str">
            <v>Packaging</v>
          </cell>
          <cell r="D530" t="str">
            <v>Wad</v>
          </cell>
        </row>
        <row r="531">
          <cell r="A531" t="str">
            <v>PM24-D Mart Pet Caps For 210 ml Pet 100 gm</v>
          </cell>
          <cell r="B531" t="str">
            <v>PM</v>
          </cell>
          <cell r="C531" t="str">
            <v>Packaging</v>
          </cell>
          <cell r="D531" t="str">
            <v>Cap</v>
          </cell>
        </row>
        <row r="532">
          <cell r="A532" t="str">
            <v>PM24-D Mart Premia Almonds Salted Standy Pouch 100 gm</v>
          </cell>
          <cell r="B532" t="str">
            <v>PM</v>
          </cell>
          <cell r="C532" t="str">
            <v>Packaging</v>
          </cell>
          <cell r="D532" t="str">
            <v>Pouch</v>
          </cell>
        </row>
        <row r="533">
          <cell r="A533" t="str">
            <v>PM24-D Mart Premia Black Pepper Cashew Pouch 100 gm</v>
          </cell>
          <cell r="B533" t="str">
            <v>PM</v>
          </cell>
          <cell r="C533" t="str">
            <v>Packaging</v>
          </cell>
          <cell r="D533" t="str">
            <v>Pouch</v>
          </cell>
        </row>
        <row r="534">
          <cell r="A534" t="str">
            <v>PM24-D Mart Premia Breakfast Mix Standy Pouch 100 gm</v>
          </cell>
          <cell r="B534" t="str">
            <v>PM</v>
          </cell>
          <cell r="C534" t="str">
            <v>Packaging</v>
          </cell>
          <cell r="D534" t="str">
            <v>Pouch</v>
          </cell>
        </row>
        <row r="535">
          <cell r="A535" t="str">
            <v>PM24-D Mart Premia Cashew Black Pepper 100 gm</v>
          </cell>
          <cell r="B535" t="str">
            <v>PM</v>
          </cell>
          <cell r="C535" t="str">
            <v>Packaging</v>
          </cell>
          <cell r="D535" t="str">
            <v>Pouch</v>
          </cell>
        </row>
        <row r="536">
          <cell r="A536" t="str">
            <v>PM24-D Mart Premia Cashews Salted Label  100 gm</v>
          </cell>
          <cell r="B536" t="str">
            <v>PM</v>
          </cell>
          <cell r="C536" t="str">
            <v>Packaging</v>
          </cell>
          <cell r="D536" t="str">
            <v>Label</v>
          </cell>
        </row>
        <row r="537">
          <cell r="A537" t="str">
            <v>PM24-D Mart Premia Cashews Salted Standy Pouch 100 gm.</v>
          </cell>
          <cell r="B537" t="str">
            <v>PM</v>
          </cell>
          <cell r="C537" t="str">
            <v>Packaging</v>
          </cell>
          <cell r="D537" t="str">
            <v>Pouch</v>
          </cell>
        </row>
        <row r="538">
          <cell r="A538" t="str">
            <v>PM24-D Mart Premia Chatpata Cranberry Standy Pouch 100 gm</v>
          </cell>
          <cell r="B538" t="str">
            <v>PM</v>
          </cell>
          <cell r="C538" t="str">
            <v>Packaging</v>
          </cell>
          <cell r="D538" t="str">
            <v>Pouch</v>
          </cell>
        </row>
        <row r="539">
          <cell r="A539" t="str">
            <v>PM24-D Mart Premia Cranberries Chatpata Standy Pouch 100g</v>
          </cell>
          <cell r="B539" t="str">
            <v>PM</v>
          </cell>
          <cell r="C539" t="str">
            <v>Packaging</v>
          </cell>
          <cell r="D539" t="str">
            <v>Pouch</v>
          </cell>
        </row>
        <row r="540">
          <cell r="A540" t="str">
            <v>PM24-D Mart Premia Cranberry Label 100 gm</v>
          </cell>
          <cell r="B540" t="str">
            <v>PM</v>
          </cell>
          <cell r="C540" t="str">
            <v>Packaging</v>
          </cell>
          <cell r="D540" t="str">
            <v>Label</v>
          </cell>
        </row>
        <row r="541">
          <cell r="A541" t="str">
            <v>PM24-D Mart Premia Dried Blueberry Standy Pouch 100 gm</v>
          </cell>
          <cell r="B541" t="str">
            <v>PM</v>
          </cell>
          <cell r="C541" t="str">
            <v>Packaging</v>
          </cell>
          <cell r="D541" t="str">
            <v>Pouch</v>
          </cell>
        </row>
        <row r="542">
          <cell r="A542" t="str">
            <v>PM24-D Mart Premia Dried Cranberry Standy Pouch (115x160mm+60) 100 gm</v>
          </cell>
          <cell r="B542" t="str">
            <v>PM</v>
          </cell>
          <cell r="C542" t="str">
            <v>Packaging</v>
          </cell>
          <cell r="D542" t="str">
            <v>Pouch</v>
          </cell>
        </row>
        <row r="543">
          <cell r="A543" t="str">
            <v>PM24-D Mart Premia Nuts And Seed Mix 100 gm</v>
          </cell>
          <cell r="B543" t="str">
            <v>PM</v>
          </cell>
          <cell r="C543" t="str">
            <v>Packaging</v>
          </cell>
          <cell r="D543" t="str">
            <v>Pouch</v>
          </cell>
        </row>
        <row r="544">
          <cell r="A544" t="str">
            <v>PM24-D Mart Premia Nuts &amp; Seeds 100 gm</v>
          </cell>
          <cell r="B544" t="str">
            <v>PM</v>
          </cell>
          <cell r="C544" t="str">
            <v>Packaging</v>
          </cell>
          <cell r="D544" t="str">
            <v>Pouch</v>
          </cell>
        </row>
        <row r="545">
          <cell r="A545" t="str">
            <v>PM24- DMART Premia Nuts &amp; Seeds Pouch 100 g</v>
          </cell>
          <cell r="B545" t="str">
            <v>PM</v>
          </cell>
          <cell r="C545" t="str">
            <v>Packaging</v>
          </cell>
          <cell r="D545" t="str">
            <v>Pouch</v>
          </cell>
        </row>
        <row r="546">
          <cell r="A546" t="str">
            <v>PM24-D Mart Premia Prunes 100 gm</v>
          </cell>
          <cell r="B546" t="str">
            <v>PM</v>
          </cell>
          <cell r="C546" t="str">
            <v>Packaging</v>
          </cell>
          <cell r="D546" t="str">
            <v>Pouch</v>
          </cell>
        </row>
        <row r="547">
          <cell r="A547" t="str">
            <v>PM24-D Mart Premia Raisins Plain Label 100 gm</v>
          </cell>
          <cell r="B547" t="str">
            <v>PM</v>
          </cell>
          <cell r="C547" t="str">
            <v>Packaging</v>
          </cell>
          <cell r="D547" t="str">
            <v>Label</v>
          </cell>
        </row>
        <row r="548">
          <cell r="A548" t="str">
            <v>PM24-D Mart Premia Salted Almond Standy Pouch 100 gm</v>
          </cell>
          <cell r="B548" t="str">
            <v>PM</v>
          </cell>
          <cell r="C548" t="str">
            <v>Packaging</v>
          </cell>
          <cell r="D548" t="str">
            <v>Pouch</v>
          </cell>
        </row>
        <row r="549">
          <cell r="A549" t="str">
            <v>PM24-D Mart Premia Smoked Almond 100 gm</v>
          </cell>
          <cell r="B549" t="str">
            <v>PM</v>
          </cell>
          <cell r="C549" t="str">
            <v>Packaging</v>
          </cell>
          <cell r="D549" t="str">
            <v>Pouch</v>
          </cell>
        </row>
        <row r="550">
          <cell r="A550" t="str">
            <v>PM24-D Mart Premia Trail Mix 100 gm</v>
          </cell>
          <cell r="B550" t="str">
            <v>PM</v>
          </cell>
          <cell r="C550" t="str">
            <v>Packaging</v>
          </cell>
          <cell r="D550" t="str">
            <v>Pouch</v>
          </cell>
        </row>
        <row r="551">
          <cell r="A551" t="str">
            <v>PM24-Dmart Pumpkin Seeds 100G Pouch</v>
          </cell>
          <cell r="B551" t="str">
            <v>PM</v>
          </cell>
          <cell r="C551" t="str">
            <v>Packaging</v>
          </cell>
          <cell r="D551" t="str">
            <v>Pouch</v>
          </cell>
        </row>
        <row r="552">
          <cell r="A552" t="str">
            <v>PM24-D Mart Royal Traditional Almonds  100g (115x160mm) Pouch</v>
          </cell>
          <cell r="B552" t="str">
            <v>PM</v>
          </cell>
          <cell r="C552" t="str">
            <v>Packaging</v>
          </cell>
          <cell r="D552" t="str">
            <v>Pouch</v>
          </cell>
        </row>
        <row r="553">
          <cell r="A553" t="str">
            <v>PM24-D Mart Royal Traditional Almonds Salted 100g (115x160mm) Pouch</v>
          </cell>
          <cell r="B553" t="str">
            <v>PM</v>
          </cell>
          <cell r="C553" t="str">
            <v>Packaging</v>
          </cell>
          <cell r="D553" t="str">
            <v>Pouch</v>
          </cell>
        </row>
        <row r="554">
          <cell r="A554" t="str">
            <v>PM24-D Mart Royal Traditional Cashew 100g (115x160mm) Pouch</v>
          </cell>
          <cell r="B554" t="str">
            <v>PM</v>
          </cell>
          <cell r="C554" t="str">
            <v>Packaging</v>
          </cell>
          <cell r="D554" t="str">
            <v>Pouch</v>
          </cell>
        </row>
        <row r="555">
          <cell r="A555" t="str">
            <v>PM24-D Mart Royal Traditional Cashew Black Pepper 100g (115x160mm) Pouch</v>
          </cell>
          <cell r="B555" t="str">
            <v>PM</v>
          </cell>
          <cell r="C555" t="str">
            <v>Packaging</v>
          </cell>
          <cell r="D555" t="str">
            <v>Pouch</v>
          </cell>
        </row>
        <row r="556">
          <cell r="A556" t="str">
            <v>PM24-D Mart Royal Traditional Cashew Salted 100g (115x160mm) Pouch</v>
          </cell>
          <cell r="B556" t="str">
            <v>PM</v>
          </cell>
          <cell r="C556" t="str">
            <v>Packaging</v>
          </cell>
          <cell r="D556" t="str">
            <v>Pouch</v>
          </cell>
        </row>
        <row r="557">
          <cell r="A557" t="str">
            <v>PM24-D Mart Royal Traditional Cranberries 100g (115x160mm) Pouch</v>
          </cell>
          <cell r="B557" t="str">
            <v>PM</v>
          </cell>
          <cell r="C557" t="str">
            <v>Packaging</v>
          </cell>
          <cell r="D557" t="str">
            <v>Pouch</v>
          </cell>
        </row>
        <row r="558">
          <cell r="A558" t="str">
            <v>PM24-D Mart Royal Traditional Raisin Plain 100g (115x160mm) Pouch</v>
          </cell>
          <cell r="B558" t="str">
            <v>PM</v>
          </cell>
          <cell r="C558" t="str">
            <v>Packaging</v>
          </cell>
          <cell r="D558" t="str">
            <v>Pouch</v>
          </cell>
        </row>
        <row r="559">
          <cell r="A559" t="str">
            <v>PM24-Dmart Royal Trad. Snack Mix-Chatpata st. pouch100g</v>
          </cell>
          <cell r="B559" t="str">
            <v>PM</v>
          </cell>
          <cell r="C559" t="str">
            <v>Packaging</v>
          </cell>
          <cell r="D559" t="str">
            <v>Pouch</v>
          </cell>
        </row>
        <row r="560">
          <cell r="A560" t="str">
            <v>PM24-Dmart Royal Trad. Snack Mix -Masala Magic st. pouch100g</v>
          </cell>
          <cell r="B560" t="str">
            <v>PM</v>
          </cell>
          <cell r="C560" t="str">
            <v>Packaging</v>
          </cell>
          <cell r="D560" t="str">
            <v>Pouch</v>
          </cell>
        </row>
        <row r="561">
          <cell r="A561" t="str">
            <v>PM24-Dragees Pet-200 ml with D Gold Cap 100 gm</v>
          </cell>
          <cell r="B561" t="str">
            <v>PM</v>
          </cell>
          <cell r="C561" t="str">
            <v>Packaging</v>
          </cell>
          <cell r="D561" t="str">
            <v>Pet</v>
          </cell>
        </row>
        <row r="562">
          <cell r="A562" t="str">
            <v>PM24-Dried Blueberry Pouch 100 gm</v>
          </cell>
          <cell r="B562" t="str">
            <v>PM</v>
          </cell>
          <cell r="C562" t="str">
            <v>Packaging</v>
          </cell>
          <cell r="D562" t="str">
            <v>Pouch</v>
          </cell>
        </row>
        <row r="563">
          <cell r="A563" t="str">
            <v>PM24-Dried Cranberry Pouch 100 gm</v>
          </cell>
          <cell r="B563" t="str">
            <v>PM</v>
          </cell>
          <cell r="C563" t="str">
            <v>Packaging</v>
          </cell>
          <cell r="D563" t="str">
            <v>Pouch</v>
          </cell>
        </row>
        <row r="564">
          <cell r="A564" t="str">
            <v>PM24-Dry Fruit Instant Bar R 30 gm</v>
          </cell>
          <cell r="B564" t="str">
            <v>PM</v>
          </cell>
          <cell r="C564" t="str">
            <v>Packaging</v>
          </cell>
          <cell r="D564" t="str">
            <v>Roll</v>
          </cell>
        </row>
        <row r="565">
          <cell r="A565" t="str">
            <v>PM24-Dry Fruits &amp; Berry Mix 250 gm Pouch Digital</v>
          </cell>
          <cell r="B565" t="str">
            <v>PM</v>
          </cell>
          <cell r="C565" t="str">
            <v>Packaging</v>
          </cell>
          <cell r="D565" t="str">
            <v>Pouch Roll</v>
          </cell>
        </row>
        <row r="566">
          <cell r="A566" t="str">
            <v>PM24-Dry Fruits Nutes Mix 250 gm Pouch Digital</v>
          </cell>
          <cell r="B566" t="str">
            <v>PM</v>
          </cell>
          <cell r="C566" t="str">
            <v>Packaging</v>
          </cell>
          <cell r="D566" t="str">
            <v>Pouch Roll</v>
          </cell>
        </row>
        <row r="567">
          <cell r="A567" t="str">
            <v>PM24-Eid Box 10x10x2.2 500 gm</v>
          </cell>
          <cell r="B567" t="str">
            <v>PM</v>
          </cell>
          <cell r="C567" t="str">
            <v>Packaging</v>
          </cell>
          <cell r="D567" t="str">
            <v>Box</v>
          </cell>
        </row>
        <row r="568">
          <cell r="A568" t="str">
            <v>PM24-EMPL Besan Pouch Roll 9gm</v>
          </cell>
          <cell r="B568" t="str">
            <v>PM</v>
          </cell>
          <cell r="C568" t="str">
            <v>Packaging</v>
          </cell>
          <cell r="D568" t="str">
            <v>Pouch Roll</v>
          </cell>
        </row>
        <row r="569">
          <cell r="A569" t="str">
            <v>PM24-EMPL Coconut Pouch Roll 9gm</v>
          </cell>
          <cell r="B569" t="str">
            <v>PM</v>
          </cell>
          <cell r="C569" t="str">
            <v>Packaging</v>
          </cell>
          <cell r="D569" t="str">
            <v>Pouch Roll</v>
          </cell>
        </row>
        <row r="570">
          <cell r="A570" t="str">
            <v>PM24-Empl-Dryfruit Instant Pouch Roll 35gm</v>
          </cell>
          <cell r="B570" t="str">
            <v>PM</v>
          </cell>
          <cell r="C570" t="str">
            <v>Packaging</v>
          </cell>
          <cell r="D570" t="str">
            <v>Pouch Roll</v>
          </cell>
        </row>
        <row r="571">
          <cell r="A571" t="str">
            <v>PM24-EMPL Dry Fruit Instant Pouch Roll 9gm</v>
          </cell>
          <cell r="B571" t="str">
            <v>PM</v>
          </cell>
          <cell r="C571" t="str">
            <v>Packaging</v>
          </cell>
          <cell r="D571" t="str">
            <v>Pouch Roll</v>
          </cell>
        </row>
        <row r="572">
          <cell r="A572" t="str">
            <v>PM24-Empl-Gondh pouch roll</v>
          </cell>
          <cell r="B572" t="str">
            <v>PM</v>
          </cell>
          <cell r="C572" t="str">
            <v>Packaging</v>
          </cell>
          <cell r="D572" t="str">
            <v>Pouch Roll</v>
          </cell>
        </row>
        <row r="573">
          <cell r="A573" t="str">
            <v>PM24-Empl-Kamarkas pouch roll</v>
          </cell>
          <cell r="B573" t="str">
            <v>PM</v>
          </cell>
          <cell r="C573" t="str">
            <v>Packaging</v>
          </cell>
          <cell r="D573" t="str">
            <v>Pouch Roll</v>
          </cell>
        </row>
        <row r="574">
          <cell r="A574" t="str">
            <v>PM24-Empl-Methipouch roll</v>
          </cell>
          <cell r="B574" t="str">
            <v>PM</v>
          </cell>
          <cell r="C574" t="str">
            <v>Packaging</v>
          </cell>
          <cell r="D574" t="str">
            <v>Pouch Roll</v>
          </cell>
        </row>
        <row r="575">
          <cell r="A575" t="str">
            <v>PM24-Empl-Wholesome Millet pouch roll</v>
          </cell>
          <cell r="B575" t="str">
            <v>PM</v>
          </cell>
          <cell r="C575" t="str">
            <v>Packaging</v>
          </cell>
          <cell r="D575" t="str">
            <v>Pouch Roll</v>
          </cell>
        </row>
        <row r="576">
          <cell r="A576" t="str">
            <v>PM24-Evergreen Chilli Lemon Roll 50 gm</v>
          </cell>
          <cell r="B576" t="str">
            <v>PM</v>
          </cell>
          <cell r="C576" t="str">
            <v>Packaging</v>
          </cell>
          <cell r="D576" t="str">
            <v>Roll</v>
          </cell>
        </row>
        <row r="577">
          <cell r="A577" t="str">
            <v>PM24-Evergreen Onion Garlic Roll 50 gm</v>
          </cell>
          <cell r="B577" t="str">
            <v>PM</v>
          </cell>
          <cell r="C577" t="str">
            <v>Packaging</v>
          </cell>
          <cell r="D577" t="str">
            <v>Roll</v>
          </cell>
        </row>
        <row r="578">
          <cell r="A578" t="str">
            <v>PM24-Everyday Cashew 320 (210 x 310 mm) 1000 gm</v>
          </cell>
          <cell r="B578" t="str">
            <v>PM</v>
          </cell>
          <cell r="C578" t="str">
            <v>Packaging</v>
          </cell>
          <cell r="D578" t="str">
            <v>Pouch</v>
          </cell>
        </row>
        <row r="579">
          <cell r="A579" t="str">
            <v>PM24-EXTRA CHEESE 15 KG BAG (14X3X3X23)- TPL</v>
          </cell>
          <cell r="B579" t="str">
            <v>PM</v>
          </cell>
          <cell r="C579" t="str">
            <v>Packaging</v>
          </cell>
          <cell r="D579" t="str">
            <v>Pouch</v>
          </cell>
        </row>
        <row r="580">
          <cell r="A580" t="str">
            <v>PM24-Extreme Cheese Label - TPL</v>
          </cell>
          <cell r="B580" t="str">
            <v>PM</v>
          </cell>
          <cell r="C580" t="str">
            <v>Packaging</v>
          </cell>
          <cell r="D580" t="str">
            <v>Label</v>
          </cell>
        </row>
        <row r="581">
          <cell r="A581" t="str">
            <v>PM24-Fard Dates Label 1000 gm</v>
          </cell>
          <cell r="B581" t="str">
            <v>PM</v>
          </cell>
          <cell r="C581" t="str">
            <v>Packaging</v>
          </cell>
          <cell r="D581" t="str">
            <v>Label</v>
          </cell>
        </row>
        <row r="582">
          <cell r="A582" t="str">
            <v>PM24-Fennel And Berries 200 gm</v>
          </cell>
          <cell r="B582" t="str">
            <v>PM</v>
          </cell>
          <cell r="C582" t="str">
            <v>Packaging</v>
          </cell>
          <cell r="D582" t="str">
            <v xml:space="preserve">Monocarton </v>
          </cell>
        </row>
        <row r="583">
          <cell r="A583" t="str">
            <v>PM24-Fenugreek Cinammon 125 gm</v>
          </cell>
          <cell r="B583" t="str">
            <v>PM</v>
          </cell>
          <cell r="C583" t="str">
            <v>Packaging</v>
          </cell>
          <cell r="D583" t="str">
            <v xml:space="preserve">Monocarton </v>
          </cell>
        </row>
        <row r="584">
          <cell r="A584" t="str">
            <v>PM24-Fenugreek Cinammon 200 gm</v>
          </cell>
          <cell r="B584" t="str">
            <v>PM</v>
          </cell>
          <cell r="C584" t="str">
            <v>Packaging</v>
          </cell>
          <cell r="D584" t="str">
            <v xml:space="preserve">Monocarton </v>
          </cell>
        </row>
        <row r="585">
          <cell r="A585" t="str">
            <v>PM24-Fenugreek Cinammon US 150 gm</v>
          </cell>
          <cell r="B585" t="str">
            <v>PM</v>
          </cell>
          <cell r="C585" t="str">
            <v>Packaging</v>
          </cell>
          <cell r="D585" t="str">
            <v xml:space="preserve">Monocarton </v>
          </cell>
        </row>
        <row r="586">
          <cell r="A586" t="str">
            <v>PM24-Fenugreek Cinammon Us 480 gm</v>
          </cell>
          <cell r="B586" t="str">
            <v>PM</v>
          </cell>
          <cell r="C586" t="str">
            <v>Packaging</v>
          </cell>
          <cell r="D586" t="str">
            <v xml:space="preserve">Monocarton </v>
          </cell>
        </row>
        <row r="587">
          <cell r="A587" t="str">
            <v>PM24-Fevicol Adhesive Glue (Not Exceeding Net Wt 1Kg) As Per Standard Quality 250 gm</v>
          </cell>
          <cell r="B587" t="str">
            <v>PM</v>
          </cell>
          <cell r="C587" t="str">
            <v>Packaging</v>
          </cell>
          <cell r="D587" t="str">
            <v>Glue</v>
          </cell>
        </row>
        <row r="588">
          <cell r="A588" t="str">
            <v>PM24-Fit Bar Berry Blast Pouch Roll 30 gm</v>
          </cell>
          <cell r="B588" t="str">
            <v>PM</v>
          </cell>
          <cell r="C588" t="str">
            <v>Packaging</v>
          </cell>
          <cell r="D588" t="str">
            <v>Pouch Roll</v>
          </cell>
        </row>
        <row r="589">
          <cell r="A589" t="str">
            <v>PM24-Fit Bar Chocolate Pouch Roll 30 gm</v>
          </cell>
          <cell r="B589" t="str">
            <v>PM</v>
          </cell>
          <cell r="C589" t="str">
            <v>Packaging</v>
          </cell>
          <cell r="D589" t="str">
            <v>Pouch Roll</v>
          </cell>
        </row>
        <row r="590">
          <cell r="A590" t="str">
            <v>PM24-Fit Bar Mocha Almond Pouch Roll 30 gm</v>
          </cell>
          <cell r="B590" t="str">
            <v>PM</v>
          </cell>
          <cell r="C590" t="str">
            <v>Packaging</v>
          </cell>
          <cell r="D590" t="str">
            <v>Pouch Roll</v>
          </cell>
        </row>
        <row r="591">
          <cell r="A591" t="str">
            <v>PM24-Fit Bar Nuts &amp; Seeds Pouch Roll 30 gm</v>
          </cell>
          <cell r="B591" t="str">
            <v>PM</v>
          </cell>
          <cell r="C591" t="str">
            <v>Packaging</v>
          </cell>
          <cell r="D591" t="str">
            <v>Pouch Roll</v>
          </cell>
        </row>
        <row r="592">
          <cell r="A592" t="str">
            <v>PM24-Fk Classic 200 Gm Pouch (195x130) Roll Uin 18 200 gm</v>
          </cell>
          <cell r="B592" t="str">
            <v>PM</v>
          </cell>
          <cell r="C592" t="str">
            <v>Packaging</v>
          </cell>
          <cell r="D592" t="str">
            <v>Roll</v>
          </cell>
        </row>
        <row r="593">
          <cell r="A593" t="str">
            <v>PM24-Fk Classic 500 Gm Roll (250x150) Uin 19 500 gm</v>
          </cell>
          <cell r="B593" t="str">
            <v>PM</v>
          </cell>
          <cell r="C593" t="str">
            <v>Packaging</v>
          </cell>
          <cell r="D593" t="str">
            <v>Roll</v>
          </cell>
        </row>
        <row r="594">
          <cell r="A594" t="str">
            <v>PM24-Fk Classic 50 Gm Pouch Roll Uin 16 50 gm</v>
          </cell>
          <cell r="B594" t="str">
            <v>PM</v>
          </cell>
          <cell r="C594" t="str">
            <v>Packaging</v>
          </cell>
          <cell r="D594" t="str">
            <v>Pouch Roll</v>
          </cell>
        </row>
        <row r="595">
          <cell r="A595" t="str">
            <v>PM24-Fk Supermart Samarth Krishi 500 Gm Pouch (220x150) Green 500 gm</v>
          </cell>
          <cell r="B595" t="str">
            <v>PM</v>
          </cell>
          <cell r="C595" t="str">
            <v>Packaging</v>
          </cell>
          <cell r="D595" t="str">
            <v>Pouch</v>
          </cell>
        </row>
        <row r="596">
          <cell r="A596" t="str">
            <v>PM24-Fk Supermart Select 100Gm Pouch (190x120) Uin 02 100 gm</v>
          </cell>
          <cell r="B596" t="str">
            <v>PM</v>
          </cell>
          <cell r="C596" t="str">
            <v>Packaging</v>
          </cell>
          <cell r="D596" t="str">
            <v>Pouch</v>
          </cell>
        </row>
        <row r="597">
          <cell r="A597" t="str">
            <v>PM24-Fk Supermart Select 100 Gm Roll Uin 02 100 gm</v>
          </cell>
          <cell r="B597" t="str">
            <v>PM</v>
          </cell>
          <cell r="C597" t="str">
            <v>Packaging</v>
          </cell>
          <cell r="D597" t="str">
            <v>Roll</v>
          </cell>
        </row>
        <row r="598">
          <cell r="A598" t="str">
            <v>PM24-Fk Supermart Select 1 Kg. Pouch (275x175) Uin 07 1000 gm</v>
          </cell>
          <cell r="B598" t="str">
            <v>PM</v>
          </cell>
          <cell r="C598" t="str">
            <v>Packaging</v>
          </cell>
          <cell r="D598" t="str">
            <v>Pouch</v>
          </cell>
        </row>
        <row r="599">
          <cell r="A599" t="str">
            <v>PM24-Fk Supermart Select 1 Kg. Pouch 305x175 Uin 06 1000 gm</v>
          </cell>
          <cell r="B599" t="str">
            <v>PM</v>
          </cell>
          <cell r="C599" t="str">
            <v>Packaging</v>
          </cell>
          <cell r="D599" t="str">
            <v>Pouch</v>
          </cell>
        </row>
        <row r="600">
          <cell r="A600" t="str">
            <v>PM24-Fk Supermart Select 200 Gm Pouch (195x130) Uin 03 200 gm</v>
          </cell>
          <cell r="B600" t="str">
            <v>PM</v>
          </cell>
          <cell r="C600" t="str">
            <v>Packaging</v>
          </cell>
          <cell r="D600" t="str">
            <v>Pouch</v>
          </cell>
        </row>
        <row r="601">
          <cell r="A601" t="str">
            <v>PM24-Fk Supermart Select 200 Gm Roll (195x130) Uin 03 200 gm</v>
          </cell>
          <cell r="B601" t="str">
            <v>PM</v>
          </cell>
          <cell r="C601" t="str">
            <v>Packaging</v>
          </cell>
          <cell r="D601" t="str">
            <v>Roll</v>
          </cell>
        </row>
        <row r="602">
          <cell r="A602" t="str">
            <v>PM24-Fk Supermart Select 500 Gm Pouch (220x150) Uin 04 500 gm</v>
          </cell>
          <cell r="B602" t="str">
            <v>PM</v>
          </cell>
          <cell r="C602" t="str">
            <v>Packaging</v>
          </cell>
          <cell r="D602" t="str">
            <v>Pouch</v>
          </cell>
        </row>
        <row r="603">
          <cell r="A603" t="str">
            <v>PM24-Fk Supermart Select 500 Gm Pouch 250 x150 Uin 05 500 gm</v>
          </cell>
          <cell r="B603" t="str">
            <v>PM</v>
          </cell>
          <cell r="C603" t="str">
            <v>Packaging</v>
          </cell>
          <cell r="D603" t="str">
            <v>Pouch</v>
          </cell>
        </row>
        <row r="604">
          <cell r="A604" t="str">
            <v>PM24-Fk Supermart Select 500 Gm Roll (220x150) Uin 04 500 gm</v>
          </cell>
          <cell r="B604" t="str">
            <v>PM</v>
          </cell>
          <cell r="C604" t="str">
            <v>Packaging</v>
          </cell>
          <cell r="D604" t="str">
            <v>Roll</v>
          </cell>
        </row>
        <row r="605">
          <cell r="A605" t="str">
            <v>PM24-Fk Supermart Select 50 Gm Pouch Uin 01 50 gm</v>
          </cell>
          <cell r="B605" t="str">
            <v>PM</v>
          </cell>
          <cell r="C605" t="str">
            <v>Packaging</v>
          </cell>
          <cell r="D605" t="str">
            <v>Pouch</v>
          </cell>
        </row>
        <row r="606">
          <cell r="A606" t="str">
            <v>PM24-Fk Supermart Select 50 Gm Roll Uin 01 50 gm</v>
          </cell>
          <cell r="B606" t="str">
            <v>PM</v>
          </cell>
          <cell r="C606" t="str">
            <v>Packaging</v>
          </cell>
          <cell r="D606" t="str">
            <v>Roll</v>
          </cell>
        </row>
        <row r="607">
          <cell r="A607" t="str">
            <v>PM24-Fk Unbranded 500 Gm Pouch (250x150) Orange 500 gm</v>
          </cell>
          <cell r="B607" t="str">
            <v>PM</v>
          </cell>
          <cell r="C607" t="str">
            <v>Packaging</v>
          </cell>
          <cell r="D607" t="str">
            <v>Pouch</v>
          </cell>
        </row>
        <row r="608">
          <cell r="A608" t="str">
            <v>PM24-FNP Fiery Almond Pouch Roll Pouch Roll 50 gm Digital</v>
          </cell>
          <cell r="B608" t="str">
            <v>PM</v>
          </cell>
          <cell r="C608" t="str">
            <v>Packaging</v>
          </cell>
          <cell r="D608" t="str">
            <v>Pouch Roll</v>
          </cell>
        </row>
        <row r="609">
          <cell r="A609" t="str">
            <v>PM24-FNP Premium Raisins Pouch Roll 50 gm Digital</v>
          </cell>
          <cell r="B609" t="str">
            <v>PM</v>
          </cell>
          <cell r="C609" t="str">
            <v>Packaging</v>
          </cell>
          <cell r="D609" t="str">
            <v>Pouch Roll</v>
          </cell>
        </row>
        <row r="610">
          <cell r="A610" t="str">
            <v>PM24-FNP Salted N Roasted Almonds Pouch Roll 50 gm Digital</v>
          </cell>
          <cell r="B610" t="str">
            <v>PM</v>
          </cell>
          <cell r="C610" t="str">
            <v>Packaging</v>
          </cell>
          <cell r="D610" t="str">
            <v>Pouch Roll</v>
          </cell>
        </row>
        <row r="611">
          <cell r="A611" t="str">
            <v>PM24-FNP Salted N Roasted Pistachios Pouch Roll 50 gm Digital</v>
          </cell>
          <cell r="B611" t="str">
            <v>PM</v>
          </cell>
          <cell r="C611" t="str">
            <v>Packaging</v>
          </cell>
          <cell r="D611" t="str">
            <v>Pouch Roll</v>
          </cell>
        </row>
        <row r="612">
          <cell r="A612" t="str">
            <v>PM24-FNP Salt N Pepper Cashew Pouch Roll 50 gm Digital</v>
          </cell>
          <cell r="B612" t="str">
            <v>PM</v>
          </cell>
          <cell r="C612" t="str">
            <v>Packaging</v>
          </cell>
          <cell r="D612" t="str">
            <v>Pouch Roll</v>
          </cell>
        </row>
        <row r="613">
          <cell r="A613" t="str">
            <v>PM24-FNP Smoking Almonds Pouch Roll 50 gm Digital</v>
          </cell>
          <cell r="B613" t="str">
            <v>PM</v>
          </cell>
          <cell r="C613" t="str">
            <v>Packaging</v>
          </cell>
          <cell r="D613" t="str">
            <v>Pouch Roll</v>
          </cell>
        </row>
        <row r="614">
          <cell r="A614" t="str">
            <v>PM24-FNP Smoking Cashews Pouch Roll 50 gm Digital</v>
          </cell>
          <cell r="B614" t="str">
            <v>PM</v>
          </cell>
          <cell r="C614" t="str">
            <v>Packaging</v>
          </cell>
          <cell r="D614" t="str">
            <v>Pouch Roll</v>
          </cell>
        </row>
        <row r="615">
          <cell r="A615" t="str">
            <v>PM24-Foil, On The Run 5 Grain Cereal 95mm PP Choclate .05 gm</v>
          </cell>
          <cell r="B615" t="str">
            <v>PM</v>
          </cell>
          <cell r="C615" t="str">
            <v>Packaging</v>
          </cell>
          <cell r="D615" t="str">
            <v>Foil</v>
          </cell>
        </row>
        <row r="616">
          <cell r="A616" t="str">
            <v>PM24-Foil, On The Run 5 Grain Cereal 95mm PP Original .05 gm</v>
          </cell>
          <cell r="B616" t="str">
            <v>PM</v>
          </cell>
          <cell r="C616" t="str">
            <v>Packaging</v>
          </cell>
          <cell r="D616" t="str">
            <v>Foil</v>
          </cell>
        </row>
        <row r="617">
          <cell r="A617" t="str">
            <v>PM24-Fresho Kimia Dates 500 gm</v>
          </cell>
          <cell r="B617" t="str">
            <v>PM</v>
          </cell>
          <cell r="C617" t="str">
            <v>Packaging</v>
          </cell>
          <cell r="D617" t="str">
            <v>Tub</v>
          </cell>
        </row>
        <row r="618">
          <cell r="A618" t="str">
            <v>PM24-Glass Bottle With Cork-15 Cc 15cc</v>
          </cell>
          <cell r="B618" t="str">
            <v>PM</v>
          </cell>
          <cell r="C618" t="str">
            <v>Packaging</v>
          </cell>
          <cell r="D618" t="str">
            <v>Glass Bottle</v>
          </cell>
        </row>
        <row r="619">
          <cell r="A619" t="str">
            <v>PM24-Glass Bottle With Cork-200 Ml 250 gm</v>
          </cell>
          <cell r="B619" t="str">
            <v>PM</v>
          </cell>
          <cell r="C619" t="str">
            <v>Packaging</v>
          </cell>
          <cell r="D619" t="str">
            <v>Glass Bottle</v>
          </cell>
        </row>
        <row r="620">
          <cell r="A620" t="str">
            <v>PM24-Glass Bottle With Cork-50 Ml 50 gm</v>
          </cell>
          <cell r="B620" t="str">
            <v>PM</v>
          </cell>
          <cell r="C620" t="str">
            <v>Packaging</v>
          </cell>
          <cell r="D620" t="str">
            <v>Glass Bottle</v>
          </cell>
        </row>
        <row r="621">
          <cell r="A621" t="str">
            <v>PM24-Glass Bottle With Cork-50 Ml / Cork Small Size (Bush) 50 gm</v>
          </cell>
          <cell r="B621" t="str">
            <v>PM</v>
          </cell>
          <cell r="C621" t="str">
            <v>Packaging</v>
          </cell>
          <cell r="D621" t="str">
            <v>Glass Bottle Bush</v>
          </cell>
        </row>
        <row r="622">
          <cell r="A622" t="str">
            <v>PM24-Glass Jar Reliance PGP 1 Kg</v>
          </cell>
          <cell r="B622" t="str">
            <v>PM</v>
          </cell>
          <cell r="C622" t="str">
            <v>Packaging</v>
          </cell>
          <cell r="D622" t="str">
            <v>Glass Bottle</v>
          </cell>
        </row>
        <row r="623">
          <cell r="A623" t="str">
            <v>PM24-Glass Jar Reliance PGP 500 gm</v>
          </cell>
          <cell r="B623" t="str">
            <v>PM</v>
          </cell>
          <cell r="C623" t="str">
            <v>Packaging</v>
          </cell>
          <cell r="D623" t="str">
            <v>Glass Bottle</v>
          </cell>
        </row>
        <row r="624">
          <cell r="A624" t="str">
            <v>PM24-Glass Jar Reliance RGP 1 Kg</v>
          </cell>
          <cell r="B624" t="str">
            <v>PM</v>
          </cell>
          <cell r="C624" t="str">
            <v>Packaging</v>
          </cell>
          <cell r="D624" t="str">
            <v>Glass Bottle</v>
          </cell>
        </row>
        <row r="625">
          <cell r="A625" t="str">
            <v>PM24-Golden Dates 200 gm Pouch Digital</v>
          </cell>
          <cell r="B625" t="str">
            <v>PM</v>
          </cell>
          <cell r="C625" t="str">
            <v>Packaging</v>
          </cell>
          <cell r="D625" t="str">
            <v>Pouch Roll</v>
          </cell>
        </row>
        <row r="626">
          <cell r="A626" t="str">
            <v>PM24-Golden Label for Curate 500 gm</v>
          </cell>
          <cell r="B626" t="str">
            <v>PM</v>
          </cell>
          <cell r="C626" t="str">
            <v>Packaging</v>
          </cell>
          <cell r="D626" t="str">
            <v>Label</v>
          </cell>
        </row>
        <row r="627">
          <cell r="A627" t="str">
            <v>PM24-Golden Laminate 120 mm 30 gm</v>
          </cell>
          <cell r="B627" t="str">
            <v>PM</v>
          </cell>
          <cell r="C627" t="str">
            <v>Packaging</v>
          </cell>
          <cell r="D627" t="str">
            <v>Roll</v>
          </cell>
        </row>
        <row r="628">
          <cell r="A628" t="str">
            <v>PM24-Golden Tray250 /300Gm Medjul HOH-Safavi / Ajwa / Mazapati Dates Partition 300 gm</v>
          </cell>
          <cell r="B628" t="str">
            <v>PM</v>
          </cell>
          <cell r="C628" t="str">
            <v>Packaging</v>
          </cell>
          <cell r="D628" t="str">
            <v>Bottom</v>
          </cell>
        </row>
        <row r="629">
          <cell r="A629" t="str">
            <v>PM24-Gondh Dryfruit 30 gm</v>
          </cell>
          <cell r="B629" t="str">
            <v>PM</v>
          </cell>
          <cell r="C629" t="str">
            <v>Packaging</v>
          </cell>
          <cell r="D629" t="str">
            <v>Roll</v>
          </cell>
        </row>
        <row r="630">
          <cell r="A630" t="str">
            <v>PM24-Good Life 1000GM Pouch Roll DFH-G 1000GM</v>
          </cell>
          <cell r="B630" t="str">
            <v>PM</v>
          </cell>
          <cell r="C630" t="str">
            <v>Packaging</v>
          </cell>
          <cell r="D630" t="str">
            <v>Roll</v>
          </cell>
        </row>
        <row r="631">
          <cell r="A631" t="str">
            <v>PM24-Good Life 100G PP Vacuum Pouch (100x170)</v>
          </cell>
          <cell r="B631" t="str">
            <v>PM</v>
          </cell>
          <cell r="C631" t="str">
            <v>Packaging</v>
          </cell>
          <cell r="D631" t="str">
            <v>Pouch</v>
          </cell>
        </row>
        <row r="632">
          <cell r="A632" t="str">
            <v>PM24-Good Life 1Kg Pouch DFH-G 1000 gm</v>
          </cell>
          <cell r="B632" t="str">
            <v>PM</v>
          </cell>
          <cell r="C632" t="str">
            <v>Packaging</v>
          </cell>
          <cell r="D632" t="str">
            <v>Pouch</v>
          </cell>
        </row>
        <row r="633">
          <cell r="A633" t="str">
            <v>PM24-Good Life 200G-290MM Pouch Roll DFH-A1 200 gm</v>
          </cell>
          <cell r="B633" t="str">
            <v>PM</v>
          </cell>
          <cell r="C633" t="str">
            <v>Packaging</v>
          </cell>
          <cell r="D633" t="str">
            <v>Roll</v>
          </cell>
        </row>
        <row r="634">
          <cell r="A634" t="str">
            <v>PM24-Good Life 200G Pouch (135x200)-DFH-A1 200 gm</v>
          </cell>
          <cell r="B634" t="str">
            <v>PM</v>
          </cell>
          <cell r="C634" t="str">
            <v>Packaging</v>
          </cell>
          <cell r="D634" t="str">
            <v>Pouch</v>
          </cell>
        </row>
        <row r="635">
          <cell r="A635" t="str">
            <v>PM24-Good Life 200G PP Vacuum Pouch ( 140x215)</v>
          </cell>
          <cell r="B635" t="str">
            <v>PM</v>
          </cell>
          <cell r="C635" t="str">
            <v>Packaging</v>
          </cell>
          <cell r="D635" t="str">
            <v>Pouch</v>
          </cell>
        </row>
        <row r="636">
          <cell r="A636" t="str">
            <v>PM24-Good Life 200G- QR Pouch (120x160)- DF-1</v>
          </cell>
          <cell r="B636" t="str">
            <v>PM</v>
          </cell>
          <cell r="C636" t="str">
            <v>Packaging</v>
          </cell>
          <cell r="D636" t="str">
            <v>Pouch</v>
          </cell>
        </row>
        <row r="637">
          <cell r="A637" t="str">
            <v>PM24-Good Life 500G-360MM Pouch QR Roll DF-4 500 gm</v>
          </cell>
          <cell r="B637" t="str">
            <v>PM</v>
          </cell>
          <cell r="C637" t="str">
            <v>Packaging</v>
          </cell>
          <cell r="D637" t="str">
            <v>Roll</v>
          </cell>
        </row>
        <row r="638">
          <cell r="A638" t="str">
            <v>PM24-Good Life 500G Pouch (170x260mm)DFH 4 500 gm</v>
          </cell>
          <cell r="B638" t="str">
            <v>PM</v>
          </cell>
          <cell r="C638" t="str">
            <v>Packaging</v>
          </cell>
          <cell r="D638" t="str">
            <v>Pouch</v>
          </cell>
        </row>
        <row r="639">
          <cell r="A639" t="str">
            <v>PM24-Good Life 500G Pouch Roll DFH 4 500 gm</v>
          </cell>
          <cell r="B639" t="str">
            <v>PM</v>
          </cell>
          <cell r="C639" t="str">
            <v>Packaging</v>
          </cell>
          <cell r="D639" t="str">
            <v>Pouch Roll</v>
          </cell>
        </row>
        <row r="640">
          <cell r="A640" t="str">
            <v>PM24-Good Life 500G PP Vacuum Pouch (180x280)</v>
          </cell>
          <cell r="B640" t="str">
            <v>PM</v>
          </cell>
          <cell r="C640" t="str">
            <v>Packaging</v>
          </cell>
          <cell r="D640" t="str">
            <v>Pouch</v>
          </cell>
        </row>
        <row r="641">
          <cell r="A641" t="str">
            <v>PM24-Good Life 500G- QR Pista Pouch DFH-5 500 gm</v>
          </cell>
          <cell r="B641" t="str">
            <v>PM</v>
          </cell>
          <cell r="C641" t="str">
            <v>Packaging</v>
          </cell>
          <cell r="D641" t="str">
            <v>Pouch</v>
          </cell>
        </row>
        <row r="642">
          <cell r="A642" t="str">
            <v>PM24-Good Life Arabian Dates Pouch 500 gm</v>
          </cell>
          <cell r="B642" t="str">
            <v>PM</v>
          </cell>
          <cell r="C642" t="str">
            <v>Packaging</v>
          </cell>
          <cell r="D642" t="str">
            <v>Pouch</v>
          </cell>
        </row>
        <row r="643">
          <cell r="A643" t="str">
            <v>PM24-Good Life Chia Seeds 100g Pouch</v>
          </cell>
          <cell r="B643" t="str">
            <v>PM</v>
          </cell>
          <cell r="C643" t="str">
            <v>Packaging</v>
          </cell>
          <cell r="D643" t="str">
            <v>Pouch</v>
          </cell>
        </row>
        <row r="644">
          <cell r="A644" t="str">
            <v>PM24-Good Life DF 2 135 x 185 100 Gm Pouch 100 gm</v>
          </cell>
          <cell r="B644" t="str">
            <v>PM</v>
          </cell>
          <cell r="C644" t="str">
            <v>Packaging</v>
          </cell>
          <cell r="D644" t="str">
            <v>Pouch</v>
          </cell>
        </row>
        <row r="645">
          <cell r="A645" t="str">
            <v>PM24-Goodlife Fard Dates 500G</v>
          </cell>
          <cell r="B645" t="str">
            <v>PM</v>
          </cell>
          <cell r="C645" t="str">
            <v>Packaging</v>
          </cell>
          <cell r="D645" t="str">
            <v>Pouch</v>
          </cell>
        </row>
        <row r="646">
          <cell r="A646" t="str">
            <v>PM24-Good Life Fard Dates Pouch 500 gm</v>
          </cell>
          <cell r="B646" t="str">
            <v>PM</v>
          </cell>
          <cell r="C646" t="str">
            <v>Packaging</v>
          </cell>
          <cell r="D646" t="str">
            <v>Pouch</v>
          </cell>
        </row>
        <row r="647">
          <cell r="A647" t="str">
            <v>PM24-Good Life Flax Seeds 100g Pouch</v>
          </cell>
          <cell r="B647" t="str">
            <v>PM</v>
          </cell>
          <cell r="C647" t="str">
            <v>Packaging</v>
          </cell>
          <cell r="D647" t="str">
            <v>Pouch</v>
          </cell>
        </row>
        <row r="648">
          <cell r="A648" t="str">
            <v>PM24-Good Life Pouch DFH-1</v>
          </cell>
          <cell r="B648" t="str">
            <v>PM</v>
          </cell>
          <cell r="C648" t="str">
            <v>Packaging</v>
          </cell>
          <cell r="D648" t="str">
            <v>Pouch</v>
          </cell>
        </row>
        <row r="649">
          <cell r="A649" t="str">
            <v>PM24-Good Life Pouch-DFH-3 200 gm</v>
          </cell>
          <cell r="B649" t="str">
            <v>PM</v>
          </cell>
          <cell r="C649" t="str">
            <v>Packaging</v>
          </cell>
          <cell r="D649" t="str">
            <v>Pouch</v>
          </cell>
        </row>
        <row r="650">
          <cell r="A650" t="str">
            <v>PM24-Good Life Pumpkin Seeds 100g Pouch</v>
          </cell>
          <cell r="B650" t="str">
            <v>PM</v>
          </cell>
          <cell r="C650" t="str">
            <v>Packaging</v>
          </cell>
          <cell r="D650" t="str">
            <v>Pouch</v>
          </cell>
        </row>
        <row r="651">
          <cell r="A651" t="str">
            <v>PM24-Good Life Sunflower Seeds 100g Pouch</v>
          </cell>
          <cell r="B651" t="str">
            <v>PM</v>
          </cell>
          <cell r="C651" t="str">
            <v>Packaging</v>
          </cell>
          <cell r="D651" t="str">
            <v>Pouch</v>
          </cell>
        </row>
        <row r="652">
          <cell r="A652" t="str">
            <v>PM24-Green Label 100x50 mm 10000 gm</v>
          </cell>
          <cell r="B652" t="str">
            <v>PM</v>
          </cell>
          <cell r="C652" t="str">
            <v>Packaging</v>
          </cell>
          <cell r="D652" t="str">
            <v>Label</v>
          </cell>
        </row>
        <row r="653">
          <cell r="A653" t="str">
            <v>PM24 - Green Pearl Pouch Roll 250 gm</v>
          </cell>
          <cell r="B653" t="str">
            <v>PM</v>
          </cell>
          <cell r="C653" t="str">
            <v>Packaging</v>
          </cell>
          <cell r="D653" t="str">
            <v>Pouch Roll</v>
          </cell>
        </row>
        <row r="654">
          <cell r="A654" t="str">
            <v>PM24-Gulf Dates 200 gm Pouch Digital</v>
          </cell>
          <cell r="B654" t="str">
            <v>PM</v>
          </cell>
          <cell r="C654" t="str">
            <v>Packaging</v>
          </cell>
          <cell r="D654" t="str">
            <v>Pouch Roll</v>
          </cell>
        </row>
        <row r="655">
          <cell r="A655" t="str">
            <v>PM24-Gulf Dates 300 gm Pouch Digital</v>
          </cell>
          <cell r="B655" t="str">
            <v>PM</v>
          </cell>
          <cell r="C655" t="str">
            <v>Packaging</v>
          </cell>
          <cell r="D655" t="str">
            <v>Pouch</v>
          </cell>
        </row>
        <row r="656">
          <cell r="A656" t="str">
            <v>PM24-Habit Cheese Label 1000 gm</v>
          </cell>
          <cell r="B656" t="str">
            <v>PM</v>
          </cell>
          <cell r="C656" t="str">
            <v>Packaging</v>
          </cell>
          <cell r="D656" t="str">
            <v>Label</v>
          </cell>
        </row>
        <row r="657">
          <cell r="A657" t="str">
            <v>PM24 - Habit Potato Starch Pouch 200 gm</v>
          </cell>
          <cell r="B657" t="str">
            <v>PM</v>
          </cell>
          <cell r="C657" t="str">
            <v>Packaging</v>
          </cell>
          <cell r="D657" t="str">
            <v>Pouch</v>
          </cell>
        </row>
        <row r="658">
          <cell r="A658" t="str">
            <v>PM24-Habit Potato Starch Pouch 500 gm</v>
          </cell>
          <cell r="B658" t="str">
            <v>PM</v>
          </cell>
          <cell r="C658" t="str">
            <v>Packaging</v>
          </cell>
          <cell r="D658" t="str">
            <v>Pouch</v>
          </cell>
        </row>
        <row r="659">
          <cell r="A659" t="str">
            <v>PM24-Habit Raisin Pouch 100 gm</v>
          </cell>
          <cell r="B659" t="str">
            <v>PM</v>
          </cell>
          <cell r="C659" t="str">
            <v>Packaging</v>
          </cell>
          <cell r="D659" t="str">
            <v>Pouch</v>
          </cell>
        </row>
        <row r="660">
          <cell r="A660" t="str">
            <v>PM24-Habit Wheat Pouch 500 gm</v>
          </cell>
          <cell r="B660" t="str">
            <v>PM</v>
          </cell>
          <cell r="C660" t="str">
            <v>Packaging</v>
          </cell>
          <cell r="D660" t="str">
            <v>Pouch</v>
          </cell>
        </row>
        <row r="661">
          <cell r="A661" t="str">
            <v>PM24-Hamper-12 Dates Box</v>
          </cell>
          <cell r="B661" t="str">
            <v>PM</v>
          </cell>
          <cell r="C661" t="str">
            <v>Packaging</v>
          </cell>
          <cell r="D661" t="str">
            <v>Hamper-Box</v>
          </cell>
        </row>
        <row r="662">
          <cell r="A662" t="str">
            <v>PM24-Hamper-18 Date Box</v>
          </cell>
          <cell r="B662" t="str">
            <v>PM</v>
          </cell>
          <cell r="C662" t="str">
            <v>Packaging</v>
          </cell>
          <cell r="D662" t="str">
            <v>Hamper-Box</v>
          </cell>
        </row>
        <row r="663">
          <cell r="A663" t="str">
            <v>PM24-Hamper-1 Jar Jute Bag</v>
          </cell>
          <cell r="B663" t="str">
            <v>PM</v>
          </cell>
          <cell r="C663" t="str">
            <v>Packaging</v>
          </cell>
          <cell r="D663" t="str">
            <v>Hamper-Bag</v>
          </cell>
        </row>
        <row r="664">
          <cell r="A664" t="str">
            <v>PM24-Hamper-21 Dates Box</v>
          </cell>
          <cell r="B664" t="str">
            <v>PM</v>
          </cell>
          <cell r="C664" t="str">
            <v>Packaging</v>
          </cell>
          <cell r="D664" t="str">
            <v>Hamper-Box</v>
          </cell>
        </row>
        <row r="665">
          <cell r="A665" t="str">
            <v>PM24-Hamper-2 Jar Jute Bag</v>
          </cell>
          <cell r="B665" t="str">
            <v>PM</v>
          </cell>
          <cell r="C665" t="str">
            <v>Packaging</v>
          </cell>
          <cell r="D665" t="str">
            <v>Hamper-Bag</v>
          </cell>
        </row>
        <row r="666">
          <cell r="A666" t="str">
            <v>PM24-Hamper-3 Jar Jute Bag</v>
          </cell>
          <cell r="B666" t="str">
            <v>PM</v>
          </cell>
          <cell r="C666" t="str">
            <v>Packaging</v>
          </cell>
          <cell r="D666" t="str">
            <v>Hamper-Bag</v>
          </cell>
        </row>
        <row r="667">
          <cell r="A667" t="str">
            <v>PM24-Hamper-3 Pet Wooden Tray</v>
          </cell>
          <cell r="B667" t="str">
            <v>PM</v>
          </cell>
          <cell r="C667" t="str">
            <v>Packaging</v>
          </cell>
          <cell r="D667" t="str">
            <v>Hamper-Tray</v>
          </cell>
        </row>
        <row r="668">
          <cell r="A668" t="str">
            <v>PM24-Hamper-5 Pet Wooden Tray (100 Gms x 5)</v>
          </cell>
          <cell r="B668" t="str">
            <v>PM</v>
          </cell>
          <cell r="C668" t="str">
            <v>Packaging</v>
          </cell>
          <cell r="D668" t="str">
            <v>Hamper-MDF Box</v>
          </cell>
        </row>
        <row r="669">
          <cell r="A669" t="str">
            <v>PM24-Hamper-Acrylic Box-40 Pc Dates Box</v>
          </cell>
          <cell r="B669" t="str">
            <v>PM</v>
          </cell>
          <cell r="C669" t="str">
            <v>Packaging</v>
          </cell>
          <cell r="D669" t="str">
            <v>Hamper-Box</v>
          </cell>
        </row>
        <row r="670">
          <cell r="A670" t="str">
            <v>PM24-Hamper-Blissful Celebration 360 Gm Purple Printed</v>
          </cell>
          <cell r="B670" t="str">
            <v>PM</v>
          </cell>
          <cell r="C670" t="str">
            <v>Packaging</v>
          </cell>
          <cell r="D670" t="str">
            <v>Hamper-Box</v>
          </cell>
        </row>
        <row r="671">
          <cell r="A671" t="str">
            <v>PM24-Hamper-Butterfly Bag</v>
          </cell>
          <cell r="B671" t="str">
            <v>PM</v>
          </cell>
          <cell r="C671" t="str">
            <v>Packaging</v>
          </cell>
          <cell r="D671" t="str">
            <v>Hamper-Bag</v>
          </cell>
        </row>
        <row r="672">
          <cell r="A672" t="str">
            <v>PM24-Hamper-Butterfly Box For Rakhi</v>
          </cell>
          <cell r="B672" t="str">
            <v>PM</v>
          </cell>
          <cell r="C672" t="str">
            <v>Packaging</v>
          </cell>
          <cell r="D672" t="str">
            <v>Box</v>
          </cell>
        </row>
        <row r="673">
          <cell r="A673" t="str">
            <v>PM24-Hamper-Candor Jute Diary</v>
          </cell>
          <cell r="B673" t="str">
            <v>PM</v>
          </cell>
          <cell r="C673" t="str">
            <v>Packaging</v>
          </cell>
          <cell r="D673" t="str">
            <v>Diary</v>
          </cell>
        </row>
        <row r="674">
          <cell r="A674" t="str">
            <v>PM24-Hamper-Candor Premium Diary</v>
          </cell>
          <cell r="B674" t="str">
            <v>PM</v>
          </cell>
          <cell r="C674" t="str">
            <v>Packaging</v>
          </cell>
          <cell r="D674" t="str">
            <v>Diary</v>
          </cell>
        </row>
        <row r="675">
          <cell r="A675" t="str">
            <v>PM24-Hamper-Canvas Potli Big</v>
          </cell>
          <cell r="B675" t="str">
            <v>PM</v>
          </cell>
          <cell r="C675" t="str">
            <v>Packaging</v>
          </cell>
          <cell r="D675" t="str">
            <v>Hamper- Potli</v>
          </cell>
        </row>
        <row r="676">
          <cell r="A676" t="str">
            <v>PM24-Hamper-Canvas Potli Small</v>
          </cell>
          <cell r="B676" t="str">
            <v>PM</v>
          </cell>
          <cell r="C676" t="str">
            <v>Packaging</v>
          </cell>
          <cell r="D676" t="str">
            <v>Hamper- Potli</v>
          </cell>
        </row>
        <row r="677">
          <cell r="A677" t="str">
            <v>PM24-Hamper-Canvas Single Handle / With Hoh Logo /With UVN Print</v>
          </cell>
          <cell r="B677" t="str">
            <v>PM</v>
          </cell>
          <cell r="C677" t="str">
            <v>Packaging</v>
          </cell>
          <cell r="D677" t="str">
            <v>Hamper-Bag</v>
          </cell>
        </row>
        <row r="678">
          <cell r="A678" t="str">
            <v>PM24-Hamper-Chess Velvet Bag</v>
          </cell>
          <cell r="B678" t="str">
            <v>PM</v>
          </cell>
          <cell r="C678" t="str">
            <v>Packaging</v>
          </cell>
          <cell r="D678" t="str">
            <v>Hamper-Bag</v>
          </cell>
        </row>
        <row r="679">
          <cell r="A679" t="str">
            <v>PM24-Hamper-Classy Clear Bag For Banarasi Box</v>
          </cell>
          <cell r="B679" t="str">
            <v>PM</v>
          </cell>
          <cell r="C679" t="str">
            <v>Packaging</v>
          </cell>
          <cell r="D679" t="str">
            <v>Hamper-Bag</v>
          </cell>
        </row>
        <row r="680">
          <cell r="A680" t="str">
            <v>PM24-Hamper-Classy Clear Bag For Wooden Tray</v>
          </cell>
          <cell r="B680" t="str">
            <v>PM</v>
          </cell>
          <cell r="C680" t="str">
            <v>Packaging</v>
          </cell>
          <cell r="D680" t="str">
            <v>Hamper-Bag</v>
          </cell>
        </row>
        <row r="681">
          <cell r="A681" t="str">
            <v>PM24-Hamper-Classy Clear Bag With Golden Base</v>
          </cell>
          <cell r="B681" t="str">
            <v>PM</v>
          </cell>
          <cell r="C681" t="str">
            <v>Packaging</v>
          </cell>
          <cell r="D681" t="str">
            <v>Hamper-Bag</v>
          </cell>
        </row>
        <row r="682">
          <cell r="A682" t="str">
            <v>PM24-Hamper-Classy Clear Long Bag (10.5 x 13.5)</v>
          </cell>
          <cell r="B682" t="str">
            <v>PM</v>
          </cell>
          <cell r="C682" t="str">
            <v>Packaging</v>
          </cell>
          <cell r="D682" t="str">
            <v>Hamper-Bag</v>
          </cell>
        </row>
        <row r="683">
          <cell r="A683" t="str">
            <v>PM24-Hamper-Classy Clear Long Bag With Gusset (10.5 x 13.5)</v>
          </cell>
          <cell r="B683" t="str">
            <v>PM</v>
          </cell>
          <cell r="C683" t="str">
            <v>Packaging</v>
          </cell>
          <cell r="D683" t="str">
            <v>Hamper-Bag</v>
          </cell>
        </row>
        <row r="684">
          <cell r="A684" t="str">
            <v>PM24-Hamper-Classy Clear Ring Bag</v>
          </cell>
          <cell r="B684" t="str">
            <v>PM</v>
          </cell>
          <cell r="C684" t="str">
            <v>Packaging</v>
          </cell>
          <cell r="D684" t="str">
            <v>Hamper-Bag</v>
          </cell>
        </row>
        <row r="685">
          <cell r="A685" t="str">
            <v>PM24-Hamper-Classy Clear Ring Bag Small</v>
          </cell>
          <cell r="B685" t="str">
            <v>PM</v>
          </cell>
          <cell r="C685" t="str">
            <v>Packaging</v>
          </cell>
          <cell r="D685" t="str">
            <v>Hamper-Bag</v>
          </cell>
        </row>
        <row r="686">
          <cell r="A686" t="str">
            <v>PM24-Hamper-Classy Clear Single Handle Bag</v>
          </cell>
          <cell r="B686" t="str">
            <v>PM</v>
          </cell>
          <cell r="C686" t="str">
            <v>Packaging</v>
          </cell>
          <cell r="D686" t="str">
            <v>Hamper-Bag</v>
          </cell>
        </row>
        <row r="687">
          <cell r="A687" t="str">
            <v>PM24-Hamper-Colour Canvas Hamper Basket</v>
          </cell>
          <cell r="B687" t="str">
            <v>PM</v>
          </cell>
          <cell r="C687" t="str">
            <v>Packaging</v>
          </cell>
          <cell r="D687" t="str">
            <v>Hamper-Bag</v>
          </cell>
        </row>
        <row r="688">
          <cell r="A688" t="str">
            <v>PM24-Hamper-Curate Bon Bon Laddu 360g</v>
          </cell>
          <cell r="B688" t="str">
            <v>PM</v>
          </cell>
          <cell r="C688" t="str">
            <v>Packaging</v>
          </cell>
          <cell r="D688" t="str">
            <v>Box</v>
          </cell>
        </row>
        <row r="689">
          <cell r="A689" t="str">
            <v>PM24-Hamper-Diya with Pearl</v>
          </cell>
          <cell r="B689" t="str">
            <v>PM</v>
          </cell>
          <cell r="C689" t="str">
            <v>Packaging</v>
          </cell>
          <cell r="D689" t="str">
            <v>Hamper-Diya</v>
          </cell>
        </row>
        <row r="690">
          <cell r="A690" t="str">
            <v>PM24-Hamper-Electro Plated Nickel Foils Sheets</v>
          </cell>
          <cell r="B690" t="str">
            <v>PM</v>
          </cell>
          <cell r="C690" t="str">
            <v>Packaging</v>
          </cell>
          <cell r="D690" t="str">
            <v>Hamper-Label</v>
          </cell>
        </row>
        <row r="691">
          <cell r="A691" t="str">
            <v>PM24-Hamper-Envelope For Kesar</v>
          </cell>
          <cell r="B691" t="str">
            <v>PM</v>
          </cell>
          <cell r="C691" t="str">
            <v>Packaging</v>
          </cell>
          <cell r="D691" t="str">
            <v>Hamper-Envelop</v>
          </cell>
        </row>
        <row r="692">
          <cell r="A692" t="str">
            <v>PM24-Hamper-Festive Greeting 560 Gm Orange Printed</v>
          </cell>
          <cell r="B692" t="str">
            <v>PM</v>
          </cell>
          <cell r="C692" t="str">
            <v>Packaging</v>
          </cell>
          <cell r="D692" t="str">
            <v>Hamper-Box</v>
          </cell>
        </row>
        <row r="693">
          <cell r="A693" t="str">
            <v>PM24-Hamper-Flower Potli</v>
          </cell>
          <cell r="B693" t="str">
            <v>PM</v>
          </cell>
          <cell r="C693" t="str">
            <v>Packaging</v>
          </cell>
          <cell r="D693" t="str">
            <v>Hamper-Potli</v>
          </cell>
        </row>
        <row r="694">
          <cell r="A694" t="str">
            <v>PM24-Hamper-Good Health Box (Blue)</v>
          </cell>
          <cell r="B694" t="str">
            <v>PM</v>
          </cell>
          <cell r="C694" t="str">
            <v>Packaging</v>
          </cell>
          <cell r="D694" t="str">
            <v>Hamper-Box</v>
          </cell>
        </row>
        <row r="695">
          <cell r="A695" t="str">
            <v>PM24-Hamper-Grey Carryall Open Basket With Handle</v>
          </cell>
          <cell r="B695" t="str">
            <v>PM</v>
          </cell>
          <cell r="C695" t="str">
            <v>Packaging</v>
          </cell>
          <cell r="D695" t="str">
            <v>Hamper-Basket</v>
          </cell>
        </row>
        <row r="696">
          <cell r="A696" t="str">
            <v>PM24-Hamper-Grey Open Tray-Sr</v>
          </cell>
          <cell r="B696" t="str">
            <v>PM</v>
          </cell>
          <cell r="C696" t="str">
            <v>Packaging</v>
          </cell>
          <cell r="D696" t="str">
            <v>Hamper-Tray</v>
          </cell>
        </row>
        <row r="697">
          <cell r="A697" t="str">
            <v>PM24-Hamper-Handful Of Health Bag Grey Color Small</v>
          </cell>
          <cell r="B697" t="str">
            <v>PM</v>
          </cell>
          <cell r="C697" t="str">
            <v>Packaging</v>
          </cell>
          <cell r="D697" t="str">
            <v>Hamper-Bag</v>
          </cell>
        </row>
        <row r="698">
          <cell r="A698" t="str">
            <v>PM24-Hamper-Handle Basket 10x10</v>
          </cell>
          <cell r="B698" t="str">
            <v>PM</v>
          </cell>
          <cell r="C698" t="str">
            <v>Packaging</v>
          </cell>
          <cell r="D698" t="str">
            <v>Hamper-Basket</v>
          </cell>
        </row>
        <row r="699">
          <cell r="A699" t="str">
            <v>PM24-Hamper-HOH Flower Box (Green)</v>
          </cell>
          <cell r="B699" t="str">
            <v>PM</v>
          </cell>
          <cell r="C699" t="str">
            <v>Packaging</v>
          </cell>
          <cell r="D699" t="str">
            <v>Hamper-Box</v>
          </cell>
        </row>
        <row r="700">
          <cell r="A700" t="str">
            <v>PM24-Hamper-HOH Flower Box (Peach)</v>
          </cell>
          <cell r="B700" t="str">
            <v>PM</v>
          </cell>
          <cell r="C700" t="str">
            <v>Packaging</v>
          </cell>
          <cell r="D700" t="str">
            <v>Hamper-Box</v>
          </cell>
        </row>
        <row r="701">
          <cell r="A701" t="str">
            <v>PM24-Hamper-HOH Green 10x10 Lacquer Date Box</v>
          </cell>
          <cell r="B701" t="str">
            <v>PM</v>
          </cell>
          <cell r="C701" t="str">
            <v>Packaging</v>
          </cell>
          <cell r="D701" t="str">
            <v>Hamper-Box</v>
          </cell>
        </row>
        <row r="702">
          <cell r="A702" t="str">
            <v>PM24-Hamper-Jute 2 Jar Bag Green/Mamroon</v>
          </cell>
          <cell r="B702" t="str">
            <v>PM</v>
          </cell>
          <cell r="C702" t="str">
            <v>Packaging</v>
          </cell>
          <cell r="D702" t="str">
            <v>Hamper-Bag</v>
          </cell>
        </row>
        <row r="703">
          <cell r="A703" t="str">
            <v>PM24-Hamper-Jute Bag with PU</v>
          </cell>
          <cell r="B703" t="str">
            <v>PM</v>
          </cell>
          <cell r="C703" t="str">
            <v>Packaging</v>
          </cell>
          <cell r="D703" t="str">
            <v>Hamper-Bag</v>
          </cell>
        </row>
        <row r="704">
          <cell r="A704" t="str">
            <v>PM24-Hamper-Jute Flofy Bag</v>
          </cell>
          <cell r="B704" t="str">
            <v>PM</v>
          </cell>
          <cell r="C704" t="str">
            <v>Packaging</v>
          </cell>
          <cell r="D704" t="str">
            <v>Hamper-Bag</v>
          </cell>
        </row>
        <row r="705">
          <cell r="A705" t="str">
            <v>PM24-Hamper-Jute Hamper Bag</v>
          </cell>
          <cell r="B705" t="str">
            <v>PM</v>
          </cell>
          <cell r="C705" t="str">
            <v>Packaging</v>
          </cell>
          <cell r="D705" t="str">
            <v>Hamper-Bag</v>
          </cell>
        </row>
        <row r="706">
          <cell r="A706" t="str">
            <v>PM24-Hamper-Jute Handy</v>
          </cell>
          <cell r="B706" t="str">
            <v>PM</v>
          </cell>
          <cell r="C706" t="str">
            <v>Packaging</v>
          </cell>
          <cell r="D706" t="str">
            <v>Hamper-Bag</v>
          </cell>
        </row>
        <row r="707">
          <cell r="A707" t="str">
            <v>PM24-Hamper-Jute Potli With Drawstring And Handle</v>
          </cell>
          <cell r="B707" t="str">
            <v>PM</v>
          </cell>
          <cell r="C707" t="str">
            <v>Packaging</v>
          </cell>
          <cell r="D707" t="str">
            <v>Hamper-Bag</v>
          </cell>
        </row>
        <row r="708">
          <cell r="A708" t="str">
            <v>PM24-Hamper-Jute Tiffin Bag</v>
          </cell>
          <cell r="B708" t="str">
            <v>PM</v>
          </cell>
          <cell r="C708" t="str">
            <v>Packaging</v>
          </cell>
          <cell r="D708" t="str">
            <v>Hamper-Bag</v>
          </cell>
        </row>
        <row r="709">
          <cell r="A709" t="str">
            <v>PM24-Hamper-KOD 4P Box Blue</v>
          </cell>
          <cell r="B709" t="str">
            <v>PM</v>
          </cell>
          <cell r="C709" t="str">
            <v>Packaging</v>
          </cell>
          <cell r="D709" t="str">
            <v>Hamper-Box</v>
          </cell>
        </row>
        <row r="710">
          <cell r="A710" t="str">
            <v>PM24-Hamper-KOD 4P Box Red</v>
          </cell>
          <cell r="B710" t="str">
            <v>PM</v>
          </cell>
          <cell r="C710" t="str">
            <v>Packaging</v>
          </cell>
          <cell r="D710" t="str">
            <v>Hamper-Box</v>
          </cell>
        </row>
        <row r="711">
          <cell r="A711" t="str">
            <v>PM24-Hamper-KOD Flower Box (Peach)</v>
          </cell>
          <cell r="B711" t="str">
            <v>PM</v>
          </cell>
          <cell r="C711" t="str">
            <v>Packaging</v>
          </cell>
          <cell r="D711" t="str">
            <v>Hamper-Box</v>
          </cell>
        </row>
        <row r="712">
          <cell r="A712" t="str">
            <v>PM24-Hamper-KOD Flower Box (White)</v>
          </cell>
          <cell r="B712" t="str">
            <v>PM</v>
          </cell>
          <cell r="C712" t="str">
            <v>Packaging</v>
          </cell>
          <cell r="D712" t="str">
            <v>Hamper-Box</v>
          </cell>
        </row>
        <row r="713">
          <cell r="A713" t="str">
            <v>PM24-Hamper-Leafy Gold Trunk</v>
          </cell>
          <cell r="B713" t="str">
            <v>PM</v>
          </cell>
          <cell r="C713" t="str">
            <v>Packaging</v>
          </cell>
          <cell r="D713" t="str">
            <v>Hamper-MDF Box</v>
          </cell>
        </row>
        <row r="714">
          <cell r="A714" t="str">
            <v>PM24-Hamper-Mama Nourish Gift Box</v>
          </cell>
          <cell r="B714" t="str">
            <v>PM</v>
          </cell>
          <cell r="C714" t="str">
            <v>Packaging</v>
          </cell>
          <cell r="D714" t="str">
            <v>Hamper-Box</v>
          </cell>
        </row>
        <row r="715">
          <cell r="A715" t="str">
            <v>PM24-Hamper-Matka Bag</v>
          </cell>
          <cell r="B715" t="str">
            <v>PM</v>
          </cell>
          <cell r="C715" t="str">
            <v>Packaging</v>
          </cell>
          <cell r="D715" t="str">
            <v>Hamper-Bag</v>
          </cell>
        </row>
        <row r="716">
          <cell r="A716" t="str">
            <v>PM24-Hamper-Mdf 3 Pet With Handle</v>
          </cell>
          <cell r="B716" t="str">
            <v>PM</v>
          </cell>
          <cell r="C716" t="str">
            <v>Packaging</v>
          </cell>
          <cell r="D716" t="str">
            <v>Hamper-MDF Box</v>
          </cell>
        </row>
        <row r="717">
          <cell r="A717" t="str">
            <v>PM24-Hamper-Mdf 3 Pet With Lid</v>
          </cell>
          <cell r="B717" t="str">
            <v>PM</v>
          </cell>
          <cell r="C717" t="str">
            <v>Packaging</v>
          </cell>
          <cell r="D717" t="str">
            <v>Hamper-MDF Box</v>
          </cell>
        </row>
        <row r="718">
          <cell r="A718" t="str">
            <v>PM24-Hamper-Mdf 4 Pet With Buckle</v>
          </cell>
          <cell r="B718" t="str">
            <v>PM</v>
          </cell>
          <cell r="C718" t="str">
            <v>Packaging</v>
          </cell>
          <cell r="D718" t="str">
            <v>Hamper-MDF Box</v>
          </cell>
        </row>
        <row r="719">
          <cell r="A719" t="str">
            <v>PM24-Hamper-Mdf 5 Pet With Lid</v>
          </cell>
          <cell r="B719" t="str">
            <v>PM</v>
          </cell>
          <cell r="C719" t="str">
            <v>Packaging</v>
          </cell>
          <cell r="D719" t="str">
            <v>Hamper-MDF Box</v>
          </cell>
        </row>
        <row r="720">
          <cell r="A720" t="str">
            <v>PM24-Hamper-Mdf Celebration Sleek Box-Green</v>
          </cell>
          <cell r="B720" t="str">
            <v>PM</v>
          </cell>
          <cell r="C720" t="str">
            <v>Packaging</v>
          </cell>
          <cell r="D720" t="str">
            <v>Hamper-MDF Box</v>
          </cell>
        </row>
        <row r="721">
          <cell r="A721" t="str">
            <v>PM24-Hamper-Mdf Celebration Sleek Box-Maroon</v>
          </cell>
          <cell r="B721" t="str">
            <v>PM</v>
          </cell>
          <cell r="C721" t="str">
            <v>Packaging</v>
          </cell>
          <cell r="D721" t="str">
            <v>Hamper-MDF Box</v>
          </cell>
        </row>
        <row r="722">
          <cell r="A722" t="str">
            <v>PM24-Hamper-Mdf Classic Box ( 3 Pet ) + Partition</v>
          </cell>
          <cell r="B722" t="str">
            <v>PM</v>
          </cell>
          <cell r="C722" t="str">
            <v>Packaging</v>
          </cell>
          <cell r="D722" t="str">
            <v>Hamper-MDF Box</v>
          </cell>
        </row>
        <row r="723">
          <cell r="A723" t="str">
            <v>PM24-Hamper-Mdf-Mini Trunk</v>
          </cell>
          <cell r="B723" t="str">
            <v>PM</v>
          </cell>
          <cell r="C723" t="str">
            <v>Packaging</v>
          </cell>
          <cell r="D723" t="str">
            <v>Hamper-MDF Box</v>
          </cell>
        </row>
        <row r="724">
          <cell r="A724" t="str">
            <v>PM24-Hamper-Mdf Vakratund Tray</v>
          </cell>
          <cell r="B724" t="str">
            <v>PM</v>
          </cell>
          <cell r="C724" t="str">
            <v>Packaging</v>
          </cell>
          <cell r="D724" t="str">
            <v>Hamper-MDF Box</v>
          </cell>
        </row>
        <row r="725">
          <cell r="A725" t="str">
            <v>PM24-Hamper-Metal Mukhwas Stand (140 Gm x 4)</v>
          </cell>
          <cell r="B725" t="str">
            <v>PM</v>
          </cell>
          <cell r="C725" t="str">
            <v>Packaging</v>
          </cell>
          <cell r="D725" t="str">
            <v>Hamper Metal</v>
          </cell>
        </row>
        <row r="726">
          <cell r="A726" t="str">
            <v>PM24-Hamper-Navy Luxury Trunk-Handle (orange/blue)</v>
          </cell>
          <cell r="B726" t="str">
            <v>PM</v>
          </cell>
          <cell r="C726" t="str">
            <v>Packaging</v>
          </cell>
          <cell r="D726" t="str">
            <v>Hamper-MDF Box</v>
          </cell>
        </row>
        <row r="727">
          <cell r="A727" t="str">
            <v>PM24-Hamper-Non Woven Bag Blue</v>
          </cell>
          <cell r="B727" t="str">
            <v>PM</v>
          </cell>
          <cell r="C727" t="str">
            <v>Packaging</v>
          </cell>
          <cell r="D727" t="str">
            <v>Hamper-Bag</v>
          </cell>
        </row>
        <row r="728">
          <cell r="A728" t="str">
            <v>PM24-Hamper-Off White Stud Basket With Handle (250 Gms x 2)</v>
          </cell>
          <cell r="B728" t="str">
            <v>PM</v>
          </cell>
          <cell r="C728" t="str">
            <v>Packaging</v>
          </cell>
          <cell r="D728" t="str">
            <v>Hamper-Basket</v>
          </cell>
        </row>
        <row r="729">
          <cell r="A729" t="str">
            <v>PM24-Hamper-Organic Carry Bag KOD + TDC (Brown and Black)</v>
          </cell>
          <cell r="B729" t="str">
            <v>PM</v>
          </cell>
          <cell r="C729" t="str">
            <v>Packaging</v>
          </cell>
          <cell r="D729" t="str">
            <v>Bag</v>
          </cell>
        </row>
        <row r="730">
          <cell r="A730" t="str">
            <v>PM24-Hamper-Palm Leaf Oval Basket</v>
          </cell>
          <cell r="B730" t="str">
            <v>PM</v>
          </cell>
          <cell r="C730" t="str">
            <v>Packaging</v>
          </cell>
          <cell r="D730" t="str">
            <v>Hamper-Basket</v>
          </cell>
        </row>
        <row r="731">
          <cell r="A731" t="str">
            <v>PM24-Hamper-Power Pack Laptop Bag</v>
          </cell>
          <cell r="B731" t="str">
            <v>PM</v>
          </cell>
          <cell r="C731" t="str">
            <v>Packaging</v>
          </cell>
          <cell r="D731" t="str">
            <v>Hamper-Bag</v>
          </cell>
        </row>
        <row r="732">
          <cell r="A732" t="str">
            <v>PM24-Hamper-Rakhabandhan Box With Handle (HOH Print)</v>
          </cell>
          <cell r="B732" t="str">
            <v>PM</v>
          </cell>
          <cell r="C732" t="str">
            <v>Packaging</v>
          </cell>
          <cell r="D732" t="str">
            <v>Box</v>
          </cell>
        </row>
        <row r="733">
          <cell r="A733" t="str">
            <v>PM24-Hamper-Royal Bliss Trunk (Blue Stud)</v>
          </cell>
          <cell r="B733" t="str">
            <v>PM</v>
          </cell>
          <cell r="C733" t="str">
            <v>Packaging</v>
          </cell>
          <cell r="D733" t="str">
            <v>Hamper-MDF Box</v>
          </cell>
        </row>
        <row r="734">
          <cell r="A734" t="str">
            <v>PM24-Hamper-Royal Delight Finest Dates Box With Window Hexagon 850 gm (6P Dates Box)</v>
          </cell>
          <cell r="B734" t="str">
            <v>PM</v>
          </cell>
          <cell r="C734" t="str">
            <v>Packaging</v>
          </cell>
          <cell r="D734" t="str">
            <v>Box</v>
          </cell>
        </row>
        <row r="735">
          <cell r="A735" t="str">
            <v>PM24-Hamper-Sahi Uphaar 300 Gm Chocolaty Non Printed</v>
          </cell>
          <cell r="B735" t="str">
            <v>PM</v>
          </cell>
          <cell r="C735" t="str">
            <v>Packaging</v>
          </cell>
          <cell r="D735" t="str">
            <v>Hamper-Box</v>
          </cell>
        </row>
        <row r="736">
          <cell r="A736" t="str">
            <v>PM24-Hamper-Silk Bag-Pink Stripes /Voilet Stripes</v>
          </cell>
          <cell r="B736" t="str">
            <v>PM</v>
          </cell>
          <cell r="C736" t="str">
            <v>Packaging</v>
          </cell>
          <cell r="D736" t="str">
            <v>Hamper-Bag</v>
          </cell>
        </row>
        <row r="737">
          <cell r="A737" t="str">
            <v>PM24-Hamper-Silk Fan Bag</v>
          </cell>
          <cell r="B737" t="str">
            <v>PM</v>
          </cell>
          <cell r="C737" t="str">
            <v>Packaging</v>
          </cell>
          <cell r="D737" t="str">
            <v>Hamper-Bag</v>
          </cell>
        </row>
        <row r="738">
          <cell r="A738" t="str">
            <v>PM24-Hamper-Silk Potli</v>
          </cell>
          <cell r="B738" t="str">
            <v>PM</v>
          </cell>
          <cell r="C738" t="str">
            <v>Packaging</v>
          </cell>
          <cell r="D738" t="str">
            <v>Hamper-Potli</v>
          </cell>
        </row>
        <row r="739">
          <cell r="A739" t="str">
            <v>PM24-Hamper-Sleeve Bag 13"</v>
          </cell>
          <cell r="B739" t="str">
            <v>PM</v>
          </cell>
          <cell r="C739" t="str">
            <v>Packaging</v>
          </cell>
          <cell r="D739" t="str">
            <v>Hamper-Sleeve</v>
          </cell>
        </row>
        <row r="740">
          <cell r="A740" t="str">
            <v>PM24-Hamper-Square Banarasi Box-Big</v>
          </cell>
          <cell r="B740" t="str">
            <v>PM</v>
          </cell>
          <cell r="C740" t="str">
            <v>Packaging</v>
          </cell>
          <cell r="D740" t="str">
            <v>Hamper-MDF Box</v>
          </cell>
        </row>
        <row r="741">
          <cell r="A741" t="str">
            <v>PM24-Hamper-Square Banarasi Box-Small</v>
          </cell>
          <cell r="B741" t="str">
            <v>PM</v>
          </cell>
          <cell r="C741" t="str">
            <v>Packaging</v>
          </cell>
          <cell r="D741" t="str">
            <v>Hamper-MDF Box</v>
          </cell>
        </row>
        <row r="742">
          <cell r="A742" t="str">
            <v>PM24-Hamper-The Dates Co. Sleeve Stickers for Dates</v>
          </cell>
          <cell r="B742" t="str">
            <v>PM</v>
          </cell>
          <cell r="C742" t="str">
            <v>Packaging</v>
          </cell>
          <cell r="D742" t="str">
            <v>Sleeve</v>
          </cell>
        </row>
        <row r="743">
          <cell r="A743" t="str">
            <v>PM24-Hamper-Trunk Banarasi 11 x 18 x 6</v>
          </cell>
          <cell r="B743" t="str">
            <v>PM</v>
          </cell>
          <cell r="C743" t="str">
            <v>Packaging</v>
          </cell>
          <cell r="D743" t="str">
            <v>Hamper-MDF Box</v>
          </cell>
        </row>
        <row r="744">
          <cell r="A744" t="str">
            <v>PM24-Hamper-Vedaka 4P Blissful Celebration(Rangoli-new)</v>
          </cell>
          <cell r="B744" t="str">
            <v>PM</v>
          </cell>
          <cell r="C744" t="str">
            <v>Packaging</v>
          </cell>
          <cell r="D744" t="str">
            <v>Hamper-Box</v>
          </cell>
        </row>
        <row r="745">
          <cell r="A745" t="str">
            <v>PM24-Hamper-Vedaka Season Greeting Blue Box 800 gm</v>
          </cell>
          <cell r="B745" t="str">
            <v>PM</v>
          </cell>
          <cell r="C745" t="str">
            <v>Packaging</v>
          </cell>
          <cell r="D745" t="str">
            <v>Hamper-Box</v>
          </cell>
        </row>
        <row r="746">
          <cell r="A746" t="str">
            <v>PM24-Hamper-Vedaka Sleeve + Tray (Big 4P) 400 gm</v>
          </cell>
          <cell r="B746" t="str">
            <v>PM</v>
          </cell>
          <cell r="C746" t="str">
            <v>Packaging</v>
          </cell>
          <cell r="D746" t="str">
            <v>Hamper-Box</v>
          </cell>
        </row>
        <row r="747">
          <cell r="A747" t="str">
            <v>PM24-Hamper-Vedaka Sleeve + Tray (Small 4P) 400 gm Red</v>
          </cell>
          <cell r="B747" t="str">
            <v>PM</v>
          </cell>
          <cell r="C747" t="str">
            <v>Packaging</v>
          </cell>
          <cell r="D747" t="str">
            <v>Hamper-Box</v>
          </cell>
        </row>
        <row r="748">
          <cell r="A748" t="str">
            <v>PM24-Hamper-Velvet Potli-Red Big</v>
          </cell>
          <cell r="B748" t="str">
            <v>PM</v>
          </cell>
          <cell r="C748" t="str">
            <v>Packaging</v>
          </cell>
          <cell r="D748" t="str">
            <v>Hamper-Potli</v>
          </cell>
        </row>
        <row r="749">
          <cell r="A749" t="str">
            <v>PM24-Hamper-Willow Storage Basket-Medium (35x26x17Cm), Without Cutlery</v>
          </cell>
          <cell r="B749" t="str">
            <v>PM</v>
          </cell>
          <cell r="C749" t="str">
            <v>Packaging</v>
          </cell>
          <cell r="D749" t="str">
            <v>Hamper-Basket</v>
          </cell>
        </row>
        <row r="750">
          <cell r="A750" t="str">
            <v>PM24-Hamper-Willow Storage Basket-Small(28x18x15Cm), Without Cutlery</v>
          </cell>
          <cell r="B750" t="str">
            <v>PM</v>
          </cell>
          <cell r="C750" t="str">
            <v>Packaging</v>
          </cell>
          <cell r="D750" t="str">
            <v>Hamper-Basket</v>
          </cell>
        </row>
        <row r="751">
          <cell r="A751" t="str">
            <v>PM24-Hamper-XOXO Box Hamper</v>
          </cell>
          <cell r="B751" t="str">
            <v>PM</v>
          </cell>
          <cell r="C751" t="str">
            <v>Packaging</v>
          </cell>
          <cell r="D751" t="str">
            <v>Box</v>
          </cell>
        </row>
        <row r="752">
          <cell r="A752" t="str">
            <v>PM24-Handful of Health Berry Barbeque Trail Mix Pouch 200 gm ( 150mm x 225mm ) Digital</v>
          </cell>
          <cell r="B752" t="str">
            <v>PM</v>
          </cell>
          <cell r="C752" t="str">
            <v>Packaging</v>
          </cell>
          <cell r="D752" t="str">
            <v>Pouch Roll</v>
          </cell>
        </row>
        <row r="753">
          <cell r="A753" t="str">
            <v>PM24-Handful of Health Caramel Nuts N Berries Pouch 200 gm ( 150mm x 225mm ) Digital</v>
          </cell>
          <cell r="B753" t="str">
            <v>PM</v>
          </cell>
          <cell r="C753" t="str">
            <v>Packaging</v>
          </cell>
          <cell r="D753" t="str">
            <v>Pouch Roll</v>
          </cell>
        </row>
        <row r="754">
          <cell r="A754" t="str">
            <v>PM24-Handful of Health Chatpata Raisin Pouch 200 gm Digital</v>
          </cell>
          <cell r="B754" t="str">
            <v>PM</v>
          </cell>
          <cell r="C754" t="str">
            <v>Packaging</v>
          </cell>
          <cell r="D754" t="str">
            <v>Pouch Roll</v>
          </cell>
        </row>
        <row r="755">
          <cell r="A755" t="str">
            <v>PM24-Handful of Health Cocktail Mix Pouch 200 gm Digital</v>
          </cell>
          <cell r="B755" t="str">
            <v>PM</v>
          </cell>
          <cell r="C755" t="str">
            <v>Packaging</v>
          </cell>
          <cell r="D755" t="str">
            <v>Pouch Roll</v>
          </cell>
        </row>
        <row r="756">
          <cell r="A756" t="str">
            <v>PM24-Handful of Health Daily Dose Pouch 200 gm Digital</v>
          </cell>
          <cell r="B756" t="str">
            <v>PM</v>
          </cell>
          <cell r="C756" t="str">
            <v>Packaging</v>
          </cell>
          <cell r="D756" t="str">
            <v>Pouch Roll</v>
          </cell>
        </row>
        <row r="757">
          <cell r="A757" t="str">
            <v>PM24-Handful of Health Indian Raisins 200 gm Monocarton (Cred)</v>
          </cell>
          <cell r="B757" t="str">
            <v>PM</v>
          </cell>
          <cell r="C757" t="str">
            <v>Packaging</v>
          </cell>
          <cell r="D757" t="str">
            <v xml:space="preserve">Monocarton </v>
          </cell>
        </row>
        <row r="758">
          <cell r="A758" t="str">
            <v>PM24-Handful of Health Mocha Mojo Trail Mix Pouch ( 150mm x 225mm) 200 gm Digital</v>
          </cell>
          <cell r="B758" t="str">
            <v>PM</v>
          </cell>
          <cell r="C758" t="str">
            <v>Packaging</v>
          </cell>
          <cell r="D758" t="str">
            <v>Pouch Roll</v>
          </cell>
        </row>
        <row r="759">
          <cell r="A759" t="str">
            <v>PM24-Handful of Health Sleeve ( Macaron Box-Brown ) Anjeer 300 gm</v>
          </cell>
          <cell r="B759" t="str">
            <v>PM</v>
          </cell>
          <cell r="C759" t="str">
            <v>Packaging</v>
          </cell>
          <cell r="D759" t="str">
            <v>Sleeve</v>
          </cell>
        </row>
        <row r="760">
          <cell r="A760" t="str">
            <v>PM24-Handful of Health Very Berry Mix Pouch 200 gm Digital</v>
          </cell>
          <cell r="B760" t="str">
            <v>PM</v>
          </cell>
          <cell r="C760" t="str">
            <v>Packaging</v>
          </cell>
          <cell r="D760" t="str">
            <v>Pouch Roll</v>
          </cell>
        </row>
        <row r="761">
          <cell r="A761" t="str">
            <v>PM24 - Happilo Pudina Peanut Pouch Roll 25 gm</v>
          </cell>
          <cell r="B761" t="str">
            <v>PM</v>
          </cell>
          <cell r="C761" t="str">
            <v>Packaging</v>
          </cell>
          <cell r="D761" t="str">
            <v>Pouch Roll</v>
          </cell>
        </row>
        <row r="762">
          <cell r="A762" t="str">
            <v>PM24-Healing Hands ROLL</v>
          </cell>
          <cell r="B762" t="str">
            <v>PM</v>
          </cell>
          <cell r="C762" t="str">
            <v>Packaging</v>
          </cell>
          <cell r="D762" t="str">
            <v>Roll</v>
          </cell>
        </row>
        <row r="763">
          <cell r="A763" t="str">
            <v>PM24-Healthy On The Go Snack Pouch 200gm</v>
          </cell>
          <cell r="B763" t="str">
            <v>PM</v>
          </cell>
          <cell r="C763" t="str">
            <v>Packaging</v>
          </cell>
          <cell r="D763" t="str">
            <v>Pouch</v>
          </cell>
        </row>
        <row r="764">
          <cell r="A764" t="str">
            <v>PM24-HOH Bopp Adhesive Tape 60mm-30 Micron-Printed 180 gm</v>
          </cell>
          <cell r="B764" t="str">
            <v>PM</v>
          </cell>
          <cell r="C764" t="str">
            <v>Packaging</v>
          </cell>
          <cell r="D764" t="str">
            <v>Tape</v>
          </cell>
        </row>
        <row r="765">
          <cell r="A765" t="str">
            <v>PM24-HOH Flat Bottom Big Pouch 140x 260 500 gm</v>
          </cell>
          <cell r="B765" t="str">
            <v>PM</v>
          </cell>
          <cell r="C765" t="str">
            <v>Packaging</v>
          </cell>
          <cell r="D765" t="str">
            <v>Bottom</v>
          </cell>
        </row>
        <row r="766">
          <cell r="A766" t="str">
            <v>PM24-HOH Flat Bottom Small Pouch 250 gm</v>
          </cell>
          <cell r="B766" t="str">
            <v>PM</v>
          </cell>
          <cell r="C766" t="str">
            <v>Packaging</v>
          </cell>
          <cell r="D766" t="str">
            <v>Bottom</v>
          </cell>
        </row>
        <row r="767">
          <cell r="A767" t="str">
            <v>PM24-HS Film Roll (Tub Sealing ) 170mm</v>
          </cell>
          <cell r="B767" t="str">
            <v>PM</v>
          </cell>
          <cell r="C767" t="str">
            <v>Packaging</v>
          </cell>
          <cell r="D767" t="str">
            <v>Roll</v>
          </cell>
        </row>
        <row r="768">
          <cell r="A768" t="str">
            <v>PM24-Induction Wad 250 gm</v>
          </cell>
          <cell r="B768" t="str">
            <v>PM</v>
          </cell>
          <cell r="C768" t="str">
            <v>Packaging</v>
          </cell>
          <cell r="D768" t="str">
            <v>Wad</v>
          </cell>
        </row>
        <row r="769">
          <cell r="A769" t="str">
            <v>PM24-Induction Wad 500 gm</v>
          </cell>
          <cell r="B769" t="str">
            <v>PM</v>
          </cell>
          <cell r="C769" t="str">
            <v>Packaging</v>
          </cell>
          <cell r="D769" t="str">
            <v>Wad</v>
          </cell>
        </row>
        <row r="770">
          <cell r="A770" t="str">
            <v>PM24-Karmi Gur Silver Pouch 100 gm</v>
          </cell>
          <cell r="B770" t="str">
            <v>PM</v>
          </cell>
          <cell r="C770" t="str">
            <v>Packaging</v>
          </cell>
          <cell r="D770" t="str">
            <v>Pouch</v>
          </cell>
        </row>
        <row r="771">
          <cell r="A771" t="str">
            <v>PM24-Kesar Jar small</v>
          </cell>
          <cell r="B771" t="str">
            <v>PM</v>
          </cell>
          <cell r="C771" t="str">
            <v>Packaging</v>
          </cell>
          <cell r="D771" t="str">
            <v>Jar</v>
          </cell>
        </row>
        <row r="772">
          <cell r="A772" t="str">
            <v>PM24-Kimia Dates Pouch 6.5/11.5x8.25 Plain-LD Natural 500 gm</v>
          </cell>
          <cell r="B772" t="str">
            <v>PM</v>
          </cell>
          <cell r="C772" t="str">
            <v>Packaging</v>
          </cell>
          <cell r="D772" t="str">
            <v>Pouch</v>
          </cell>
        </row>
        <row r="773">
          <cell r="A773" t="str">
            <v>PM24-Kimia Dates Pouch 6.5/11.5x8.25 Printed-LD Natural 500 gm</v>
          </cell>
          <cell r="B773" t="str">
            <v>PM</v>
          </cell>
          <cell r="C773" t="str">
            <v>Packaging</v>
          </cell>
          <cell r="D773" t="str">
            <v>Pouch</v>
          </cell>
        </row>
        <row r="774">
          <cell r="A774" t="str">
            <v>PM24-Kingdom of Dates Blue Anjeer Sleeve 200 gm</v>
          </cell>
          <cell r="B774" t="str">
            <v>PM</v>
          </cell>
          <cell r="C774" t="str">
            <v>Packaging</v>
          </cell>
          <cell r="D774" t="str">
            <v>Sleeve</v>
          </cell>
        </row>
        <row r="775">
          <cell r="A775" t="str">
            <v>PM24-Kingdom Of Dates Blue Sample Pouch Digital</v>
          </cell>
          <cell r="B775" t="str">
            <v>PM</v>
          </cell>
          <cell r="C775" t="str">
            <v>Packaging</v>
          </cell>
          <cell r="D775" t="str">
            <v>Pouch Roll</v>
          </cell>
        </row>
        <row r="776">
          <cell r="A776" t="str">
            <v>PM24-Kingdom of Dates Green Sleeve 300 gm</v>
          </cell>
          <cell r="B776" t="str">
            <v>PM</v>
          </cell>
          <cell r="C776" t="str">
            <v>Packaging</v>
          </cell>
          <cell r="D776" t="str">
            <v>Sleeve</v>
          </cell>
        </row>
        <row r="777">
          <cell r="A777" t="str">
            <v>PM24-Kingdom Of Dates King Blue Sleeve for Acrylic box 250 gm</v>
          </cell>
          <cell r="B777" t="str">
            <v>PM</v>
          </cell>
          <cell r="C777" t="str">
            <v>Packaging</v>
          </cell>
          <cell r="D777" t="str">
            <v>Sleeve</v>
          </cell>
        </row>
        <row r="778">
          <cell r="A778" t="str">
            <v>PM24-Kingdom Of Dates King Medjoul Dates Top 1000 gm</v>
          </cell>
          <cell r="B778" t="str">
            <v>PM</v>
          </cell>
          <cell r="C778" t="str">
            <v>Packaging</v>
          </cell>
          <cell r="D778" t="str">
            <v>Top</v>
          </cell>
        </row>
        <row r="779">
          <cell r="A779" t="str">
            <v>PM24-Kingdom Of Dates King Red Sleeve for Acrylic box 250 gm</v>
          </cell>
          <cell r="B779" t="str">
            <v>PM</v>
          </cell>
          <cell r="C779" t="str">
            <v>Packaging</v>
          </cell>
          <cell r="D779" t="str">
            <v>Sleeve</v>
          </cell>
        </row>
        <row r="780">
          <cell r="A780" t="str">
            <v>PM24-Kingdom of Dates Maroon Sleeve 500 gm</v>
          </cell>
          <cell r="B780" t="str">
            <v>PM</v>
          </cell>
          <cell r="C780" t="str">
            <v>Packaging</v>
          </cell>
          <cell r="D780" t="str">
            <v>Sleeve</v>
          </cell>
        </row>
        <row r="781">
          <cell r="A781" t="str">
            <v>PM24-Kingdom Of Dates White Sample Pouch Digital</v>
          </cell>
          <cell r="B781" t="str">
            <v>PM</v>
          </cell>
          <cell r="C781" t="str">
            <v>Packaging</v>
          </cell>
          <cell r="D781" t="str">
            <v>Pouch Roll</v>
          </cell>
        </row>
        <row r="782">
          <cell r="A782" t="str">
            <v>PM24-Kingdom of Dates Yellow Sleeve 250 gm</v>
          </cell>
          <cell r="B782" t="str">
            <v>PM</v>
          </cell>
          <cell r="C782" t="str">
            <v>Packaging</v>
          </cell>
          <cell r="D782" t="str">
            <v>Sleeve</v>
          </cell>
        </row>
        <row r="783">
          <cell r="A783" t="str">
            <v>PM24-King Solomon 3 Dates To Go-Inner Assorted 50 gm</v>
          </cell>
          <cell r="B783" t="str">
            <v>PM</v>
          </cell>
          <cell r="C783" t="str">
            <v>Packaging</v>
          </cell>
          <cell r="D783" t="str">
            <v xml:space="preserve">Monocarton </v>
          </cell>
        </row>
        <row r="784">
          <cell r="A784" t="str">
            <v>PM24-King Solomon 3 Dates To Go-Outer Assorted 900 gm</v>
          </cell>
          <cell r="B784" t="str">
            <v>PM</v>
          </cell>
          <cell r="C784" t="str">
            <v>Packaging</v>
          </cell>
          <cell r="D784" t="str">
            <v xml:space="preserve">Monocarton </v>
          </cell>
        </row>
        <row r="785">
          <cell r="A785" t="str">
            <v>PM24-King Solomon-Black Medjoul Dates Top Jumbo 1000 gm</v>
          </cell>
          <cell r="B785" t="str">
            <v>PM</v>
          </cell>
          <cell r="C785" t="str">
            <v>Packaging</v>
          </cell>
          <cell r="D785" t="str">
            <v>Top</v>
          </cell>
        </row>
        <row r="786">
          <cell r="A786" t="str">
            <v>PM24-King Solomon-Black Medjoul Dates Top Jumbo 500 gm</v>
          </cell>
          <cell r="B786" t="str">
            <v>PM</v>
          </cell>
          <cell r="C786" t="str">
            <v>Packaging</v>
          </cell>
          <cell r="D786" t="str">
            <v>Top</v>
          </cell>
        </row>
        <row r="787">
          <cell r="A787" t="str">
            <v>PM24-King Solomon-Blue Medjoul Dates Top Junior 1000 gm</v>
          </cell>
          <cell r="B787" t="str">
            <v>PM</v>
          </cell>
          <cell r="C787" t="str">
            <v>Packaging</v>
          </cell>
          <cell r="D787" t="str">
            <v>Top</v>
          </cell>
        </row>
        <row r="788">
          <cell r="A788" t="str">
            <v>PM24-King Solomon-Bon Bon Golden Tray 320 gm</v>
          </cell>
          <cell r="B788" t="str">
            <v>PM</v>
          </cell>
          <cell r="C788" t="str">
            <v>Packaging</v>
          </cell>
          <cell r="D788" t="str">
            <v>Tray</v>
          </cell>
        </row>
        <row r="789">
          <cell r="A789" t="str">
            <v>PM24-King Solomon-Bon Bon Golden Tray 750 gm</v>
          </cell>
          <cell r="B789" t="str">
            <v>PM</v>
          </cell>
          <cell r="C789" t="str">
            <v>Packaging</v>
          </cell>
          <cell r="D789" t="str">
            <v>Tray</v>
          </cell>
        </row>
        <row r="790">
          <cell r="A790" t="str">
            <v>PM24-King Solomon-Medjoul Dates 250 gm-Top</v>
          </cell>
          <cell r="B790" t="str">
            <v>PM</v>
          </cell>
          <cell r="C790" t="str">
            <v>Packaging</v>
          </cell>
          <cell r="D790" t="str">
            <v>Top</v>
          </cell>
        </row>
        <row r="791">
          <cell r="A791" t="str">
            <v>PM24-King Solomon Medjoul Dates Top 250 gm</v>
          </cell>
          <cell r="B791" t="str">
            <v>PM</v>
          </cell>
          <cell r="C791" t="str">
            <v>Packaging</v>
          </cell>
          <cell r="D791" t="str">
            <v>Top</v>
          </cell>
        </row>
        <row r="792">
          <cell r="A792" t="str">
            <v>PM24-King Solomon-Medjoul Dates Top 500 gm</v>
          </cell>
          <cell r="B792" t="str">
            <v>PM</v>
          </cell>
          <cell r="C792" t="str">
            <v>Packaging</v>
          </cell>
          <cell r="D792" t="str">
            <v>Top</v>
          </cell>
        </row>
        <row r="793">
          <cell r="A793" t="str">
            <v>PM24-King Solomon Oriental Dates Sample Pouch 30 gm Digital</v>
          </cell>
          <cell r="B793" t="str">
            <v>PM</v>
          </cell>
          <cell r="C793" t="str">
            <v>Packaging</v>
          </cell>
          <cell r="D793" t="str">
            <v>Pouch Roll</v>
          </cell>
        </row>
        <row r="794">
          <cell r="A794" t="str">
            <v>PM24-King Solomon-Oriental Dates Top 500 gm</v>
          </cell>
          <cell r="B794" t="str">
            <v>PM</v>
          </cell>
          <cell r="C794" t="str">
            <v>Packaging</v>
          </cell>
          <cell r="D794" t="str">
            <v>Top</v>
          </cell>
        </row>
        <row r="795">
          <cell r="A795" t="str">
            <v>PM24-King Solomon Oriental Dates Zipper Pouch 250 gm</v>
          </cell>
          <cell r="B795" t="str">
            <v>PM</v>
          </cell>
          <cell r="C795" t="str">
            <v>Packaging</v>
          </cell>
          <cell r="D795" t="str">
            <v>Pouch</v>
          </cell>
        </row>
        <row r="796">
          <cell r="A796" t="str">
            <v>PM24-King Solomon Oriental Dates Zipper Pouch 250 gm Old</v>
          </cell>
          <cell r="B796" t="str">
            <v>PM</v>
          </cell>
          <cell r="C796" t="str">
            <v>Packaging</v>
          </cell>
          <cell r="D796" t="str">
            <v>Pouch</v>
          </cell>
        </row>
        <row r="797">
          <cell r="A797" t="str">
            <v>PM24-King Solomon Oriental Dates Zipper Pouch 500 gm</v>
          </cell>
          <cell r="B797" t="str">
            <v>PM</v>
          </cell>
          <cell r="C797" t="str">
            <v>Packaging</v>
          </cell>
          <cell r="D797" t="str">
            <v>Pouch</v>
          </cell>
        </row>
        <row r="798">
          <cell r="A798" t="str">
            <v>PM24-King Solomon-Red Medjoul Dates Top Medium 1000 gm</v>
          </cell>
          <cell r="B798" t="str">
            <v>PM</v>
          </cell>
          <cell r="C798" t="str">
            <v>Packaging</v>
          </cell>
          <cell r="D798" t="str">
            <v>Top</v>
          </cell>
        </row>
        <row r="799">
          <cell r="A799" t="str">
            <v>PM24-King Solomon-Red Medjoul Dates Top Medium 500 gm</v>
          </cell>
          <cell r="B799" t="str">
            <v>PM</v>
          </cell>
          <cell r="C799" t="str">
            <v>Packaging</v>
          </cell>
          <cell r="D799" t="str">
            <v>Top</v>
          </cell>
        </row>
        <row r="800">
          <cell r="A800" t="str">
            <v>PM24-King Solomon-Yellow Medjoul Dates Top Large 1000 gm</v>
          </cell>
          <cell r="B800" t="str">
            <v>PM</v>
          </cell>
          <cell r="C800" t="str">
            <v>Packaging</v>
          </cell>
          <cell r="D800" t="str">
            <v>Top</v>
          </cell>
        </row>
        <row r="801">
          <cell r="A801" t="str">
            <v>PM24-King Solomon-Yellow Medjoul Dates Top Large 500 gm</v>
          </cell>
          <cell r="B801" t="str">
            <v>PM</v>
          </cell>
          <cell r="C801" t="str">
            <v>Packaging</v>
          </cell>
          <cell r="D801" t="str">
            <v>Top</v>
          </cell>
        </row>
        <row r="802">
          <cell r="A802" t="str">
            <v>PM24-King Solomon-Yellow Medjoul Dates Top Large 500 gm</v>
          </cell>
          <cell r="B802" t="str">
            <v>PM</v>
          </cell>
          <cell r="C802" t="str">
            <v>Packaging</v>
          </cell>
          <cell r="D802" t="str">
            <v>Top</v>
          </cell>
        </row>
        <row r="803">
          <cell r="A803" t="str">
            <v>PM24-Krack Nut-Assorted Mono Carton Black 30 gm</v>
          </cell>
          <cell r="B803" t="str">
            <v>PM</v>
          </cell>
          <cell r="C803" t="str">
            <v>Packaging</v>
          </cell>
          <cell r="D803" t="str">
            <v xml:space="preserve">Monocarton </v>
          </cell>
        </row>
        <row r="804">
          <cell r="A804" t="str">
            <v>PM24-Kracknut Lite Achari Twist Chana Pouch 250 gm Digital</v>
          </cell>
          <cell r="B804" t="str">
            <v>PM</v>
          </cell>
          <cell r="C804" t="str">
            <v>Packaging</v>
          </cell>
          <cell r="D804" t="str">
            <v>Pouch Roll</v>
          </cell>
        </row>
        <row r="805">
          <cell r="A805" t="str">
            <v>PM24-Kracknut Lite Hing Jeera Chana Pouch 250 gm Digital</v>
          </cell>
          <cell r="B805" t="str">
            <v>PM</v>
          </cell>
          <cell r="C805" t="str">
            <v>Packaging</v>
          </cell>
          <cell r="D805" t="str">
            <v>Pouch Roll</v>
          </cell>
        </row>
        <row r="806">
          <cell r="A806" t="str">
            <v>PM24-Kracknut Lite Hing Jeera Peanut Pouch 250 gm Digital</v>
          </cell>
          <cell r="B806" t="str">
            <v>PM</v>
          </cell>
          <cell r="C806" t="str">
            <v>Packaging</v>
          </cell>
          <cell r="D806" t="str">
            <v>Pouch Roll</v>
          </cell>
        </row>
        <row r="807">
          <cell r="A807" t="str">
            <v>PM24-Krack Nut Magic Masala Crunchy Peanut 30 gm Pouch Digital</v>
          </cell>
          <cell r="B807" t="str">
            <v>PM</v>
          </cell>
          <cell r="C807" t="str">
            <v>Packaging</v>
          </cell>
          <cell r="D807" t="str">
            <v>Pouch Roll</v>
          </cell>
        </row>
        <row r="808">
          <cell r="A808" t="str">
            <v>PM24 - Krack Nut Pudina Pataka (green) Pouch Roll 100 gm</v>
          </cell>
          <cell r="B808" t="str">
            <v>PM</v>
          </cell>
          <cell r="C808" t="str">
            <v>Packaging</v>
          </cell>
          <cell r="D808" t="str">
            <v>Pouch Roll</v>
          </cell>
        </row>
        <row r="809">
          <cell r="A809" t="str">
            <v>PM24 - Krack Nut Pudina Pataka (green) Pouch Roll 25 gm</v>
          </cell>
          <cell r="B809" t="str">
            <v>PM</v>
          </cell>
          <cell r="C809" t="str">
            <v>Packaging</v>
          </cell>
          <cell r="D809" t="str">
            <v>Pouch Roll</v>
          </cell>
        </row>
        <row r="810">
          <cell r="A810" t="str">
            <v>PM24-Krack Nut Pudina Patakha Pouch Green-150mm x 230 mm 110 gm</v>
          </cell>
          <cell r="B810" t="str">
            <v>PM</v>
          </cell>
          <cell r="C810" t="str">
            <v>Packaging</v>
          </cell>
          <cell r="D810" t="str">
            <v>Pouch</v>
          </cell>
        </row>
        <row r="811">
          <cell r="A811" t="str">
            <v>PM24-Krack Nut Smoke Barbeque Crunchy Peanut 30 gm Pouch Digital</v>
          </cell>
          <cell r="B811" t="str">
            <v>PM</v>
          </cell>
          <cell r="C811" t="str">
            <v>Packaging</v>
          </cell>
          <cell r="D811" t="str">
            <v>Pouch Roll</v>
          </cell>
        </row>
        <row r="812">
          <cell r="A812" t="str">
            <v>PM24-Krack Nut Spanish Tomato Crunchy Peanut 30 gm Pouch Digital</v>
          </cell>
          <cell r="B812" t="str">
            <v>PM</v>
          </cell>
          <cell r="C812" t="str">
            <v>Packaging</v>
          </cell>
          <cell r="D812" t="str">
            <v>Pouch Roll</v>
          </cell>
        </row>
        <row r="813">
          <cell r="A813" t="str">
            <v>PM24 - Krack Nut Tandoori Toofan (orange) Pouch Roll 100 gm</v>
          </cell>
          <cell r="B813" t="str">
            <v>PM</v>
          </cell>
          <cell r="C813" t="str">
            <v>Packaging</v>
          </cell>
          <cell r="D813" t="str">
            <v>Pouch Roll</v>
          </cell>
        </row>
        <row r="814">
          <cell r="A814" t="str">
            <v>PM24 - Krack Nut Tandoori Toofan (orange) Pouch Roll 25 gm</v>
          </cell>
          <cell r="B814" t="str">
            <v>PM</v>
          </cell>
          <cell r="C814" t="str">
            <v>Packaging</v>
          </cell>
          <cell r="D814" t="str">
            <v>Pouch Roll</v>
          </cell>
        </row>
        <row r="815">
          <cell r="A815" t="str">
            <v>PM24-Krack Nut Tandoori Toofan Pouch Orange-150mm x 230mm 110 gm</v>
          </cell>
          <cell r="B815" t="str">
            <v>PM</v>
          </cell>
          <cell r="C815" t="str">
            <v>Packaging</v>
          </cell>
          <cell r="D815" t="str">
            <v>Pouch</v>
          </cell>
        </row>
        <row r="816">
          <cell r="A816" t="str">
            <v>PM24-Krack Nut Thai Firangi Monocarton 300 gm</v>
          </cell>
          <cell r="B816" t="str">
            <v>PM</v>
          </cell>
          <cell r="C816" t="str">
            <v>Packaging</v>
          </cell>
          <cell r="D816" t="str">
            <v xml:space="preserve">Monocarton </v>
          </cell>
        </row>
        <row r="817">
          <cell r="A817" t="str">
            <v>PM24-Krack Nut Thai Firangi Pouch Red-150mm x 230 mm 110 gm</v>
          </cell>
          <cell r="B817" t="str">
            <v>PM</v>
          </cell>
          <cell r="C817" t="str">
            <v>Packaging</v>
          </cell>
          <cell r="D817" t="str">
            <v>Pouch</v>
          </cell>
        </row>
        <row r="818">
          <cell r="A818" t="str">
            <v>PM24 - Krack Nut Thai Firangi (red) Pouch Roll 100 gm</v>
          </cell>
          <cell r="B818" t="str">
            <v>PM</v>
          </cell>
          <cell r="C818" t="str">
            <v>Packaging</v>
          </cell>
          <cell r="D818" t="str">
            <v>Pouch Roll</v>
          </cell>
        </row>
        <row r="819">
          <cell r="A819" t="str">
            <v>PM24 - Krack Nut Thai Firangi (red) Pouch Roll 25 gm</v>
          </cell>
          <cell r="B819" t="str">
            <v>PM</v>
          </cell>
          <cell r="C819" t="str">
            <v>Packaging</v>
          </cell>
          <cell r="D819" t="str">
            <v>Pouch Roll</v>
          </cell>
        </row>
        <row r="820">
          <cell r="A820" t="str">
            <v>PM24-Label D Mart 4x3 Multiculour PaperChromo</v>
          </cell>
          <cell r="B820" t="str">
            <v>PM</v>
          </cell>
          <cell r="C820" t="str">
            <v>Packaging</v>
          </cell>
          <cell r="D820" t="str">
            <v>Label</v>
          </cell>
        </row>
        <row r="821">
          <cell r="A821" t="str">
            <v>PM24-Label D Mart 4 x 3 Multiculour PaperChromo 80 gsm</v>
          </cell>
          <cell r="B821" t="str">
            <v>PM</v>
          </cell>
          <cell r="C821" t="str">
            <v>Packaging</v>
          </cell>
          <cell r="D821" t="str">
            <v>Label</v>
          </cell>
        </row>
        <row r="822">
          <cell r="A822" t="str">
            <v>PM24-Labels 55mm x 60mm ( Veg Logo) 250 gm</v>
          </cell>
          <cell r="B822" t="str">
            <v>PM</v>
          </cell>
          <cell r="C822" t="str">
            <v>Packaging</v>
          </cell>
          <cell r="D822" t="str">
            <v>Label</v>
          </cell>
        </row>
        <row r="823">
          <cell r="A823" t="str">
            <v>PM24-Labels,Stickers, Cards</v>
          </cell>
          <cell r="B823" t="str">
            <v>PM</v>
          </cell>
          <cell r="C823" t="str">
            <v>Packaging</v>
          </cell>
          <cell r="D823" t="str">
            <v>Label</v>
          </cell>
        </row>
        <row r="824">
          <cell r="A824" t="str">
            <v>PM24-Laminated Center Sealing Pouch (6.5x10 in)</v>
          </cell>
          <cell r="B824" t="str">
            <v>PM</v>
          </cell>
          <cell r="C824" t="str">
            <v>Packaging</v>
          </cell>
          <cell r="D824" t="str">
            <v>Pouch</v>
          </cell>
        </row>
        <row r="825">
          <cell r="A825" t="str">
            <v>PM24-Laminated Center Sealing Pouch (6.5x9) 500 gm</v>
          </cell>
          <cell r="B825" t="str">
            <v>PM</v>
          </cell>
          <cell r="C825" t="str">
            <v>Packaging</v>
          </cell>
          <cell r="D825" t="str">
            <v>Pouch</v>
          </cell>
        </row>
        <row r="826">
          <cell r="A826" t="str">
            <v>PM24-Laminated Center Sealing Pouch (8x10) 500 gm</v>
          </cell>
          <cell r="B826" t="str">
            <v>PM</v>
          </cell>
          <cell r="C826" t="str">
            <v>Packaging</v>
          </cell>
          <cell r="D826" t="str">
            <v>Pouch</v>
          </cell>
        </row>
        <row r="827">
          <cell r="A827" t="str">
            <v>PM24-Laminated Center Sealing Pouch (9x11) 500 gm</v>
          </cell>
          <cell r="B827" t="str">
            <v>PM</v>
          </cell>
          <cell r="C827" t="str">
            <v>Packaging</v>
          </cell>
          <cell r="D827" t="str">
            <v>Pouch</v>
          </cell>
        </row>
        <row r="828">
          <cell r="A828" t="str">
            <v>PM24-Laminated Pouch (125mm x 130mm)-3 Side Seal Pouch 4.9x5.3 Qc 100 gm</v>
          </cell>
          <cell r="B828" t="str">
            <v>PM</v>
          </cell>
          <cell r="C828" t="str">
            <v>Packaging</v>
          </cell>
          <cell r="D828" t="str">
            <v>Pouch</v>
          </cell>
        </row>
        <row r="829">
          <cell r="A829" t="str">
            <v>PM24-LAMINATED ROLL</v>
          </cell>
          <cell r="B829" t="str">
            <v>PM</v>
          </cell>
          <cell r="C829" t="str">
            <v>Packaging</v>
          </cell>
          <cell r="D829" t="str">
            <v>Roll</v>
          </cell>
        </row>
        <row r="830">
          <cell r="A830" t="str">
            <v>PM24-Laminated Zipper Standy Pouch (4x6),-Black Matt Finish 200 gm</v>
          </cell>
          <cell r="B830" t="str">
            <v>PM</v>
          </cell>
          <cell r="C830" t="str">
            <v>Packaging</v>
          </cell>
          <cell r="D830" t="str">
            <v>Pouch</v>
          </cell>
        </row>
        <row r="831">
          <cell r="A831" t="str">
            <v>PM24-Laminated Zipper Standy Pouch (7x10)-Black Matt 200 gm</v>
          </cell>
          <cell r="B831" t="str">
            <v>PM</v>
          </cell>
          <cell r="C831" t="str">
            <v>Packaging</v>
          </cell>
          <cell r="D831" t="str">
            <v>Pouch</v>
          </cell>
        </row>
        <row r="832">
          <cell r="A832" t="str">
            <v>PM24-Laptop One Handle Bag</v>
          </cell>
          <cell r="B832" t="str">
            <v>PM</v>
          </cell>
          <cell r="C832" t="str">
            <v>Packaging</v>
          </cell>
          <cell r="D832" t="str">
            <v>Hamper-Bag</v>
          </cell>
        </row>
        <row r="833">
          <cell r="A833" t="str">
            <v>PM24-LD Pouch (14x21) 5kg</v>
          </cell>
          <cell r="B833" t="str">
            <v>PM</v>
          </cell>
          <cell r="C833" t="str">
            <v>Packaging</v>
          </cell>
          <cell r="D833" t="str">
            <v>Pouch</v>
          </cell>
        </row>
        <row r="834">
          <cell r="A834" t="str">
            <v>PM24-LD Pouch 300x400mm 1 Kg</v>
          </cell>
          <cell r="B834" t="str">
            <v>PM</v>
          </cell>
          <cell r="C834" t="str">
            <v>Packaging</v>
          </cell>
          <cell r="D834" t="str">
            <v>Pouch</v>
          </cell>
        </row>
        <row r="835">
          <cell r="A835" t="str">
            <v>PM24-LD Pouch 375x450mm 2 Kg</v>
          </cell>
          <cell r="B835" t="str">
            <v>PM</v>
          </cell>
          <cell r="C835" t="str">
            <v>Packaging</v>
          </cell>
          <cell r="D835" t="str">
            <v>Pouch</v>
          </cell>
        </row>
        <row r="836">
          <cell r="A836" t="str">
            <v>PM24 - LD Shrink Film 25 Inch 80 Mic</v>
          </cell>
          <cell r="B836" t="str">
            <v>PM</v>
          </cell>
          <cell r="C836" t="str">
            <v>Packaging</v>
          </cell>
          <cell r="D836" t="str">
            <v>Shrink Film</v>
          </cell>
        </row>
        <row r="837">
          <cell r="A837" t="str">
            <v>PM24-Liner 10 Kg</v>
          </cell>
          <cell r="B837" t="str">
            <v>PM</v>
          </cell>
          <cell r="C837" t="str">
            <v>Packaging</v>
          </cell>
          <cell r="D837" t="str">
            <v>Liner</v>
          </cell>
        </row>
        <row r="838">
          <cell r="A838" t="str">
            <v>PM24-Liner-5Kg 5000 gm</v>
          </cell>
          <cell r="B838" t="str">
            <v>PM</v>
          </cell>
          <cell r="C838" t="str">
            <v>Packaging</v>
          </cell>
          <cell r="D838" t="str">
            <v>Liner</v>
          </cell>
        </row>
        <row r="839">
          <cell r="A839" t="str">
            <v>PM24-Mabroom Dates Top 500 gm</v>
          </cell>
          <cell r="B839" t="str">
            <v>PM</v>
          </cell>
          <cell r="C839" t="str">
            <v>Packaging</v>
          </cell>
          <cell r="D839" t="str">
            <v>Top</v>
          </cell>
        </row>
        <row r="840">
          <cell r="A840" t="str">
            <v>PM24-Mac Snack Dry Roasted And Salted Macadamia Premium Pouches (Assorted Skus) 200 gm</v>
          </cell>
          <cell r="B840" t="str">
            <v>PM</v>
          </cell>
          <cell r="C840" t="str">
            <v>Packaging</v>
          </cell>
          <cell r="D840" t="str">
            <v>Pouch</v>
          </cell>
        </row>
        <row r="841">
          <cell r="A841" t="str">
            <v>PM24-Mac Snack Dry Roasted And Salted Muchies Pouches 100 gm</v>
          </cell>
          <cell r="B841" t="str">
            <v>PM</v>
          </cell>
          <cell r="C841" t="str">
            <v>Packaging</v>
          </cell>
          <cell r="D841" t="str">
            <v>Pouch</v>
          </cell>
        </row>
        <row r="842">
          <cell r="A842" t="str">
            <v>PM24-Mac Snack Dry Roasted Macadamia Muchies Pouch (Assorted) 200 gm</v>
          </cell>
          <cell r="B842" t="str">
            <v>PM</v>
          </cell>
          <cell r="C842" t="str">
            <v>Packaging</v>
          </cell>
          <cell r="D842" t="str">
            <v>Pouch</v>
          </cell>
        </row>
        <row r="843">
          <cell r="A843" t="str">
            <v>PM24-Mac Snack Dry Roasted Macadamia Muchies Pouches (Assorted Skus) 200 gm</v>
          </cell>
          <cell r="B843" t="str">
            <v>PM</v>
          </cell>
          <cell r="C843" t="str">
            <v>Packaging</v>
          </cell>
          <cell r="D843" t="str">
            <v>Pouch</v>
          </cell>
        </row>
        <row r="844">
          <cell r="A844" t="str">
            <v>PM24-Mac Snack Dry Roasted Macadamia Muchies Premium Pouches (Assorted Skus) 200 gm</v>
          </cell>
          <cell r="B844" t="str">
            <v>PM</v>
          </cell>
          <cell r="C844" t="str">
            <v>Packaging</v>
          </cell>
          <cell r="D844" t="str">
            <v>Pouch</v>
          </cell>
        </row>
        <row r="845">
          <cell r="A845" t="str">
            <v>PM24-Mac Snack Dry Roasted Macadamia Munchies Pouches (Assorted Skus) 100 gm</v>
          </cell>
          <cell r="B845" t="str">
            <v>PM</v>
          </cell>
          <cell r="C845" t="str">
            <v>Packaging</v>
          </cell>
          <cell r="D845" t="str">
            <v>Pouch</v>
          </cell>
        </row>
        <row r="846">
          <cell r="A846" t="str">
            <v>PM24-Mac Snack Roasted Australian Macadamia Halven 30 gm</v>
          </cell>
          <cell r="B846" t="str">
            <v>PM</v>
          </cell>
          <cell r="C846" t="str">
            <v>Packaging</v>
          </cell>
          <cell r="D846" t="str">
            <v>Pouch</v>
          </cell>
        </row>
        <row r="847">
          <cell r="A847" t="str">
            <v>PM24-Mahatab Tub Set 750 Ml Oval Container-Royal Delight Mazafati White With White Lid 750 ml</v>
          </cell>
          <cell r="B847" t="str">
            <v>PM</v>
          </cell>
          <cell r="C847" t="str">
            <v>Packaging</v>
          </cell>
          <cell r="D847" t="str">
            <v>Tub</v>
          </cell>
        </row>
        <row r="848">
          <cell r="A848" t="str">
            <v>PM24 - Makhana Pet 55 gm</v>
          </cell>
          <cell r="B848" t="str">
            <v>PM</v>
          </cell>
          <cell r="C848" t="str">
            <v>Packaging</v>
          </cell>
          <cell r="D848" t="str">
            <v>Pet</v>
          </cell>
        </row>
        <row r="849">
          <cell r="A849" t="str">
            <v>PM24 - Makhana Pet with Handle 125 gm</v>
          </cell>
          <cell r="B849" t="str">
            <v>PM</v>
          </cell>
          <cell r="C849" t="str">
            <v>Packaging</v>
          </cell>
          <cell r="D849" t="str">
            <v>Pet</v>
          </cell>
        </row>
        <row r="850">
          <cell r="A850" t="str">
            <v>PM24-Makson Himalaya Pink Salt Pepper Makhana Pouch 50 gm Digital</v>
          </cell>
          <cell r="B850" t="str">
            <v>PM</v>
          </cell>
          <cell r="C850" t="str">
            <v>Packaging</v>
          </cell>
          <cell r="D850" t="str">
            <v>Pouch Roll</v>
          </cell>
        </row>
        <row r="851">
          <cell r="A851" t="str">
            <v>PM24-Makson Makhana Pouch 100 gm Digital</v>
          </cell>
          <cell r="B851" t="str">
            <v>PM</v>
          </cell>
          <cell r="C851" t="str">
            <v>Packaging</v>
          </cell>
          <cell r="D851" t="str">
            <v>Pouch Roll</v>
          </cell>
        </row>
        <row r="852">
          <cell r="A852" t="str">
            <v>PM24-Mama Nourish Dryfruit Instant Bar Pouch 35 gm Digital</v>
          </cell>
          <cell r="B852" t="str">
            <v>PM</v>
          </cell>
          <cell r="C852" t="str">
            <v>Packaging</v>
          </cell>
          <cell r="D852" t="str">
            <v>Pouch Roll</v>
          </cell>
        </row>
        <row r="853">
          <cell r="A853" t="str">
            <v>PM24-Mama Nourish Methi Bar Pouch 35 gm Digital</v>
          </cell>
          <cell r="B853" t="str">
            <v>PM</v>
          </cell>
          <cell r="C853" t="str">
            <v>Packaging</v>
          </cell>
          <cell r="D853" t="str">
            <v>Pouch Roll</v>
          </cell>
        </row>
        <row r="854">
          <cell r="A854" t="str">
            <v>PM24-Mama Nourish Wholesome Millet Bar Pouch 35 gm Digital</v>
          </cell>
          <cell r="B854" t="str">
            <v>PM</v>
          </cell>
          <cell r="C854" t="str">
            <v>Packaging</v>
          </cell>
          <cell r="D854" t="str">
            <v>Pouch Roll</v>
          </cell>
        </row>
        <row r="855">
          <cell r="A855" t="str">
            <v>PM24-Masala Chatka 540mmx160mm 200 gm Pouch Digital</v>
          </cell>
          <cell r="B855" t="str">
            <v>PM</v>
          </cell>
          <cell r="C855" t="str">
            <v>Packaging</v>
          </cell>
          <cell r="D855" t="str">
            <v>Pouch Roll</v>
          </cell>
        </row>
        <row r="856">
          <cell r="A856" t="str">
            <v>PM24-Mat Gloss Effect Almonds Stand Up Pouch Nitrogen Fiushable 160 x 230 x 80 110 mic</v>
          </cell>
          <cell r="B856" t="str">
            <v>PM</v>
          </cell>
          <cell r="C856" t="str">
            <v>Packaging</v>
          </cell>
          <cell r="D856" t="str">
            <v>Pouch</v>
          </cell>
        </row>
        <row r="857">
          <cell r="A857" t="str">
            <v>PM24-Medjoul Dates Label 1kg</v>
          </cell>
          <cell r="B857" t="str">
            <v>PM</v>
          </cell>
          <cell r="C857" t="str">
            <v>Packaging</v>
          </cell>
          <cell r="D857" t="str">
            <v>Label</v>
          </cell>
        </row>
        <row r="858">
          <cell r="A858" t="str">
            <v>PM24-Medplus_EATRITE_ Arabian Dates (500g) Standy Zipper, tear knotch</v>
          </cell>
          <cell r="B858" t="str">
            <v>PM</v>
          </cell>
          <cell r="C858" t="str">
            <v>Packaging</v>
          </cell>
          <cell r="D858" t="str">
            <v>Pouch</v>
          </cell>
        </row>
        <row r="859">
          <cell r="A859" t="str">
            <v>PM24-Medplus_EATRITE_ Fard Dates (500g) Standy Zipper, tear knotch</v>
          </cell>
          <cell r="B859" t="str">
            <v>PM</v>
          </cell>
          <cell r="C859" t="str">
            <v>Packaging</v>
          </cell>
          <cell r="D859" t="str">
            <v>Pouch</v>
          </cell>
        </row>
        <row r="860">
          <cell r="A860" t="str">
            <v>PM24 - Ministry Of Nuts Cheese Cashew Pouch Roll 50 gm</v>
          </cell>
          <cell r="B860" t="str">
            <v>PM</v>
          </cell>
          <cell r="C860" t="str">
            <v>Packaging</v>
          </cell>
          <cell r="D860" t="str">
            <v>Pouch Roll</v>
          </cell>
        </row>
        <row r="861">
          <cell r="A861" t="str">
            <v>PM24-Ministry Of Nuts Pouch 100 gm</v>
          </cell>
          <cell r="B861" t="str">
            <v>PM</v>
          </cell>
          <cell r="C861" t="str">
            <v>Packaging</v>
          </cell>
          <cell r="D861" t="str">
            <v>Pouch</v>
          </cell>
        </row>
        <row r="862">
          <cell r="A862" t="str">
            <v>PM24-Modak Blister</v>
          </cell>
          <cell r="B862" t="str">
            <v>PM</v>
          </cell>
          <cell r="C862" t="str">
            <v>Packaging</v>
          </cell>
          <cell r="D862" t="str">
            <v>Blister</v>
          </cell>
        </row>
        <row r="863">
          <cell r="A863" t="str">
            <v>PM24 - Monocarton Partition 300 gm</v>
          </cell>
          <cell r="B863" t="str">
            <v>PM</v>
          </cell>
          <cell r="C863" t="str">
            <v>Packaging</v>
          </cell>
          <cell r="D863" t="str">
            <v xml:space="preserve">Monocarton </v>
          </cell>
        </row>
        <row r="864">
          <cell r="A864" t="str">
            <v>PM24-Moonfreeze-Banana</v>
          </cell>
          <cell r="B864" t="str">
            <v>PM</v>
          </cell>
          <cell r="C864" t="str">
            <v>Packaging</v>
          </cell>
          <cell r="D864" t="str">
            <v>Roll</v>
          </cell>
        </row>
        <row r="865">
          <cell r="A865" t="str">
            <v>PM24-Moonfreeze-Mango</v>
          </cell>
          <cell r="B865" t="str">
            <v>PM</v>
          </cell>
          <cell r="C865" t="str">
            <v>Packaging</v>
          </cell>
          <cell r="D865" t="str">
            <v>Roll</v>
          </cell>
        </row>
        <row r="866">
          <cell r="A866" t="str">
            <v>PM24-Moonfreeze-Pineapple</v>
          </cell>
          <cell r="B866" t="str">
            <v>PM</v>
          </cell>
          <cell r="C866" t="str">
            <v>Packaging</v>
          </cell>
          <cell r="D866" t="str">
            <v>Roll</v>
          </cell>
        </row>
        <row r="867">
          <cell r="A867" t="str">
            <v>PM24-Moonfreeze-Strawberry</v>
          </cell>
          <cell r="B867" t="str">
            <v>PM</v>
          </cell>
          <cell r="C867" t="str">
            <v>Packaging</v>
          </cell>
          <cell r="D867" t="str">
            <v>Roll</v>
          </cell>
        </row>
        <row r="868">
          <cell r="A868" t="str">
            <v>PM24 - More Choice 500 Gm Pouch Roll 500 gm</v>
          </cell>
          <cell r="B868" t="str">
            <v>PM</v>
          </cell>
          <cell r="C868" t="str">
            <v>Packaging</v>
          </cell>
          <cell r="D868" t="str">
            <v>Pouch Roll</v>
          </cell>
        </row>
        <row r="869">
          <cell r="A869" t="str">
            <v>PM24-Mukhwas Pet 150 gm</v>
          </cell>
          <cell r="B869" t="str">
            <v>PM</v>
          </cell>
          <cell r="C869" t="str">
            <v>Packaging</v>
          </cell>
          <cell r="D869" t="str">
            <v>Pet</v>
          </cell>
        </row>
        <row r="870">
          <cell r="A870" t="str">
            <v>PM24-My Fav Makhana Pouch 50 gm</v>
          </cell>
          <cell r="B870" t="str">
            <v>PM</v>
          </cell>
          <cell r="C870" t="str">
            <v>Packaging</v>
          </cell>
          <cell r="D870" t="str">
            <v>Pouch</v>
          </cell>
        </row>
        <row r="871">
          <cell r="A871" t="str">
            <v>PM24-Natapure Almond Pouch 200gm</v>
          </cell>
          <cell r="B871" t="str">
            <v>PM</v>
          </cell>
          <cell r="C871" t="str">
            <v>Packaging</v>
          </cell>
          <cell r="D871" t="str">
            <v>Pouch</v>
          </cell>
        </row>
        <row r="872">
          <cell r="A872" t="str">
            <v>PM24-Nature Dryfruit Almond 1 Kg Pouch 1000 gm</v>
          </cell>
          <cell r="B872" t="str">
            <v>PM</v>
          </cell>
          <cell r="C872" t="str">
            <v>Packaging</v>
          </cell>
          <cell r="D872" t="str">
            <v>Pouch</v>
          </cell>
        </row>
        <row r="873">
          <cell r="A873" t="str">
            <v>PM24-Natures Dryfruit 100G Pouch[110mm x 170mm] 100 gm</v>
          </cell>
          <cell r="B873" t="str">
            <v>PM</v>
          </cell>
          <cell r="C873" t="str">
            <v>Packaging</v>
          </cell>
          <cell r="D873" t="str">
            <v>Pouch</v>
          </cell>
        </row>
        <row r="874">
          <cell r="A874" t="str">
            <v>PM24-Natures Dryfruit 200G Pouch[130mm x 210mm] 200 gm</v>
          </cell>
          <cell r="B874" t="str">
            <v>PM</v>
          </cell>
          <cell r="C874" t="str">
            <v>Packaging</v>
          </cell>
          <cell r="D874" t="str">
            <v>Pouch</v>
          </cell>
        </row>
        <row r="875">
          <cell r="A875" t="str">
            <v>PM24-Natures Dryfruit 500G Pouch 500 gm</v>
          </cell>
          <cell r="B875" t="str">
            <v>PM</v>
          </cell>
          <cell r="C875" t="str">
            <v>Packaging</v>
          </cell>
          <cell r="D875" t="str">
            <v>Pouch</v>
          </cell>
        </row>
        <row r="876">
          <cell r="A876" t="str">
            <v>PM24-Noice Date Bites Standy Zipper Pouch 90gm</v>
          </cell>
          <cell r="B876" t="str">
            <v>PM</v>
          </cell>
          <cell r="C876" t="str">
            <v>Packaging</v>
          </cell>
          <cell r="D876" t="str">
            <v>Pouch</v>
          </cell>
        </row>
        <row r="877">
          <cell r="A877" t="str">
            <v>PM24-Noice Dryfruit Ladoo Standy Zipper Pouch 90gm</v>
          </cell>
          <cell r="B877" t="str">
            <v>PM</v>
          </cell>
          <cell r="C877" t="str">
            <v>Packaging</v>
          </cell>
          <cell r="D877" t="str">
            <v>Pouch</v>
          </cell>
        </row>
        <row r="878">
          <cell r="A878" t="str">
            <v>PM24-Nutes Berry And Seed Mix 250 gm Pouch Digital</v>
          </cell>
          <cell r="B878" t="str">
            <v>PM</v>
          </cell>
          <cell r="C878" t="str">
            <v>Packaging</v>
          </cell>
          <cell r="D878" t="str">
            <v>Pouch Roll</v>
          </cell>
        </row>
        <row r="879">
          <cell r="A879" t="str">
            <v>PM24-Nutraj California Almond Kernels 1kg Pouch</v>
          </cell>
          <cell r="B879" t="str">
            <v>PM</v>
          </cell>
          <cell r="C879" t="str">
            <v>Packaging</v>
          </cell>
          <cell r="D879" t="str">
            <v>Pouch</v>
          </cell>
        </row>
        <row r="880">
          <cell r="A880" t="str">
            <v>PM24-Nutraj Classic Almond 500g Pouch</v>
          </cell>
          <cell r="B880" t="str">
            <v>PM</v>
          </cell>
          <cell r="C880" t="str">
            <v>Packaging</v>
          </cell>
          <cell r="D880" t="str">
            <v>Pouch</v>
          </cell>
        </row>
        <row r="881">
          <cell r="A881" t="str">
            <v>PM24-Nutraj Classic Cashew 1 Kg 3D Pouch</v>
          </cell>
          <cell r="B881" t="str">
            <v>PM</v>
          </cell>
          <cell r="C881" t="str">
            <v>Packaging</v>
          </cell>
          <cell r="D881" t="str">
            <v>Pouch</v>
          </cell>
        </row>
        <row r="882">
          <cell r="A882" t="str">
            <v>PM24-Nutraj Classic Cashew 500g Pouch</v>
          </cell>
          <cell r="B882" t="str">
            <v>PM</v>
          </cell>
          <cell r="C882" t="str">
            <v>Packaging</v>
          </cell>
          <cell r="D882" t="str">
            <v>Pouch</v>
          </cell>
        </row>
        <row r="883">
          <cell r="A883" t="str">
            <v>PM24-Nutraj Classic Pista California 400g Pouch</v>
          </cell>
          <cell r="B883" t="str">
            <v>PM</v>
          </cell>
          <cell r="C883" t="str">
            <v>Packaging</v>
          </cell>
          <cell r="D883" t="str">
            <v>Pouch</v>
          </cell>
        </row>
        <row r="884">
          <cell r="A884" t="str">
            <v>PM24-Nutraj Classic Premium Dryfruits Mix 500g Quadseal Pouch</v>
          </cell>
          <cell r="B884" t="str">
            <v>PM</v>
          </cell>
          <cell r="C884" t="str">
            <v>Packaging</v>
          </cell>
          <cell r="D884" t="str">
            <v>Pouch</v>
          </cell>
        </row>
        <row r="885">
          <cell r="A885" t="str">
            <v>PM24-Nutraj Kimia Tubs</v>
          </cell>
          <cell r="B885" t="str">
            <v>PM</v>
          </cell>
          <cell r="C885" t="str">
            <v>Packaging</v>
          </cell>
          <cell r="D885" t="str">
            <v>Tub</v>
          </cell>
        </row>
        <row r="886">
          <cell r="A886" t="str">
            <v>PM24-Nutraj Tub 500 gm</v>
          </cell>
          <cell r="B886" t="str">
            <v>PM</v>
          </cell>
          <cell r="C886" t="str">
            <v>Packaging</v>
          </cell>
          <cell r="D886" t="str">
            <v>Tub</v>
          </cell>
        </row>
        <row r="887">
          <cell r="A887" t="str">
            <v>PM24-Nuts N Spices Cream N Oinion Makhana Label 65 gm</v>
          </cell>
          <cell r="B887" t="str">
            <v>PM</v>
          </cell>
          <cell r="C887" t="str">
            <v>Packaging</v>
          </cell>
          <cell r="D887" t="str">
            <v>Label</v>
          </cell>
        </row>
        <row r="888">
          <cell r="A888" t="str">
            <v>PM24-Nutworks Finger Lime &amp; Jalapeno Pouch</v>
          </cell>
          <cell r="B888" t="str">
            <v>PM</v>
          </cell>
          <cell r="C888" t="str">
            <v>Packaging</v>
          </cell>
          <cell r="D888" t="str">
            <v>Pouch</v>
          </cell>
        </row>
        <row r="889">
          <cell r="A889" t="str">
            <v>PM24-Nutworks Roast Salt  - Inshell Pouch</v>
          </cell>
          <cell r="B889" t="str">
            <v>PM</v>
          </cell>
          <cell r="C889" t="str">
            <v>Packaging</v>
          </cell>
          <cell r="D889" t="str">
            <v>Pouch</v>
          </cell>
        </row>
        <row r="890">
          <cell r="A890" t="str">
            <v>PM24-Nutworks Rosemary &amp; Seasalt Pouch</v>
          </cell>
          <cell r="B890" t="str">
            <v>PM</v>
          </cell>
          <cell r="C890" t="str">
            <v>Packaging</v>
          </cell>
          <cell r="D890" t="str">
            <v>Pouch</v>
          </cell>
        </row>
        <row r="891">
          <cell r="A891" t="str">
            <v>PM24-Nutworks Wasabi Pouch</v>
          </cell>
          <cell r="B891" t="str">
            <v>PM</v>
          </cell>
          <cell r="C891" t="str">
            <v>Packaging</v>
          </cell>
          <cell r="D891" t="str">
            <v>Pouch</v>
          </cell>
        </row>
        <row r="892">
          <cell r="A892" t="str">
            <v>PM24-Oman Seedless Back Label 250 gm</v>
          </cell>
          <cell r="B892" t="str">
            <v>PM</v>
          </cell>
          <cell r="C892" t="str">
            <v>Packaging</v>
          </cell>
          <cell r="D892" t="str">
            <v>Label</v>
          </cell>
        </row>
        <row r="893">
          <cell r="A893" t="str">
            <v>PM24-Oman Seedless Front Label 250 gm</v>
          </cell>
          <cell r="B893" t="str">
            <v>PM</v>
          </cell>
          <cell r="C893" t="str">
            <v>Packaging</v>
          </cell>
          <cell r="D893" t="str">
            <v>Label</v>
          </cell>
        </row>
        <row r="894">
          <cell r="A894" t="str">
            <v>PM24-On The Run 5 Grain Cereal Dark Chocolate 470 gm</v>
          </cell>
          <cell r="B894" t="str">
            <v>PM</v>
          </cell>
          <cell r="C894" t="str">
            <v>Packaging</v>
          </cell>
          <cell r="D894" t="str">
            <v xml:space="preserve">Monocarton </v>
          </cell>
        </row>
        <row r="895">
          <cell r="A895" t="str">
            <v>PM24-On The Run 5 Grain Cereal Dark Chocolate Roll 35 gm</v>
          </cell>
          <cell r="B895" t="str">
            <v>PM</v>
          </cell>
          <cell r="C895" t="str">
            <v>Packaging</v>
          </cell>
          <cell r="D895" t="str">
            <v>Roll</v>
          </cell>
        </row>
        <row r="896">
          <cell r="A896" t="str">
            <v>PM24-On The Run 5 Grain Cereal Original 470 gm</v>
          </cell>
          <cell r="B896" t="str">
            <v>PM</v>
          </cell>
          <cell r="C896" t="str">
            <v>Packaging</v>
          </cell>
          <cell r="D896" t="str">
            <v xml:space="preserve">Monocarton </v>
          </cell>
        </row>
        <row r="897">
          <cell r="A897" t="str">
            <v>PM24-On The Run 5 Grain Cereal Plant Protein 470 gm</v>
          </cell>
          <cell r="B897" t="str">
            <v>PM</v>
          </cell>
          <cell r="C897" t="str">
            <v>Packaging</v>
          </cell>
          <cell r="D897" t="str">
            <v xml:space="preserve">Monocarton </v>
          </cell>
        </row>
        <row r="898">
          <cell r="A898" t="str">
            <v>PM24 - On The Run 5 Grain Cerial Chocolate Pack Of 6 300 gm</v>
          </cell>
          <cell r="B898" t="str">
            <v>PM</v>
          </cell>
          <cell r="C898" t="str">
            <v>Packaging</v>
          </cell>
          <cell r="D898" t="str">
            <v xml:space="preserve">Monocarton </v>
          </cell>
        </row>
        <row r="899">
          <cell r="A899" t="str">
            <v>PM24 - On The Run 5 Grain Cerial Original 35 gm</v>
          </cell>
          <cell r="B899" t="str">
            <v>PM</v>
          </cell>
          <cell r="C899" t="str">
            <v>Packaging</v>
          </cell>
          <cell r="D899" t="str">
            <v>Roll</v>
          </cell>
        </row>
        <row r="900">
          <cell r="A900" t="str">
            <v>PM24 - On The Run 5 Grain Cerial Original Pack Of 6 300 gm</v>
          </cell>
          <cell r="B900" t="str">
            <v>PM</v>
          </cell>
          <cell r="C900" t="str">
            <v>Packaging</v>
          </cell>
          <cell r="D900" t="str">
            <v xml:space="preserve">Monocarton </v>
          </cell>
        </row>
        <row r="901">
          <cell r="A901" t="str">
            <v>PM24-On The Run Assorted Energy Bars 180 G Carton ((Pack Of 6)) 180 gm</v>
          </cell>
          <cell r="B901" t="str">
            <v>PM</v>
          </cell>
          <cell r="C901" t="str">
            <v>Packaging</v>
          </cell>
          <cell r="D901" t="str">
            <v xml:space="preserve">Monocarton </v>
          </cell>
        </row>
        <row r="902">
          <cell r="A902" t="str">
            <v>PM24-On The Run Choco Almond Protein Bar Pouch Roll 80 gm</v>
          </cell>
          <cell r="B902" t="str">
            <v>PM</v>
          </cell>
          <cell r="C902" t="str">
            <v>Packaging</v>
          </cell>
          <cell r="D902" t="str">
            <v>Pouch Roll</v>
          </cell>
        </row>
        <row r="903">
          <cell r="A903" t="str">
            <v>PM24-On The Run Choco Almond Protein Pouch 80 gm</v>
          </cell>
          <cell r="B903" t="str">
            <v>PM</v>
          </cell>
          <cell r="C903" t="str">
            <v>Packaging</v>
          </cell>
          <cell r="D903" t="str">
            <v>Pouch</v>
          </cell>
        </row>
        <row r="904">
          <cell r="A904" t="str">
            <v>PM24-On The Run Choco Crunch Energy Bar Pouch 30 gm</v>
          </cell>
          <cell r="B904" t="str">
            <v>PM</v>
          </cell>
          <cell r="C904" t="str">
            <v>Packaging</v>
          </cell>
          <cell r="D904" t="str">
            <v>Roll</v>
          </cell>
        </row>
        <row r="905">
          <cell r="A905" t="str">
            <v>PM24-On The Run Choco Crunch Energy Bars (Pack Of 6x30G) 180 gm</v>
          </cell>
          <cell r="B905" t="str">
            <v>PM</v>
          </cell>
          <cell r="C905" t="str">
            <v>Packaging</v>
          </cell>
          <cell r="D905" t="str">
            <v xml:space="preserve">Monocarton </v>
          </cell>
        </row>
        <row r="906">
          <cell r="A906" t="str">
            <v>PM24-On The Run Cocktail Mix 190 mm Pouch Roll 30 gm Digital</v>
          </cell>
          <cell r="B906" t="str">
            <v>PM</v>
          </cell>
          <cell r="C906" t="str">
            <v>Packaging</v>
          </cell>
          <cell r="D906" t="str">
            <v>Pouch Roll</v>
          </cell>
        </row>
        <row r="907">
          <cell r="A907" t="str">
            <v>PM24-On The Run-Coffee Bite Pack Of 15-Stand Up Pouch 375 gm</v>
          </cell>
          <cell r="B907" t="str">
            <v>PM</v>
          </cell>
          <cell r="C907" t="str">
            <v>Packaging</v>
          </cell>
          <cell r="D907" t="str">
            <v>Pouch</v>
          </cell>
        </row>
        <row r="908">
          <cell r="A908" t="str">
            <v>PM24-On The Run Coffee Bite Pack Of 6 Monocarton-Triangular 60 gm</v>
          </cell>
          <cell r="B908" t="str">
            <v>PM</v>
          </cell>
          <cell r="C908" t="str">
            <v>Packaging</v>
          </cell>
          <cell r="D908" t="str">
            <v xml:space="preserve">Monocarton </v>
          </cell>
        </row>
        <row r="909">
          <cell r="A909" t="str">
            <v>PM24-On The Run Coffee Bite Pouch Roll-10 Gm ( Matt Finish) 100 gm</v>
          </cell>
          <cell r="B909" t="str">
            <v>PM</v>
          </cell>
          <cell r="C909" t="str">
            <v>Packaging</v>
          </cell>
          <cell r="D909" t="str">
            <v>Pouch Roll</v>
          </cell>
        </row>
        <row r="910">
          <cell r="A910" t="str">
            <v>PM24-On The Run Fig And Date Energy Bar Monocarton 180 gm</v>
          </cell>
          <cell r="B910" t="str">
            <v>PM</v>
          </cell>
          <cell r="C910" t="str">
            <v>Packaging</v>
          </cell>
          <cell r="D910" t="str">
            <v xml:space="preserve">Monocarton </v>
          </cell>
        </row>
        <row r="911">
          <cell r="A911" t="str">
            <v>PM24-On The Run Fig And Dates Energy Bar Pouch 30 gm</v>
          </cell>
          <cell r="B911" t="str">
            <v>PM</v>
          </cell>
          <cell r="C911" t="str">
            <v>Packaging</v>
          </cell>
          <cell r="D911" t="str">
            <v>Roll</v>
          </cell>
        </row>
        <row r="912">
          <cell r="A912" t="str">
            <v>PM24-On The Run Hazelnut Magic Energy Bar Energy Bar Pouch 30 gm</v>
          </cell>
          <cell r="B912" t="str">
            <v>PM</v>
          </cell>
          <cell r="C912" t="str">
            <v>Packaging</v>
          </cell>
          <cell r="D912" t="str">
            <v>Roll</v>
          </cell>
        </row>
        <row r="913">
          <cell r="A913" t="str">
            <v>PM24-On The Run Hazelnut Magic Energy Bar (Pack Of 6x30 G) 180 gm</v>
          </cell>
          <cell r="B913" t="str">
            <v>PM</v>
          </cell>
          <cell r="C913" t="str">
            <v>Packaging</v>
          </cell>
          <cell r="D913" t="str">
            <v xml:space="preserve">Monocarton </v>
          </cell>
        </row>
        <row r="914">
          <cell r="A914" t="str">
            <v>PM24-On The Run Hazelnut Magic Energy Bar (Pack Of 6x30 G) 360 gm</v>
          </cell>
          <cell r="B914" t="str">
            <v>PM</v>
          </cell>
          <cell r="C914" t="str">
            <v>Packaging</v>
          </cell>
          <cell r="D914" t="str">
            <v xml:space="preserve">Monocarton </v>
          </cell>
        </row>
        <row r="915">
          <cell r="A915" t="str">
            <v>PM24-On The Run Hazelnut Magic Energy Bar Pouch 30 gm Digital</v>
          </cell>
          <cell r="B915" t="str">
            <v>PM</v>
          </cell>
          <cell r="C915" t="str">
            <v>Packaging</v>
          </cell>
          <cell r="D915" t="str">
            <v>Pouch Roll</v>
          </cell>
        </row>
        <row r="916">
          <cell r="A916" t="str">
            <v>PM24-On The Run Oats, Apricot &amp; Cranberry Energy Bars (Pack Of 6x30G) 180 gm</v>
          </cell>
          <cell r="B916" t="str">
            <v>PM</v>
          </cell>
          <cell r="C916" t="str">
            <v>Packaging</v>
          </cell>
          <cell r="D916" t="str">
            <v xml:space="preserve">Monocarton </v>
          </cell>
        </row>
        <row r="917">
          <cell r="A917" t="str">
            <v>PM24-On The Run Oats, Apricot &amp; Cranberry Energy Bars (Pack Of 6x30G) 360 gm</v>
          </cell>
          <cell r="B917" t="str">
            <v>PM</v>
          </cell>
          <cell r="C917" t="str">
            <v>Packaging</v>
          </cell>
          <cell r="D917" t="str">
            <v xml:space="preserve">Monocarton </v>
          </cell>
        </row>
        <row r="918">
          <cell r="A918" t="str">
            <v>PM24-On The Run Oats &amp; Apricot Energy Bar Pouch 30 gm</v>
          </cell>
          <cell r="B918" t="str">
            <v>PM</v>
          </cell>
          <cell r="C918" t="str">
            <v>Packaging</v>
          </cell>
          <cell r="D918" t="str">
            <v>Roll</v>
          </cell>
        </row>
        <row r="919">
          <cell r="A919" t="str">
            <v>PM24-On The Run Pet Bottle 800 ml</v>
          </cell>
          <cell r="B919" t="str">
            <v>PM</v>
          </cell>
          <cell r="C919" t="str">
            <v>Packaging</v>
          </cell>
          <cell r="D919" t="str">
            <v>Pet</v>
          </cell>
        </row>
        <row r="920">
          <cell r="A920" t="str">
            <v>PM24-On The Run Protein Bar Pouch 40 gm Digital</v>
          </cell>
          <cell r="B920" t="str">
            <v>PM</v>
          </cell>
          <cell r="C920" t="str">
            <v>Packaging</v>
          </cell>
          <cell r="D920" t="str">
            <v>Pouch Roll</v>
          </cell>
        </row>
        <row r="921">
          <cell r="A921" t="str">
            <v>PM24-On The Run Protein Bar Pouch 80gm Digital</v>
          </cell>
          <cell r="B921" t="str">
            <v>PM</v>
          </cell>
          <cell r="C921" t="str">
            <v>Packaging</v>
          </cell>
          <cell r="D921" t="str">
            <v>Pouch Roll</v>
          </cell>
        </row>
        <row r="922">
          <cell r="A922" t="str">
            <v>PM24-On The Run Quinoa Puffs-Cheese Crunch 83mm Dia + 130 mm Height 50 gm</v>
          </cell>
          <cell r="B922" t="str">
            <v>PM</v>
          </cell>
          <cell r="C922" t="str">
            <v>Packaging</v>
          </cell>
          <cell r="D922" t="str">
            <v>Tin</v>
          </cell>
        </row>
        <row r="923">
          <cell r="A923" t="str">
            <v>PM24-On The Run Quinoa Puffs Chesse 85G Pouch 250 gm</v>
          </cell>
          <cell r="B923" t="str">
            <v>PM</v>
          </cell>
          <cell r="C923" t="str">
            <v>Packaging</v>
          </cell>
          <cell r="D923" t="str">
            <v>Pouch</v>
          </cell>
        </row>
        <row r="924">
          <cell r="A924" t="str">
            <v>PM24-On The Run Quinoa Puffs-Cream &amp; Onion Puff 83mm Dia + 130 mm Height 50 gm</v>
          </cell>
          <cell r="B924" t="str">
            <v>PM</v>
          </cell>
          <cell r="C924" t="str">
            <v>Packaging</v>
          </cell>
          <cell r="D924" t="str">
            <v>Tin</v>
          </cell>
        </row>
        <row r="925">
          <cell r="A925" t="str">
            <v>PM24-On The Run Quinoa Puffs-Pizza 83mm Dia + 130 mm Height 50 gm</v>
          </cell>
          <cell r="B925" t="str">
            <v>PM</v>
          </cell>
          <cell r="C925" t="str">
            <v>Packaging</v>
          </cell>
          <cell r="D925" t="str">
            <v>Tin</v>
          </cell>
        </row>
        <row r="926">
          <cell r="A926" t="str">
            <v>PM24-On The Run Quinoa Puffs/Quinoa Cheese Balls/Quinoa Roasted Makhana 30 gm Digital</v>
          </cell>
          <cell r="B926" t="str">
            <v>PM</v>
          </cell>
          <cell r="C926" t="str">
            <v>Packaging</v>
          </cell>
          <cell r="D926" t="str">
            <v>Pouch Roll</v>
          </cell>
        </row>
        <row r="927">
          <cell r="A927" t="str">
            <v>PM24- On The Run Trail Mixes Indian Masala Laminate Roll 30 gm</v>
          </cell>
          <cell r="B927" t="str">
            <v>PM</v>
          </cell>
          <cell r="C927" t="str">
            <v>Packaging</v>
          </cell>
          <cell r="D927" t="str">
            <v>Roll</v>
          </cell>
        </row>
        <row r="928">
          <cell r="A928" t="str">
            <v>PM24- On The Run Trail Mix Orange Pepper Laminate Roll 30 gm</v>
          </cell>
          <cell r="B928" t="str">
            <v>PM</v>
          </cell>
          <cell r="C928" t="str">
            <v>Packaging</v>
          </cell>
          <cell r="D928" t="str">
            <v>Roll</v>
          </cell>
        </row>
        <row r="929">
          <cell r="A929" t="str">
            <v>PM24- On The Run Trail Mix Peri Peri Laminate Roll 30 gm</v>
          </cell>
          <cell r="B929" t="str">
            <v>PM</v>
          </cell>
          <cell r="C929" t="str">
            <v>Packaging</v>
          </cell>
          <cell r="D929" t="str">
            <v>Roll</v>
          </cell>
        </row>
        <row r="930">
          <cell r="A930" t="str">
            <v>PM24- On The Run Trail Mix Thai Chilly Laminate Roll 30 gm</v>
          </cell>
          <cell r="B930" t="str">
            <v>PM</v>
          </cell>
          <cell r="C930" t="str">
            <v>Packaging</v>
          </cell>
          <cell r="D930" t="str">
            <v>Roll</v>
          </cell>
        </row>
        <row r="931">
          <cell r="A931" t="str">
            <v>PM24-Organic Carry Bag 500 gm</v>
          </cell>
          <cell r="B931" t="str">
            <v>PM</v>
          </cell>
          <cell r="C931" t="str">
            <v>Packaging</v>
          </cell>
          <cell r="D931" t="str">
            <v>Pouch</v>
          </cell>
        </row>
        <row r="932">
          <cell r="A932" t="str">
            <v>PM24-OTR Choco Almond Protein Bar Pouch 40 gm</v>
          </cell>
          <cell r="B932" t="str">
            <v>PM</v>
          </cell>
          <cell r="C932" t="str">
            <v>Packaging</v>
          </cell>
          <cell r="D932" t="str">
            <v>Roll</v>
          </cell>
        </row>
        <row r="933">
          <cell r="A933" t="str">
            <v>PM24-Otr-Protein Bar 40 G</v>
          </cell>
          <cell r="B933" t="str">
            <v>PM</v>
          </cell>
          <cell r="C933" t="str">
            <v>Packaging</v>
          </cell>
          <cell r="D933" t="str">
            <v>Pouch Roll</v>
          </cell>
        </row>
        <row r="934">
          <cell r="A934" t="str">
            <v>PM24-Otr-Protein Bar 80G</v>
          </cell>
          <cell r="B934" t="str">
            <v>PM</v>
          </cell>
          <cell r="C934" t="str">
            <v>Packaging</v>
          </cell>
          <cell r="D934" t="str">
            <v>Pouch Roll</v>
          </cell>
        </row>
        <row r="935">
          <cell r="A935" t="str">
            <v>PM24-OTR Zig Zag Laminate 180 mm</v>
          </cell>
          <cell r="B935" t="str">
            <v>PM</v>
          </cell>
          <cell r="C935" t="str">
            <v>Packaging</v>
          </cell>
          <cell r="D935" t="str">
            <v>Roll</v>
          </cell>
        </row>
        <row r="936">
          <cell r="A936" t="str">
            <v>PM24-Oxygen Absorber For Pet 250 Gm-50 Cc 50 cc</v>
          </cell>
          <cell r="B936" t="str">
            <v>PM</v>
          </cell>
          <cell r="C936" t="str">
            <v>Packaging</v>
          </cell>
          <cell r="D936" t="str">
            <v>Pet</v>
          </cell>
        </row>
        <row r="937">
          <cell r="A937" t="str">
            <v>PM24-Oxygen Absorber For Vacuum 10 Kg /500 Cc 500 cc</v>
          </cell>
          <cell r="B937" t="str">
            <v>PM</v>
          </cell>
          <cell r="C937" t="str">
            <v>Packaging</v>
          </cell>
          <cell r="D937" t="str">
            <v>Pouch</v>
          </cell>
        </row>
        <row r="938">
          <cell r="A938" t="str">
            <v>PM24- Pasting Work - Gift Items</v>
          </cell>
          <cell r="B938" t="str">
            <v>PM</v>
          </cell>
          <cell r="C938" t="str">
            <v>Packaging</v>
          </cell>
          <cell r="D938" t="str">
            <v>Hamper</v>
          </cell>
        </row>
        <row r="939">
          <cell r="A939" t="str">
            <v>PM24-Pet 800 gm Premium (Pista)</v>
          </cell>
          <cell r="B939" t="str">
            <v>PM</v>
          </cell>
          <cell r="C939" t="str">
            <v>Packaging</v>
          </cell>
          <cell r="D939" t="str">
            <v>Pet</v>
          </cell>
        </row>
        <row r="940">
          <cell r="A940" t="str">
            <v>PM24-Pet 800 gm Regular (cred)</v>
          </cell>
          <cell r="B940" t="str">
            <v>PM</v>
          </cell>
          <cell r="C940" t="str">
            <v>Packaging</v>
          </cell>
          <cell r="D940" t="str">
            <v>Pet</v>
          </cell>
        </row>
        <row r="941">
          <cell r="A941" t="str">
            <v>PM24-Pet Bottle Makhana 500 gm</v>
          </cell>
          <cell r="B941" t="str">
            <v>PM</v>
          </cell>
          <cell r="C941" t="str">
            <v>Packaging</v>
          </cell>
          <cell r="D941" t="str">
            <v>Pet</v>
          </cell>
        </row>
        <row r="942">
          <cell r="A942" t="str">
            <v>PM24-Pet Cap 100 gm</v>
          </cell>
          <cell r="B942" t="str">
            <v>PM</v>
          </cell>
          <cell r="C942" t="str">
            <v>Packaging</v>
          </cell>
          <cell r="D942" t="str">
            <v>Pet</v>
          </cell>
        </row>
        <row r="943">
          <cell r="A943" t="str">
            <v>PM24- Pet &amp; Cap Black Cube (Seedless Dates) (Cred) 250 gm</v>
          </cell>
          <cell r="B943" t="str">
            <v>PM</v>
          </cell>
          <cell r="C943" t="str">
            <v>Packaging</v>
          </cell>
          <cell r="D943" t="str">
            <v>Pet</v>
          </cell>
        </row>
        <row r="944">
          <cell r="A944" t="str">
            <v>PM24-Pet Square 250 gm Premium</v>
          </cell>
          <cell r="B944" t="str">
            <v>PM</v>
          </cell>
          <cell r="C944" t="str">
            <v>Packaging</v>
          </cell>
          <cell r="D944" t="str">
            <v>Pet</v>
          </cell>
        </row>
        <row r="945">
          <cell r="A945" t="str">
            <v>PM24-Pet Wad for 100 gm</v>
          </cell>
          <cell r="B945" t="str">
            <v>PM</v>
          </cell>
          <cell r="C945" t="str">
            <v>Packaging</v>
          </cell>
          <cell r="D945" t="str">
            <v>Wad</v>
          </cell>
        </row>
        <row r="946">
          <cell r="A946" t="str">
            <v>PM24-Plain Laminate 125 mm 30 gm</v>
          </cell>
          <cell r="B946" t="str">
            <v>PM</v>
          </cell>
          <cell r="C946" t="str">
            <v>Packaging</v>
          </cell>
          <cell r="D946" t="str">
            <v>Roll</v>
          </cell>
        </row>
        <row r="947">
          <cell r="A947" t="str">
            <v>PM24-Plain Laminate 130 mm 30 gm</v>
          </cell>
          <cell r="B947" t="str">
            <v>PM</v>
          </cell>
          <cell r="C947" t="str">
            <v>Packaging</v>
          </cell>
          <cell r="D947" t="str">
            <v>Roll</v>
          </cell>
        </row>
        <row r="948">
          <cell r="A948" t="str">
            <v>PM24-Plain Laminate 190 mm 100 gm</v>
          </cell>
          <cell r="B948" t="str">
            <v>PM</v>
          </cell>
          <cell r="C948" t="str">
            <v>Packaging</v>
          </cell>
          <cell r="D948" t="str">
            <v>Roll</v>
          </cell>
        </row>
        <row r="949">
          <cell r="A949" t="str">
            <v>PM24-Plain Laminate 230mm</v>
          </cell>
          <cell r="B949" t="str">
            <v>PM</v>
          </cell>
          <cell r="C949" t="str">
            <v>Packaging</v>
          </cell>
          <cell r="D949" t="str">
            <v>Pouch Roll</v>
          </cell>
        </row>
        <row r="950">
          <cell r="A950" t="str">
            <v>PM24-Plain Laminate 230mm (With PCB Details)</v>
          </cell>
          <cell r="B950" t="str">
            <v>PM</v>
          </cell>
          <cell r="C950" t="str">
            <v>Packaging</v>
          </cell>
          <cell r="D950" t="str">
            <v>PM</v>
          </cell>
        </row>
        <row r="951">
          <cell r="A951" t="str">
            <v>PM24-Plain Laminate 285 mm 250 gm</v>
          </cell>
          <cell r="B951" t="str">
            <v>PM</v>
          </cell>
          <cell r="C951" t="str">
            <v>Packaging</v>
          </cell>
          <cell r="D951" t="str">
            <v>Roll</v>
          </cell>
        </row>
        <row r="952">
          <cell r="A952" t="str">
            <v>PM24-Plain Laminate 375 mm 500 gm</v>
          </cell>
          <cell r="B952" t="str">
            <v>PM</v>
          </cell>
          <cell r="C952" t="str">
            <v>Packaging</v>
          </cell>
          <cell r="D952" t="str">
            <v>Roll</v>
          </cell>
        </row>
        <row r="953">
          <cell r="A953" t="str">
            <v>PM24-Plain Met Pouch (Ajfan) 80 x 150 Silver 100 gm</v>
          </cell>
          <cell r="B953" t="str">
            <v>PM</v>
          </cell>
          <cell r="C953" t="str">
            <v>Packaging</v>
          </cell>
          <cell r="D953" t="str">
            <v>Pouch</v>
          </cell>
        </row>
        <row r="954">
          <cell r="A954" t="str">
            <v>PM24-Plain PP Lock Lid 50 gm</v>
          </cell>
          <cell r="B954" t="str">
            <v>PM</v>
          </cell>
          <cell r="C954" t="str">
            <v>Packaging</v>
          </cell>
          <cell r="D954" t="str">
            <v>Cap</v>
          </cell>
        </row>
        <row r="955">
          <cell r="A955" t="str">
            <v>PM24-Plain Sealing Wat 1000 gm</v>
          </cell>
          <cell r="B955" t="str">
            <v>PM</v>
          </cell>
          <cell r="C955" t="str">
            <v>Packaging</v>
          </cell>
          <cell r="D955" t="str">
            <v>Wad</v>
          </cell>
        </row>
        <row r="956">
          <cell r="A956" t="str">
            <v>PM24-Plain Silver Roll 190 mm</v>
          </cell>
          <cell r="B956" t="str">
            <v>PM</v>
          </cell>
          <cell r="C956" t="str">
            <v>Packaging</v>
          </cell>
          <cell r="D956" t="str">
            <v>Roll</v>
          </cell>
        </row>
        <row r="957">
          <cell r="A957" t="str">
            <v>PM24-Plank Pudina Coated Peanuts 60 gm Digital</v>
          </cell>
          <cell r="B957" t="str">
            <v>PM</v>
          </cell>
          <cell r="C957" t="str">
            <v>Packaging</v>
          </cell>
          <cell r="D957" t="str">
            <v>Pouch Roll</v>
          </cell>
        </row>
        <row r="958">
          <cell r="A958" t="str">
            <v>PM24-Plank Sour Cream Puff 40 gm Pouch Digital</v>
          </cell>
          <cell r="B958" t="str">
            <v>PM</v>
          </cell>
          <cell r="C958" t="str">
            <v>Packaging</v>
          </cell>
          <cell r="D958" t="str">
            <v>Pouch Roll</v>
          </cell>
        </row>
        <row r="959">
          <cell r="A959" t="str">
            <v>PM24-Plank Wasabi Roasted Makhana 40 gm Digital</v>
          </cell>
          <cell r="B959" t="str">
            <v>PM</v>
          </cell>
          <cell r="C959" t="str">
            <v>Packaging</v>
          </cell>
          <cell r="D959" t="str">
            <v>Pouch Roll</v>
          </cell>
        </row>
        <row r="960">
          <cell r="A960" t="str">
            <v>PM24-PLASTIC BAG SILVER WITH ZIPPER (230mmX300mm) Extra Cheese Pouch 1kg - TPL</v>
          </cell>
          <cell r="B960" t="str">
            <v>PM</v>
          </cell>
          <cell r="C960" t="str">
            <v>Packaging</v>
          </cell>
          <cell r="D960" t="str">
            <v>Pouch</v>
          </cell>
        </row>
        <row r="961">
          <cell r="A961" t="str">
            <v>PM24-Plastic Lid Big 430 ml</v>
          </cell>
          <cell r="B961" t="str">
            <v>PM</v>
          </cell>
          <cell r="C961" t="str">
            <v>Packaging</v>
          </cell>
          <cell r="D961" t="str">
            <v>Cap</v>
          </cell>
        </row>
        <row r="962">
          <cell r="A962" t="str">
            <v>PM24-Plastic Material Above 51 Mcr (10x16 PP)</v>
          </cell>
          <cell r="B962" t="str">
            <v>PM</v>
          </cell>
          <cell r="C962" t="str">
            <v>Packaging</v>
          </cell>
          <cell r="D962" t="str">
            <v>PM</v>
          </cell>
        </row>
        <row r="963">
          <cell r="A963" t="str">
            <v>PM24-Plastic Material Above 51 Mcr (8x12x210 Pp) 2000 gm</v>
          </cell>
          <cell r="B963" t="str">
            <v>PM</v>
          </cell>
          <cell r="C963" t="str">
            <v>Packaging</v>
          </cell>
          <cell r="D963" t="str">
            <v>Pouch</v>
          </cell>
        </row>
        <row r="964">
          <cell r="A964" t="str">
            <v>PM24-Plastic Material Above 51 Mcr (8x8x210 Pp) 2000 gm</v>
          </cell>
          <cell r="B964" t="str">
            <v>PM</v>
          </cell>
          <cell r="C964" t="str">
            <v>Packaging</v>
          </cell>
          <cell r="D964" t="str">
            <v>Pouch</v>
          </cell>
        </row>
        <row r="965">
          <cell r="A965" t="str">
            <v>PM24-Pouch (Habit)1000 gm</v>
          </cell>
          <cell r="B965" t="str">
            <v>PM</v>
          </cell>
          <cell r="C965" t="str">
            <v>Packaging</v>
          </cell>
          <cell r="D965" t="str">
            <v>Pouch</v>
          </cell>
        </row>
        <row r="966">
          <cell r="A966" t="str">
            <v>PM24-Premia Gift Cover 400 gm</v>
          </cell>
          <cell r="B966" t="str">
            <v>PM</v>
          </cell>
          <cell r="C966" t="str">
            <v>Packaging</v>
          </cell>
          <cell r="D966" t="str">
            <v>Sleeve</v>
          </cell>
        </row>
        <row r="967">
          <cell r="A967" t="str">
            <v>PM24-Premia Sticker Roll 100 gm</v>
          </cell>
          <cell r="B967" t="str">
            <v>PM</v>
          </cell>
          <cell r="C967" t="str">
            <v>Packaging</v>
          </cell>
          <cell r="D967" t="str">
            <v>Roll</v>
          </cell>
        </row>
        <row r="968">
          <cell r="A968" t="str">
            <v>PM24-Premium Black Dates Old</v>
          </cell>
          <cell r="B968" t="str">
            <v>PM</v>
          </cell>
          <cell r="C968" t="str">
            <v>Packaging</v>
          </cell>
          <cell r="D968" t="str">
            <v>Label</v>
          </cell>
        </row>
        <row r="969">
          <cell r="A969" t="str">
            <v>PM24-Printing on Packing Material</v>
          </cell>
          <cell r="B969" t="str">
            <v>PM</v>
          </cell>
          <cell r="C969" t="str">
            <v>Packaging</v>
          </cell>
          <cell r="D969" t="str">
            <v>PM</v>
          </cell>
        </row>
        <row r="970">
          <cell r="A970" t="str">
            <v>PM24-Protine Bar Pack Of 12 Mocha Combo Pack 600 gm</v>
          </cell>
          <cell r="B970" t="str">
            <v>PM</v>
          </cell>
          <cell r="C970" t="str">
            <v>Packaging</v>
          </cell>
          <cell r="D970" t="str">
            <v xml:space="preserve">Monocarton </v>
          </cell>
        </row>
        <row r="971">
          <cell r="A971" t="str">
            <v>PM24-Prunes Pouch 300 Gm 6 x 9 ( 145 * 230 mm ) 300 gm</v>
          </cell>
          <cell r="B971" t="str">
            <v>PM</v>
          </cell>
          <cell r="C971" t="str">
            <v>Packaging</v>
          </cell>
          <cell r="D971" t="str">
            <v>Pouch</v>
          </cell>
        </row>
        <row r="972">
          <cell r="A972" t="str">
            <v>PM24-Prunes Pouch (Reliance-unbranded) 200 gm</v>
          </cell>
          <cell r="B972" t="str">
            <v>PM</v>
          </cell>
          <cell r="C972" t="str">
            <v>Packaging</v>
          </cell>
          <cell r="D972" t="str">
            <v>Pouch</v>
          </cell>
        </row>
        <row r="973">
          <cell r="A973" t="str">
            <v>PM24-Pvc Shrink Sleeve ( 55 Micron 120 x 170 mm ) 1000 gm</v>
          </cell>
          <cell r="B973" t="str">
            <v>PM</v>
          </cell>
          <cell r="C973" t="str">
            <v>Packaging</v>
          </cell>
          <cell r="D973" t="str">
            <v>Shrink Sleeve</v>
          </cell>
        </row>
        <row r="974">
          <cell r="A974" t="str">
            <v>PM24-Pvc Shrink Sleeve ( 55 Micron 130 x 160 mm ) 1000 gm</v>
          </cell>
          <cell r="B974" t="str">
            <v>PM</v>
          </cell>
          <cell r="C974" t="str">
            <v>Packaging</v>
          </cell>
          <cell r="D974" t="str">
            <v>Shrink Sleeve</v>
          </cell>
        </row>
        <row r="975">
          <cell r="A975" t="str">
            <v>PM24-Pvc Shrink Sleeve ( 55 Micron 165 x 125 mm ) 1000 gm</v>
          </cell>
          <cell r="B975" t="str">
            <v>PM</v>
          </cell>
          <cell r="C975" t="str">
            <v>Packaging</v>
          </cell>
          <cell r="D975" t="str">
            <v>Shrink Sleeve</v>
          </cell>
        </row>
        <row r="976">
          <cell r="A976" t="str">
            <v>PM24-Pvc Shrink Sleeve ( 55 Micron 200 x 255 mm ) 1000 gm</v>
          </cell>
          <cell r="B976" t="str">
            <v>PM</v>
          </cell>
          <cell r="C976" t="str">
            <v>Packaging</v>
          </cell>
          <cell r="D976" t="str">
            <v>Shrink Sleeve</v>
          </cell>
        </row>
        <row r="977">
          <cell r="A977" t="str">
            <v>PM24-Pvc Shrink Sleeve ( 55 Micron 210 x 80 mm ) 1000 gm</v>
          </cell>
          <cell r="B977" t="str">
            <v>PM</v>
          </cell>
          <cell r="C977" t="str">
            <v>Packaging</v>
          </cell>
          <cell r="D977" t="str">
            <v>Shrink Sleeve</v>
          </cell>
        </row>
        <row r="978">
          <cell r="A978" t="str">
            <v>PM24-Pvc Shrink Sleeve ( 55 Micron 225 x 80 mm ) 1000 gm</v>
          </cell>
          <cell r="B978" t="str">
            <v>PM</v>
          </cell>
          <cell r="C978" t="str">
            <v>Packaging</v>
          </cell>
          <cell r="D978" t="str">
            <v>Shrink Sleeve</v>
          </cell>
        </row>
        <row r="979">
          <cell r="A979" t="str">
            <v>PM24-Pvc Shrink Sleeve ( 55 Micron 255 x 80 mm ) 1000 gm</v>
          </cell>
          <cell r="B979" t="str">
            <v>PM</v>
          </cell>
          <cell r="C979" t="str">
            <v>Packaging</v>
          </cell>
          <cell r="D979" t="str">
            <v>Shrink Sleeve</v>
          </cell>
        </row>
        <row r="980">
          <cell r="A980" t="str">
            <v>PM24-Pvc Shrink Sleeve ( 55 Micron 260 x 280 mm ) 1000 gm</v>
          </cell>
          <cell r="B980" t="str">
            <v>PM</v>
          </cell>
          <cell r="C980" t="str">
            <v>Packaging</v>
          </cell>
          <cell r="D980" t="str">
            <v>Shrink Sleeve</v>
          </cell>
        </row>
        <row r="981">
          <cell r="A981" t="str">
            <v>PM24-Pvc Shrink Sleeve ( 55 Micron 300 x 80 mm ) 1000 gm</v>
          </cell>
          <cell r="B981" t="str">
            <v>PM</v>
          </cell>
          <cell r="C981" t="str">
            <v>Packaging</v>
          </cell>
          <cell r="D981" t="str">
            <v>Shrink Sleeve</v>
          </cell>
        </row>
        <row r="982">
          <cell r="A982" t="str">
            <v>PM24-Pvc Shrink Sleeve ( 55 Micron 375 x 470 mm ) 1000 gm</v>
          </cell>
          <cell r="B982" t="str">
            <v>PM</v>
          </cell>
          <cell r="C982" t="str">
            <v>Packaging</v>
          </cell>
          <cell r="D982" t="str">
            <v>Shrink Sleeve</v>
          </cell>
        </row>
        <row r="983">
          <cell r="A983" t="str">
            <v>PM24-Pvc Tub Sealing Roll 3000 gm</v>
          </cell>
          <cell r="B983" t="str">
            <v>PM</v>
          </cell>
          <cell r="C983" t="str">
            <v>Packaging</v>
          </cell>
          <cell r="D983" t="str">
            <v>Roll</v>
          </cell>
        </row>
        <row r="984">
          <cell r="A984" t="str">
            <v>PM24-Qwik Sanx Cashew &amp; Almond Pouch Roll 25g</v>
          </cell>
          <cell r="B984" t="str">
            <v>PM</v>
          </cell>
          <cell r="C984" t="str">
            <v>Packaging</v>
          </cell>
          <cell r="D984" t="str">
            <v>Pouch Roll</v>
          </cell>
        </row>
        <row r="985">
          <cell r="A985" t="str">
            <v>PM24-Qwik Sanx Chatpata Cranberry 30g Pouch Roll</v>
          </cell>
          <cell r="B985" t="str">
            <v>PM</v>
          </cell>
          <cell r="C985" t="str">
            <v>Packaging</v>
          </cell>
          <cell r="D985" t="str">
            <v>Pouch Roll</v>
          </cell>
        </row>
        <row r="986">
          <cell r="A986" t="str">
            <v>PM24-Raisin Standy Pouch Zip Lock 250 gm</v>
          </cell>
          <cell r="B986" t="str">
            <v>PM</v>
          </cell>
          <cell r="C986" t="str">
            <v>Packaging</v>
          </cell>
          <cell r="D986" t="str">
            <v>Pouch</v>
          </cell>
        </row>
        <row r="987">
          <cell r="A987" t="str">
            <v>PM24-Rajat Blue Pouch 200 gm</v>
          </cell>
          <cell r="B987" t="str">
            <v>PM</v>
          </cell>
          <cell r="C987" t="str">
            <v>Packaging</v>
          </cell>
          <cell r="D987" t="str">
            <v>Pouch</v>
          </cell>
        </row>
        <row r="988">
          <cell r="A988" t="str">
            <v>PM24-Rajat Green Pouch 200 gm</v>
          </cell>
          <cell r="B988" t="str">
            <v>PM</v>
          </cell>
          <cell r="C988" t="str">
            <v>Packaging</v>
          </cell>
          <cell r="D988" t="str">
            <v>Pouch</v>
          </cell>
        </row>
        <row r="989">
          <cell r="A989" t="str">
            <v>PM24-Rajat Maroon Pouch 200 gm</v>
          </cell>
          <cell r="B989" t="str">
            <v>PM</v>
          </cell>
          <cell r="C989" t="str">
            <v>Packaging</v>
          </cell>
          <cell r="D989" t="str">
            <v>Pouch</v>
          </cell>
        </row>
        <row r="990">
          <cell r="A990" t="str">
            <v>PM24-Red Basket</v>
          </cell>
          <cell r="B990" t="str">
            <v>PM</v>
          </cell>
          <cell r="C990" t="str">
            <v>Packaging</v>
          </cell>
          <cell r="D990" t="str">
            <v>Hamper-Basket</v>
          </cell>
        </row>
        <row r="991">
          <cell r="A991" t="str">
            <v>PM24-Reliance Khoj Cube Container 1000 Ml (Jar 500 Gm/ 600 Gm) With White Cap, Iwad 500 gm</v>
          </cell>
          <cell r="B991" t="str">
            <v>PM</v>
          </cell>
          <cell r="C991" t="str">
            <v>Packaging</v>
          </cell>
          <cell r="D991" t="str">
            <v>Pet</v>
          </cell>
        </row>
        <row r="992">
          <cell r="A992" t="str">
            <v>PM24-Rhine Valley Almond &amp; Coffee Bar Pouch Roll 50gm</v>
          </cell>
          <cell r="B992" t="str">
            <v>PM</v>
          </cell>
          <cell r="C992" t="str">
            <v>Packaging</v>
          </cell>
          <cell r="D992" t="str">
            <v>Pouch Roll</v>
          </cell>
        </row>
        <row r="993">
          <cell r="A993" t="str">
            <v>PM24-Rhine Valley Almond &amp; Cranberry Bar Pouch Roll 50gm</v>
          </cell>
          <cell r="B993" t="str">
            <v>PM</v>
          </cell>
          <cell r="C993" t="str">
            <v>Packaging</v>
          </cell>
          <cell r="D993" t="str">
            <v>Pouch Roll</v>
          </cell>
        </row>
        <row r="994">
          <cell r="A994" t="str">
            <v>PM24-Rhine Valley Almond &amp; Orange D Chocolate Date Bar Pouch Roll 50gm</v>
          </cell>
          <cell r="B994" t="str">
            <v>PM</v>
          </cell>
          <cell r="C994" t="str">
            <v>Packaging</v>
          </cell>
          <cell r="D994" t="str">
            <v>Pouch Roll</v>
          </cell>
        </row>
        <row r="995">
          <cell r="A995" t="str">
            <v>PM24-Rhine Valley Barbeque Trail Mix 100 gm Pouch Digital</v>
          </cell>
          <cell r="B995" t="str">
            <v>PM</v>
          </cell>
          <cell r="C995" t="str">
            <v>Packaging</v>
          </cell>
          <cell r="D995" t="str">
            <v>Pouch Roll</v>
          </cell>
        </row>
        <row r="996">
          <cell r="A996" t="str">
            <v>PM24-Rhine Valley Black Pepper Trail Mix 100 gm Pouch Digital</v>
          </cell>
          <cell r="B996" t="str">
            <v>PM</v>
          </cell>
          <cell r="C996" t="str">
            <v>Packaging</v>
          </cell>
          <cell r="D996" t="str">
            <v>Pouch Roll</v>
          </cell>
        </row>
        <row r="997">
          <cell r="A997" t="str">
            <v>PM24-Rhine Valley Fruit &amp; Nut Bar Pouch Roll 50gm</v>
          </cell>
          <cell r="B997" t="str">
            <v>PM</v>
          </cell>
          <cell r="C997" t="str">
            <v>Packaging</v>
          </cell>
          <cell r="D997" t="str">
            <v>Pouch Roll</v>
          </cell>
        </row>
        <row r="998">
          <cell r="A998" t="str">
            <v>PM24-Rhine Valley Himalayan Pink Salt Trail Mix 100 gm Pouch Digital</v>
          </cell>
          <cell r="B998" t="str">
            <v>PM</v>
          </cell>
          <cell r="C998" t="str">
            <v>Packaging</v>
          </cell>
          <cell r="D998" t="str">
            <v>Pouch Roll</v>
          </cell>
        </row>
        <row r="999">
          <cell r="A999" t="str">
            <v>PM24-Rhine Valley Peri Peri Trail Mix 100 gm Pouch Digital</v>
          </cell>
          <cell r="B999" t="str">
            <v>PM</v>
          </cell>
          <cell r="C999" t="str">
            <v>Packaging</v>
          </cell>
          <cell r="D999" t="str">
            <v>Pouch Roll</v>
          </cell>
        </row>
        <row r="1000">
          <cell r="A1000" t="str">
            <v>PM24-Rhine Valley Raspberry, Almond &amp; D Chocolate Bar Pouch Roll 50gm</v>
          </cell>
          <cell r="B1000" t="str">
            <v>PM</v>
          </cell>
          <cell r="C1000" t="str">
            <v>Packaging</v>
          </cell>
          <cell r="D1000" t="str">
            <v>Pouch Roll</v>
          </cell>
        </row>
        <row r="1001">
          <cell r="A1001" t="str">
            <v>PM24-Rhine Valley Rose &amp; Pistachio Bar Pouch Roll 50gm</v>
          </cell>
          <cell r="B1001" t="str">
            <v>PM</v>
          </cell>
          <cell r="C1001" t="str">
            <v>Packaging</v>
          </cell>
          <cell r="D1001" t="str">
            <v>Pouch Roll</v>
          </cell>
        </row>
        <row r="1002">
          <cell r="A1002" t="str">
            <v>PM24-Ribbon Premium Wax Resin (105 x 300 mm)</v>
          </cell>
          <cell r="B1002" t="str">
            <v>PM</v>
          </cell>
          <cell r="C1002" t="str">
            <v>Packaging</v>
          </cell>
          <cell r="D1002" t="str">
            <v>Ribbon</v>
          </cell>
        </row>
        <row r="1003">
          <cell r="A1003" t="str">
            <v>PM24-Royal Delight Ajwa Dates Top 500 gm</v>
          </cell>
          <cell r="B1003" t="str">
            <v>PM</v>
          </cell>
          <cell r="C1003" t="str">
            <v>Packaging</v>
          </cell>
          <cell r="D1003" t="str">
            <v>Top</v>
          </cell>
        </row>
        <row r="1004">
          <cell r="A1004" t="str">
            <v>PM24-Royal Delight Ajwa Pouch 250 gm</v>
          </cell>
          <cell r="B1004" t="str">
            <v>PM</v>
          </cell>
          <cell r="C1004" t="str">
            <v>Packaging</v>
          </cell>
          <cell r="D1004" t="str">
            <v>Pouch</v>
          </cell>
        </row>
        <row r="1005">
          <cell r="A1005" t="str">
            <v>PM24-Royal Delight Arabian Dates 2 Ply Sealing Standy Zipper Pouch (240mmx185mm) 500 gm</v>
          </cell>
          <cell r="B1005" t="str">
            <v>PM</v>
          </cell>
          <cell r="C1005" t="str">
            <v>Packaging</v>
          </cell>
          <cell r="D1005" t="str">
            <v>Pouch</v>
          </cell>
        </row>
        <row r="1006">
          <cell r="A1006" t="str">
            <v>PM24-Royal Delight Arabian Dates Pouch (150mm x 225mm) 250 gm</v>
          </cell>
          <cell r="B1006" t="str">
            <v>PM</v>
          </cell>
          <cell r="C1006" t="str">
            <v>Packaging</v>
          </cell>
          <cell r="D1006" t="str">
            <v>Pouch</v>
          </cell>
        </row>
        <row r="1007">
          <cell r="A1007" t="str">
            <v>PM24-Royal Delight Assorted Dates Top 500 gm</v>
          </cell>
          <cell r="B1007" t="str">
            <v>PM</v>
          </cell>
          <cell r="C1007" t="str">
            <v>Packaging</v>
          </cell>
          <cell r="D1007" t="str">
            <v>Top</v>
          </cell>
        </row>
        <row r="1008">
          <cell r="A1008" t="str">
            <v>PM24-Royal Delight Buman Dates Top (Cred) 300 gm</v>
          </cell>
          <cell r="B1008" t="str">
            <v>PM</v>
          </cell>
          <cell r="C1008" t="str">
            <v>Packaging</v>
          </cell>
          <cell r="D1008" t="str">
            <v>Top</v>
          </cell>
        </row>
        <row r="1009">
          <cell r="A1009" t="str">
            <v>PM24-Royal Delight Date Mewa Assorted Sleeve 210 gm</v>
          </cell>
          <cell r="B1009" t="str">
            <v>PM</v>
          </cell>
          <cell r="C1009" t="str">
            <v>Packaging</v>
          </cell>
          <cell r="D1009" t="str">
            <v xml:space="preserve">Monocarton </v>
          </cell>
        </row>
        <row r="1010">
          <cell r="A1010" t="str">
            <v>PM24-Royal Delight Deglet Dates Top (Cred) 300 gm</v>
          </cell>
          <cell r="B1010" t="str">
            <v>PM</v>
          </cell>
          <cell r="C1010" t="str">
            <v>Packaging</v>
          </cell>
          <cell r="D1010" t="str">
            <v>Top</v>
          </cell>
        </row>
        <row r="1011">
          <cell r="A1011" t="str">
            <v>PM24-Royal Delight Deri 30 gm</v>
          </cell>
          <cell r="B1011" t="str">
            <v>PM</v>
          </cell>
          <cell r="C1011" t="str">
            <v>Packaging</v>
          </cell>
          <cell r="D1011" t="str">
            <v>Pouch</v>
          </cell>
        </row>
        <row r="1012">
          <cell r="A1012" t="str">
            <v>PM24-Royal Delight Deri Dates Top (Cred) 350 gm</v>
          </cell>
          <cell r="B1012" t="str">
            <v>PM</v>
          </cell>
          <cell r="C1012" t="str">
            <v>Packaging</v>
          </cell>
          <cell r="D1012" t="str">
            <v>Top</v>
          </cell>
        </row>
        <row r="1013">
          <cell r="A1013" t="str">
            <v>PM24-Royal Delight Fard Dates Top (Cred) 350 gm</v>
          </cell>
          <cell r="B1013" t="str">
            <v>PM</v>
          </cell>
          <cell r="C1013" t="str">
            <v>Packaging</v>
          </cell>
          <cell r="D1013" t="str">
            <v>Top</v>
          </cell>
        </row>
        <row r="1014">
          <cell r="A1014" t="str">
            <v>PM24-Royal Delight Khalas Dates Pouch Sample Pouch 30 gm</v>
          </cell>
          <cell r="B1014" t="str">
            <v>PM</v>
          </cell>
          <cell r="C1014" t="str">
            <v>Packaging</v>
          </cell>
          <cell r="D1014" t="str">
            <v>Pouch</v>
          </cell>
        </row>
        <row r="1015">
          <cell r="A1015" t="str">
            <v>PM24-Royal Delight Khenaizi Dates Top (Cred) 350 gm</v>
          </cell>
          <cell r="B1015" t="str">
            <v>PM</v>
          </cell>
          <cell r="C1015" t="str">
            <v>Packaging</v>
          </cell>
          <cell r="D1015" t="str">
            <v>Top</v>
          </cell>
        </row>
        <row r="1016">
          <cell r="A1016" t="str">
            <v>PM24-Royal Delight Kimia Dates 250 gm Label</v>
          </cell>
          <cell r="B1016" t="str">
            <v>PM</v>
          </cell>
          <cell r="C1016" t="str">
            <v>Packaging</v>
          </cell>
          <cell r="D1016" t="str">
            <v>Label</v>
          </cell>
        </row>
        <row r="1017">
          <cell r="A1017" t="str">
            <v>PM24-Royal Delight Kimia Dates Top 1000 gm</v>
          </cell>
          <cell r="B1017" t="str">
            <v>PM</v>
          </cell>
          <cell r="C1017" t="str">
            <v>Packaging</v>
          </cell>
          <cell r="D1017" t="str">
            <v>Top</v>
          </cell>
        </row>
        <row r="1018">
          <cell r="A1018" t="str">
            <v>PM24-Royal Delight Mabroom Dates Top 500 gm</v>
          </cell>
          <cell r="B1018" t="str">
            <v>PM</v>
          </cell>
          <cell r="C1018" t="str">
            <v>Packaging</v>
          </cell>
          <cell r="D1018" t="str">
            <v>Top</v>
          </cell>
        </row>
        <row r="1019">
          <cell r="A1019" t="str">
            <v>PM24-Royal Delight Mabroom Pouch 250 gm</v>
          </cell>
          <cell r="B1019" t="str">
            <v>PM</v>
          </cell>
          <cell r="C1019" t="str">
            <v>Packaging</v>
          </cell>
          <cell r="D1019" t="str">
            <v>Pouch</v>
          </cell>
        </row>
        <row r="1020">
          <cell r="A1020" t="str">
            <v>PM24-Royal Delight Medjoul Dates 30 gm</v>
          </cell>
          <cell r="B1020" t="str">
            <v>PM</v>
          </cell>
          <cell r="C1020" t="str">
            <v>Packaging</v>
          </cell>
          <cell r="D1020" t="str">
            <v>Pouch</v>
          </cell>
        </row>
        <row r="1021">
          <cell r="A1021" t="str">
            <v>PM24-Royal DelightMedjoul Pouch 250 gm</v>
          </cell>
          <cell r="B1021" t="str">
            <v>PM</v>
          </cell>
          <cell r="C1021" t="str">
            <v>Packaging</v>
          </cell>
          <cell r="D1021" t="str">
            <v>Pouch</v>
          </cell>
        </row>
        <row r="1022">
          <cell r="A1022" t="str">
            <v>PM24-Royal Delight Medjoul-Sample Pouch 10-12 gm</v>
          </cell>
          <cell r="B1022" t="str">
            <v>PM</v>
          </cell>
          <cell r="C1022" t="str">
            <v>Packaging</v>
          </cell>
          <cell r="D1022" t="str">
            <v>Pouch</v>
          </cell>
        </row>
        <row r="1023">
          <cell r="A1023" t="str">
            <v>PM24-Royal Delight-Oman Pouch 155 x 230 mm 400 gm</v>
          </cell>
          <cell r="B1023" t="str">
            <v>PM</v>
          </cell>
          <cell r="C1023" t="str">
            <v>Packaging</v>
          </cell>
          <cell r="D1023" t="str">
            <v>Pouch</v>
          </cell>
        </row>
        <row r="1024">
          <cell r="A1024" t="str">
            <v>PM24-Royal Delight Oman Pouch 400 gm</v>
          </cell>
          <cell r="B1024" t="str">
            <v>PM</v>
          </cell>
          <cell r="C1024" t="str">
            <v>Packaging</v>
          </cell>
          <cell r="D1024" t="str">
            <v>Pouch</v>
          </cell>
        </row>
        <row r="1025">
          <cell r="A1025" t="str">
            <v>PM24-Royal Delight Oriental Dates 30 gm Pouch Digital</v>
          </cell>
          <cell r="B1025" t="str">
            <v>PM</v>
          </cell>
          <cell r="C1025" t="str">
            <v>Packaging</v>
          </cell>
          <cell r="D1025" t="str">
            <v>Pouch Roll</v>
          </cell>
        </row>
        <row r="1026">
          <cell r="A1026" t="str">
            <v>PM24-Royal Delight Oriental Dates Top 500 gm</v>
          </cell>
          <cell r="B1026" t="str">
            <v>PM</v>
          </cell>
          <cell r="C1026" t="str">
            <v>Packaging</v>
          </cell>
          <cell r="D1026" t="str">
            <v>Top</v>
          </cell>
        </row>
        <row r="1027">
          <cell r="A1027" t="str">
            <v>PM24-Royal Delight Safavi 5Kg Top</v>
          </cell>
          <cell r="B1027" t="str">
            <v>PM</v>
          </cell>
          <cell r="C1027" t="str">
            <v>Packaging</v>
          </cell>
          <cell r="D1027" t="str">
            <v>Top</v>
          </cell>
        </row>
        <row r="1028">
          <cell r="A1028" t="str">
            <v>PM24-Royal Delight Safavi Back Label 500 gm</v>
          </cell>
          <cell r="B1028" t="str">
            <v>PM</v>
          </cell>
          <cell r="C1028" t="str">
            <v>Packaging</v>
          </cell>
          <cell r="D1028" t="str">
            <v>Label</v>
          </cell>
        </row>
        <row r="1029">
          <cell r="A1029" t="str">
            <v>PM24-Royal Delight Safavi Dates 30 gm</v>
          </cell>
          <cell r="B1029" t="str">
            <v>PM</v>
          </cell>
          <cell r="C1029" t="str">
            <v>Packaging</v>
          </cell>
          <cell r="D1029" t="str">
            <v>Pouch</v>
          </cell>
        </row>
        <row r="1030">
          <cell r="A1030" t="str">
            <v>PM24-Royal Delight Safavi Dates Top 500 gm</v>
          </cell>
          <cell r="B1030" t="str">
            <v>PM</v>
          </cell>
          <cell r="C1030" t="str">
            <v>Packaging</v>
          </cell>
          <cell r="D1030" t="str">
            <v>Top</v>
          </cell>
        </row>
        <row r="1031">
          <cell r="A1031" t="str">
            <v>PM24-Royal Delight Safavi Pouch 250 gm</v>
          </cell>
          <cell r="B1031" t="str">
            <v>PM</v>
          </cell>
          <cell r="C1031" t="str">
            <v>Packaging</v>
          </cell>
          <cell r="D1031" t="str">
            <v>Pouch</v>
          </cell>
        </row>
        <row r="1032">
          <cell r="A1032" t="str">
            <v>PM24-Royal Delight Safavi-Sample Pouch 10-12 gm</v>
          </cell>
          <cell r="B1032" t="str">
            <v>PM</v>
          </cell>
          <cell r="C1032" t="str">
            <v>Packaging</v>
          </cell>
          <cell r="D1032" t="str">
            <v>Pouch</v>
          </cell>
        </row>
        <row r="1033">
          <cell r="A1033" t="str">
            <v>PM24-Royal Delight Safavi Seedless Back Label 300 gm</v>
          </cell>
          <cell r="B1033" t="str">
            <v>PM</v>
          </cell>
          <cell r="C1033" t="str">
            <v>Packaging</v>
          </cell>
          <cell r="D1033" t="str">
            <v>Label</v>
          </cell>
        </row>
        <row r="1034">
          <cell r="A1034" t="str">
            <v>PM24-Royal Delight Safavi Seedless Back Label 500 gm</v>
          </cell>
          <cell r="B1034" t="str">
            <v>PM</v>
          </cell>
          <cell r="C1034" t="str">
            <v>Packaging</v>
          </cell>
          <cell r="D1034" t="str">
            <v>Label</v>
          </cell>
        </row>
        <row r="1035">
          <cell r="A1035" t="str">
            <v>PM24-Royal Delight Safavi Seedless Front Label 300 gm</v>
          </cell>
          <cell r="B1035" t="str">
            <v>PM</v>
          </cell>
          <cell r="C1035" t="str">
            <v>Packaging</v>
          </cell>
          <cell r="D1035" t="str">
            <v>Label</v>
          </cell>
        </row>
        <row r="1036">
          <cell r="A1036" t="str">
            <v>PM24-Royal Delight Sagai Dates Top (Cred) 350 gm</v>
          </cell>
          <cell r="B1036" t="str">
            <v>PM</v>
          </cell>
          <cell r="C1036" t="str">
            <v>Packaging</v>
          </cell>
          <cell r="D1036" t="str">
            <v>Top</v>
          </cell>
        </row>
        <row r="1037">
          <cell r="A1037" t="str">
            <v>PM24-Royal Delight Sayar Dates Top (Cred) 350 gm</v>
          </cell>
          <cell r="B1037" t="str">
            <v>PM</v>
          </cell>
          <cell r="C1037" t="str">
            <v>Packaging</v>
          </cell>
          <cell r="D1037" t="str">
            <v>Top</v>
          </cell>
        </row>
        <row r="1038">
          <cell r="A1038" t="str">
            <v>PM24-Royal Delight Stuffed Dates Orange Peel 30 gm</v>
          </cell>
          <cell r="B1038" t="str">
            <v>PM</v>
          </cell>
          <cell r="C1038" t="str">
            <v>Packaging</v>
          </cell>
          <cell r="D1038" t="str">
            <v>Pouch</v>
          </cell>
        </row>
        <row r="1039">
          <cell r="A1039" t="str">
            <v>PM24-Royal Delight Uae Dates Top 500 gm</v>
          </cell>
          <cell r="B1039" t="str">
            <v>PM</v>
          </cell>
          <cell r="C1039" t="str">
            <v>Packaging</v>
          </cell>
          <cell r="D1039" t="str">
            <v>Top</v>
          </cell>
        </row>
        <row r="1040">
          <cell r="A1040" t="str">
            <v>PM24-Royal Delight Zahidi Dates Top (Cred) 350 gm</v>
          </cell>
          <cell r="B1040" t="str">
            <v>PM</v>
          </cell>
          <cell r="C1040" t="str">
            <v>Packaging</v>
          </cell>
          <cell r="D1040" t="str">
            <v>Top</v>
          </cell>
        </row>
        <row r="1041">
          <cell r="A1041" t="str">
            <v>PM24-Sample Pouch 30 gm Digital</v>
          </cell>
          <cell r="B1041" t="str">
            <v>PM</v>
          </cell>
          <cell r="C1041" t="str">
            <v>Packaging</v>
          </cell>
          <cell r="D1041" t="str">
            <v>Pouch Roll</v>
          </cell>
        </row>
        <row r="1042">
          <cell r="A1042" t="str">
            <v>PM24-Seed Mix 250 gm Pouch Digital</v>
          </cell>
          <cell r="B1042" t="str">
            <v>PM</v>
          </cell>
          <cell r="C1042" t="str">
            <v>Packaging</v>
          </cell>
          <cell r="D1042" t="str">
            <v>Pouch Roll</v>
          </cell>
        </row>
        <row r="1043">
          <cell r="A1043" t="str">
            <v>PM24-Seed Mix 280gm Pouch Digital</v>
          </cell>
          <cell r="B1043" t="str">
            <v>PM</v>
          </cell>
          <cell r="C1043" t="str">
            <v>Packaging</v>
          </cell>
          <cell r="D1043" t="str">
            <v>Pouch Roll</v>
          </cell>
        </row>
        <row r="1044">
          <cell r="A1044" t="str">
            <v>PM24-Self Adhesivetape 60mm x 64.389 Mtr With Candor Name-Printed 180 gm</v>
          </cell>
          <cell r="B1044" t="str">
            <v>PM</v>
          </cell>
          <cell r="C1044" t="str">
            <v>Packaging</v>
          </cell>
          <cell r="D1044" t="str">
            <v>Roll</v>
          </cell>
        </row>
        <row r="1045">
          <cell r="A1045" t="str">
            <v>PM24-Silver Diwali Laminated 3 side seal Pouch 155 x 205 mm 100 gm</v>
          </cell>
          <cell r="B1045" t="str">
            <v>PM</v>
          </cell>
          <cell r="C1045" t="str">
            <v>Packaging</v>
          </cell>
          <cell r="D1045" t="str">
            <v>Pouch</v>
          </cell>
        </row>
        <row r="1046">
          <cell r="A1046" t="str">
            <v>PM24-Silver Plain Pouch 500 gm</v>
          </cell>
          <cell r="B1046" t="str">
            <v>PM</v>
          </cell>
          <cell r="C1046" t="str">
            <v>Packaging</v>
          </cell>
          <cell r="D1046" t="str">
            <v>Pouch</v>
          </cell>
        </row>
        <row r="1047">
          <cell r="A1047" t="str">
            <v>PM24-Silver Pouches for On The Run 5 Grain Cereal 470 G (10*12) Centre Seal 50 gm</v>
          </cell>
          <cell r="B1047" t="str">
            <v>PM</v>
          </cell>
          <cell r="C1047" t="str">
            <v>Packaging</v>
          </cell>
          <cell r="D1047" t="str">
            <v>Pouch</v>
          </cell>
        </row>
        <row r="1048">
          <cell r="A1048" t="str">
            <v>PM24-Silver Roll 190 mm-Plain 100 gm</v>
          </cell>
          <cell r="B1048" t="str">
            <v>PM</v>
          </cell>
          <cell r="C1048" t="str">
            <v>Packaging</v>
          </cell>
          <cell r="D1048" t="str">
            <v>Roll</v>
          </cell>
        </row>
        <row r="1049">
          <cell r="A1049" t="str">
            <v>PM24-Silver Roll 285mm-Plain 500 gm</v>
          </cell>
          <cell r="B1049" t="str">
            <v>PM</v>
          </cell>
          <cell r="C1049" t="str">
            <v>Packaging</v>
          </cell>
          <cell r="D1049" t="str">
            <v>Roll</v>
          </cell>
        </row>
        <row r="1050">
          <cell r="A1050" t="str">
            <v>PM24-Silver Small Pouch-3 Side Seal 50 gm</v>
          </cell>
          <cell r="B1050" t="str">
            <v>PM</v>
          </cell>
          <cell r="C1050" t="str">
            <v>Packaging</v>
          </cell>
          <cell r="D1050" t="str">
            <v>Pouch</v>
          </cell>
        </row>
        <row r="1051">
          <cell r="A1051" t="str">
            <v>PM24-Small Round White Coated Tin Llid Withprinted Design 30 gm</v>
          </cell>
          <cell r="B1051" t="str">
            <v>PM</v>
          </cell>
          <cell r="C1051" t="str">
            <v>Packaging</v>
          </cell>
          <cell r="D1051" t="str">
            <v>Tin</v>
          </cell>
        </row>
        <row r="1052">
          <cell r="A1052" t="str">
            <v>PM24-Small Wad Reliance Pgp-Induction Seal Wad For 500 Ml Round Glass Jar With See Through Screw Type Cap 250 gm written</v>
          </cell>
          <cell r="B1052" t="str">
            <v>PM</v>
          </cell>
          <cell r="C1052" t="str">
            <v>Packaging</v>
          </cell>
          <cell r="D1052" t="str">
            <v>Wad</v>
          </cell>
        </row>
        <row r="1053">
          <cell r="A1053" t="str">
            <v>PM24-Snack Amor Roasted Cashew 170 gm Pouch Digital</v>
          </cell>
          <cell r="B1053" t="str">
            <v>PM</v>
          </cell>
          <cell r="C1053" t="str">
            <v>Packaging</v>
          </cell>
          <cell r="D1053" t="str">
            <v>Pouch Roll</v>
          </cell>
        </row>
        <row r="1054">
          <cell r="A1054" t="str">
            <v>PM24-Snack Amor Walnut 250 gm Pouch Digital</v>
          </cell>
          <cell r="B1054" t="str">
            <v>PM</v>
          </cell>
          <cell r="C1054" t="str">
            <v>Packaging</v>
          </cell>
          <cell r="D1054" t="str">
            <v>Pouch Roll</v>
          </cell>
        </row>
        <row r="1055">
          <cell r="A1055" t="str">
            <v>PM24 - Snactac Almond Pouch Roll 42 gm</v>
          </cell>
          <cell r="B1055" t="str">
            <v>PM</v>
          </cell>
          <cell r="C1055" t="str">
            <v>Packaging</v>
          </cell>
          <cell r="D1055" t="str">
            <v>Pouch Roll</v>
          </cell>
        </row>
        <row r="1056">
          <cell r="A1056" t="str">
            <v>PM24 - Snactac Cahew Pouch Roll 36 gm</v>
          </cell>
          <cell r="B1056" t="str">
            <v>PM</v>
          </cell>
          <cell r="C1056" t="str">
            <v>Packaging</v>
          </cell>
          <cell r="D1056" t="str">
            <v>Pouch Roll</v>
          </cell>
        </row>
        <row r="1057">
          <cell r="A1057" t="str">
            <v>PM24 - Snactac Carton Partition 300 gm</v>
          </cell>
          <cell r="B1057" t="str">
            <v>PM</v>
          </cell>
          <cell r="C1057" t="str">
            <v>Packaging</v>
          </cell>
          <cell r="D1057" t="str">
            <v xml:space="preserve">Partition </v>
          </cell>
        </row>
        <row r="1058">
          <cell r="A1058" t="str">
            <v>PM24-Snactac Display Carton 300 gm</v>
          </cell>
          <cell r="B1058" t="str">
            <v>PM</v>
          </cell>
          <cell r="C1058" t="str">
            <v>Packaging</v>
          </cell>
          <cell r="D1058" t="str">
            <v>Carton</v>
          </cell>
        </row>
        <row r="1059">
          <cell r="A1059" t="str">
            <v>PM24 - Snactac Pista Pouch Roll 30 gm</v>
          </cell>
          <cell r="B1059" t="str">
            <v>PM</v>
          </cell>
          <cell r="C1059" t="str">
            <v>Packaging</v>
          </cell>
          <cell r="D1059" t="str">
            <v>Pouch Roll</v>
          </cell>
        </row>
        <row r="1060">
          <cell r="A1060" t="str">
            <v>PM24-Solimo  Dried Apricots 500 gm</v>
          </cell>
          <cell r="B1060" t="str">
            <v>PM</v>
          </cell>
          <cell r="C1060" t="str">
            <v>Packaging</v>
          </cell>
          <cell r="D1060" t="str">
            <v xml:space="preserve">Monocarton </v>
          </cell>
        </row>
        <row r="1061">
          <cell r="A1061" t="str">
            <v>PM24-Solimo Macadamia Nuts 250 gm</v>
          </cell>
          <cell r="B1061" t="str">
            <v>PM</v>
          </cell>
          <cell r="C1061" t="str">
            <v>Packaging</v>
          </cell>
          <cell r="D1061" t="str">
            <v>Pouch</v>
          </cell>
        </row>
        <row r="1062">
          <cell r="A1062" t="str">
            <v>PM24-Solimo Premium Almond 250 gm</v>
          </cell>
          <cell r="B1062" t="str">
            <v>PM</v>
          </cell>
          <cell r="C1062" t="str">
            <v>Packaging</v>
          </cell>
          <cell r="D1062" t="str">
            <v xml:space="preserve">Monocarton </v>
          </cell>
        </row>
        <row r="1063">
          <cell r="A1063" t="str">
            <v>PM24-Solimo Premium Pine Nuts Unshelled (Chilgoza) 250 gm</v>
          </cell>
          <cell r="B1063" t="str">
            <v>PM</v>
          </cell>
          <cell r="C1063" t="str">
            <v>Packaging</v>
          </cell>
          <cell r="D1063" t="str">
            <v xml:space="preserve">Monocarton </v>
          </cell>
        </row>
        <row r="1064">
          <cell r="A1064" t="str">
            <v>PM24-Solimo Premium Raisins 250 gm</v>
          </cell>
          <cell r="B1064" t="str">
            <v>PM</v>
          </cell>
          <cell r="C1064" t="str">
            <v>Packaging</v>
          </cell>
          <cell r="D1064" t="str">
            <v xml:space="preserve">Monocarton </v>
          </cell>
        </row>
        <row r="1065">
          <cell r="A1065" t="str">
            <v>PM24-Solimo  Walnut Kernels (Broken) 500 gm</v>
          </cell>
          <cell r="B1065" t="str">
            <v>PM</v>
          </cell>
          <cell r="C1065" t="str">
            <v>Packaging</v>
          </cell>
          <cell r="D1065" t="str">
            <v xml:space="preserve">Monocarton </v>
          </cell>
        </row>
        <row r="1066">
          <cell r="A1066" t="str">
            <v>PM24-South Georgia Pecanuts Roasted 500 gm</v>
          </cell>
          <cell r="B1066" t="str">
            <v>PM</v>
          </cell>
          <cell r="C1066" t="str">
            <v>Packaging</v>
          </cell>
          <cell r="D1066" t="str">
            <v>Pouch</v>
          </cell>
        </row>
        <row r="1067">
          <cell r="A1067" t="str">
            <v>PM24-Spar Berries Mix Label 100 gm</v>
          </cell>
          <cell r="B1067" t="str">
            <v>PM</v>
          </cell>
          <cell r="C1067" t="str">
            <v>Packaging</v>
          </cell>
          <cell r="D1067" t="str">
            <v>Label</v>
          </cell>
        </row>
        <row r="1068">
          <cell r="A1068" t="str">
            <v>PM24-Spar Pet Label s Dry Fruit &amp; Berry Mix Label 100 gm</v>
          </cell>
          <cell r="B1068" t="str">
            <v>PM</v>
          </cell>
          <cell r="C1068" t="str">
            <v>Packaging</v>
          </cell>
          <cell r="D1068" t="str">
            <v>Label</v>
          </cell>
        </row>
        <row r="1069">
          <cell r="A1069" t="str">
            <v>PM24-Spar Pet Label s Nuts, Berry &amp; Seed Mix Label 100 gm</v>
          </cell>
          <cell r="B1069" t="str">
            <v>PM</v>
          </cell>
          <cell r="C1069" t="str">
            <v>Packaging</v>
          </cell>
          <cell r="D1069" t="str">
            <v>Label</v>
          </cell>
        </row>
        <row r="1070">
          <cell r="A1070" t="str">
            <v>PM24-Spar Pet Label s Nuts &amp; Seed Mix Label 100 gm</v>
          </cell>
          <cell r="B1070" t="str">
            <v>PM</v>
          </cell>
          <cell r="C1070" t="str">
            <v>Packaging</v>
          </cell>
          <cell r="D1070" t="str">
            <v>Label</v>
          </cell>
        </row>
        <row r="1071">
          <cell r="A1071" t="str">
            <v>PM24-Spar Pet Label s Roasted Salted Almond Label 100 gm</v>
          </cell>
          <cell r="B1071" t="str">
            <v>PM</v>
          </cell>
          <cell r="C1071" t="str">
            <v>Packaging</v>
          </cell>
          <cell r="D1071" t="str">
            <v>Label</v>
          </cell>
        </row>
        <row r="1072">
          <cell r="A1072" t="str">
            <v>PM24-Spar Pet Label s Seed Mix Roasted Label 100 gm</v>
          </cell>
          <cell r="B1072" t="str">
            <v>PM</v>
          </cell>
          <cell r="C1072" t="str">
            <v>Packaging</v>
          </cell>
          <cell r="D1072" t="str">
            <v>Label</v>
          </cell>
        </row>
        <row r="1073">
          <cell r="A1073" t="str">
            <v>PM24-Spar Pistachio Pouch 500 gm</v>
          </cell>
          <cell r="B1073" t="str">
            <v>PM</v>
          </cell>
          <cell r="C1073" t="str">
            <v>Packaging</v>
          </cell>
          <cell r="D1073" t="str">
            <v>Pouch</v>
          </cell>
        </row>
        <row r="1074">
          <cell r="A1074" t="str">
            <v>PM24-Spar Plain Green Pouch 500 gm</v>
          </cell>
          <cell r="B1074" t="str">
            <v>PM</v>
          </cell>
          <cell r="C1074" t="str">
            <v>Packaging</v>
          </cell>
          <cell r="D1074" t="str">
            <v>Pouch</v>
          </cell>
        </row>
        <row r="1075">
          <cell r="A1075" t="str">
            <v>PM24-Spar Selecta 350x250 mm Pouch 500 gm</v>
          </cell>
          <cell r="B1075" t="str">
            <v>PM</v>
          </cell>
          <cell r="C1075" t="str">
            <v>Packaging</v>
          </cell>
          <cell r="D1075" t="str">
            <v>Pouch</v>
          </cell>
        </row>
        <row r="1076">
          <cell r="A1076" t="str">
            <v>PM24-Spar Select Almond 120*225Mm 500 gm Pouch</v>
          </cell>
          <cell r="B1076" t="str">
            <v>PM</v>
          </cell>
          <cell r="C1076" t="str">
            <v>Packaging</v>
          </cell>
          <cell r="D1076" t="str">
            <v>Pouch</v>
          </cell>
        </row>
        <row r="1077">
          <cell r="A1077" t="str">
            <v>PM24-Spar Select Californian Pistachio 120*225mm 500gm Pouch</v>
          </cell>
          <cell r="B1077" t="str">
            <v>PM</v>
          </cell>
          <cell r="C1077" t="str">
            <v>Packaging</v>
          </cell>
          <cell r="D1077" t="str">
            <v>Pouch</v>
          </cell>
        </row>
        <row r="1078">
          <cell r="A1078" t="str">
            <v>PM24-Spar Select Cashew 120*225mm 500gm Pouch</v>
          </cell>
          <cell r="B1078" t="str">
            <v>PM</v>
          </cell>
          <cell r="C1078" t="str">
            <v>Packaging</v>
          </cell>
          <cell r="D1078" t="str">
            <v>Pouch</v>
          </cell>
        </row>
        <row r="1079">
          <cell r="A1079" t="str">
            <v>PM24-Spar Select Pouch 500 G B Spar Select Almond</v>
          </cell>
          <cell r="B1079" t="str">
            <v>PM</v>
          </cell>
          <cell r="C1079" t="str">
            <v>Packaging</v>
          </cell>
          <cell r="D1079" t="str">
            <v>Pouch</v>
          </cell>
        </row>
        <row r="1080">
          <cell r="A1080" t="str">
            <v>PM24-Spar Select Pouch 500 G B Spar Select California Pista</v>
          </cell>
          <cell r="B1080" t="str">
            <v>PM</v>
          </cell>
          <cell r="C1080" t="str">
            <v>Packaging</v>
          </cell>
          <cell r="D1080" t="str">
            <v>Pouch</v>
          </cell>
        </row>
        <row r="1081">
          <cell r="A1081" t="str">
            <v>PM24-Special Offer Card 2 gm</v>
          </cell>
          <cell r="B1081" t="str">
            <v>PM</v>
          </cell>
          <cell r="C1081" t="str">
            <v>Packaging</v>
          </cell>
          <cell r="D1081" t="str">
            <v>Card</v>
          </cell>
        </row>
        <row r="1082">
          <cell r="A1082" t="str">
            <v>PM24-Square Blister 250 gm</v>
          </cell>
          <cell r="B1082" t="str">
            <v>PM</v>
          </cell>
          <cell r="C1082" t="str">
            <v>Packaging</v>
          </cell>
          <cell r="D1082" t="str">
            <v>Blister</v>
          </cell>
        </row>
        <row r="1083">
          <cell r="A1083" t="str">
            <v>PM24-STAR BAZAAR LAMINATE ROLL (280mm X 175mm)</v>
          </cell>
          <cell r="B1083" t="str">
            <v>PM</v>
          </cell>
          <cell r="C1083" t="str">
            <v>Packaging</v>
          </cell>
          <cell r="D1083" t="str">
            <v>Pouch Roll</v>
          </cell>
        </row>
        <row r="1084">
          <cell r="A1084" t="str">
            <v>PM24-STAR BAZAAR LAMINATE ROLL (375mm X 200mm)500gm</v>
          </cell>
          <cell r="B1084" t="str">
            <v>PM</v>
          </cell>
          <cell r="C1084" t="str">
            <v>Packaging</v>
          </cell>
          <cell r="D1084" t="str">
            <v>Roll</v>
          </cell>
        </row>
        <row r="1085">
          <cell r="A1085" t="str">
            <v>PM24-Star Bazar Laminate Pouch 100g (280x125mm) Cen</v>
          </cell>
          <cell r="B1085" t="str">
            <v>PM</v>
          </cell>
          <cell r="C1085" t="str">
            <v>Packaging</v>
          </cell>
          <cell r="D1085" t="str">
            <v>Pouch</v>
          </cell>
        </row>
        <row r="1086">
          <cell r="A1086" t="str">
            <v>PM24-Star Bazar Laminate Pouch 1KG (375x285mm) Cen seal</v>
          </cell>
          <cell r="B1086" t="str">
            <v>PM</v>
          </cell>
          <cell r="C1086" t="str">
            <v>Packaging</v>
          </cell>
          <cell r="D1086" t="str">
            <v>Pouch</v>
          </cell>
        </row>
        <row r="1087">
          <cell r="A1087" t="str">
            <v>PM24-Star Bazar Laminate Pouch 250g (280x175mm) Cen</v>
          </cell>
          <cell r="B1087" t="str">
            <v>PM</v>
          </cell>
          <cell r="C1087" t="str">
            <v>Packaging</v>
          </cell>
          <cell r="D1087" t="str">
            <v>Pouch</v>
          </cell>
        </row>
        <row r="1088">
          <cell r="A1088" t="str">
            <v>PM24-Star Bazar Laminate Pouch 500g (375x200mm) Cen</v>
          </cell>
          <cell r="B1088" t="str">
            <v>PM</v>
          </cell>
          <cell r="C1088" t="str">
            <v>Packaging</v>
          </cell>
          <cell r="D1088" t="str">
            <v>Pouch</v>
          </cell>
        </row>
        <row r="1089">
          <cell r="A1089" t="str">
            <v>PM24-Star Bazar Laminate Pouch 500g (375x230mm) Cen</v>
          </cell>
          <cell r="B1089" t="str">
            <v>PM</v>
          </cell>
          <cell r="C1089" t="str">
            <v>Packaging</v>
          </cell>
          <cell r="D1089" t="str">
            <v>Pouch</v>
          </cell>
        </row>
        <row r="1090">
          <cell r="A1090" t="str">
            <v>PM24-Steel 100 Gm Pet Cap 100 gm (old)</v>
          </cell>
          <cell r="B1090" t="str">
            <v>PM</v>
          </cell>
          <cell r="C1090" t="str">
            <v>Packaging</v>
          </cell>
          <cell r="D1090" t="str">
            <v>Cap</v>
          </cell>
        </row>
        <row r="1091">
          <cell r="A1091" t="str">
            <v>PM24-Stereo Development Charges - Carton</v>
          </cell>
          <cell r="B1091" t="str">
            <v>PM</v>
          </cell>
          <cell r="C1091" t="str">
            <v>Packaging</v>
          </cell>
          <cell r="D1091" t="str">
            <v>Carton</v>
          </cell>
        </row>
        <row r="1092">
          <cell r="A1092" t="str">
            <v>PM24-Stretch Film 450 mm</v>
          </cell>
          <cell r="B1092" t="str">
            <v>PM</v>
          </cell>
          <cell r="C1092" t="str">
            <v>Packaging</v>
          </cell>
          <cell r="D1092" t="str">
            <v>Roll</v>
          </cell>
        </row>
        <row r="1093">
          <cell r="A1093" t="str">
            <v>PM24-Sun Pharma Yoga Bar Monocarton 400 g</v>
          </cell>
          <cell r="B1093" t="str">
            <v>PM</v>
          </cell>
          <cell r="C1093" t="str">
            <v>Packaging</v>
          </cell>
          <cell r="D1093" t="str">
            <v xml:space="preserve">Monocarton </v>
          </cell>
        </row>
        <row r="1094">
          <cell r="A1094" t="str">
            <v>PM24-Super Saver 1000 gm</v>
          </cell>
          <cell r="B1094" t="str">
            <v>PM</v>
          </cell>
          <cell r="C1094" t="str">
            <v>Packaging</v>
          </cell>
          <cell r="D1094" t="str">
            <v>Pouch</v>
          </cell>
        </row>
        <row r="1095">
          <cell r="A1095" t="str">
            <v>PM24-Super Saver 6 x8x300 Gm 300 gm</v>
          </cell>
          <cell r="B1095" t="str">
            <v>PM</v>
          </cell>
          <cell r="C1095" t="str">
            <v>Packaging</v>
          </cell>
          <cell r="D1095" t="str">
            <v>Pouch</v>
          </cell>
        </row>
        <row r="1096">
          <cell r="A1096" t="str">
            <v>PM24-Super Saver 7 x10x500 Gm 500 gm</v>
          </cell>
          <cell r="B1096" t="str">
            <v>PM</v>
          </cell>
          <cell r="C1096" t="str">
            <v>Packaging</v>
          </cell>
          <cell r="D1096" t="str">
            <v>Pouch</v>
          </cell>
        </row>
        <row r="1097">
          <cell r="A1097" t="str">
            <v>PM24-Taali Nimboo Pudina Peanut Pouch 150 gm</v>
          </cell>
          <cell r="B1097" t="str">
            <v>PM</v>
          </cell>
          <cell r="C1097" t="str">
            <v>Packaging</v>
          </cell>
          <cell r="D1097" t="str">
            <v>Roll</v>
          </cell>
        </row>
        <row r="1098">
          <cell r="A1098" t="str">
            <v>PM24-Taali Nimboo Spice Masala Peanut Pouch 150 gm</v>
          </cell>
          <cell r="B1098" t="str">
            <v>PM</v>
          </cell>
          <cell r="C1098" t="str">
            <v>Packaging</v>
          </cell>
          <cell r="D1098" t="str">
            <v>Roll</v>
          </cell>
        </row>
        <row r="1099">
          <cell r="A1099" t="str">
            <v>PM24-Tape Double Tape</v>
          </cell>
          <cell r="B1099" t="str">
            <v>PM</v>
          </cell>
          <cell r="C1099" t="str">
            <v>Packaging</v>
          </cell>
          <cell r="D1099" t="str">
            <v>Tape</v>
          </cell>
        </row>
        <row r="1100">
          <cell r="A1100" t="str">
            <v>PM24 - Tasties Barbeque Makhana Pouch Roll 25 gm</v>
          </cell>
          <cell r="B1100" t="str">
            <v>PM</v>
          </cell>
          <cell r="C1100" t="str">
            <v>Packaging</v>
          </cell>
          <cell r="D1100" t="str">
            <v>Pouch Roll</v>
          </cell>
        </row>
        <row r="1101">
          <cell r="A1101" t="str">
            <v>PM24 - Tasties Cheese Makhana Pouch Roll 25 gm</v>
          </cell>
          <cell r="B1101" t="str">
            <v>PM</v>
          </cell>
          <cell r="C1101" t="str">
            <v>Packaging</v>
          </cell>
          <cell r="D1101" t="str">
            <v>Pouch Roll</v>
          </cell>
        </row>
        <row r="1102">
          <cell r="A1102" t="str">
            <v>PM24-Tasties Chilli Almonds-Flavourful &amp; Crunchy 75 G</v>
          </cell>
          <cell r="B1102" t="str">
            <v>PM</v>
          </cell>
          <cell r="C1102" t="str">
            <v>Packaging</v>
          </cell>
          <cell r="D1102" t="str">
            <v xml:space="preserve">Monocarton </v>
          </cell>
        </row>
        <row r="1103">
          <cell r="A1103" t="str">
            <v>PM24-Tasties Generic Inner Pouch Roll 50/75 gm 190 mm(White N Red)</v>
          </cell>
          <cell r="B1103" t="str">
            <v>PM</v>
          </cell>
          <cell r="C1103" t="str">
            <v>Packaging</v>
          </cell>
          <cell r="D1103" t="str">
            <v>Pouch Roll</v>
          </cell>
        </row>
        <row r="1104">
          <cell r="A1104" t="str">
            <v>PM24-Tasties Honey Almond-Flavourful &amp; Crunchy-75 gm</v>
          </cell>
          <cell r="B1104" t="str">
            <v>PM</v>
          </cell>
          <cell r="C1104" t="str">
            <v>Packaging</v>
          </cell>
          <cell r="D1104" t="str">
            <v xml:space="preserve">Monocarton </v>
          </cell>
        </row>
        <row r="1105">
          <cell r="A1105" t="str">
            <v>PM24 - Tasties Peri Peri Makhana Pouch Roll 25 gm</v>
          </cell>
          <cell r="B1105" t="str">
            <v>PM</v>
          </cell>
          <cell r="C1105" t="str">
            <v>Packaging</v>
          </cell>
          <cell r="D1105" t="str">
            <v>Pouch Roll</v>
          </cell>
        </row>
        <row r="1106">
          <cell r="A1106" t="str">
            <v>PM24-Tasties Pink Salted Pistachio-Flavourful &amp; Crunchy 75 G</v>
          </cell>
          <cell r="B1106" t="str">
            <v>PM</v>
          </cell>
          <cell r="C1106" t="str">
            <v>Packaging</v>
          </cell>
          <cell r="D1106" t="str">
            <v xml:space="preserve">Monocarton </v>
          </cell>
        </row>
        <row r="1107">
          <cell r="A1107" t="str">
            <v>PM24 - Tasties Pudina Makhana Pouch Roll 25 gm</v>
          </cell>
          <cell r="B1107" t="str">
            <v>PM</v>
          </cell>
          <cell r="C1107" t="str">
            <v>Packaging</v>
          </cell>
          <cell r="D1107" t="str">
            <v>Pouch Roll</v>
          </cell>
        </row>
        <row r="1108">
          <cell r="A1108" t="str">
            <v>PM24 - Tasties Pudina Pathaka Peanut Pouch Roll 25 gm</v>
          </cell>
          <cell r="B1108" t="str">
            <v>PM</v>
          </cell>
          <cell r="C1108" t="str">
            <v>Packaging</v>
          </cell>
          <cell r="D1108" t="str">
            <v>Pouch Roll</v>
          </cell>
        </row>
        <row r="1109">
          <cell r="A1109" t="str">
            <v>PM24 - Tasties Tandoori Makhana Pouch Roll 25 gm</v>
          </cell>
          <cell r="B1109" t="str">
            <v>PM</v>
          </cell>
          <cell r="C1109" t="str">
            <v>Packaging</v>
          </cell>
          <cell r="D1109" t="str">
            <v>Pouch Roll</v>
          </cell>
        </row>
        <row r="1110">
          <cell r="A1110" t="str">
            <v>PM24 - Tasties Tandoori Masala Peanut Pouch Roll 25 gm</v>
          </cell>
          <cell r="B1110" t="str">
            <v>PM</v>
          </cell>
          <cell r="C1110" t="str">
            <v>Packaging</v>
          </cell>
          <cell r="D1110" t="str">
            <v>Pouch Roll</v>
          </cell>
        </row>
        <row r="1111">
          <cell r="A1111" t="str">
            <v>PM24 - Tasties Thai Spice Peanut Pouch Roll 25 gm</v>
          </cell>
          <cell r="B1111" t="str">
            <v>PM</v>
          </cell>
          <cell r="C1111" t="str">
            <v>Packaging</v>
          </cell>
          <cell r="D1111" t="str">
            <v>Pouch Roll</v>
          </cell>
        </row>
        <row r="1112">
          <cell r="A1112" t="str">
            <v>PM24-Tea Bites 30 gm</v>
          </cell>
          <cell r="B1112" t="str">
            <v>PM</v>
          </cell>
          <cell r="C1112" t="str">
            <v>Packaging</v>
          </cell>
          <cell r="D1112" t="str">
            <v>Roll</v>
          </cell>
        </row>
        <row r="1113">
          <cell r="A1113" t="str">
            <v>PM24-Tea Bites Pouch Medium 30 gm</v>
          </cell>
          <cell r="B1113" t="str">
            <v>PM</v>
          </cell>
          <cell r="C1113" t="str">
            <v>Packaging</v>
          </cell>
          <cell r="D1113" t="str">
            <v>Pouch</v>
          </cell>
        </row>
        <row r="1114">
          <cell r="A1114" t="str">
            <v>PM24-Tea Bites Small 30 gm</v>
          </cell>
          <cell r="B1114" t="str">
            <v>PM</v>
          </cell>
          <cell r="C1114" t="str">
            <v>Packaging</v>
          </cell>
          <cell r="D1114" t="str">
            <v>Pouch</v>
          </cell>
        </row>
        <row r="1115">
          <cell r="A1115" t="str">
            <v>PM24-The Date Co. Blue Sleeve 250 gm</v>
          </cell>
          <cell r="B1115" t="str">
            <v>PM</v>
          </cell>
          <cell r="C1115" t="str">
            <v>Packaging</v>
          </cell>
          <cell r="D1115" t="str">
            <v>Sleeve</v>
          </cell>
        </row>
        <row r="1116">
          <cell r="A1116" t="str">
            <v>PM24-The Date Co. Blue Sleeve 500 gm</v>
          </cell>
          <cell r="B1116" t="str">
            <v>PM</v>
          </cell>
          <cell r="C1116" t="str">
            <v>Packaging</v>
          </cell>
          <cell r="D1116" t="str">
            <v>Sleeve</v>
          </cell>
        </row>
        <row r="1117">
          <cell r="A1117" t="str">
            <v>PM24-The Date Co. Brown Sleeve 250 gm</v>
          </cell>
          <cell r="B1117" t="str">
            <v>PM</v>
          </cell>
          <cell r="C1117" t="str">
            <v>Packaging</v>
          </cell>
          <cell r="D1117" t="str">
            <v>Sleeve</v>
          </cell>
        </row>
        <row r="1118">
          <cell r="A1118" t="str">
            <v>PM24-The Date Co. Brown Sleeve 500 gm</v>
          </cell>
          <cell r="B1118" t="str">
            <v>PM</v>
          </cell>
          <cell r="C1118" t="str">
            <v>Packaging</v>
          </cell>
          <cell r="D1118" t="str">
            <v>Sleeve</v>
          </cell>
        </row>
        <row r="1119">
          <cell r="A1119" t="str">
            <v>PM24-The Date Co. Pink Sleeve 250 gm</v>
          </cell>
          <cell r="B1119" t="str">
            <v>PM</v>
          </cell>
          <cell r="C1119" t="str">
            <v>Packaging</v>
          </cell>
          <cell r="D1119" t="str">
            <v>Sleeve</v>
          </cell>
        </row>
        <row r="1120">
          <cell r="A1120" t="str">
            <v>PM24-The Date Co. Pink Sleeve 500 gm</v>
          </cell>
          <cell r="B1120" t="str">
            <v>PM</v>
          </cell>
          <cell r="C1120" t="str">
            <v>Packaging</v>
          </cell>
          <cell r="D1120" t="str">
            <v>Sleeve</v>
          </cell>
        </row>
        <row r="1121">
          <cell r="A1121" t="str">
            <v>PM24-The Date Co. Yellow Sleeve 250 gm</v>
          </cell>
          <cell r="B1121" t="str">
            <v>PM</v>
          </cell>
          <cell r="C1121" t="str">
            <v>Packaging</v>
          </cell>
          <cell r="D1121" t="str">
            <v>Sleeve</v>
          </cell>
        </row>
        <row r="1122">
          <cell r="A1122" t="str">
            <v>PM24-The Date Co. Yellow Sleeve 500 gm</v>
          </cell>
          <cell r="B1122" t="str">
            <v>PM</v>
          </cell>
          <cell r="C1122" t="str">
            <v>Packaging</v>
          </cell>
          <cell r="D1122" t="str">
            <v>Sleeve</v>
          </cell>
        </row>
        <row r="1123">
          <cell r="A1123" t="str">
            <v>PM24-Transparent Laminate Roll</v>
          </cell>
          <cell r="B1123" t="str">
            <v>PM</v>
          </cell>
          <cell r="C1123" t="str">
            <v>Packaging</v>
          </cell>
          <cell r="D1123" t="str">
            <v>Roll</v>
          </cell>
        </row>
        <row r="1124">
          <cell r="A1124" t="str">
            <v>PM24-Triangular PP Pouch 50 gm</v>
          </cell>
          <cell r="B1124" t="str">
            <v>PM</v>
          </cell>
          <cell r="C1124" t="str">
            <v>Packaging</v>
          </cell>
          <cell r="D1124" t="str">
            <v>Pouch</v>
          </cell>
        </row>
        <row r="1125">
          <cell r="A1125" t="str">
            <v>PM24-Tub Rectangular Blister 150*100*32mm-Container Pl Transparent 200 gm</v>
          </cell>
          <cell r="B1125" t="str">
            <v>PM</v>
          </cell>
          <cell r="C1125" t="str">
            <v>Packaging</v>
          </cell>
          <cell r="D1125" t="str">
            <v>Tub Lid</v>
          </cell>
        </row>
        <row r="1126">
          <cell r="A1126" t="str">
            <v>PM24-Turkey Apricots Pouch (Reliance-unbranded) 200 gm</v>
          </cell>
          <cell r="B1126" t="str">
            <v>PM</v>
          </cell>
          <cell r="C1126" t="str">
            <v>Packaging</v>
          </cell>
          <cell r="D1126" t="str">
            <v>Pouch</v>
          </cell>
        </row>
        <row r="1127">
          <cell r="A1127" t="str">
            <v>PM24 - Unprinted Bopp Tape 100 gm</v>
          </cell>
          <cell r="B1127" t="str">
            <v>PM</v>
          </cell>
          <cell r="C1127" t="str">
            <v>Packaging</v>
          </cell>
          <cell r="D1127" t="str">
            <v>Tape</v>
          </cell>
        </row>
        <row r="1128">
          <cell r="A1128" t="str">
            <v>PM24-Urban Platter Roasted Makhana Wasabi 40G 40 gm</v>
          </cell>
          <cell r="B1128" t="str">
            <v>PM</v>
          </cell>
          <cell r="C1128" t="str">
            <v>Packaging</v>
          </cell>
          <cell r="D1128" t="str">
            <v>Tin</v>
          </cell>
        </row>
        <row r="1129">
          <cell r="A1129" t="str">
            <v>PM24-Vacuum 240x260mm (Common)- 110 Micron 500 gm</v>
          </cell>
          <cell r="B1129" t="str">
            <v>PM</v>
          </cell>
          <cell r="C1129" t="str">
            <v>Packaging</v>
          </cell>
          <cell r="D1129" t="str">
            <v>Pouch</v>
          </cell>
        </row>
        <row r="1130">
          <cell r="A1130" t="str">
            <v>PM24-Vacuum 240x260mm (Solimo)- 130 Micron 500 gm</v>
          </cell>
          <cell r="B1130" t="str">
            <v>PM</v>
          </cell>
          <cell r="C1130" t="str">
            <v>Packaging</v>
          </cell>
          <cell r="D1130" t="str">
            <v>Pouch</v>
          </cell>
        </row>
        <row r="1131">
          <cell r="A1131" t="str">
            <v>PM24-Vacuumed Pouch 210x320mm</v>
          </cell>
          <cell r="B1131" t="str">
            <v>PM</v>
          </cell>
          <cell r="C1131" t="str">
            <v>Packaging</v>
          </cell>
          <cell r="D1131" t="str">
            <v>Pouch</v>
          </cell>
        </row>
        <row r="1132">
          <cell r="A1132" t="str">
            <v>PM24-Vacuum Pouch-130 x190mm 100 gm</v>
          </cell>
          <cell r="B1132" t="str">
            <v>PM</v>
          </cell>
          <cell r="C1132" t="str">
            <v>Packaging</v>
          </cell>
          <cell r="D1132" t="str">
            <v>Pouch</v>
          </cell>
        </row>
        <row r="1133">
          <cell r="A1133" t="str">
            <v>PM24-Vacuum Pouch-140 x 240 mm 200 gm</v>
          </cell>
          <cell r="B1133" t="str">
            <v>PM</v>
          </cell>
          <cell r="C1133" t="str">
            <v>Packaging</v>
          </cell>
          <cell r="D1133" t="str">
            <v>Pouch</v>
          </cell>
        </row>
        <row r="1134">
          <cell r="A1134" t="str">
            <v>PM24-Vacuum Pouch-155 x115mm 50 gm</v>
          </cell>
          <cell r="B1134" t="str">
            <v>PM</v>
          </cell>
          <cell r="C1134" t="str">
            <v>Packaging</v>
          </cell>
          <cell r="D1134" t="str">
            <v>Pouch</v>
          </cell>
        </row>
        <row r="1135">
          <cell r="A1135" t="str">
            <v>PM24-Vacuum Pouch 180x240 mm-100 Micron 250 gm</v>
          </cell>
          <cell r="B1135" t="str">
            <v>PM</v>
          </cell>
          <cell r="C1135" t="str">
            <v>Packaging</v>
          </cell>
          <cell r="D1135" t="str">
            <v>Pouch</v>
          </cell>
        </row>
        <row r="1136">
          <cell r="A1136" t="str">
            <v>PM24-Vacuum Pouch 180x240mm - 130 Micron 250 gm</v>
          </cell>
          <cell r="B1136" t="str">
            <v>PM</v>
          </cell>
          <cell r="C1136" t="str">
            <v>Packaging</v>
          </cell>
          <cell r="D1136" t="str">
            <v>Pouch</v>
          </cell>
        </row>
        <row r="1137">
          <cell r="A1137" t="str">
            <v>PM24-Vacuum Pouch 230x360</v>
          </cell>
          <cell r="B1137" t="str">
            <v>PM</v>
          </cell>
          <cell r="C1137" t="str">
            <v>Packaging</v>
          </cell>
          <cell r="D1137" t="str">
            <v>Pouch</v>
          </cell>
        </row>
        <row r="1138">
          <cell r="A1138" t="str">
            <v>PM24-Vacuum Pouch-390 x 575 mm, 60G-125 Micron 5000 gm</v>
          </cell>
          <cell r="B1138" t="str">
            <v>PM</v>
          </cell>
          <cell r="C1138" t="str">
            <v>Packaging</v>
          </cell>
          <cell r="D1138" t="str">
            <v>Pouch</v>
          </cell>
        </row>
        <row r="1139">
          <cell r="A1139" t="str">
            <v>PM24-Vacuum Pouch-510 x 560mm-65 G-125 Micron-10 Kg 10000 gm</v>
          </cell>
          <cell r="B1139" t="str">
            <v>PM</v>
          </cell>
          <cell r="C1139" t="str">
            <v>Packaging</v>
          </cell>
          <cell r="D1139" t="str">
            <v>Pouch</v>
          </cell>
        </row>
        <row r="1140">
          <cell r="A1140" t="str">
            <v>PM24-Vacuum Pouch For 1 Kg-210 x 305mm, 16G-110 Micron (Solimo) 1000 gm</v>
          </cell>
          <cell r="B1140" t="str">
            <v>PM</v>
          </cell>
          <cell r="C1140" t="str">
            <v>Packaging</v>
          </cell>
          <cell r="D1140" t="str">
            <v>Pouch</v>
          </cell>
        </row>
        <row r="1141">
          <cell r="A1141" t="str">
            <v>PM24-Vacuum Pouch For 1 Kg- 210 x 305mm, 16G - 90 Micron (Solimo) 1000 gm</v>
          </cell>
          <cell r="B1141" t="str">
            <v>PM</v>
          </cell>
          <cell r="C1141" t="str">
            <v>Packaging</v>
          </cell>
          <cell r="D1141" t="str">
            <v>Pouch</v>
          </cell>
        </row>
        <row r="1142">
          <cell r="A1142" t="str">
            <v>PM24-Vedaka Blue Zipper Pouch 250GM</v>
          </cell>
          <cell r="B1142" t="str">
            <v>PM</v>
          </cell>
          <cell r="C1142" t="str">
            <v>Packaging</v>
          </cell>
          <cell r="D1142" t="str">
            <v>Pouch</v>
          </cell>
        </row>
        <row r="1143">
          <cell r="A1143" t="str">
            <v>PM24-Vedaka Blue Zipper Pouch 500 gm</v>
          </cell>
          <cell r="B1143" t="str">
            <v>PM</v>
          </cell>
          <cell r="C1143" t="str">
            <v>Packaging</v>
          </cell>
          <cell r="D1143" t="str">
            <v>Pouch</v>
          </cell>
        </row>
        <row r="1144">
          <cell r="A1144" t="str">
            <v>PM24-Vedaka Popular 100G Pouch</v>
          </cell>
          <cell r="B1144" t="str">
            <v>PM</v>
          </cell>
          <cell r="C1144" t="str">
            <v>Packaging</v>
          </cell>
          <cell r="D1144" t="str">
            <v>Pouch</v>
          </cell>
        </row>
        <row r="1145">
          <cell r="A1145" t="str">
            <v>PM24-Vedaka Popular Pouch Roll 200 gm</v>
          </cell>
          <cell r="B1145" t="str">
            <v>PM</v>
          </cell>
          <cell r="C1145" t="str">
            <v>Packaging</v>
          </cell>
          <cell r="D1145" t="str">
            <v>Pouch Roll</v>
          </cell>
        </row>
        <row r="1146">
          <cell r="A1146" t="str">
            <v>PM24-Vedaka Premium 1Kg Pouch(190mmx260mm) 1000 gm</v>
          </cell>
          <cell r="B1146" t="str">
            <v>PM</v>
          </cell>
          <cell r="C1146" t="str">
            <v>Packaging</v>
          </cell>
          <cell r="D1146" t="str">
            <v>Pouch</v>
          </cell>
        </row>
        <row r="1147">
          <cell r="A1147" t="str">
            <v>PM24-Vedaka Premium Pouch(130mm x 183mm) 200 gm</v>
          </cell>
          <cell r="B1147" t="str">
            <v>PM</v>
          </cell>
          <cell r="C1147" t="str">
            <v>Packaging</v>
          </cell>
          <cell r="D1147" t="str">
            <v>Pouch</v>
          </cell>
        </row>
        <row r="1148">
          <cell r="A1148" t="str">
            <v>PM24-Vedaka Premium Pouch (130x153mm) 100 gm</v>
          </cell>
          <cell r="B1148" t="str">
            <v>PM</v>
          </cell>
          <cell r="C1148" t="str">
            <v>Packaging</v>
          </cell>
          <cell r="D1148" t="str">
            <v>Pouch</v>
          </cell>
        </row>
        <row r="1149">
          <cell r="A1149" t="str">
            <v>PM24-Vedaka Purple Plain Pouch  1 Kg</v>
          </cell>
          <cell r="B1149" t="str">
            <v>PM</v>
          </cell>
          <cell r="C1149" t="str">
            <v>Packaging</v>
          </cell>
          <cell r="D1149" t="str">
            <v>Pouch</v>
          </cell>
        </row>
        <row r="1150">
          <cell r="A1150" t="str">
            <v>PM24-Vedaka Purple Plain Pouch  500 gm</v>
          </cell>
          <cell r="B1150" t="str">
            <v>PM</v>
          </cell>
          <cell r="C1150" t="str">
            <v>Packaging</v>
          </cell>
          <cell r="D1150" t="str">
            <v>Pouch</v>
          </cell>
        </row>
        <row r="1151">
          <cell r="A1151" t="str">
            <v>PM24-Vedaka Purple Pouch 100GM</v>
          </cell>
          <cell r="B1151" t="str">
            <v>PM</v>
          </cell>
          <cell r="C1151" t="str">
            <v>Packaging</v>
          </cell>
          <cell r="D1151" t="str">
            <v>Pouch</v>
          </cell>
        </row>
        <row r="1152">
          <cell r="A1152" t="str">
            <v>PM24-Vedaka Purple Pouch 200GM</v>
          </cell>
          <cell r="B1152" t="str">
            <v>PM</v>
          </cell>
          <cell r="C1152" t="str">
            <v>Packaging</v>
          </cell>
          <cell r="D1152" t="str">
            <v>Pouch</v>
          </cell>
        </row>
        <row r="1153">
          <cell r="A1153" t="str">
            <v>PM24-Vedaka Purple Pouch Roll 100GM</v>
          </cell>
          <cell r="B1153" t="str">
            <v>PM</v>
          </cell>
          <cell r="C1153" t="str">
            <v>Packaging</v>
          </cell>
          <cell r="D1153" t="str">
            <v>Pouch Roll</v>
          </cell>
        </row>
        <row r="1154">
          <cell r="A1154" t="str">
            <v>PM24-Vedaka Purpler Pouch Roll 200GM</v>
          </cell>
          <cell r="B1154" t="str">
            <v>PM</v>
          </cell>
          <cell r="C1154" t="str">
            <v>Packaging</v>
          </cell>
          <cell r="D1154" t="str">
            <v>Pouch Roll</v>
          </cell>
        </row>
        <row r="1155">
          <cell r="A1155" t="str">
            <v>PM24-Vedaka Purple Zipper Pouch 1 Kg</v>
          </cell>
          <cell r="B1155" t="str">
            <v>PM</v>
          </cell>
          <cell r="C1155" t="str">
            <v>Packaging</v>
          </cell>
          <cell r="D1155" t="str">
            <v>Pouch</v>
          </cell>
        </row>
        <row r="1156">
          <cell r="A1156" t="str">
            <v>PM24-Vedaka Purple Zipper Pouch 200GM</v>
          </cell>
          <cell r="B1156" t="str">
            <v>PM</v>
          </cell>
          <cell r="C1156" t="str">
            <v>Packaging</v>
          </cell>
          <cell r="D1156" t="str">
            <v>Pouch</v>
          </cell>
        </row>
        <row r="1157">
          <cell r="A1157" t="str">
            <v>PM24-Vedaka Purple Zipper Pouch 250GM</v>
          </cell>
          <cell r="B1157" t="str">
            <v>PM</v>
          </cell>
          <cell r="C1157" t="str">
            <v>Packaging</v>
          </cell>
          <cell r="D1157" t="str">
            <v>Pouch</v>
          </cell>
        </row>
        <row r="1158">
          <cell r="A1158" t="str">
            <v>PM24-Vedaka Purple Zipper Pouch 500GM</v>
          </cell>
          <cell r="B1158" t="str">
            <v>PM</v>
          </cell>
          <cell r="C1158" t="str">
            <v>Packaging</v>
          </cell>
          <cell r="D1158" t="str">
            <v>Pouch</v>
          </cell>
        </row>
        <row r="1159">
          <cell r="A1159" t="str">
            <v>PM24-Vedaka Purple Zipper Pouch Roll 500GM</v>
          </cell>
          <cell r="B1159" t="str">
            <v>PM</v>
          </cell>
          <cell r="C1159" t="str">
            <v>Packaging</v>
          </cell>
          <cell r="D1159" t="str">
            <v>Pouch Roll</v>
          </cell>
        </row>
        <row r="1160">
          <cell r="A1160" t="str">
            <v>PM24-Vedaka Red Zipper Pouch 1KG</v>
          </cell>
          <cell r="B1160" t="str">
            <v>PM</v>
          </cell>
          <cell r="C1160" t="str">
            <v>Packaging</v>
          </cell>
          <cell r="D1160" t="str">
            <v>Pouch</v>
          </cell>
        </row>
        <row r="1161">
          <cell r="A1161" t="str">
            <v>PM24-Vedaka Red Zipper Pouch 250GM</v>
          </cell>
          <cell r="B1161" t="str">
            <v>PM</v>
          </cell>
          <cell r="C1161" t="str">
            <v>Packaging</v>
          </cell>
          <cell r="D1161" t="str">
            <v>Pouch</v>
          </cell>
        </row>
        <row r="1162">
          <cell r="A1162" t="str">
            <v>PM24-Vedaka Red Zipper Pouch 500GM</v>
          </cell>
          <cell r="B1162" t="str">
            <v>PM</v>
          </cell>
          <cell r="C1162" t="str">
            <v>Packaging</v>
          </cell>
          <cell r="D1162" t="str">
            <v>Pouch</v>
          </cell>
        </row>
        <row r="1163">
          <cell r="A1163" t="str">
            <v>PM24-Wad (Big) Reliance PGP 500 gm For 1000 Ml Round Glass Jar</v>
          </cell>
          <cell r="B1163" t="str">
            <v>PM</v>
          </cell>
          <cell r="C1163" t="str">
            <v>Packaging</v>
          </cell>
          <cell r="D1163" t="str">
            <v>Wad</v>
          </cell>
        </row>
        <row r="1164">
          <cell r="A1164" t="str">
            <v>PM24-Wad For 1000 Ml Reliance PGP Glass</v>
          </cell>
          <cell r="B1164" t="str">
            <v>PM</v>
          </cell>
          <cell r="C1164" t="str">
            <v>Packaging</v>
          </cell>
          <cell r="D1164" t="str">
            <v>Wad</v>
          </cell>
        </row>
        <row r="1165">
          <cell r="A1165" t="str">
            <v>PM24-Wad For 500 Ml Reliance PGP Glass</v>
          </cell>
          <cell r="B1165" t="str">
            <v>PM</v>
          </cell>
          <cell r="C1165" t="str">
            <v>Packaging</v>
          </cell>
          <cell r="D1165" t="str">
            <v>Wad</v>
          </cell>
        </row>
        <row r="1166">
          <cell r="A1166" t="str">
            <v>PM24-White Generic Pouch-20 Kg 20000 gm</v>
          </cell>
          <cell r="B1166" t="str">
            <v>PM</v>
          </cell>
          <cell r="C1166" t="str">
            <v>Packaging</v>
          </cell>
          <cell r="D1166" t="str">
            <v>Pouch</v>
          </cell>
        </row>
        <row r="1167">
          <cell r="A1167" t="str">
            <v>PM24-White Laminate Roll For BAPS 30 gm</v>
          </cell>
          <cell r="B1167" t="str">
            <v>PM</v>
          </cell>
          <cell r="C1167" t="str">
            <v>Packaging</v>
          </cell>
          <cell r="D1167" t="str">
            <v>Roll</v>
          </cell>
        </row>
        <row r="1168">
          <cell r="A1168" t="str">
            <v>PM24-White Lion Brazilnuts Roasted 500 gm</v>
          </cell>
          <cell r="B1168" t="str">
            <v>PM</v>
          </cell>
          <cell r="C1168" t="str">
            <v>Packaging</v>
          </cell>
          <cell r="D1168" t="str">
            <v>Pouch</v>
          </cell>
        </row>
        <row r="1169">
          <cell r="A1169" t="str">
            <v>PM24-White Milky Tub Rc 201 750 Ml 500 gm</v>
          </cell>
          <cell r="B1169" t="str">
            <v>PM</v>
          </cell>
          <cell r="C1169" t="str">
            <v>Packaging</v>
          </cell>
          <cell r="D1169" t="str">
            <v>Tub</v>
          </cell>
        </row>
        <row r="1170">
          <cell r="A1170" t="str">
            <v>PM24-White Roll With Eyemark</v>
          </cell>
          <cell r="B1170" t="str">
            <v>PM</v>
          </cell>
          <cell r="C1170" t="str">
            <v>Packaging</v>
          </cell>
          <cell r="D1170" t="str">
            <v>Roll</v>
          </cell>
        </row>
        <row r="1171">
          <cell r="A1171" t="str">
            <v>PM24-White Strip PP Heat Sealing Roll Fully Auto Size 1260-Carton Packaging 5000 gm</v>
          </cell>
          <cell r="B1171" t="str">
            <v>PM</v>
          </cell>
          <cell r="C1171" t="str">
            <v>Packaging</v>
          </cell>
          <cell r="D1171" t="str">
            <v>Roll</v>
          </cell>
        </row>
        <row r="1172">
          <cell r="A1172" t="str">
            <v>PM24-Wholesome Millets Bar R 30 gm</v>
          </cell>
          <cell r="B1172" t="str">
            <v>PM</v>
          </cell>
          <cell r="C1172" t="str">
            <v>Packaging</v>
          </cell>
          <cell r="D1172" t="str">
            <v>Roll</v>
          </cell>
        </row>
        <row r="1173">
          <cell r="A1173" t="str">
            <v>PM24-Yellow Label 100x50 mm 50 gm</v>
          </cell>
          <cell r="B1173" t="str">
            <v>PM</v>
          </cell>
          <cell r="C1173" t="str">
            <v>Packaging</v>
          </cell>
          <cell r="D1173" t="str">
            <v>Label</v>
          </cell>
        </row>
        <row r="1174">
          <cell r="A1174" t="str">
            <v>PM24-Yumasana Cashew Barbeque Standy Pouch</v>
          </cell>
          <cell r="B1174" t="str">
            <v>PM</v>
          </cell>
          <cell r="C1174" t="str">
            <v>Packaging</v>
          </cell>
          <cell r="D1174" t="str">
            <v>Pouch</v>
          </cell>
        </row>
        <row r="1175">
          <cell r="A1175" t="str">
            <v>PM24-Yumasana Cashew Pepper Standy Pouch</v>
          </cell>
          <cell r="B1175" t="str">
            <v>PM</v>
          </cell>
          <cell r="C1175" t="str">
            <v>Packaging</v>
          </cell>
          <cell r="D1175" t="str">
            <v>Pouch</v>
          </cell>
        </row>
        <row r="1176">
          <cell r="A1176" t="str">
            <v>PM24-Yumasana Cashew Salted Standy Pouch</v>
          </cell>
          <cell r="B1176" t="str">
            <v>PM</v>
          </cell>
          <cell r="C1176" t="str">
            <v>Packaging</v>
          </cell>
          <cell r="D1176" t="str">
            <v>Pouch</v>
          </cell>
        </row>
        <row r="1177">
          <cell r="A1177" t="str">
            <v>PM24-Yumasana Cashew Sour Cream Standy Pouch</v>
          </cell>
          <cell r="B1177" t="str">
            <v>PM</v>
          </cell>
          <cell r="C1177" t="str">
            <v>Packaging</v>
          </cell>
          <cell r="D1177" t="str">
            <v>Pouch</v>
          </cell>
        </row>
        <row r="1178">
          <cell r="A1178" t="str">
            <v>PM24-Yumasana Coated Peanut Barbeque Standy Pouch</v>
          </cell>
          <cell r="B1178" t="str">
            <v>PM</v>
          </cell>
          <cell r="C1178" t="str">
            <v>Packaging</v>
          </cell>
          <cell r="D1178" t="str">
            <v>Pouch</v>
          </cell>
        </row>
        <row r="1179">
          <cell r="A1179" t="str">
            <v>PM24-Yumasana Coated Peanut Chilli Garlic Standy Pouch</v>
          </cell>
          <cell r="B1179" t="str">
            <v>PM</v>
          </cell>
          <cell r="C1179" t="str">
            <v>Packaging</v>
          </cell>
          <cell r="D1179" t="str">
            <v>Pouch</v>
          </cell>
        </row>
        <row r="1180">
          <cell r="A1180" t="str">
            <v>PM24-Yumasana Coated Peanut Peri Peri Standy Pouch</v>
          </cell>
          <cell r="B1180" t="str">
            <v>PM</v>
          </cell>
          <cell r="C1180" t="str">
            <v>Packaging</v>
          </cell>
          <cell r="D1180" t="str">
            <v>Pouch</v>
          </cell>
        </row>
        <row r="1181">
          <cell r="A1181" t="str">
            <v>PM24-Yumasana Coated Peanut Thai Chilli Standy Pouch</v>
          </cell>
          <cell r="B1181" t="str">
            <v>PM</v>
          </cell>
          <cell r="C1181" t="str">
            <v>Packaging</v>
          </cell>
          <cell r="D1181" t="str">
            <v>Pouch</v>
          </cell>
        </row>
        <row r="1182">
          <cell r="A1182" t="str">
            <v>PM24-Zahidi Dates 900 gm Pouch Digital</v>
          </cell>
          <cell r="B1182" t="str">
            <v>PM</v>
          </cell>
          <cell r="C1182" t="str">
            <v>Packaging</v>
          </cell>
          <cell r="D1182" t="str">
            <v>Pouch Roll</v>
          </cell>
        </row>
        <row r="1183">
          <cell r="A1183" t="str">
            <v>PM24-Zahidi Dates 900 Grm Pouch Digital</v>
          </cell>
          <cell r="B1183" t="str">
            <v>PM</v>
          </cell>
          <cell r="C1183" t="str">
            <v>Packaging</v>
          </cell>
          <cell r="D1183" t="str">
            <v>Pouch Roll</v>
          </cell>
        </row>
        <row r="1184">
          <cell r="A1184" t="str">
            <v>PM24-Zahidi Dates Label 1kg</v>
          </cell>
          <cell r="B1184" t="str">
            <v>PM</v>
          </cell>
          <cell r="C1184" t="str">
            <v>Packaging</v>
          </cell>
          <cell r="D1184" t="str">
            <v>Label</v>
          </cell>
        </row>
        <row r="1185">
          <cell r="A1185" t="str">
            <v>PM24-Zahidi Dates Pouch (Reliance-unbranded) 500 gm</v>
          </cell>
          <cell r="B1185" t="str">
            <v>PM</v>
          </cell>
          <cell r="C1185" t="str">
            <v>Packaging</v>
          </cell>
          <cell r="D1185" t="str">
            <v>Pouch</v>
          </cell>
        </row>
        <row r="1186">
          <cell r="A1186" t="str">
            <v>PM24-Zahidi Dates Pouch (Reliance-unbranded) 500 gm</v>
          </cell>
          <cell r="B1186" t="str">
            <v>PM</v>
          </cell>
          <cell r="C1186" t="str">
            <v>Packaging</v>
          </cell>
          <cell r="D1186" t="str">
            <v>Pouch</v>
          </cell>
        </row>
        <row r="1187">
          <cell r="A1187" t="str">
            <v>PM24-Zesque Choco Chips Monocarton 200gm</v>
          </cell>
          <cell r="B1187" t="str">
            <v>PM</v>
          </cell>
          <cell r="C1187" t="str">
            <v>Packaging</v>
          </cell>
          <cell r="D1187" t="str">
            <v xml:space="preserve">Monocarton </v>
          </cell>
        </row>
        <row r="1188">
          <cell r="A1188" t="str">
            <v>PM24-Zesque Hemp Seeds Barbeque 200 gm pouch</v>
          </cell>
          <cell r="B1188" t="str">
            <v>PM</v>
          </cell>
          <cell r="C1188" t="str">
            <v>Packaging</v>
          </cell>
          <cell r="D1188" t="str">
            <v>Pouch</v>
          </cell>
        </row>
        <row r="1189">
          <cell r="A1189" t="str">
            <v>PM24-Zesque Hemp Seeds Mint 200 gm</v>
          </cell>
          <cell r="B1189" t="str">
            <v>PM</v>
          </cell>
          <cell r="C1189" t="str">
            <v>Packaging</v>
          </cell>
          <cell r="D1189" t="str">
            <v>Pouch</v>
          </cell>
        </row>
        <row r="1190">
          <cell r="A1190" t="str">
            <v>PM24-Zesque Hemp Trail Mix Salt &amp; Pepper Roasted 200 gm</v>
          </cell>
          <cell r="B1190" t="str">
            <v>PM</v>
          </cell>
          <cell r="C1190" t="str">
            <v>Packaging</v>
          </cell>
          <cell r="D1190" t="str">
            <v>Pouch</v>
          </cell>
        </row>
        <row r="1191">
          <cell r="A1191" t="str">
            <v>PM24-Zipper Laminated Plain Standy Zipper Pouch (4.75x7.5 in) 100 gm</v>
          </cell>
          <cell r="B1191" t="str">
            <v>PM</v>
          </cell>
          <cell r="C1191" t="str">
            <v>Packaging</v>
          </cell>
          <cell r="D1191" t="str">
            <v>Pouch</v>
          </cell>
        </row>
        <row r="1192">
          <cell r="A1192" t="str">
            <v>PM24-Zipper Laminated Plain Standy Zipper Pouch (6x9 in) 150 gm</v>
          </cell>
          <cell r="B1192" t="str">
            <v>PM</v>
          </cell>
          <cell r="C1192" t="str">
            <v>Packaging</v>
          </cell>
          <cell r="D1192" t="str">
            <v>Pouch</v>
          </cell>
        </row>
        <row r="1193">
          <cell r="A1193" t="str">
            <v>PM24-Zipper-Silver Standy Pouch 5 x 9 150 gm</v>
          </cell>
          <cell r="B1193" t="str">
            <v>PM</v>
          </cell>
          <cell r="C1193" t="str">
            <v>Packaging</v>
          </cell>
          <cell r="D1193" t="str">
            <v>Pouch</v>
          </cell>
        </row>
        <row r="1194">
          <cell r="A1194" t="str">
            <v>PM24-Zipper-Standy Pouch 5.5 X 8</v>
          </cell>
          <cell r="B1194" t="str">
            <v>PM</v>
          </cell>
          <cell r="C1194" t="str">
            <v>Packaging</v>
          </cell>
          <cell r="D1194" t="str">
            <v>Pouch</v>
          </cell>
        </row>
        <row r="1195">
          <cell r="A1195" t="str">
            <v>PM24-Zipper-Standy Pouch 7 x 10 300 gm</v>
          </cell>
          <cell r="B1195" t="str">
            <v>PM</v>
          </cell>
          <cell r="C1195" t="str">
            <v>Packaging</v>
          </cell>
          <cell r="D1195" t="str">
            <v>Pouch</v>
          </cell>
        </row>
        <row r="1196">
          <cell r="A1196" t="str">
            <v>PM24-Zorro Pecan Grain Free Granola 50gm Pouch</v>
          </cell>
          <cell r="B1196" t="str">
            <v>PM</v>
          </cell>
          <cell r="C1196" t="str">
            <v>Packaging</v>
          </cell>
          <cell r="D1196" t="str">
            <v>Pouch</v>
          </cell>
        </row>
        <row r="1197">
          <cell r="A1197" t="str">
            <v>PM24-Zorro Pecan Maple Glazed 50gm Pouch</v>
          </cell>
          <cell r="B1197" t="str">
            <v>PM</v>
          </cell>
          <cell r="C1197" t="str">
            <v>Packaging</v>
          </cell>
          <cell r="D1197" t="str">
            <v>Pouch</v>
          </cell>
        </row>
        <row r="1198">
          <cell r="A1198" t="str">
            <v>PM24-Zorro Pecan Roasted And Lightly Salted 50gm Pouch</v>
          </cell>
          <cell r="B1198" t="str">
            <v>PM</v>
          </cell>
          <cell r="C1198" t="str">
            <v>Packaging</v>
          </cell>
          <cell r="D1198" t="str">
            <v>Pouch</v>
          </cell>
        </row>
        <row r="1199">
          <cell r="A1199" t="str">
            <v>PM24-Zorro Pecan Simply  50gm Pouch</v>
          </cell>
          <cell r="B1199" t="str">
            <v>PM</v>
          </cell>
          <cell r="C1199" t="str">
            <v>Packaging</v>
          </cell>
          <cell r="D1199" t="str">
            <v>Pouch</v>
          </cell>
        </row>
        <row r="1200">
          <cell r="A1200" t="str">
            <v>PM24-Zorro Pecan Sweet And Spicy 50gm Pouch</v>
          </cell>
          <cell r="B1200" t="str">
            <v>PM</v>
          </cell>
          <cell r="C1200" t="str">
            <v>Packaging</v>
          </cell>
          <cell r="D1200" t="str">
            <v>Pouch</v>
          </cell>
        </row>
        <row r="1201">
          <cell r="A1201" t="str">
            <v>PM24-Zorro Simply Pecan Pouch 200gm</v>
          </cell>
          <cell r="B1201" t="str">
            <v>PM</v>
          </cell>
          <cell r="C1201" t="str">
            <v>Packaging</v>
          </cell>
          <cell r="D1201" t="str">
            <v>Pouch</v>
          </cell>
        </row>
        <row r="1202">
          <cell r="A1202" t="str">
            <v>PM - Café Galleria 162 x 255 h + gusset 45 mm + 45 mm</v>
          </cell>
          <cell r="B1202" t="str">
            <v>PM</v>
          </cell>
          <cell r="C1202" t="str">
            <v>Packaging</v>
          </cell>
          <cell r="D1202" t="str">
            <v>PM</v>
          </cell>
        </row>
        <row r="1203">
          <cell r="A1203" t="str">
            <v>PM - Diya Small</v>
          </cell>
          <cell r="B1203" t="str">
            <v>PM</v>
          </cell>
          <cell r="C1203" t="str">
            <v>Packaging</v>
          </cell>
          <cell r="D1203" t="str">
            <v>PM</v>
          </cell>
        </row>
        <row r="1204">
          <cell r="A1204" t="str">
            <v>PM - PLASTIC BAG SILVER WITH ZIPPER (230mmX300mm) - TPL</v>
          </cell>
          <cell r="B1204" t="str">
            <v>PM</v>
          </cell>
          <cell r="C1204" t="str">
            <v>Packaging</v>
          </cell>
          <cell r="D1204" t="str">
            <v>Pouch</v>
          </cell>
        </row>
        <row r="1205">
          <cell r="A1205" t="str">
            <v>PREGEFLO C 100 G</v>
          </cell>
          <cell r="B1205" t="str">
            <v>RM</v>
          </cell>
          <cell r="C1205" t="str">
            <v>MISCELLANEOUS - RM</v>
          </cell>
          <cell r="D1205" t="str">
            <v>Other Misc</v>
          </cell>
        </row>
        <row r="1206">
          <cell r="A1206" t="str">
            <v>PREGEFLO CH 10 G</v>
          </cell>
          <cell r="B1206" t="str">
            <v>RM</v>
          </cell>
          <cell r="C1206" t="str">
            <v>SEASONING</v>
          </cell>
          <cell r="D1206" t="str">
            <v>Seasoning</v>
          </cell>
        </row>
        <row r="1207">
          <cell r="A1207" t="str">
            <v>Premix- Chocolate &amp; Oats Bites</v>
          </cell>
          <cell r="B1207" t="str">
            <v>RM</v>
          </cell>
          <cell r="C1207" t="str">
            <v>MISCELLANEOUS - RM</v>
          </cell>
          <cell r="D1207" t="str">
            <v>Chocolate</v>
          </cell>
        </row>
        <row r="1208">
          <cell r="A1208" t="str">
            <v>Premix- Date &amp; Nuts Bites</v>
          </cell>
          <cell r="B1208" t="str">
            <v>RM</v>
          </cell>
          <cell r="C1208" t="str">
            <v>MISCELLANEOUS - RM</v>
          </cell>
          <cell r="D1208" t="str">
            <v>Chocolate</v>
          </cell>
        </row>
        <row r="1209">
          <cell r="A1209" t="str">
            <v>Printed Posters, Vinyls, Lamination &amp; Pasting Etc</v>
          </cell>
          <cell r="B1209">
            <v>0</v>
          </cell>
          <cell r="C1209" t="str">
            <v>Others</v>
          </cell>
          <cell r="D1209" t="str">
            <v>Others</v>
          </cell>
        </row>
        <row r="1210">
          <cell r="A1210" t="str">
            <v>Printer Machinery, Accessories, Others 8443</v>
          </cell>
          <cell r="B1210">
            <v>0</v>
          </cell>
          <cell r="C1210" t="str">
            <v>Others</v>
          </cell>
          <cell r="D1210" t="str">
            <v>Others</v>
          </cell>
        </row>
        <row r="1211">
          <cell r="A1211" t="str">
            <v>Printing and Stationery 18%</v>
          </cell>
          <cell r="B1211">
            <v>0</v>
          </cell>
          <cell r="C1211" t="str">
            <v>Others</v>
          </cell>
          <cell r="D1211" t="str">
            <v>Others</v>
          </cell>
        </row>
        <row r="1212">
          <cell r="A1212" t="str">
            <v>Printing Charges</v>
          </cell>
          <cell r="B1212">
            <v>0</v>
          </cell>
          <cell r="C1212" t="str">
            <v>Service</v>
          </cell>
          <cell r="D1212" t="str">
            <v>Charges</v>
          </cell>
        </row>
        <row r="1213">
          <cell r="A1213" t="str">
            <v>Processing  &amp; Packaging</v>
          </cell>
          <cell r="B1213">
            <v>0</v>
          </cell>
          <cell r="C1213" t="str">
            <v>Service</v>
          </cell>
          <cell r="D1213" t="str">
            <v>Charges</v>
          </cell>
        </row>
        <row r="1214">
          <cell r="A1214" t="str">
            <v>Professional Fees</v>
          </cell>
          <cell r="B1214">
            <v>0</v>
          </cell>
          <cell r="C1214" t="str">
            <v>Service</v>
          </cell>
          <cell r="D1214" t="str">
            <v>Charges</v>
          </cell>
        </row>
        <row r="1215">
          <cell r="A1215" t="str">
            <v>Pure Maple Syrup</v>
          </cell>
          <cell r="B1215" t="str">
            <v>RM</v>
          </cell>
          <cell r="C1215" t="str">
            <v>MISCELLANEOUS - RM</v>
          </cell>
          <cell r="D1215" t="str">
            <v>Other Misc</v>
          </cell>
        </row>
        <row r="1216">
          <cell r="A1216" t="str">
            <v>Raspberry Flavour 240323</v>
          </cell>
          <cell r="B1216" t="str">
            <v>RM</v>
          </cell>
          <cell r="C1216" t="str">
            <v>SEASONING</v>
          </cell>
          <cell r="D1216" t="str">
            <v>Seasoning</v>
          </cell>
        </row>
        <row r="1217">
          <cell r="A1217" t="str">
            <v>Red Chilli Oleoresin (Cap Oleoresin 4010000030)</v>
          </cell>
          <cell r="B1217" t="str">
            <v>RM</v>
          </cell>
          <cell r="C1217" t="str">
            <v>SEASONING</v>
          </cell>
          <cell r="D1217" t="str">
            <v>Seasoning</v>
          </cell>
        </row>
        <row r="1218">
          <cell r="A1218" t="str">
            <v>Rose Flavour 060721</v>
          </cell>
          <cell r="B1218" t="str">
            <v>RM</v>
          </cell>
          <cell r="C1218" t="str">
            <v>SEASONING</v>
          </cell>
          <cell r="D1218" t="str">
            <v>Seasoning</v>
          </cell>
        </row>
        <row r="1219">
          <cell r="A1219" t="str">
            <v>Salted Caramel Flavour</v>
          </cell>
          <cell r="B1219" t="str">
            <v>RM</v>
          </cell>
          <cell r="C1219" t="str">
            <v>SEASONING</v>
          </cell>
          <cell r="D1219" t="str">
            <v>Seasoning</v>
          </cell>
        </row>
        <row r="1220">
          <cell r="A1220" t="str">
            <v>Screws, Nut Bolts, Rivets, Washer Etc 7318</v>
          </cell>
          <cell r="B1220">
            <v>0</v>
          </cell>
          <cell r="C1220" t="str">
            <v>Others</v>
          </cell>
          <cell r="D1220" t="str">
            <v>Others</v>
          </cell>
        </row>
        <row r="1221">
          <cell r="A1221" t="str">
            <v>Semi Sweet Compound</v>
          </cell>
          <cell r="B1221" t="str">
            <v>RM</v>
          </cell>
          <cell r="C1221" t="str">
            <v>MISCELLANEOUS - RM</v>
          </cell>
          <cell r="D1221" t="str">
            <v>Chocolate</v>
          </cell>
        </row>
        <row r="1222">
          <cell r="A1222" t="str">
            <v>Service_Other miscellaneous</v>
          </cell>
          <cell r="B1222">
            <v>0</v>
          </cell>
          <cell r="C1222" t="str">
            <v>Service</v>
          </cell>
          <cell r="D1222" t="str">
            <v>Others</v>
          </cell>
        </row>
        <row r="1223">
          <cell r="A1223" t="str">
            <v>Shatavari Extract</v>
          </cell>
          <cell r="B1223" t="str">
            <v>RM</v>
          </cell>
          <cell r="C1223" t="str">
            <v>MISCELLANEOUS - RM</v>
          </cell>
          <cell r="D1223" t="str">
            <v>Other Misc</v>
          </cell>
        </row>
        <row r="1224">
          <cell r="A1224" t="str">
            <v>SidCoat H</v>
          </cell>
          <cell r="B1224" t="str">
            <v>RM</v>
          </cell>
          <cell r="C1224" t="str">
            <v>MISCELLANEOUS - RM</v>
          </cell>
          <cell r="D1224" t="str">
            <v>Other Misc</v>
          </cell>
        </row>
        <row r="1225">
          <cell r="A1225" t="str">
            <v>Sidflow22</v>
          </cell>
          <cell r="B1225" t="str">
            <v>RM</v>
          </cell>
          <cell r="C1225" t="str">
            <v>MISCELLANEOUS - RM</v>
          </cell>
          <cell r="D1225" t="str">
            <v>Other Misc</v>
          </cell>
        </row>
        <row r="1226">
          <cell r="A1226" t="str">
            <v>S/I/F/E of Structural Work As Per BOM,BOQ,Spec</v>
          </cell>
          <cell r="B1226">
            <v>0</v>
          </cell>
          <cell r="C1226" t="str">
            <v>Others</v>
          </cell>
          <cell r="D1226" t="str">
            <v>Others</v>
          </cell>
        </row>
        <row r="1227">
          <cell r="A1227" t="str">
            <v>Silymarin Extract</v>
          </cell>
          <cell r="B1227" t="str">
            <v>RM</v>
          </cell>
          <cell r="C1227" t="str">
            <v>MISCELLANEOUS - RM</v>
          </cell>
          <cell r="D1227" t="str">
            <v>Other Misc</v>
          </cell>
        </row>
        <row r="1228">
          <cell r="A1228" t="str">
            <v>Smoke Paprika Flavour F170</v>
          </cell>
          <cell r="B1228" t="str">
            <v>RM</v>
          </cell>
          <cell r="C1228" t="str">
            <v>SEASONING</v>
          </cell>
          <cell r="D1228" t="str">
            <v>Seasoning</v>
          </cell>
        </row>
        <row r="1229">
          <cell r="A1229" t="str">
            <v>Softwares-Adove, Antivirus,Coreldraw, Tally Ect</v>
          </cell>
          <cell r="B1229">
            <v>0</v>
          </cell>
          <cell r="C1229" t="str">
            <v>Others</v>
          </cell>
          <cell r="D1229" t="str">
            <v>Others</v>
          </cell>
        </row>
        <row r="1230">
          <cell r="A1230" t="str">
            <v>Soya Lecithin Liquid</v>
          </cell>
          <cell r="B1230" t="str">
            <v>RM</v>
          </cell>
          <cell r="C1230" t="str">
            <v>MISCELLANEOUS - RM</v>
          </cell>
          <cell r="D1230" t="str">
            <v>Other Misc</v>
          </cell>
        </row>
        <row r="1231">
          <cell r="A1231" t="str">
            <v>Soy Isolate Protein (Supro 620)</v>
          </cell>
          <cell r="B1231" t="str">
            <v>RM</v>
          </cell>
          <cell r="C1231" t="str">
            <v>MISCELLANEOUS - RM</v>
          </cell>
          <cell r="D1231" t="str">
            <v>Other Misc</v>
          </cell>
        </row>
        <row r="1232">
          <cell r="A1232" t="str">
            <v>SS 304 Table</v>
          </cell>
          <cell r="B1232">
            <v>0</v>
          </cell>
          <cell r="C1232" t="str">
            <v>Others</v>
          </cell>
          <cell r="D1232" t="str">
            <v>Others</v>
          </cell>
        </row>
        <row r="1233">
          <cell r="A1233" t="str">
            <v>SS FURNITURES &amp; FIXTURES</v>
          </cell>
          <cell r="B1233">
            <v>0</v>
          </cell>
          <cell r="C1233" t="str">
            <v>Others</v>
          </cell>
          <cell r="D1233" t="str">
            <v>Others</v>
          </cell>
        </row>
        <row r="1234">
          <cell r="A1234" t="str">
            <v>SS Scrap</v>
          </cell>
          <cell r="B1234">
            <v>0</v>
          </cell>
          <cell r="C1234" t="str">
            <v>Others</v>
          </cell>
          <cell r="D1234" t="str">
            <v>Others</v>
          </cell>
        </row>
        <row r="1235">
          <cell r="A1235" t="str">
            <v>Store, Spare and Consumable (18%)</v>
          </cell>
          <cell r="B1235">
            <v>0</v>
          </cell>
          <cell r="C1235" t="str">
            <v>Consumables</v>
          </cell>
          <cell r="D1235" t="str">
            <v>Consumables</v>
          </cell>
        </row>
        <row r="1236">
          <cell r="A1236" t="str">
            <v>Strawberry Flavour 260323</v>
          </cell>
          <cell r="B1236" t="str">
            <v>RM</v>
          </cell>
          <cell r="C1236" t="str">
            <v>SEASONING</v>
          </cell>
          <cell r="D1236" t="str">
            <v>Seasoning</v>
          </cell>
        </row>
        <row r="1237">
          <cell r="A1237" t="str">
            <v>Test Sieve Mesh</v>
          </cell>
          <cell r="B1237">
            <v>0</v>
          </cell>
          <cell r="C1237" t="str">
            <v>Others</v>
          </cell>
          <cell r="D1237" t="str">
            <v>Others</v>
          </cell>
        </row>
        <row r="1238">
          <cell r="A1238" t="str">
            <v>Tools - Files,Rasps, Pilers,Pipe Cutters 8203</v>
          </cell>
          <cell r="B1238">
            <v>0</v>
          </cell>
          <cell r="C1238" t="str">
            <v>Others</v>
          </cell>
          <cell r="D1238" t="str">
            <v>Others</v>
          </cell>
        </row>
        <row r="1239">
          <cell r="A1239" t="str">
            <v>TP Link  and Related Accessories-8517</v>
          </cell>
          <cell r="B1239">
            <v>0</v>
          </cell>
          <cell r="C1239" t="str">
            <v>Others</v>
          </cell>
          <cell r="D1239" t="str">
            <v>Others</v>
          </cell>
        </row>
        <row r="1240">
          <cell r="A1240" t="str">
            <v>Urban Platter Choco drizzle Waffle Chips, 1kg</v>
          </cell>
          <cell r="B1240" t="str">
            <v>RM</v>
          </cell>
          <cell r="C1240" t="str">
            <v>MISCELLANEOUS - RM</v>
          </cell>
          <cell r="D1240" t="str">
            <v>Chocolate</v>
          </cell>
        </row>
        <row r="1241">
          <cell r="A1241" t="str">
            <v>Urban Platter Pure Maple Syrup 250ml</v>
          </cell>
          <cell r="B1241" t="str">
            <v>FG</v>
          </cell>
          <cell r="C1241" t="str">
            <v>MISCELLANEOUS - RM</v>
          </cell>
          <cell r="D1241" t="str">
            <v>Other Misc</v>
          </cell>
        </row>
        <row r="1242">
          <cell r="A1242" t="str">
            <v>Utility Wipes</v>
          </cell>
          <cell r="B1242">
            <v>0</v>
          </cell>
          <cell r="C1242" t="str">
            <v>Others</v>
          </cell>
          <cell r="D1242" t="str">
            <v>Others</v>
          </cell>
        </row>
        <row r="1243">
          <cell r="A1243" t="str">
            <v>Vanila Flavour 19112020</v>
          </cell>
          <cell r="B1243" t="str">
            <v>RM</v>
          </cell>
          <cell r="C1243" t="str">
            <v>SEASONING</v>
          </cell>
          <cell r="D1243" t="str">
            <v>Seasoning</v>
          </cell>
        </row>
        <row r="1244">
          <cell r="A1244" t="str">
            <v>Vanilla Flavour</v>
          </cell>
          <cell r="B1244" t="str">
            <v>RM</v>
          </cell>
          <cell r="C1244" t="str">
            <v>SEASONING</v>
          </cell>
          <cell r="D1244" t="str">
            <v>Seasoning</v>
          </cell>
        </row>
        <row r="1245">
          <cell r="A1245" t="str">
            <v>VANILLA LIQUID EXTRACT</v>
          </cell>
          <cell r="B1245" t="str">
            <v>RM</v>
          </cell>
          <cell r="C1245" t="str">
            <v>SEASONING</v>
          </cell>
          <cell r="D1245" t="str">
            <v>Seasoning</v>
          </cell>
        </row>
        <row r="1246">
          <cell r="A1246" t="str">
            <v>Wash Solution</v>
          </cell>
          <cell r="B1246">
            <v>0</v>
          </cell>
          <cell r="C1246" t="str">
            <v>Others</v>
          </cell>
          <cell r="D1246" t="str">
            <v>Others</v>
          </cell>
        </row>
        <row r="1247">
          <cell r="A1247" t="str">
            <v>Whey Protein Concentrate 80% Regular</v>
          </cell>
          <cell r="B1247" t="str">
            <v>RM</v>
          </cell>
          <cell r="C1247" t="str">
            <v>SEASONING</v>
          </cell>
          <cell r="D1247" t="str">
            <v>Seasoning</v>
          </cell>
        </row>
        <row r="1248">
          <cell r="A1248" t="str">
            <v>Whey Protein Isolate 90% Instant</v>
          </cell>
          <cell r="B1248" t="str">
            <v>RM</v>
          </cell>
          <cell r="C1248" t="str">
            <v>MISCELLANEOUS - RM</v>
          </cell>
          <cell r="D1248" t="str">
            <v>Other Misc</v>
          </cell>
        </row>
        <row r="1249">
          <cell r="A1249" t="str">
            <v>White Compound Chocolate</v>
          </cell>
          <cell r="B1249" t="str">
            <v>RM</v>
          </cell>
          <cell r="C1249" t="str">
            <v>MISCELLANEOUS - RM</v>
          </cell>
          <cell r="D1249" t="str">
            <v>Chocolate</v>
          </cell>
        </row>
        <row r="1250">
          <cell r="A1250" t="str">
            <v>Xanthan Gum</v>
          </cell>
          <cell r="B1250" t="str">
            <v>RM</v>
          </cell>
          <cell r="C1250" t="str">
            <v>MISCELLANEOUS - RM</v>
          </cell>
          <cell r="D1250" t="str">
            <v>Other Misc</v>
          </cell>
        </row>
        <row r="1251">
          <cell r="A1251" t="str">
            <v>10KG AL BARKAH SUFRI DATES</v>
          </cell>
          <cell r="B1251" t="str">
            <v>RM</v>
          </cell>
          <cell r="C1251" t="str">
            <v>DATES</v>
          </cell>
          <cell r="D1251" t="str">
            <v>Sufri</v>
          </cell>
        </row>
        <row r="1252">
          <cell r="A1252" t="str">
            <v>3 Jar Jute Bag Gift Hamper</v>
          </cell>
          <cell r="B1252" t="str">
            <v>FG</v>
          </cell>
          <cell r="C1252" t="str">
            <v>FESTIVE HAMPERS</v>
          </cell>
          <cell r="D1252" t="str">
            <v>Gifting</v>
          </cell>
        </row>
        <row r="1253">
          <cell r="A1253" t="str">
            <v>3pcs date balls with blister</v>
          </cell>
          <cell r="B1253" t="str">
            <v>FG</v>
          </cell>
          <cell r="C1253" t="str">
            <v>BARS &amp; CEREALS</v>
          </cell>
          <cell r="D1253" t="str">
            <v>Bites</v>
          </cell>
        </row>
        <row r="1254">
          <cell r="A1254" t="str">
            <v>5 Grain Cereal 35gm</v>
          </cell>
          <cell r="B1254" t="str">
            <v>FG</v>
          </cell>
          <cell r="C1254" t="str">
            <v>BARS &amp; CEREALS</v>
          </cell>
          <cell r="D1254" t="str">
            <v>Cereal</v>
          </cell>
        </row>
        <row r="1255">
          <cell r="A1255" t="str">
            <v>5 Grain Cereal 50 GM</v>
          </cell>
          <cell r="B1255" t="str">
            <v>FG</v>
          </cell>
          <cell r="C1255" t="str">
            <v>BARS &amp; CEREALS</v>
          </cell>
          <cell r="D1255" t="str">
            <v>Cereal</v>
          </cell>
        </row>
        <row r="1256">
          <cell r="A1256" t="str">
            <v>Abjosh (Munakka) 100gm</v>
          </cell>
          <cell r="B1256" t="str">
            <v>FG</v>
          </cell>
          <cell r="C1256" t="str">
            <v>RAISIN</v>
          </cell>
          <cell r="D1256" t="str">
            <v>Raisin - Abjosh</v>
          </cell>
        </row>
        <row r="1257">
          <cell r="A1257" t="str">
            <v>Acacia Gum - Dink/ Gundar</v>
          </cell>
          <cell r="B1257" t="str">
            <v>RM</v>
          </cell>
          <cell r="C1257" t="str">
            <v>MISCELLANEOUS - RM</v>
          </cell>
          <cell r="D1257" t="str">
            <v>Other Misc</v>
          </cell>
        </row>
        <row r="1258">
          <cell r="A1258" t="str">
            <v>Acrylic 40 Pc Dates Box</v>
          </cell>
          <cell r="B1258" t="str">
            <v>FG</v>
          </cell>
          <cell r="C1258" t="str">
            <v>TRAIL MIX</v>
          </cell>
          <cell r="D1258" t="str">
            <v>Bites</v>
          </cell>
        </row>
        <row r="1259">
          <cell r="A1259" t="str">
            <v>Afghan Apricot 1*1</v>
          </cell>
          <cell r="B1259" t="str">
            <v>RM</v>
          </cell>
          <cell r="C1259" t="str">
            <v>APRICOT</v>
          </cell>
          <cell r="D1259" t="str">
            <v>Apricot - Afghan</v>
          </cell>
        </row>
        <row r="1260">
          <cell r="A1260" t="str">
            <v>Afghan Apricot 1*2</v>
          </cell>
          <cell r="B1260" t="str">
            <v>RM</v>
          </cell>
          <cell r="C1260" t="str">
            <v>APRICOT</v>
          </cell>
          <cell r="D1260" t="str">
            <v>Apricot - Afghan</v>
          </cell>
        </row>
        <row r="1261">
          <cell r="A1261" t="str">
            <v>Afghan Apricot Selected</v>
          </cell>
          <cell r="B1261" t="str">
            <v>RM</v>
          </cell>
          <cell r="C1261" t="str">
            <v>APRICOT</v>
          </cell>
          <cell r="D1261" t="str">
            <v>Apricot - Afghan</v>
          </cell>
        </row>
        <row r="1262">
          <cell r="A1262" t="str">
            <v>Afghan Black Raisins Seeded 1*2</v>
          </cell>
          <cell r="B1262" t="str">
            <v>RM</v>
          </cell>
          <cell r="C1262" t="str">
            <v>RAISIN</v>
          </cell>
          <cell r="D1262" t="str">
            <v>Raisin - Black</v>
          </cell>
        </row>
        <row r="1263">
          <cell r="A1263" t="str">
            <v>Afghan Black Raisins Seedless 1*1</v>
          </cell>
          <cell r="B1263" t="str">
            <v>RM</v>
          </cell>
          <cell r="C1263" t="str">
            <v>RAISIN</v>
          </cell>
          <cell r="D1263" t="str">
            <v>Raisin - Black</v>
          </cell>
        </row>
        <row r="1264">
          <cell r="A1264" t="str">
            <v>Afghan Black Raisins Seedless 1*2</v>
          </cell>
          <cell r="B1264" t="str">
            <v>RM</v>
          </cell>
          <cell r="C1264" t="str">
            <v>RAISIN</v>
          </cell>
          <cell r="D1264" t="str">
            <v>Raisin - Black</v>
          </cell>
        </row>
        <row r="1265">
          <cell r="A1265" t="str">
            <v>Afghan Munakka / Abjosh 1X1</v>
          </cell>
          <cell r="B1265" t="str">
            <v>RM</v>
          </cell>
          <cell r="C1265" t="str">
            <v>RAISIN</v>
          </cell>
          <cell r="D1265" t="str">
            <v>Raisin - Abjosh</v>
          </cell>
        </row>
        <row r="1266">
          <cell r="A1266" t="str">
            <v>Afghan Munakka / Abjosh 1X2</v>
          </cell>
          <cell r="B1266" t="str">
            <v>RM</v>
          </cell>
          <cell r="C1266" t="str">
            <v>RAISIN</v>
          </cell>
          <cell r="D1266" t="str">
            <v>Raisin - Abjosh</v>
          </cell>
        </row>
        <row r="1267">
          <cell r="A1267" t="str">
            <v>Afghan Raisins 1*1 Green round</v>
          </cell>
          <cell r="B1267" t="str">
            <v>RM</v>
          </cell>
          <cell r="C1267" t="str">
            <v>RAISIN</v>
          </cell>
          <cell r="D1267" t="str">
            <v>Raisin - Afghan</v>
          </cell>
        </row>
        <row r="1268">
          <cell r="A1268" t="str">
            <v>Afghan Raisins 1*2 Green round</v>
          </cell>
          <cell r="B1268" t="str">
            <v>RM</v>
          </cell>
          <cell r="C1268" t="str">
            <v>RAISIN</v>
          </cell>
          <cell r="D1268" t="str">
            <v>Raisin - Afghan</v>
          </cell>
        </row>
        <row r="1269">
          <cell r="A1269" t="str">
            <v>Afghan Raisins Black Seeded 1*1</v>
          </cell>
          <cell r="B1269" t="str">
            <v>RM</v>
          </cell>
          <cell r="C1269" t="str">
            <v>RAISIN</v>
          </cell>
          <cell r="D1269" t="str">
            <v>Raisin - Black</v>
          </cell>
        </row>
        <row r="1270">
          <cell r="A1270" t="str">
            <v>Afghan Shandukhani Green Raisins</v>
          </cell>
          <cell r="B1270" t="str">
            <v>RM</v>
          </cell>
          <cell r="C1270" t="str">
            <v>RAISIN</v>
          </cell>
          <cell r="D1270" t="str">
            <v>Raisin - Shandukhani</v>
          </cell>
        </row>
        <row r="1271">
          <cell r="A1271" t="str">
            <v>Ajfan Barbeque Trail Mix Nuts 125g</v>
          </cell>
          <cell r="B1271" t="str">
            <v>FG</v>
          </cell>
          <cell r="C1271" t="str">
            <v>TRAIL MIX</v>
          </cell>
          <cell r="D1271" t="str">
            <v>Trail Mix</v>
          </cell>
        </row>
        <row r="1272">
          <cell r="A1272" t="str">
            <v>Ajfan Caramel &amp; Himalayan Salt Trail Mix Nuts 125g</v>
          </cell>
          <cell r="B1272" t="str">
            <v>FG</v>
          </cell>
          <cell r="C1272" t="str">
            <v>TRAIL MIX</v>
          </cell>
          <cell r="D1272" t="str">
            <v>Trail Mix</v>
          </cell>
        </row>
        <row r="1273">
          <cell r="A1273" t="str">
            <v>Ajfan Roasted &amp; Salted Trail Mix 125g</v>
          </cell>
          <cell r="B1273" t="str">
            <v>FG</v>
          </cell>
          <cell r="C1273" t="str">
            <v>TRAIL MIX</v>
          </cell>
          <cell r="D1273" t="str">
            <v>Trail Mix</v>
          </cell>
        </row>
        <row r="1274">
          <cell r="A1274" t="str">
            <v>Ajwa Dates</v>
          </cell>
          <cell r="B1274" t="str">
            <v>RM</v>
          </cell>
          <cell r="C1274" t="str">
            <v>DATES</v>
          </cell>
          <cell r="D1274" t="str">
            <v>Ajwa</v>
          </cell>
        </row>
        <row r="1275">
          <cell r="A1275" t="str">
            <v>Al Barakah Ajwa Dates 400gm</v>
          </cell>
          <cell r="B1275" t="str">
            <v>FG</v>
          </cell>
          <cell r="C1275" t="str">
            <v>DATES</v>
          </cell>
          <cell r="D1275" t="str">
            <v>Ajwa</v>
          </cell>
        </row>
        <row r="1276">
          <cell r="A1276" t="str">
            <v>Al Barakah Ajwa Dates 500G</v>
          </cell>
          <cell r="B1276" t="str">
            <v>FG</v>
          </cell>
          <cell r="C1276" t="str">
            <v>DATES</v>
          </cell>
          <cell r="D1276" t="str">
            <v>Ajwa</v>
          </cell>
        </row>
        <row r="1277">
          <cell r="A1277" t="str">
            <v>Al Barakah Arabian Dates 300gm</v>
          </cell>
          <cell r="B1277" t="str">
            <v>FG</v>
          </cell>
          <cell r="C1277" t="str">
            <v>DATES</v>
          </cell>
          <cell r="D1277" t="str">
            <v>Khalas</v>
          </cell>
        </row>
        <row r="1278">
          <cell r="A1278" t="str">
            <v>Al Barakah Arabian Dates 600g</v>
          </cell>
          <cell r="B1278" t="str">
            <v>FG</v>
          </cell>
          <cell r="C1278" t="str">
            <v>DATES</v>
          </cell>
          <cell r="D1278" t="str">
            <v>Khalas</v>
          </cell>
        </row>
        <row r="1279">
          <cell r="A1279" t="str">
            <v>AL BARAKAH BARHI DATES 10KG</v>
          </cell>
          <cell r="B1279" t="str">
            <v>RM</v>
          </cell>
          <cell r="C1279" t="str">
            <v>DATES</v>
          </cell>
          <cell r="D1279" t="str">
            <v>Barhi</v>
          </cell>
        </row>
        <row r="1280">
          <cell r="A1280" t="str">
            <v>AL Barakah Date Paste</v>
          </cell>
          <cell r="B1280" t="str">
            <v>RM</v>
          </cell>
          <cell r="C1280" t="str">
            <v>DATES</v>
          </cell>
          <cell r="D1280" t="str">
            <v>Paste</v>
          </cell>
        </row>
        <row r="1281">
          <cell r="A1281" t="str">
            <v>AL BARAKAH DATE PASTE (1 KG packing)</v>
          </cell>
          <cell r="B1281" t="str">
            <v>RM</v>
          </cell>
          <cell r="C1281" t="str">
            <v>DATES</v>
          </cell>
          <cell r="D1281" t="str">
            <v>Paste</v>
          </cell>
        </row>
        <row r="1282">
          <cell r="A1282" t="str">
            <v>Al Barakah Dates Ajwa 35gm</v>
          </cell>
          <cell r="B1282" t="str">
            <v>FG</v>
          </cell>
          <cell r="C1282" t="str">
            <v>DATES</v>
          </cell>
          <cell r="D1282" t="str">
            <v>Ajwa</v>
          </cell>
        </row>
        <row r="1283">
          <cell r="A1283" t="str">
            <v>Al Barakah Dates Arabian 400g</v>
          </cell>
          <cell r="B1283" t="str">
            <v>FG</v>
          </cell>
          <cell r="C1283" t="str">
            <v>DATES</v>
          </cell>
          <cell r="D1283" t="str">
            <v>Khalas</v>
          </cell>
        </row>
        <row r="1284">
          <cell r="A1284" t="str">
            <v>Al Barakah Dates Arabian 500g</v>
          </cell>
          <cell r="B1284" t="str">
            <v>FG</v>
          </cell>
          <cell r="C1284" t="str">
            <v>DATES</v>
          </cell>
          <cell r="D1284" t="str">
            <v>Sufri</v>
          </cell>
        </row>
        <row r="1285">
          <cell r="A1285" t="str">
            <v>Al Barakah Dates Golden 300g</v>
          </cell>
          <cell r="B1285" t="str">
            <v>FG</v>
          </cell>
          <cell r="C1285" t="str">
            <v>DATES</v>
          </cell>
          <cell r="D1285" t="str">
            <v>Barhi</v>
          </cell>
        </row>
        <row r="1286">
          <cell r="A1286" t="str">
            <v>Al Barakah Dates Golden 500g</v>
          </cell>
          <cell r="B1286" t="str">
            <v>FG</v>
          </cell>
          <cell r="C1286" t="str">
            <v>DATES</v>
          </cell>
          <cell r="D1286" t="str">
            <v>Khalas</v>
          </cell>
        </row>
        <row r="1287">
          <cell r="A1287" t="str">
            <v>Al Barakah Dates Gulf 300g</v>
          </cell>
          <cell r="B1287" t="str">
            <v>FG</v>
          </cell>
          <cell r="C1287" t="str">
            <v>DATES</v>
          </cell>
          <cell r="D1287" t="str">
            <v>Gulf</v>
          </cell>
        </row>
        <row r="1288">
          <cell r="A1288" t="str">
            <v>Al Barakah Dates Gulf 500g</v>
          </cell>
          <cell r="B1288" t="str">
            <v>FG</v>
          </cell>
          <cell r="C1288" t="str">
            <v>DATES</v>
          </cell>
          <cell r="D1288" t="str">
            <v>Khalas</v>
          </cell>
        </row>
        <row r="1289">
          <cell r="A1289" t="str">
            <v>Al Barakah Dates Khalas 35gm</v>
          </cell>
          <cell r="B1289" t="str">
            <v>FG</v>
          </cell>
          <cell r="C1289" t="str">
            <v>DATES</v>
          </cell>
          <cell r="D1289" t="str">
            <v>Khalas</v>
          </cell>
        </row>
        <row r="1290">
          <cell r="A1290" t="str">
            <v>Al Barakah Dates Khaneizi 35gm</v>
          </cell>
          <cell r="B1290" t="str">
            <v>FG</v>
          </cell>
          <cell r="C1290" t="str">
            <v>DATES</v>
          </cell>
          <cell r="D1290" t="str">
            <v>Khaneizi</v>
          </cell>
        </row>
        <row r="1291">
          <cell r="A1291" t="str">
            <v>Al Barakah Dates Oman Seedless 1kg</v>
          </cell>
          <cell r="B1291" t="str">
            <v>FG</v>
          </cell>
          <cell r="C1291" t="str">
            <v>DATES</v>
          </cell>
          <cell r="D1291" t="str">
            <v>Seedless</v>
          </cell>
        </row>
        <row r="1292">
          <cell r="A1292" t="str">
            <v>Al Barakah Dates Safavi 35gm</v>
          </cell>
          <cell r="B1292" t="str">
            <v>FG</v>
          </cell>
          <cell r="C1292" t="str">
            <v>DATES</v>
          </cell>
          <cell r="D1292" t="str">
            <v>Safavi</v>
          </cell>
        </row>
        <row r="1293">
          <cell r="A1293" t="str">
            <v>Al Barakah Dates Safavi 400g</v>
          </cell>
          <cell r="B1293" t="str">
            <v>FG</v>
          </cell>
          <cell r="C1293" t="str">
            <v>DATES</v>
          </cell>
          <cell r="D1293" t="str">
            <v>Safavi</v>
          </cell>
        </row>
        <row r="1294">
          <cell r="A1294" t="str">
            <v>Al Barakah Dates Safavi Seedless 400g</v>
          </cell>
          <cell r="B1294" t="str">
            <v>FG</v>
          </cell>
          <cell r="C1294" t="str">
            <v>DATES</v>
          </cell>
          <cell r="D1294" t="str">
            <v>Safavi</v>
          </cell>
        </row>
        <row r="1295">
          <cell r="A1295" t="str">
            <v>AL BARAKAH DATES SYRUP</v>
          </cell>
          <cell r="B1295" t="str">
            <v>RM</v>
          </cell>
          <cell r="C1295" t="str">
            <v>DATES</v>
          </cell>
          <cell r="D1295" t="str">
            <v>Syrup</v>
          </cell>
        </row>
        <row r="1296">
          <cell r="A1296" t="str">
            <v>AL BARAKAH DATES SYRUP (400G Packing)</v>
          </cell>
          <cell r="B1296" t="str">
            <v>FG</v>
          </cell>
          <cell r="C1296" t="str">
            <v>DATES</v>
          </cell>
          <cell r="D1296" t="str">
            <v>Syrup</v>
          </cell>
        </row>
        <row r="1297">
          <cell r="A1297" t="str">
            <v>AL BARAKAH DATE SYRUP(1.15KG X 12)</v>
          </cell>
          <cell r="B1297" t="str">
            <v>FG</v>
          </cell>
          <cell r="C1297" t="str">
            <v>DATES</v>
          </cell>
          <cell r="D1297" t="str">
            <v>Syrup</v>
          </cell>
        </row>
        <row r="1298">
          <cell r="A1298" t="str">
            <v>Al Barakah Dehydrated Date Powder 250g</v>
          </cell>
          <cell r="B1298" t="str">
            <v>FG</v>
          </cell>
          <cell r="C1298" t="str">
            <v>DATES</v>
          </cell>
          <cell r="D1298" t="str">
            <v>Powder</v>
          </cell>
        </row>
        <row r="1299">
          <cell r="A1299" t="str">
            <v>AL BARAKAH DEHYDRATED DATE POWDER - BULK PACK 10KG</v>
          </cell>
          <cell r="B1299" t="str">
            <v>RM</v>
          </cell>
          <cell r="C1299" t="str">
            <v>DATES</v>
          </cell>
          <cell r="D1299" t="str">
            <v>Powder</v>
          </cell>
        </row>
        <row r="1300">
          <cell r="A1300" t="str">
            <v>Al Barakah Emirate Dates 500gm</v>
          </cell>
          <cell r="B1300" t="str">
            <v>FG</v>
          </cell>
          <cell r="C1300" t="str">
            <v>DATES</v>
          </cell>
          <cell r="D1300" t="str">
            <v>Emirates</v>
          </cell>
        </row>
        <row r="1301">
          <cell r="A1301" t="str">
            <v>Al Barakah Emirates Dates 500 Gm (Not in Use)</v>
          </cell>
          <cell r="B1301" t="str">
            <v>FG</v>
          </cell>
          <cell r="C1301" t="str">
            <v>DATES</v>
          </cell>
          <cell r="D1301" t="str">
            <v>Emirates</v>
          </cell>
        </row>
        <row r="1302">
          <cell r="A1302" t="str">
            <v>Al Barakah Fard Dates 400g</v>
          </cell>
          <cell r="B1302" t="str">
            <v>FG</v>
          </cell>
          <cell r="C1302" t="str">
            <v>DATES</v>
          </cell>
          <cell r="D1302" t="str">
            <v>Fard</v>
          </cell>
        </row>
        <row r="1303">
          <cell r="A1303" t="str">
            <v>AL BARAKAH FARD DATES PREMIUM - 10KG</v>
          </cell>
          <cell r="B1303" t="str">
            <v>RM</v>
          </cell>
          <cell r="C1303" t="str">
            <v>DATES</v>
          </cell>
          <cell r="D1303" t="str">
            <v>Fard</v>
          </cell>
        </row>
        <row r="1304">
          <cell r="A1304" t="str">
            <v>AL BARAKAH FARD DATES PREMIUM - 500g</v>
          </cell>
          <cell r="B1304" t="str">
            <v>FG</v>
          </cell>
          <cell r="C1304" t="str">
            <v>DATES</v>
          </cell>
          <cell r="D1304" t="str">
            <v>Fard</v>
          </cell>
        </row>
        <row r="1305">
          <cell r="A1305" t="str">
            <v>AL BARAKAH FARD DATES STANDARD</v>
          </cell>
          <cell r="B1305" t="str">
            <v>RM</v>
          </cell>
          <cell r="C1305" t="str">
            <v>DATES</v>
          </cell>
          <cell r="D1305" t="str">
            <v>Fard</v>
          </cell>
        </row>
        <row r="1306">
          <cell r="A1306" t="str">
            <v>Al Barakah Gulf Dates 250gm</v>
          </cell>
          <cell r="B1306" t="str">
            <v>FG</v>
          </cell>
          <cell r="C1306" t="str">
            <v>DATES</v>
          </cell>
          <cell r="D1306" t="str">
            <v>Gulf</v>
          </cell>
        </row>
        <row r="1307">
          <cell r="A1307" t="str">
            <v>AL BARAKAH KHALAS DATES</v>
          </cell>
          <cell r="B1307" t="str">
            <v>RM</v>
          </cell>
          <cell r="C1307" t="str">
            <v>DATES</v>
          </cell>
          <cell r="D1307" t="str">
            <v>Khalas</v>
          </cell>
        </row>
        <row r="1308">
          <cell r="A1308" t="str">
            <v>AL BARAKAH KHALAS DATES 1KG</v>
          </cell>
          <cell r="B1308" t="str">
            <v>FG</v>
          </cell>
          <cell r="C1308" t="str">
            <v>DATES</v>
          </cell>
          <cell r="D1308" t="str">
            <v>Khalas</v>
          </cell>
        </row>
        <row r="1309">
          <cell r="A1309" t="str">
            <v>Al Barakah Khalas Dates 400g</v>
          </cell>
          <cell r="B1309" t="str">
            <v>FG</v>
          </cell>
          <cell r="C1309" t="str">
            <v>DATES</v>
          </cell>
          <cell r="D1309" t="str">
            <v>Khalas</v>
          </cell>
        </row>
        <row r="1310">
          <cell r="A1310" t="str">
            <v>AL BARAKAH KHALAS DATES 500 Gm</v>
          </cell>
          <cell r="B1310" t="str">
            <v>FG</v>
          </cell>
          <cell r="C1310" t="str">
            <v>DATES</v>
          </cell>
          <cell r="D1310" t="str">
            <v>Khalas</v>
          </cell>
        </row>
        <row r="1311">
          <cell r="A1311" t="str">
            <v>AL BARAKAH KHALAS DATES SEEDLESS 350GM</v>
          </cell>
          <cell r="B1311" t="str">
            <v>FG</v>
          </cell>
          <cell r="C1311" t="str">
            <v>DATES</v>
          </cell>
          <cell r="D1311" t="str">
            <v>Seedless</v>
          </cell>
        </row>
        <row r="1312">
          <cell r="A1312" t="str">
            <v>Al Barakah Khanezi Dates 500 GM</v>
          </cell>
          <cell r="B1312" t="str">
            <v>FG</v>
          </cell>
          <cell r="C1312" t="str">
            <v>DATES</v>
          </cell>
          <cell r="D1312" t="str">
            <v>Khaneizi</v>
          </cell>
        </row>
        <row r="1313">
          <cell r="A1313" t="str">
            <v>AL BARAKAH KHANIZEE DATES</v>
          </cell>
          <cell r="B1313" t="str">
            <v>RM</v>
          </cell>
          <cell r="C1313" t="str">
            <v>DATES</v>
          </cell>
          <cell r="D1313" t="str">
            <v>Khaneizi</v>
          </cell>
        </row>
        <row r="1314">
          <cell r="A1314" t="str">
            <v>Al Barakah Khenaizi Dates 400g</v>
          </cell>
          <cell r="B1314" t="str">
            <v>FG</v>
          </cell>
          <cell r="C1314" t="str">
            <v>DATES</v>
          </cell>
          <cell r="D1314" t="str">
            <v>Khaneizi</v>
          </cell>
        </row>
        <row r="1315">
          <cell r="A1315" t="str">
            <v>Al Barakah Kimia Dates 500 Gm</v>
          </cell>
          <cell r="B1315" t="str">
            <v>FG</v>
          </cell>
          <cell r="C1315" t="str">
            <v>DATES</v>
          </cell>
          <cell r="D1315" t="str">
            <v>Kimia</v>
          </cell>
        </row>
        <row r="1316">
          <cell r="A1316" t="str">
            <v>AL BARAKAH LULU RED DATES</v>
          </cell>
          <cell r="B1316" t="str">
            <v>RM</v>
          </cell>
          <cell r="C1316" t="str">
            <v>DATES</v>
          </cell>
          <cell r="D1316" t="str">
            <v>Lulu</v>
          </cell>
        </row>
        <row r="1317">
          <cell r="A1317" t="str">
            <v>AL BARAKAH MEDJOOL WET DATES PREMIUM</v>
          </cell>
          <cell r="B1317" t="str">
            <v>RM</v>
          </cell>
          <cell r="C1317" t="str">
            <v>DATES</v>
          </cell>
          <cell r="D1317" t="str">
            <v>Medjoul-General</v>
          </cell>
        </row>
        <row r="1318">
          <cell r="A1318" t="str">
            <v>Al Barakah Medjoul Dates 500Gm</v>
          </cell>
          <cell r="B1318" t="str">
            <v>FG</v>
          </cell>
          <cell r="C1318" t="str">
            <v>DATES</v>
          </cell>
          <cell r="D1318" t="str">
            <v>Medjoul-General</v>
          </cell>
        </row>
        <row r="1319">
          <cell r="A1319" t="str">
            <v>Al Barakah Oman 600g</v>
          </cell>
          <cell r="B1319" t="str">
            <v>FG</v>
          </cell>
          <cell r="C1319" t="str">
            <v>DATES</v>
          </cell>
          <cell r="D1319" t="str">
            <v>Oman</v>
          </cell>
        </row>
        <row r="1320">
          <cell r="A1320" t="str">
            <v>Al Barakah Oman Dates 400g</v>
          </cell>
          <cell r="B1320" t="str">
            <v>FG</v>
          </cell>
          <cell r="C1320" t="str">
            <v>DATES</v>
          </cell>
          <cell r="D1320" t="str">
            <v>Oman</v>
          </cell>
        </row>
        <row r="1321">
          <cell r="A1321" t="str">
            <v>Al Barakah Oman Dates 500gm Tub</v>
          </cell>
          <cell r="B1321" t="str">
            <v>FG</v>
          </cell>
          <cell r="C1321" t="str">
            <v>DATES</v>
          </cell>
          <cell r="D1321" t="str">
            <v>Oman</v>
          </cell>
        </row>
        <row r="1322">
          <cell r="A1322" t="str">
            <v>Al Barakah Premium Emirate Date Seedless 500gm</v>
          </cell>
          <cell r="B1322" t="str">
            <v>FG</v>
          </cell>
          <cell r="C1322" t="str">
            <v>DATES</v>
          </cell>
          <cell r="D1322" t="str">
            <v>Emirates</v>
          </cell>
        </row>
        <row r="1323">
          <cell r="A1323" t="str">
            <v>Al Barakah Premium Emirate Date Seedless (500gmx16)</v>
          </cell>
          <cell r="B1323" t="str">
            <v>FG</v>
          </cell>
          <cell r="C1323" t="str">
            <v>DATES</v>
          </cell>
          <cell r="D1323" t="str">
            <v>Emirates</v>
          </cell>
        </row>
        <row r="1324">
          <cell r="A1324" t="str">
            <v>AL BARAKAH PREMIUM EMIRATES DATES 500G.</v>
          </cell>
          <cell r="B1324" t="str">
            <v>FG</v>
          </cell>
          <cell r="C1324" t="str">
            <v>DATES</v>
          </cell>
          <cell r="D1324" t="str">
            <v>Emirates</v>
          </cell>
        </row>
        <row r="1325">
          <cell r="A1325" t="str">
            <v>Al Barakah Premium Emirates Dates (500gm x 16 Nos)</v>
          </cell>
          <cell r="B1325" t="str">
            <v>FG</v>
          </cell>
          <cell r="C1325" t="str">
            <v>DATES</v>
          </cell>
          <cell r="D1325" t="str">
            <v>Emirates</v>
          </cell>
        </row>
        <row r="1326">
          <cell r="A1326" t="str">
            <v>Al Barakah Premium Medjool 800gm</v>
          </cell>
          <cell r="B1326" t="str">
            <v>FG</v>
          </cell>
          <cell r="C1326" t="str">
            <v>DATES</v>
          </cell>
          <cell r="D1326" t="str">
            <v>Medjoul-General</v>
          </cell>
        </row>
        <row r="1327">
          <cell r="A1327" t="str">
            <v>AL BARAKAH PREMIUM SEEDLESS DATES 500G</v>
          </cell>
          <cell r="B1327" t="str">
            <v>FG</v>
          </cell>
          <cell r="C1327" t="str">
            <v>DATES</v>
          </cell>
          <cell r="D1327" t="str">
            <v>Seedless</v>
          </cell>
        </row>
        <row r="1328">
          <cell r="A1328" t="str">
            <v>AL BARAKAH REZIZ DATES 10KG</v>
          </cell>
          <cell r="B1328" t="str">
            <v>RM</v>
          </cell>
          <cell r="C1328" t="str">
            <v>DATES</v>
          </cell>
          <cell r="D1328" t="str">
            <v>Reziz</v>
          </cell>
        </row>
        <row r="1329">
          <cell r="A1329" t="str">
            <v>AL BARAKAH SAFAVI DATES 500gm</v>
          </cell>
          <cell r="B1329" t="str">
            <v>FG</v>
          </cell>
          <cell r="C1329" t="str">
            <v>DATES</v>
          </cell>
          <cell r="D1329" t="str">
            <v>Safavi</v>
          </cell>
        </row>
        <row r="1330">
          <cell r="A1330" t="str">
            <v>AL BARAKAH SAYER DATES THERMO(500GM X 16)</v>
          </cell>
          <cell r="B1330" t="str">
            <v>RM</v>
          </cell>
          <cell r="C1330" t="str">
            <v>DATES</v>
          </cell>
          <cell r="D1330" t="str">
            <v>Sayer</v>
          </cell>
        </row>
        <row r="1331">
          <cell r="A1331" t="str">
            <v>Aldaka Medjool Premium Jumbo</v>
          </cell>
          <cell r="B1331" t="str">
            <v>RM</v>
          </cell>
          <cell r="C1331" t="str">
            <v>DATES</v>
          </cell>
          <cell r="D1331" t="str">
            <v>Medjoul-Jumbo</v>
          </cell>
        </row>
        <row r="1332">
          <cell r="A1332" t="str">
            <v>Aldaka Medjool Premium Large</v>
          </cell>
          <cell r="B1332" t="str">
            <v>RM</v>
          </cell>
          <cell r="C1332" t="str">
            <v>DATES</v>
          </cell>
          <cell r="D1332" t="str">
            <v>Medjoul-Large</v>
          </cell>
        </row>
        <row r="1333">
          <cell r="A1333" t="str">
            <v>Almond Apricot and Seeds Date Balls 48 gms</v>
          </cell>
          <cell r="B1333" t="str">
            <v>FG</v>
          </cell>
          <cell r="C1333" t="str">
            <v>TRAIL MIX</v>
          </cell>
          <cell r="D1333" t="str">
            <v>Trail Mix</v>
          </cell>
        </row>
        <row r="1334">
          <cell r="A1334" t="str">
            <v>Almond Blanched Sliced</v>
          </cell>
          <cell r="B1334" t="str">
            <v>RM</v>
          </cell>
          <cell r="C1334" t="str">
            <v>ALMOND</v>
          </cell>
          <cell r="D1334" t="str">
            <v>Almond - Broken</v>
          </cell>
        </row>
        <row r="1335">
          <cell r="A1335" t="str">
            <v>Almond Blanched, whole</v>
          </cell>
          <cell r="B1335" t="str">
            <v>RM</v>
          </cell>
          <cell r="C1335" t="str">
            <v>ALMOND</v>
          </cell>
          <cell r="D1335" t="str">
            <v>Almond - Kernels</v>
          </cell>
        </row>
        <row r="1336">
          <cell r="A1336" t="str">
            <v>Almond Cranberry Black currant and seeds Date Balls 48 gms</v>
          </cell>
          <cell r="B1336" t="str">
            <v>FG</v>
          </cell>
          <cell r="C1336" t="str">
            <v>TRAIL MIX</v>
          </cell>
          <cell r="D1336" t="str">
            <v>Trail Mix</v>
          </cell>
        </row>
        <row r="1337">
          <cell r="A1337" t="str">
            <v>Almond Flavoured Cajun Loose</v>
          </cell>
          <cell r="B1337" t="str">
            <v>FG</v>
          </cell>
          <cell r="C1337" t="str">
            <v>ALMOND</v>
          </cell>
          <cell r="D1337" t="str">
            <v>Almond - Kernels</v>
          </cell>
        </row>
        <row r="1338">
          <cell r="A1338" t="str">
            <v>Almond Flavoured Smoked Paprika Loose</v>
          </cell>
          <cell r="B1338" t="str">
            <v>FG</v>
          </cell>
          <cell r="C1338" t="str">
            <v>ALMOND</v>
          </cell>
          <cell r="D1338" t="str">
            <v>Almond - Kernels</v>
          </cell>
        </row>
        <row r="1339">
          <cell r="A1339" t="str">
            <v>Almond Kernal 150gm</v>
          </cell>
          <cell r="B1339" t="str">
            <v>FG</v>
          </cell>
          <cell r="C1339" t="str">
            <v>ALMOND</v>
          </cell>
          <cell r="D1339" t="str">
            <v>Almond - Kernels</v>
          </cell>
        </row>
        <row r="1340">
          <cell r="A1340" t="str">
            <v>Almond Kernal 450gm</v>
          </cell>
          <cell r="B1340" t="str">
            <v>FG</v>
          </cell>
          <cell r="C1340" t="str">
            <v>ALMOND</v>
          </cell>
          <cell r="D1340" t="str">
            <v>Almond - Kernels</v>
          </cell>
        </row>
        <row r="1341">
          <cell r="A1341" t="str">
            <v>Almond Kernel</v>
          </cell>
          <cell r="B1341" t="str">
            <v>RM</v>
          </cell>
          <cell r="C1341" t="str">
            <v>ALMOND</v>
          </cell>
          <cell r="D1341" t="str">
            <v>Almond - Kernels</v>
          </cell>
        </row>
        <row r="1342">
          <cell r="A1342" t="str">
            <v>Almond Mamra Touch</v>
          </cell>
          <cell r="B1342" t="str">
            <v>RM</v>
          </cell>
          <cell r="C1342" t="str">
            <v>ALMOND</v>
          </cell>
          <cell r="D1342" t="str">
            <v>Almond - Mamra</v>
          </cell>
        </row>
        <row r="1343">
          <cell r="A1343" t="str">
            <v>Almond Masala</v>
          </cell>
          <cell r="B1343" t="str">
            <v>FG</v>
          </cell>
          <cell r="C1343" t="str">
            <v>ALMOND</v>
          </cell>
          <cell r="D1343" t="str">
            <v>Almond - Kernels</v>
          </cell>
        </row>
        <row r="1344">
          <cell r="A1344" t="str">
            <v>Almond Peri Peri</v>
          </cell>
          <cell r="B1344" t="str">
            <v>FG</v>
          </cell>
          <cell r="C1344" t="str">
            <v>ALMOND</v>
          </cell>
          <cell r="D1344" t="str">
            <v>Almond - Kernels</v>
          </cell>
        </row>
        <row r="1345">
          <cell r="A1345" t="str">
            <v>Almond Plain 75gm</v>
          </cell>
          <cell r="B1345" t="str">
            <v>FG</v>
          </cell>
          <cell r="C1345" t="str">
            <v>ALMOND</v>
          </cell>
          <cell r="D1345" t="str">
            <v>Almond - Kernels</v>
          </cell>
        </row>
        <row r="1346">
          <cell r="A1346" t="str">
            <v>Almond Powder</v>
          </cell>
          <cell r="B1346" t="str">
            <v>RM</v>
          </cell>
          <cell r="C1346" t="str">
            <v>ALMOND</v>
          </cell>
          <cell r="D1346" t="str">
            <v>Almond - Broken</v>
          </cell>
        </row>
        <row r="1347">
          <cell r="A1347" t="str">
            <v>Almond Roasted</v>
          </cell>
          <cell r="B1347" t="str">
            <v>FG</v>
          </cell>
          <cell r="C1347" t="str">
            <v>ALMOND</v>
          </cell>
          <cell r="D1347" t="str">
            <v>Almond - Kernels</v>
          </cell>
        </row>
        <row r="1348">
          <cell r="A1348" t="str">
            <v>Almond Selected 230g</v>
          </cell>
          <cell r="B1348" t="str">
            <v>FG</v>
          </cell>
          <cell r="C1348" t="str">
            <v>ALMOND</v>
          </cell>
          <cell r="D1348" t="str">
            <v>Almond - Kernels</v>
          </cell>
        </row>
        <row r="1349">
          <cell r="A1349" t="str">
            <v>Almonds Halves Loose</v>
          </cell>
          <cell r="B1349" t="str">
            <v>FG</v>
          </cell>
          <cell r="C1349" t="str">
            <v>ALMOND</v>
          </cell>
          <cell r="D1349" t="str">
            <v>Almond - Kernels</v>
          </cell>
        </row>
        <row r="1350">
          <cell r="A1350" t="str">
            <v>Almonds Kernel Cube Cut</v>
          </cell>
          <cell r="B1350" t="str">
            <v>RM</v>
          </cell>
          <cell r="C1350" t="str">
            <v>ALMOND</v>
          </cell>
          <cell r="D1350" t="str">
            <v>Almond - Broken</v>
          </cell>
        </row>
        <row r="1351">
          <cell r="A1351" t="str">
            <v>Almond Sliced</v>
          </cell>
          <cell r="B1351" t="str">
            <v>RM</v>
          </cell>
          <cell r="C1351" t="str">
            <v>ALMOND</v>
          </cell>
          <cell r="D1351" t="str">
            <v>Almond - Broken</v>
          </cell>
        </row>
        <row r="1352">
          <cell r="A1352" t="str">
            <v>Aloevra Extract</v>
          </cell>
          <cell r="B1352" t="str">
            <v>RM</v>
          </cell>
          <cell r="C1352" t="str">
            <v>MISCELLANEOUS - RM</v>
          </cell>
          <cell r="D1352" t="str">
            <v>Other Misc</v>
          </cell>
        </row>
        <row r="1353">
          <cell r="A1353" t="str">
            <v>Alpino Peanut Crackers Chipotle Honey 60g</v>
          </cell>
          <cell r="B1353" t="str">
            <v>FG</v>
          </cell>
          <cell r="C1353" t="str">
            <v>PEANUTS</v>
          </cell>
          <cell r="D1353" t="str">
            <v>Peanut - Coated</v>
          </cell>
        </row>
        <row r="1354">
          <cell r="A1354" t="str">
            <v>Alpino Peanut Crackers Smokey BBQ 60g</v>
          </cell>
          <cell r="B1354" t="str">
            <v>FG</v>
          </cell>
          <cell r="C1354" t="str">
            <v>PEANUTS</v>
          </cell>
          <cell r="D1354" t="str">
            <v>Peanut - Coated</v>
          </cell>
        </row>
        <row r="1355">
          <cell r="A1355" t="str">
            <v>Amarath Puff</v>
          </cell>
          <cell r="B1355" t="str">
            <v>RM</v>
          </cell>
          <cell r="C1355" t="str">
            <v>MISCELLANEOUS - RM</v>
          </cell>
          <cell r="D1355" t="str">
            <v>Other Misc</v>
          </cell>
        </row>
        <row r="1356">
          <cell r="A1356" t="str">
            <v>Amarath Puff  - 5%</v>
          </cell>
          <cell r="B1356" t="str">
            <v>RM</v>
          </cell>
          <cell r="C1356" t="str">
            <v>MISCELLANEOUS - RM</v>
          </cell>
          <cell r="D1356" t="str">
            <v>Other Misc</v>
          </cell>
        </row>
        <row r="1357">
          <cell r="A1357" t="str">
            <v>Amary Dates</v>
          </cell>
          <cell r="B1357" t="str">
            <v>RM</v>
          </cell>
          <cell r="C1357" t="str">
            <v>DATES</v>
          </cell>
          <cell r="D1357" t="str">
            <v>Amary</v>
          </cell>
        </row>
        <row r="1358">
          <cell r="A1358" t="str">
            <v>Amary Dates 250g (1356293)</v>
          </cell>
          <cell r="B1358" t="str">
            <v>FG</v>
          </cell>
          <cell r="C1358" t="str">
            <v>DATES</v>
          </cell>
          <cell r="D1358" t="str">
            <v>Amary</v>
          </cell>
        </row>
        <row r="1359">
          <cell r="A1359" t="str">
            <v>Amazon Brand Nuts Berries and Seed Mix 200g (B0B69J57QV)</v>
          </cell>
          <cell r="B1359" t="str">
            <v>FG</v>
          </cell>
          <cell r="C1359" t="str">
            <v>TRAIL MIX</v>
          </cell>
          <cell r="D1359" t="str">
            <v>Trail Mix</v>
          </cell>
        </row>
        <row r="1360">
          <cell r="A1360" t="str">
            <v>Amazon Brand- Vedaka Dry Dates powder 200g</v>
          </cell>
          <cell r="B1360" t="str">
            <v>FG</v>
          </cell>
          <cell r="C1360" t="str">
            <v>DATES</v>
          </cell>
          <cell r="D1360" t="str">
            <v>Powder</v>
          </cell>
        </row>
        <row r="1361">
          <cell r="A1361" t="str">
            <v>Amazon Brand Vedaka Dryfruits and Berries Mix 200g (B0B69KXW9J)</v>
          </cell>
          <cell r="B1361" t="str">
            <v>FG</v>
          </cell>
          <cell r="C1361" t="str">
            <v>TRAIL MIX</v>
          </cell>
          <cell r="D1361" t="str">
            <v>Trail Mix</v>
          </cell>
        </row>
        <row r="1362">
          <cell r="A1362" t="str">
            <v>Amazon Brand Vedaka Dryfruits and Nut Mix 200g (B0B69KB4GB)</v>
          </cell>
          <cell r="B1362" t="str">
            <v>FG</v>
          </cell>
          <cell r="C1362" t="str">
            <v>TRAIL MIX</v>
          </cell>
          <cell r="D1362" t="str">
            <v>Trail Mix</v>
          </cell>
        </row>
        <row r="1363">
          <cell r="A1363" t="str">
            <v>Amazon Brand - Vedaka Premium Dry Fruits Combo 400 gm Gift Box ( B0BBDJMLYR )</v>
          </cell>
          <cell r="B1363" t="str">
            <v>FG</v>
          </cell>
          <cell r="C1363" t="str">
            <v>FESTIVE HAMPERS</v>
          </cell>
          <cell r="D1363" t="str">
            <v>Gifting</v>
          </cell>
        </row>
        <row r="1364">
          <cell r="A1364" t="str">
            <v>Amazon Brand - Vedaka Raw Sunflower Seeds 1 Kg B0D9P1N25J</v>
          </cell>
          <cell r="B1364" t="str">
            <v>FG</v>
          </cell>
          <cell r="C1364" t="str">
            <v>SEEDS</v>
          </cell>
          <cell r="D1364" t="str">
            <v>Sunflower</v>
          </cell>
        </row>
        <row r="1365">
          <cell r="A1365" t="str">
            <v>American Almond Double Tonch</v>
          </cell>
          <cell r="B1365" t="str">
            <v>RM</v>
          </cell>
          <cell r="C1365" t="str">
            <v>ALMOND</v>
          </cell>
          <cell r="D1365" t="str">
            <v>Almond - Kernels</v>
          </cell>
        </row>
        <row r="1366">
          <cell r="A1366" t="str">
            <v>American Almonds ( 18-20 Count)</v>
          </cell>
          <cell r="B1366" t="str">
            <v>RM</v>
          </cell>
          <cell r="C1366" t="str">
            <v>ALMOND</v>
          </cell>
          <cell r="D1366" t="str">
            <v>Almond - Kernels</v>
          </cell>
        </row>
        <row r="1367">
          <cell r="A1367" t="str">
            <v>American Almonds (22-23 Count)</v>
          </cell>
          <cell r="B1367" t="str">
            <v>RM</v>
          </cell>
          <cell r="C1367" t="str">
            <v>ALMOND</v>
          </cell>
          <cell r="D1367" t="str">
            <v>Almond - Kernels</v>
          </cell>
        </row>
        <row r="1368">
          <cell r="A1368" t="str">
            <v>American Almonds (23-25 Count)</v>
          </cell>
          <cell r="B1368" t="str">
            <v>RM</v>
          </cell>
          <cell r="C1368" t="str">
            <v>ALMOND</v>
          </cell>
          <cell r="D1368" t="str">
            <v>Almond - Kernels</v>
          </cell>
        </row>
        <row r="1369">
          <cell r="A1369" t="str">
            <v>American Almonds (24-25 Count)</v>
          </cell>
          <cell r="B1369" t="str">
            <v>RM</v>
          </cell>
          <cell r="C1369" t="str">
            <v>ALMOND</v>
          </cell>
          <cell r="D1369" t="str">
            <v>Almond - Kernels</v>
          </cell>
        </row>
        <row r="1370">
          <cell r="A1370" t="str">
            <v>American Almonds (Caramel) Tounch</v>
          </cell>
          <cell r="B1370" t="str">
            <v>RM</v>
          </cell>
          <cell r="C1370" t="str">
            <v>ALMOND</v>
          </cell>
          <cell r="D1370" t="str">
            <v>Almond - Kernels</v>
          </cell>
        </row>
        <row r="1371">
          <cell r="A1371" t="str">
            <v>American Almonds Dagi</v>
          </cell>
          <cell r="B1371" t="str">
            <v>RM</v>
          </cell>
          <cell r="C1371" t="str">
            <v>ALMOND</v>
          </cell>
          <cell r="D1371" t="str">
            <v>Almond - Kernels</v>
          </cell>
        </row>
        <row r="1372">
          <cell r="A1372" t="str">
            <v>American Almonds Kernal Sanora</v>
          </cell>
          <cell r="B1372" t="str">
            <v>RM</v>
          </cell>
          <cell r="C1372" t="str">
            <v>ALMOND</v>
          </cell>
          <cell r="D1372" t="str">
            <v>Almond - Kernels</v>
          </cell>
        </row>
        <row r="1373">
          <cell r="A1373" t="str">
            <v>American Almonds Kernel 20-22 count</v>
          </cell>
          <cell r="B1373" t="str">
            <v>RM</v>
          </cell>
          <cell r="C1373" t="str">
            <v>ALMOND</v>
          </cell>
          <cell r="D1373" t="str">
            <v>Almond - Kernels</v>
          </cell>
        </row>
        <row r="1374">
          <cell r="A1374" t="str">
            <v>American Almonds Kernel 30-32 count</v>
          </cell>
          <cell r="B1374" t="str">
            <v>RM</v>
          </cell>
          <cell r="C1374" t="str">
            <v>ALMOND</v>
          </cell>
          <cell r="D1374" t="str">
            <v>Almond - Kernels</v>
          </cell>
        </row>
        <row r="1375">
          <cell r="A1375" t="str">
            <v>American Almonds Kernel 32-34 count</v>
          </cell>
          <cell r="B1375" t="str">
            <v>RM</v>
          </cell>
          <cell r="C1375" t="str">
            <v>ALMOND</v>
          </cell>
          <cell r="D1375" t="str">
            <v>Almond - Kernels</v>
          </cell>
        </row>
        <row r="1376">
          <cell r="A1376" t="str">
            <v>American Almonds Pin Tonch</v>
          </cell>
          <cell r="B1376" t="str">
            <v>RM</v>
          </cell>
          <cell r="C1376" t="str">
            <v>ALMOND</v>
          </cell>
          <cell r="D1376" t="str">
            <v>Almond - Kernels</v>
          </cell>
        </row>
        <row r="1377">
          <cell r="A1377" t="str">
            <v>American Almonds Premium</v>
          </cell>
          <cell r="B1377" t="str">
            <v>RM</v>
          </cell>
          <cell r="C1377" t="str">
            <v>ALMOND</v>
          </cell>
          <cell r="D1377" t="str">
            <v>Almond - Kernels</v>
          </cell>
        </row>
        <row r="1378">
          <cell r="A1378" t="str">
            <v>American Almonds Running 25-27 count</v>
          </cell>
          <cell r="B1378" t="str">
            <v>RM</v>
          </cell>
          <cell r="C1378" t="str">
            <v>ALMOND</v>
          </cell>
          <cell r="D1378" t="str">
            <v>Almond - Kernels</v>
          </cell>
        </row>
        <row r="1379">
          <cell r="A1379" t="str">
            <v>American Almonds Running [28-30 Count]</v>
          </cell>
          <cell r="B1379" t="str">
            <v>RM</v>
          </cell>
          <cell r="C1379" t="str">
            <v>ALMOND</v>
          </cell>
          <cell r="D1379" t="str">
            <v>Almond - Kernels</v>
          </cell>
        </row>
        <row r="1380">
          <cell r="A1380" t="str">
            <v>American Almonds Special</v>
          </cell>
          <cell r="B1380" t="str">
            <v>RM</v>
          </cell>
          <cell r="C1380" t="str">
            <v>ALMOND</v>
          </cell>
          <cell r="D1380" t="str">
            <v>Almond - Kernels</v>
          </cell>
        </row>
        <row r="1381">
          <cell r="A1381" t="str">
            <v>American Almonds Tonch</v>
          </cell>
          <cell r="B1381" t="str">
            <v>RM</v>
          </cell>
          <cell r="C1381" t="str">
            <v>ALMOND</v>
          </cell>
          <cell r="D1381" t="str">
            <v>Almond - Kernels</v>
          </cell>
        </row>
        <row r="1382">
          <cell r="A1382" t="str">
            <v>American Almonds Tukda</v>
          </cell>
          <cell r="B1382" t="str">
            <v>RM</v>
          </cell>
          <cell r="C1382" t="str">
            <v>ALMOND</v>
          </cell>
          <cell r="D1382" t="str">
            <v>Almond - Broken</v>
          </cell>
        </row>
        <row r="1383">
          <cell r="A1383" t="str">
            <v>American Pecan 50gm</v>
          </cell>
          <cell r="B1383" t="str">
            <v>FG</v>
          </cell>
          <cell r="C1383" t="str">
            <v>PREMIUM NUTS</v>
          </cell>
          <cell r="D1383" t="str">
            <v>Pecan Nuts</v>
          </cell>
        </row>
        <row r="1384">
          <cell r="A1384" t="str">
            <v>Ameri Dates</v>
          </cell>
          <cell r="B1384" t="str">
            <v>RM</v>
          </cell>
          <cell r="C1384" t="str">
            <v>DATES</v>
          </cell>
          <cell r="D1384" t="str">
            <v>Amary</v>
          </cell>
        </row>
        <row r="1385">
          <cell r="A1385" t="str">
            <v>Amul Butter</v>
          </cell>
          <cell r="B1385" t="str">
            <v>RM</v>
          </cell>
          <cell r="C1385" t="str">
            <v>MISCELLANEOUS - RM</v>
          </cell>
          <cell r="D1385" t="str">
            <v>Other Misc</v>
          </cell>
        </row>
        <row r="1386">
          <cell r="A1386" t="str">
            <v>Anardana Churan</v>
          </cell>
          <cell r="B1386" t="str">
            <v>RM</v>
          </cell>
          <cell r="C1386" t="str">
            <v>SEASONING</v>
          </cell>
          <cell r="D1386" t="str">
            <v>Seasoning</v>
          </cell>
        </row>
        <row r="1387">
          <cell r="A1387" t="str">
            <v>Anardana Powder</v>
          </cell>
          <cell r="B1387" t="str">
            <v>RM</v>
          </cell>
          <cell r="C1387" t="str">
            <v>SEASONING</v>
          </cell>
          <cell r="D1387" t="str">
            <v>Seasoning</v>
          </cell>
        </row>
        <row r="1388">
          <cell r="A1388" t="str">
            <v>Anjeer 1*1</v>
          </cell>
          <cell r="B1388" t="str">
            <v>RM</v>
          </cell>
          <cell r="C1388" t="str">
            <v>ANJEER</v>
          </cell>
          <cell r="D1388" t="str">
            <v>Dried Figs</v>
          </cell>
        </row>
        <row r="1389">
          <cell r="A1389" t="str">
            <v>Anjeer 1*2</v>
          </cell>
          <cell r="B1389" t="str">
            <v>RM</v>
          </cell>
          <cell r="C1389" t="str">
            <v>ANJEER</v>
          </cell>
          <cell r="D1389" t="str">
            <v>Dried Figs</v>
          </cell>
        </row>
        <row r="1390">
          <cell r="A1390" t="str">
            <v>Anjeer 1*2 75gm</v>
          </cell>
          <cell r="B1390" t="str">
            <v>FG</v>
          </cell>
          <cell r="C1390" t="str">
            <v>ANJEER</v>
          </cell>
          <cell r="D1390" t="str">
            <v>Dried Figs</v>
          </cell>
        </row>
        <row r="1391">
          <cell r="A1391" t="str">
            <v>Anjeer Chutta</v>
          </cell>
          <cell r="B1391" t="str">
            <v>RM</v>
          </cell>
          <cell r="C1391" t="str">
            <v>ANJEER</v>
          </cell>
          <cell r="D1391" t="str">
            <v>Dried Figs</v>
          </cell>
        </row>
        <row r="1392">
          <cell r="A1392" t="str">
            <v>Anjeer (Figs)</v>
          </cell>
          <cell r="B1392" t="str">
            <v>RM</v>
          </cell>
          <cell r="C1392" t="str">
            <v>ANJEER</v>
          </cell>
          <cell r="D1392" t="str">
            <v>Dried Figs</v>
          </cell>
        </row>
        <row r="1393">
          <cell r="A1393" t="str">
            <v>Anjeer Selected</v>
          </cell>
          <cell r="B1393" t="str">
            <v>RM</v>
          </cell>
          <cell r="C1393" t="str">
            <v>ANJEER</v>
          </cell>
          <cell r="D1393" t="str">
            <v>Dried Figs</v>
          </cell>
        </row>
        <row r="1394">
          <cell r="A1394" t="str">
            <v>Antioxidant Mix 33gm</v>
          </cell>
          <cell r="B1394" t="str">
            <v>FG</v>
          </cell>
          <cell r="C1394" t="str">
            <v>TRAIL MIX</v>
          </cell>
          <cell r="D1394" t="str">
            <v>Trail Mix</v>
          </cell>
        </row>
        <row r="1395">
          <cell r="A1395" t="str">
            <v>Antioxidant Mix 35gm</v>
          </cell>
          <cell r="B1395" t="str">
            <v>FG</v>
          </cell>
          <cell r="C1395" t="str">
            <v>TRAIL MIX</v>
          </cell>
          <cell r="D1395" t="str">
            <v>Trail Mix</v>
          </cell>
        </row>
        <row r="1396">
          <cell r="A1396" t="str">
            <v>Apollo Life Arabian Dates 500g</v>
          </cell>
          <cell r="B1396" t="str">
            <v>FG</v>
          </cell>
          <cell r="C1396" t="str">
            <v>DATES</v>
          </cell>
          <cell r="D1396" t="str">
            <v>Barhi</v>
          </cell>
        </row>
        <row r="1397">
          <cell r="A1397" t="str">
            <v>Apricot Kernel</v>
          </cell>
          <cell r="B1397" t="str">
            <v>RM</v>
          </cell>
          <cell r="C1397" t="str">
            <v>APRICOT</v>
          </cell>
          <cell r="D1397" t="str">
            <v>Apricot - Kernel</v>
          </cell>
        </row>
        <row r="1398">
          <cell r="A1398" t="str">
            <v>Ar Barakah Fard Dates 1kg</v>
          </cell>
          <cell r="B1398" t="str">
            <v>FG</v>
          </cell>
          <cell r="C1398" t="str">
            <v>DATES</v>
          </cell>
          <cell r="D1398" t="str">
            <v>Fard</v>
          </cell>
        </row>
        <row r="1399">
          <cell r="A1399" t="str">
            <v>Ashwagandha Powder</v>
          </cell>
          <cell r="B1399" t="str">
            <v>RM</v>
          </cell>
          <cell r="C1399" t="str">
            <v>MISCELLANEOUS - RM</v>
          </cell>
          <cell r="D1399" t="str">
            <v>Other Misc</v>
          </cell>
        </row>
        <row r="1400">
          <cell r="A1400" t="str">
            <v>AUSTRALIA MACADAMIA HONEY ROAST 100G PCH</v>
          </cell>
          <cell r="B1400" t="str">
            <v>FG</v>
          </cell>
          <cell r="C1400" t="str">
            <v>PREMIUM NUTS</v>
          </cell>
          <cell r="D1400" t="str">
            <v>Macadamia Nuts</v>
          </cell>
        </row>
        <row r="1401">
          <cell r="A1401" t="str">
            <v>AUSTRALIA MACADAMIA SWEETCHILLI 100G PCH</v>
          </cell>
          <cell r="B1401" t="str">
            <v>FG</v>
          </cell>
          <cell r="C1401" t="str">
            <v>PREMIUM NUTS</v>
          </cell>
          <cell r="D1401" t="str">
            <v>Macadamia Nuts</v>
          </cell>
        </row>
        <row r="1402">
          <cell r="A1402" t="str">
            <v>AUSTRALIA MCADAMIA DARKCHOCOLTE 100G PCH</v>
          </cell>
          <cell r="B1402" t="str">
            <v>FG</v>
          </cell>
          <cell r="C1402" t="str">
            <v>PREMIUM NUTS</v>
          </cell>
          <cell r="D1402" t="str">
            <v>Macadamia Nuts</v>
          </cell>
        </row>
        <row r="1403">
          <cell r="A1403" t="str">
            <v>AUSTRALIA MCDAMIA MILKCHOCOLATE 100G PCH</v>
          </cell>
          <cell r="B1403" t="str">
            <v>FG</v>
          </cell>
          <cell r="C1403" t="str">
            <v>PREMIUM NUTS</v>
          </cell>
          <cell r="D1403" t="str">
            <v>Macadamia Nuts</v>
          </cell>
        </row>
        <row r="1404">
          <cell r="A1404" t="str">
            <v>AUSTRALIAN ALMOND INSHELL</v>
          </cell>
          <cell r="B1404" t="str">
            <v>RM</v>
          </cell>
          <cell r="C1404" t="str">
            <v>ALMOND</v>
          </cell>
          <cell r="D1404" t="str">
            <v>Almond - Inshell</v>
          </cell>
        </row>
        <row r="1405">
          <cell r="A1405" t="str">
            <v>Azmah Dates 500 Gms (110002703)</v>
          </cell>
          <cell r="B1405" t="str">
            <v>FG</v>
          </cell>
          <cell r="C1405" t="str">
            <v>DATES</v>
          </cell>
          <cell r="D1405" t="str">
            <v>Safavi</v>
          </cell>
        </row>
        <row r="1406">
          <cell r="A1406" t="str">
            <v>Bajra Flakes</v>
          </cell>
          <cell r="B1406" t="str">
            <v>RM</v>
          </cell>
          <cell r="C1406" t="str">
            <v>MISCELLANEOUS - RM</v>
          </cell>
          <cell r="D1406" t="str">
            <v>Flakes</v>
          </cell>
        </row>
        <row r="1407">
          <cell r="A1407" t="str">
            <v>Banarasi Box Hamper 03</v>
          </cell>
          <cell r="B1407" t="str">
            <v>FG</v>
          </cell>
          <cell r="C1407" t="str">
            <v>FESTIVE HAMPERS</v>
          </cell>
          <cell r="D1407" t="str">
            <v>Gifting</v>
          </cell>
        </row>
        <row r="1408">
          <cell r="A1408" t="str">
            <v>Barbeque Almonds</v>
          </cell>
          <cell r="B1408" t="str">
            <v>FG</v>
          </cell>
          <cell r="C1408" t="str">
            <v>ALMOND</v>
          </cell>
          <cell r="D1408" t="str">
            <v>Almond - Kernels</v>
          </cell>
        </row>
        <row r="1409">
          <cell r="A1409" t="str">
            <v>Barbeque Cashew</v>
          </cell>
          <cell r="B1409" t="str">
            <v>FG</v>
          </cell>
          <cell r="C1409" t="str">
            <v>CASHEW</v>
          </cell>
          <cell r="D1409" t="str">
            <v>Cashew - Kernel</v>
          </cell>
        </row>
        <row r="1410">
          <cell r="A1410" t="str">
            <v>Barbeque Cashew Bulk</v>
          </cell>
          <cell r="B1410" t="str">
            <v>FG</v>
          </cell>
          <cell r="C1410" t="str">
            <v>CASHEW</v>
          </cell>
          <cell r="D1410" t="str">
            <v>Cashew - Kernel</v>
          </cell>
        </row>
        <row r="1411">
          <cell r="A1411" t="str">
            <v>Barbeque Coated Peanuts 60gm</v>
          </cell>
          <cell r="B1411" t="str">
            <v>FG</v>
          </cell>
          <cell r="C1411" t="str">
            <v>PEANUTS</v>
          </cell>
          <cell r="D1411" t="str">
            <v>Peanut - Coated</v>
          </cell>
        </row>
        <row r="1412">
          <cell r="A1412" t="str">
            <v>Barbeque Macadamia</v>
          </cell>
          <cell r="B1412" t="str">
            <v>FG</v>
          </cell>
          <cell r="C1412" t="str">
            <v>PREMIUM NUTS</v>
          </cell>
          <cell r="D1412" t="str">
            <v>Macadamia Nuts</v>
          </cell>
        </row>
        <row r="1413">
          <cell r="A1413" t="str">
            <v>Barbeque Makhana</v>
          </cell>
          <cell r="B1413" t="str">
            <v>FG</v>
          </cell>
          <cell r="C1413" t="str">
            <v>MAKHANA</v>
          </cell>
          <cell r="D1413" t="str">
            <v>Makhana - Suta</v>
          </cell>
        </row>
        <row r="1414">
          <cell r="A1414" t="str">
            <v>Barbeque seasoning</v>
          </cell>
          <cell r="B1414" t="str">
            <v>RM</v>
          </cell>
          <cell r="C1414" t="str">
            <v>SEASONING</v>
          </cell>
          <cell r="D1414" t="str">
            <v>Seasoning</v>
          </cell>
        </row>
        <row r="1415">
          <cell r="A1415" t="str">
            <v>Barhi Grade-B</v>
          </cell>
          <cell r="B1415" t="str">
            <v>RM</v>
          </cell>
          <cell r="C1415" t="str">
            <v>DATES</v>
          </cell>
          <cell r="D1415" t="str">
            <v>Barhi</v>
          </cell>
        </row>
        <row r="1416">
          <cell r="A1416" t="str">
            <v>Barley Flakes</v>
          </cell>
          <cell r="B1416" t="str">
            <v>RM</v>
          </cell>
          <cell r="C1416" t="str">
            <v>MISCELLANEOUS - RM</v>
          </cell>
          <cell r="D1416" t="str">
            <v>Flakes</v>
          </cell>
        </row>
        <row r="1417">
          <cell r="A1417" t="str">
            <v>Barley Lahi</v>
          </cell>
          <cell r="B1417" t="str">
            <v>RM</v>
          </cell>
          <cell r="C1417" t="str">
            <v>MISCELLANEOUS - RM</v>
          </cell>
          <cell r="D1417" t="str">
            <v>Other Misc</v>
          </cell>
        </row>
        <row r="1418">
          <cell r="A1418" t="str">
            <v>Basil Seeds (Sabja)</v>
          </cell>
          <cell r="B1418" t="str">
            <v>RM</v>
          </cell>
          <cell r="C1418" t="str">
            <v>SEEDS</v>
          </cell>
          <cell r="D1418" t="str">
            <v>Sabja</v>
          </cell>
        </row>
        <row r="1419">
          <cell r="A1419" t="str">
            <v>BB Royal Ajwa Dates 500g</v>
          </cell>
          <cell r="B1419" t="str">
            <v>FG</v>
          </cell>
          <cell r="C1419" t="str">
            <v>DATES</v>
          </cell>
          <cell r="D1419" t="str">
            <v>Ajwa</v>
          </cell>
        </row>
        <row r="1420">
          <cell r="A1420" t="str">
            <v>BBroyal Black Current 100g</v>
          </cell>
          <cell r="B1420" t="str">
            <v>FG</v>
          </cell>
          <cell r="C1420" t="str">
            <v>BLACKCURRANT</v>
          </cell>
          <cell r="D1420" t="str">
            <v>Dried Blackcurrant</v>
          </cell>
        </row>
        <row r="1421">
          <cell r="A1421" t="str">
            <v>BB Royal Black Current 250g</v>
          </cell>
          <cell r="B1421" t="str">
            <v>FG</v>
          </cell>
          <cell r="C1421" t="str">
            <v>BLACKCURRANT</v>
          </cell>
          <cell r="D1421" t="str">
            <v>Dried Blackcurrant</v>
          </cell>
        </row>
        <row r="1422">
          <cell r="A1422" t="str">
            <v>BB Royal Dates - Ajwa 250g</v>
          </cell>
          <cell r="B1422" t="str">
            <v>FG</v>
          </cell>
          <cell r="C1422" t="str">
            <v>DATES</v>
          </cell>
          <cell r="D1422" t="str">
            <v>Ajwa</v>
          </cell>
        </row>
        <row r="1423">
          <cell r="A1423" t="str">
            <v>BB Royal Dates - Deri 500 g</v>
          </cell>
          <cell r="B1423" t="str">
            <v>FG</v>
          </cell>
          <cell r="C1423" t="str">
            <v>DATES</v>
          </cell>
          <cell r="D1423" t="str">
            <v>Deri</v>
          </cell>
        </row>
        <row r="1424">
          <cell r="A1424" t="str">
            <v>BB Royal Dates - Golden 500 g</v>
          </cell>
          <cell r="B1424" t="str">
            <v>FG</v>
          </cell>
          <cell r="C1424" t="str">
            <v>DATES</v>
          </cell>
          <cell r="D1424" t="str">
            <v>Khalas</v>
          </cell>
        </row>
        <row r="1425">
          <cell r="A1425" t="str">
            <v>BB Royal Dates - Mazafati 250g</v>
          </cell>
          <cell r="B1425" t="str">
            <v>FG</v>
          </cell>
          <cell r="C1425" t="str">
            <v>DATES</v>
          </cell>
          <cell r="D1425" t="str">
            <v>Kimia</v>
          </cell>
        </row>
        <row r="1426">
          <cell r="A1426" t="str">
            <v>BB Royal Dates - Medjool 250g</v>
          </cell>
          <cell r="B1426" t="str">
            <v>FG</v>
          </cell>
          <cell r="C1426" t="str">
            <v>DATES</v>
          </cell>
          <cell r="D1426" t="str">
            <v>Medjoul-General</v>
          </cell>
        </row>
        <row r="1427">
          <cell r="A1427" t="str">
            <v>BB Royal Dates - Omani 250g</v>
          </cell>
          <cell r="B1427" t="str">
            <v>FG</v>
          </cell>
          <cell r="C1427" t="str">
            <v>DATES</v>
          </cell>
          <cell r="D1427" t="str">
            <v>Fard</v>
          </cell>
        </row>
        <row r="1428">
          <cell r="A1428" t="str">
            <v>BB Royal Dates - Red, Seedless 250 g</v>
          </cell>
          <cell r="B1428" t="str">
            <v>FG</v>
          </cell>
          <cell r="C1428" t="str">
            <v>DATES</v>
          </cell>
          <cell r="D1428" t="str">
            <v>Seedless</v>
          </cell>
        </row>
        <row r="1429">
          <cell r="A1429" t="str">
            <v>BB Royal Dates - Safawi 250g</v>
          </cell>
          <cell r="B1429" t="str">
            <v>FG</v>
          </cell>
          <cell r="C1429" t="str">
            <v>DATES</v>
          </cell>
          <cell r="D1429" t="str">
            <v>Safavi</v>
          </cell>
        </row>
        <row r="1430">
          <cell r="A1430" t="str">
            <v>BB Royal Dates - Zahidi 500 g</v>
          </cell>
          <cell r="B1430" t="str">
            <v>FG</v>
          </cell>
          <cell r="C1430" t="str">
            <v>DATES</v>
          </cell>
          <cell r="D1430" t="str">
            <v>Zahidi</v>
          </cell>
        </row>
        <row r="1431">
          <cell r="A1431" t="str">
            <v>BB Royal Dried Blue Berries 100g</v>
          </cell>
          <cell r="B1431" t="str">
            <v>FG</v>
          </cell>
          <cell r="C1431" t="str">
            <v>BLUEBERRY</v>
          </cell>
          <cell r="D1431" t="str">
            <v>Blueberry - Plain</v>
          </cell>
        </row>
        <row r="1432">
          <cell r="A1432" t="str">
            <v>BB Royal Dried Blue Berries 250g</v>
          </cell>
          <cell r="B1432" t="str">
            <v>FG</v>
          </cell>
          <cell r="C1432" t="str">
            <v>BLUEBERRY</v>
          </cell>
          <cell r="D1432" t="str">
            <v>Blueberry - Plain</v>
          </cell>
        </row>
        <row r="1433">
          <cell r="A1433" t="str">
            <v>BB Royal Dried Cran Berries 100g</v>
          </cell>
          <cell r="B1433" t="str">
            <v>FG</v>
          </cell>
          <cell r="C1433" t="str">
            <v>CRANBERRY</v>
          </cell>
          <cell r="D1433" t="str">
            <v>Cranberry - Whole</v>
          </cell>
        </row>
        <row r="1434">
          <cell r="A1434" t="str">
            <v>BB Royal Dried Cran Berry 250g</v>
          </cell>
          <cell r="B1434" t="str">
            <v>FG</v>
          </cell>
          <cell r="C1434" t="str">
            <v>CRANBERRY</v>
          </cell>
          <cell r="D1434" t="str">
            <v>Cranberry - Whole</v>
          </cell>
        </row>
        <row r="1435">
          <cell r="A1435" t="str">
            <v>BB Royal Mazafati Dates 500g</v>
          </cell>
          <cell r="B1435" t="str">
            <v>FG</v>
          </cell>
          <cell r="C1435" t="str">
            <v>DATES</v>
          </cell>
          <cell r="D1435" t="str">
            <v>Kimia</v>
          </cell>
        </row>
        <row r="1436">
          <cell r="A1436" t="str">
            <v>BB Royal Medjool Dates 500g</v>
          </cell>
          <cell r="B1436" t="str">
            <v>FG</v>
          </cell>
          <cell r="C1436" t="str">
            <v>DATES</v>
          </cell>
          <cell r="D1436" t="str">
            <v>Medjoul-General</v>
          </cell>
        </row>
        <row r="1437">
          <cell r="A1437" t="str">
            <v>Bb Royal Omani Dates 500gm</v>
          </cell>
          <cell r="B1437" t="str">
            <v>FG</v>
          </cell>
          <cell r="C1437" t="str">
            <v>DATES</v>
          </cell>
          <cell r="D1437" t="str">
            <v>Oman</v>
          </cell>
        </row>
        <row r="1438">
          <cell r="A1438" t="str">
            <v>BB Royal Red Dates - With Seeds 500gm</v>
          </cell>
          <cell r="B1438" t="str">
            <v>FG</v>
          </cell>
          <cell r="C1438" t="str">
            <v>DATES</v>
          </cell>
          <cell r="D1438" t="str">
            <v>Lulu</v>
          </cell>
        </row>
        <row r="1439">
          <cell r="A1439" t="str">
            <v>BB Royal Safavi Dates 500g</v>
          </cell>
          <cell r="B1439" t="str">
            <v>FG</v>
          </cell>
          <cell r="C1439" t="str">
            <v>DATES</v>
          </cell>
          <cell r="D1439" t="str">
            <v>Safavi</v>
          </cell>
        </row>
        <row r="1440">
          <cell r="A1440" t="str">
            <v>Berry Mix</v>
          </cell>
          <cell r="B1440" t="str">
            <v>FG</v>
          </cell>
          <cell r="C1440" t="str">
            <v>TRAIL MIX</v>
          </cell>
          <cell r="D1440" t="str">
            <v>Trail Mix</v>
          </cell>
        </row>
        <row r="1441">
          <cell r="A1441" t="str">
            <v>BESAN AATA</v>
          </cell>
          <cell r="B1441" t="str">
            <v>RM</v>
          </cell>
          <cell r="C1441" t="str">
            <v>MISCELLANEOUS - RM</v>
          </cell>
          <cell r="D1441" t="str">
            <v>Flour</v>
          </cell>
        </row>
        <row r="1442">
          <cell r="A1442" t="str">
            <v>Black Cardamom</v>
          </cell>
          <cell r="B1442" t="str">
            <v>RM</v>
          </cell>
          <cell r="C1442" t="str">
            <v>SPICES</v>
          </cell>
          <cell r="D1442" t="str">
            <v>Whole Spices</v>
          </cell>
        </row>
        <row r="1443">
          <cell r="A1443" t="str">
            <v>Black Chia Seeds</v>
          </cell>
          <cell r="B1443" t="str">
            <v>RM</v>
          </cell>
          <cell r="C1443" t="str">
            <v>SEEDS</v>
          </cell>
          <cell r="D1443" t="str">
            <v>Chia</v>
          </cell>
        </row>
        <row r="1444">
          <cell r="A1444" t="str">
            <v>Blackcurrant Date Balls 48 gms</v>
          </cell>
          <cell r="B1444" t="str">
            <v>FG</v>
          </cell>
          <cell r="C1444" t="str">
            <v>TRAIL MIX</v>
          </cell>
          <cell r="D1444" t="str">
            <v>Trail Mix</v>
          </cell>
        </row>
        <row r="1445">
          <cell r="A1445" t="str">
            <v>Black Pepper Almonds</v>
          </cell>
          <cell r="B1445" t="str">
            <v>FG</v>
          </cell>
          <cell r="C1445" t="str">
            <v>ALMOND</v>
          </cell>
          <cell r="D1445" t="str">
            <v>Almond - Kernels</v>
          </cell>
        </row>
        <row r="1446">
          <cell r="A1446" t="str">
            <v>BLACK PEPPER CASHEW</v>
          </cell>
          <cell r="B1446" t="str">
            <v>FG</v>
          </cell>
          <cell r="C1446" t="str">
            <v>CASHEW</v>
          </cell>
          <cell r="D1446" t="str">
            <v>Cashew - Kernel</v>
          </cell>
        </row>
        <row r="1447">
          <cell r="A1447" t="str">
            <v>Black Pepper Cashew Bulk</v>
          </cell>
          <cell r="B1447" t="str">
            <v>FG</v>
          </cell>
          <cell r="C1447" t="str">
            <v>CASHEW</v>
          </cell>
          <cell r="D1447" t="str">
            <v>Cashew - Kernel</v>
          </cell>
        </row>
        <row r="1448">
          <cell r="A1448" t="str">
            <v>Black Pepper (Kali Miri Whole)</v>
          </cell>
          <cell r="B1448" t="str">
            <v>RM</v>
          </cell>
          <cell r="C1448" t="str">
            <v>SPICES</v>
          </cell>
          <cell r="D1448" t="str">
            <v>Whole Spices</v>
          </cell>
        </row>
        <row r="1449">
          <cell r="A1449" t="str">
            <v>Black Pepper Macadamia Trail Mix</v>
          </cell>
          <cell r="B1449" t="str">
            <v>FG</v>
          </cell>
          <cell r="C1449" t="str">
            <v>PREMIUM NUTS</v>
          </cell>
          <cell r="D1449" t="str">
            <v>Macadamia Nuts</v>
          </cell>
        </row>
        <row r="1450">
          <cell r="A1450" t="str">
            <v>Black Pepper Nutty Seed Mix 250gm</v>
          </cell>
          <cell r="B1450" t="str">
            <v>FG</v>
          </cell>
          <cell r="C1450" t="str">
            <v>TRAIL MIX</v>
          </cell>
          <cell r="D1450" t="str">
            <v>Trail Mix</v>
          </cell>
        </row>
        <row r="1451">
          <cell r="A1451" t="str">
            <v>Black Pepper Pecannut</v>
          </cell>
          <cell r="B1451" t="str">
            <v>FG</v>
          </cell>
          <cell r="C1451" t="str">
            <v>PREMIUM NUTS</v>
          </cell>
          <cell r="D1451" t="str">
            <v>Pecan Nuts</v>
          </cell>
        </row>
        <row r="1452">
          <cell r="A1452" t="str">
            <v>Black Pepper Powder</v>
          </cell>
          <cell r="B1452" t="str">
            <v>RM</v>
          </cell>
          <cell r="C1452" t="str">
            <v>SEASONING</v>
          </cell>
          <cell r="D1452" t="str">
            <v>Seasoning</v>
          </cell>
        </row>
        <row r="1453">
          <cell r="A1453" t="str">
            <v>Black Pepper Seasoning</v>
          </cell>
          <cell r="B1453" t="str">
            <v>RM</v>
          </cell>
          <cell r="C1453" t="str">
            <v>SEASONING</v>
          </cell>
          <cell r="D1453" t="str">
            <v>Seasoning</v>
          </cell>
        </row>
        <row r="1454">
          <cell r="A1454" t="str">
            <v>Black Sesame seeds - Kali Til</v>
          </cell>
          <cell r="B1454" t="str">
            <v>RM</v>
          </cell>
          <cell r="C1454" t="str">
            <v>SEEDS</v>
          </cell>
          <cell r="D1454" t="str">
            <v>Sesame</v>
          </cell>
        </row>
        <row r="1455">
          <cell r="A1455" t="str">
            <v>BLANCHED ALMOND FLOUR</v>
          </cell>
          <cell r="B1455" t="str">
            <v>RM</v>
          </cell>
          <cell r="C1455" t="str">
            <v>ALMOND</v>
          </cell>
          <cell r="D1455" t="str">
            <v>Almond - Broken</v>
          </cell>
        </row>
        <row r="1456">
          <cell r="A1456" t="str">
            <v>Blanched Kernels Peanut Split</v>
          </cell>
          <cell r="B1456" t="str">
            <v>RM</v>
          </cell>
          <cell r="C1456" t="str">
            <v>PEANUTS</v>
          </cell>
          <cell r="D1456" t="str">
            <v>Peanut - Split</v>
          </cell>
        </row>
        <row r="1457">
          <cell r="A1457" t="str">
            <v>Blanched white Peanut Kernels</v>
          </cell>
          <cell r="B1457" t="str">
            <v>RM</v>
          </cell>
          <cell r="C1457" t="str">
            <v>PEANUTS</v>
          </cell>
          <cell r="D1457" t="str">
            <v>Peanut - Whole</v>
          </cell>
        </row>
        <row r="1458">
          <cell r="A1458" t="str">
            <v>BLISSFUL CELEBRATION 360gm</v>
          </cell>
          <cell r="B1458" t="str">
            <v>FG</v>
          </cell>
          <cell r="C1458" t="str">
            <v>FESTIVE HAMPERS</v>
          </cell>
          <cell r="D1458" t="str">
            <v>Gifting</v>
          </cell>
        </row>
        <row r="1459">
          <cell r="A1459" t="str">
            <v>Blueberries 230g</v>
          </cell>
          <cell r="B1459" t="str">
            <v>FG</v>
          </cell>
          <cell r="C1459" t="str">
            <v>BLUEBERRY</v>
          </cell>
          <cell r="D1459" t="str">
            <v>Blueberry - Plain</v>
          </cell>
        </row>
        <row r="1460">
          <cell r="A1460" t="str">
            <v>Blueberries 75gm</v>
          </cell>
          <cell r="B1460" t="str">
            <v>FG</v>
          </cell>
          <cell r="C1460" t="str">
            <v>BLUEBERRY</v>
          </cell>
          <cell r="D1460" t="str">
            <v>Blueberry - Plain</v>
          </cell>
        </row>
        <row r="1461">
          <cell r="A1461" t="str">
            <v>Booster Berries 33gm</v>
          </cell>
          <cell r="B1461" t="str">
            <v>FG</v>
          </cell>
          <cell r="C1461" t="str">
            <v>TRAIL MIX</v>
          </cell>
          <cell r="D1461" t="str">
            <v>Trail Mix</v>
          </cell>
        </row>
        <row r="1462">
          <cell r="A1462" t="str">
            <v>Booster Berries 35gm</v>
          </cell>
          <cell r="B1462" t="str">
            <v>FG</v>
          </cell>
          <cell r="C1462" t="str">
            <v>TRAIL MIX</v>
          </cell>
          <cell r="D1462" t="str">
            <v>Trail Mix</v>
          </cell>
        </row>
        <row r="1463">
          <cell r="A1463" t="str">
            <v>Boria Mirch - Round Red Chilli / Boriya Chilli</v>
          </cell>
          <cell r="B1463" t="str">
            <v>RM</v>
          </cell>
          <cell r="C1463" t="str">
            <v>SPICES</v>
          </cell>
          <cell r="D1463" t="str">
            <v>Whole Spices</v>
          </cell>
        </row>
        <row r="1464">
          <cell r="A1464" t="str">
            <v>Brazil Nuts</v>
          </cell>
          <cell r="B1464" t="str">
            <v>RM</v>
          </cell>
          <cell r="C1464" t="str">
            <v>PREMIUM NUTS</v>
          </cell>
          <cell r="D1464" t="str">
            <v>Brazil Nuts</v>
          </cell>
        </row>
        <row r="1465">
          <cell r="A1465" t="str">
            <v>Breakfast Mix Bulk</v>
          </cell>
          <cell r="B1465" t="str">
            <v>FG</v>
          </cell>
          <cell r="C1465" t="str">
            <v>TRAIL MIX</v>
          </cell>
          <cell r="D1465" t="str">
            <v>Trail Mix</v>
          </cell>
        </row>
        <row r="1466">
          <cell r="A1466" t="str">
            <v>Cafe Galleria Walnut Kernel 250g</v>
          </cell>
          <cell r="B1466" t="str">
            <v>FG</v>
          </cell>
          <cell r="C1466" t="str">
            <v>WALNUT</v>
          </cell>
          <cell r="D1466" t="str">
            <v>Walnut - Kernel</v>
          </cell>
        </row>
        <row r="1467">
          <cell r="A1467" t="str">
            <v>Cafe Galleries American Almond 25-27count - 250gm</v>
          </cell>
          <cell r="B1467" t="str">
            <v>FG</v>
          </cell>
          <cell r="C1467" t="str">
            <v>ALMOND</v>
          </cell>
          <cell r="D1467" t="str">
            <v>Almond - Kernels</v>
          </cell>
        </row>
        <row r="1468">
          <cell r="A1468" t="str">
            <v>Cafe Galleries American Pista Inshell Regular 250gm</v>
          </cell>
          <cell r="B1468" t="str">
            <v>FG</v>
          </cell>
          <cell r="C1468" t="str">
            <v>PISTA</v>
          </cell>
          <cell r="D1468" t="str">
            <v>Pista - Inshell</v>
          </cell>
        </row>
        <row r="1469">
          <cell r="A1469" t="str">
            <v>Cafe Galleries American Pista Inshell Selected 250g</v>
          </cell>
          <cell r="B1469" t="str">
            <v>FG</v>
          </cell>
          <cell r="C1469" t="str">
            <v>PISTA</v>
          </cell>
          <cell r="D1469" t="str">
            <v>Pista - Inshell</v>
          </cell>
        </row>
        <row r="1470">
          <cell r="A1470" t="str">
            <v>Cafe Galleries Anjeer 500g Big</v>
          </cell>
          <cell r="B1470" t="str">
            <v>FG</v>
          </cell>
          <cell r="C1470" t="str">
            <v>ANJEER</v>
          </cell>
          <cell r="D1470" t="str">
            <v>Dried Figs</v>
          </cell>
        </row>
        <row r="1471">
          <cell r="A1471" t="str">
            <v>Cafe Galleries Blueberry 250g</v>
          </cell>
          <cell r="B1471" t="str">
            <v>FG</v>
          </cell>
          <cell r="C1471" t="str">
            <v>BLUEBERRY</v>
          </cell>
          <cell r="D1471" t="str">
            <v>Blueberry - Plain</v>
          </cell>
        </row>
        <row r="1472">
          <cell r="A1472" t="str">
            <v>Cafe Galleries Brazil Nuts 250g</v>
          </cell>
          <cell r="B1472" t="str">
            <v>FG</v>
          </cell>
          <cell r="C1472" t="str">
            <v>PREMIUM NUTS</v>
          </cell>
          <cell r="D1472" t="str">
            <v>Brazil Nuts</v>
          </cell>
        </row>
        <row r="1473">
          <cell r="A1473" t="str">
            <v>Cafe Galleries Cashew 150 - 250gm</v>
          </cell>
          <cell r="B1473" t="str">
            <v>FG</v>
          </cell>
          <cell r="C1473" t="str">
            <v>CASHEW</v>
          </cell>
          <cell r="D1473" t="str">
            <v>Cashew - Kernel</v>
          </cell>
        </row>
        <row r="1474">
          <cell r="A1474" t="str">
            <v>Cafe Galleries Cashew 180 - 250gm</v>
          </cell>
          <cell r="B1474" t="str">
            <v>FG</v>
          </cell>
          <cell r="C1474" t="str">
            <v>CASHEW</v>
          </cell>
          <cell r="D1474" t="str">
            <v>Cashew - Kernel</v>
          </cell>
        </row>
        <row r="1475">
          <cell r="A1475" t="str">
            <v>Cafe Galleries Cashew 180 - 500gm</v>
          </cell>
          <cell r="B1475" t="str">
            <v>FG</v>
          </cell>
          <cell r="C1475" t="str">
            <v>CASHEW</v>
          </cell>
          <cell r="D1475" t="str">
            <v>Cashew - Kernel</v>
          </cell>
        </row>
        <row r="1476">
          <cell r="A1476" t="str">
            <v>Cafe Galleries Cashew 210 - 250gm</v>
          </cell>
          <cell r="B1476" t="str">
            <v>FG</v>
          </cell>
          <cell r="C1476" t="str">
            <v>CASHEW</v>
          </cell>
          <cell r="D1476" t="str">
            <v>Cashew - Kernel</v>
          </cell>
        </row>
        <row r="1477">
          <cell r="A1477" t="str">
            <v>Cafe Galleries Cashew 210 - 500g</v>
          </cell>
          <cell r="B1477" t="str">
            <v>FG</v>
          </cell>
          <cell r="C1477" t="str">
            <v>CASHEW</v>
          </cell>
          <cell r="D1477" t="str">
            <v>Cashew - Kernel</v>
          </cell>
        </row>
        <row r="1478">
          <cell r="A1478" t="str">
            <v>Cafe Galleries Cashew 240 - 250g</v>
          </cell>
          <cell r="B1478" t="str">
            <v>FG</v>
          </cell>
          <cell r="C1478" t="str">
            <v>CASHEW</v>
          </cell>
          <cell r="D1478" t="str">
            <v>Cashew - Kernel</v>
          </cell>
        </row>
        <row r="1479">
          <cell r="A1479" t="str">
            <v>Cafe Galleries Cashew 240 - 500gm</v>
          </cell>
          <cell r="B1479" t="str">
            <v>FG</v>
          </cell>
          <cell r="C1479" t="str">
            <v>CASHEW</v>
          </cell>
          <cell r="D1479" t="str">
            <v>Cashew - Kernel</v>
          </cell>
        </row>
        <row r="1480">
          <cell r="A1480" t="str">
            <v>Cafe Galleries Cashew 320 - 250gm</v>
          </cell>
          <cell r="B1480" t="str">
            <v>FG</v>
          </cell>
          <cell r="C1480" t="str">
            <v>CASHEW</v>
          </cell>
          <cell r="D1480" t="str">
            <v>Cashew - Kernel</v>
          </cell>
        </row>
        <row r="1481">
          <cell r="A1481" t="str">
            <v>Cafe Galleries Cashew Black Pepper 250 Gm</v>
          </cell>
          <cell r="B1481" t="str">
            <v>FG</v>
          </cell>
          <cell r="C1481" t="str">
            <v>CASHEW</v>
          </cell>
          <cell r="D1481" t="str">
            <v>Cashew - Kernel</v>
          </cell>
        </row>
        <row r="1482">
          <cell r="A1482" t="str">
            <v>Cafe Galleries Cashew Salted 180 250g</v>
          </cell>
          <cell r="B1482" t="str">
            <v>FG</v>
          </cell>
          <cell r="C1482" t="str">
            <v>CASHEW</v>
          </cell>
          <cell r="D1482" t="str">
            <v>Cashew - Kernel</v>
          </cell>
        </row>
        <row r="1483">
          <cell r="A1483" t="str">
            <v>Cafe Galleries Chia seeds 250g</v>
          </cell>
          <cell r="B1483" t="str">
            <v>FG</v>
          </cell>
          <cell r="C1483" t="str">
            <v>SEEDS</v>
          </cell>
          <cell r="D1483" t="str">
            <v>Chia</v>
          </cell>
        </row>
        <row r="1484">
          <cell r="A1484" t="str">
            <v>Cafe Galleries Cocktail Mix 250g(Almond,Cashew,Pista,Black Raisins)</v>
          </cell>
          <cell r="B1484" t="str">
            <v>FG</v>
          </cell>
          <cell r="C1484" t="str">
            <v>TRAIL MIX</v>
          </cell>
          <cell r="D1484" t="str">
            <v>Trail Mix</v>
          </cell>
        </row>
        <row r="1485">
          <cell r="A1485" t="str">
            <v>Cafe Galleries Cranberry Whole 250g</v>
          </cell>
          <cell r="B1485" t="str">
            <v>FG</v>
          </cell>
          <cell r="C1485" t="str">
            <v>CRANBERRY</v>
          </cell>
          <cell r="D1485" t="str">
            <v>Cranberry - Whole</v>
          </cell>
        </row>
        <row r="1486">
          <cell r="A1486" t="str">
            <v>Cafe Galleries Flax seeds 250g</v>
          </cell>
          <cell r="B1486" t="str">
            <v>FG</v>
          </cell>
          <cell r="C1486" t="str">
            <v>SEEDS</v>
          </cell>
          <cell r="D1486" t="str">
            <v>FLax</v>
          </cell>
        </row>
        <row r="1487">
          <cell r="A1487" t="str">
            <v>Cafe Galleries Hazelnuts 250g</v>
          </cell>
          <cell r="B1487" t="str">
            <v>FG</v>
          </cell>
          <cell r="C1487" t="str">
            <v>PREMIUM NUTS</v>
          </cell>
          <cell r="D1487" t="str">
            <v>Hazelnuts</v>
          </cell>
        </row>
        <row r="1488">
          <cell r="A1488" t="str">
            <v>Cafe Galleries Healthy Mewa Mix 250g</v>
          </cell>
          <cell r="B1488" t="str">
            <v>FG</v>
          </cell>
          <cell r="C1488" t="str">
            <v>TRAIL MIX</v>
          </cell>
          <cell r="D1488" t="str">
            <v>Trail Mix</v>
          </cell>
        </row>
        <row r="1489">
          <cell r="A1489" t="str">
            <v>Cafe Galleries Macadamia Nut Salted 250g</v>
          </cell>
          <cell r="B1489" t="str">
            <v>FG</v>
          </cell>
          <cell r="C1489" t="str">
            <v>PREMIUM NUTS</v>
          </cell>
          <cell r="D1489" t="str">
            <v>Macadamia Nuts</v>
          </cell>
        </row>
        <row r="1490">
          <cell r="A1490" t="str">
            <v>Cafe Galleries Pecan nuts 250g</v>
          </cell>
          <cell r="B1490" t="str">
            <v>FG</v>
          </cell>
          <cell r="C1490" t="str">
            <v>PREMIUM NUTS</v>
          </cell>
          <cell r="D1490" t="str">
            <v>Pecan Nuts</v>
          </cell>
        </row>
        <row r="1491">
          <cell r="A1491" t="str">
            <v>Cafe Galleries  Pepper Pista Inshell 250gm</v>
          </cell>
          <cell r="B1491" t="str">
            <v>FG</v>
          </cell>
          <cell r="C1491" t="str">
            <v>PISTA</v>
          </cell>
          <cell r="D1491" t="str">
            <v>Pista - Inshell</v>
          </cell>
        </row>
        <row r="1492">
          <cell r="A1492" t="str">
            <v>Cafe Galleries Pine nut 250g</v>
          </cell>
          <cell r="B1492" t="str">
            <v>FG</v>
          </cell>
          <cell r="C1492" t="str">
            <v>PREMIUM NUTS</v>
          </cell>
          <cell r="D1492" t="str">
            <v>Pine Nuts</v>
          </cell>
        </row>
        <row r="1493">
          <cell r="A1493" t="str">
            <v>Cafe Galleries Premium Cocktail Mix 250g</v>
          </cell>
          <cell r="B1493" t="str">
            <v>FG</v>
          </cell>
          <cell r="C1493" t="str">
            <v>TRAIL MIX</v>
          </cell>
          <cell r="D1493" t="str">
            <v>Trail Mix</v>
          </cell>
        </row>
        <row r="1494">
          <cell r="A1494" t="str">
            <v>Cafe Galleries Pumpkin Seeds 250g</v>
          </cell>
          <cell r="B1494" t="str">
            <v>FG</v>
          </cell>
          <cell r="C1494" t="str">
            <v>SEEDS</v>
          </cell>
          <cell r="D1494" t="str">
            <v>Pumpkin</v>
          </cell>
        </row>
        <row r="1495">
          <cell r="A1495" t="str">
            <v>Cafe Galleries Salted Cashew 210- 250gm</v>
          </cell>
          <cell r="B1495" t="str">
            <v>FG</v>
          </cell>
          <cell r="C1495" t="str">
            <v>CASHEW</v>
          </cell>
          <cell r="D1495" t="str">
            <v>Cashew - Kernel</v>
          </cell>
        </row>
        <row r="1496">
          <cell r="A1496" t="str">
            <v>Cafe Galleries Salted Pumpkin Seeds 250g</v>
          </cell>
          <cell r="B1496" t="str">
            <v>FG</v>
          </cell>
          <cell r="C1496" t="str">
            <v>SEEDS</v>
          </cell>
          <cell r="D1496" t="str">
            <v>Pumpkin</v>
          </cell>
        </row>
        <row r="1497">
          <cell r="A1497" t="str">
            <v>Cafe Galleries Seeds Mix, 250g</v>
          </cell>
          <cell r="B1497" t="str">
            <v>FG</v>
          </cell>
          <cell r="C1497" t="str">
            <v>TRAIL MIX</v>
          </cell>
          <cell r="D1497" t="str">
            <v>Trail Mix</v>
          </cell>
        </row>
        <row r="1498">
          <cell r="A1498" t="str">
            <v>Cafe Galleries Selected American Almond 18 count - 250gm</v>
          </cell>
          <cell r="B1498" t="str">
            <v>FG</v>
          </cell>
          <cell r="C1498" t="str">
            <v>ALMOND</v>
          </cell>
          <cell r="D1498" t="str">
            <v>Almond - Kernels</v>
          </cell>
        </row>
        <row r="1499">
          <cell r="A1499" t="str">
            <v>Cafe Galleries Selected American Almond 20-22 count - 250gm</v>
          </cell>
          <cell r="B1499" t="str">
            <v>FG</v>
          </cell>
          <cell r="C1499" t="str">
            <v>ALMOND</v>
          </cell>
          <cell r="D1499" t="str">
            <v>Almond - Kernels</v>
          </cell>
        </row>
        <row r="1500">
          <cell r="A1500" t="str">
            <v>Cafe Galleries Slice Cranberry 250g</v>
          </cell>
          <cell r="B1500" t="str">
            <v>FG</v>
          </cell>
          <cell r="C1500" t="str">
            <v>CRANBERRY</v>
          </cell>
          <cell r="D1500" t="str">
            <v>Cranberry - Sliced</v>
          </cell>
        </row>
        <row r="1501">
          <cell r="A1501" t="str">
            <v>Cafe Galleries Sunflower Seeds - 250gm</v>
          </cell>
          <cell r="B1501" t="str">
            <v>FG</v>
          </cell>
          <cell r="C1501" t="str">
            <v>SEEDS</v>
          </cell>
          <cell r="D1501" t="str">
            <v>Sunflower</v>
          </cell>
        </row>
        <row r="1502">
          <cell r="A1502" t="str">
            <v>CA GOA PRE CASHEW 230GM/P</v>
          </cell>
          <cell r="B1502" t="str">
            <v>FG</v>
          </cell>
          <cell r="C1502" t="str">
            <v>CASHEW</v>
          </cell>
          <cell r="D1502" t="str">
            <v>Cashew - Kernel</v>
          </cell>
        </row>
        <row r="1503">
          <cell r="A1503" t="str">
            <v>CA INDIAN PREMIUM QUALITY RAISINS 150/P</v>
          </cell>
          <cell r="B1503" t="str">
            <v>FG</v>
          </cell>
          <cell r="C1503" t="str">
            <v>RAISIN</v>
          </cell>
          <cell r="D1503" t="str">
            <v>Raisin - Indian</v>
          </cell>
        </row>
        <row r="1504">
          <cell r="A1504" t="str">
            <v>Cajun Spice Pecan Nuts Loose</v>
          </cell>
          <cell r="B1504" t="str">
            <v>FG</v>
          </cell>
          <cell r="C1504" t="str">
            <v>PREMIUM NUTS</v>
          </cell>
          <cell r="D1504" t="str">
            <v>Pecan Nuts</v>
          </cell>
        </row>
        <row r="1505">
          <cell r="A1505" t="str">
            <v>California Inshell Almonds</v>
          </cell>
          <cell r="B1505" t="str">
            <v>RM</v>
          </cell>
          <cell r="C1505" t="str">
            <v>ALMOND</v>
          </cell>
          <cell r="D1505" t="str">
            <v>Almond - Inshell</v>
          </cell>
        </row>
        <row r="1506">
          <cell r="A1506" t="str">
            <v>California Pista Inshell</v>
          </cell>
          <cell r="B1506" t="str">
            <v>RM</v>
          </cell>
          <cell r="C1506" t="str">
            <v>PISTA</v>
          </cell>
          <cell r="D1506" t="str">
            <v>Pista - Inshell</v>
          </cell>
        </row>
        <row r="1507">
          <cell r="A1507" t="str">
            <v>California Pista Inshell Black Pepper</v>
          </cell>
          <cell r="B1507" t="str">
            <v>FG</v>
          </cell>
          <cell r="C1507" t="str">
            <v>PISTA</v>
          </cell>
          <cell r="D1507" t="str">
            <v>Pista - Inshell</v>
          </cell>
        </row>
        <row r="1508">
          <cell r="A1508" t="str">
            <v>California Pista Inshell Jumbo</v>
          </cell>
          <cell r="B1508" t="str">
            <v>RM</v>
          </cell>
          <cell r="C1508" t="str">
            <v>PISTA</v>
          </cell>
          <cell r="D1508" t="str">
            <v>Pista - Inshell</v>
          </cell>
        </row>
        <row r="1509">
          <cell r="A1509" t="str">
            <v>California Pista Inshell Pink Salted</v>
          </cell>
          <cell r="B1509" t="str">
            <v>FG</v>
          </cell>
          <cell r="C1509" t="str">
            <v>PISTA</v>
          </cell>
          <cell r="D1509" t="str">
            <v>Pista - Inshell</v>
          </cell>
        </row>
        <row r="1510">
          <cell r="A1510" t="str">
            <v>California Pista Inshell Roasted and Salted</v>
          </cell>
          <cell r="B1510" t="str">
            <v>FG</v>
          </cell>
          <cell r="C1510" t="str">
            <v>PISTA</v>
          </cell>
          <cell r="D1510" t="str">
            <v>Pista - Inshell</v>
          </cell>
        </row>
        <row r="1511">
          <cell r="A1511" t="str">
            <v>California Pista Inshell Roasted and Salted 75gm</v>
          </cell>
          <cell r="B1511" t="str">
            <v>FG</v>
          </cell>
          <cell r="C1511" t="str">
            <v>PISTA</v>
          </cell>
          <cell r="D1511" t="str">
            <v>Pista - Inshell</v>
          </cell>
        </row>
        <row r="1512">
          <cell r="A1512" t="str">
            <v>California Walnut Inshell</v>
          </cell>
          <cell r="B1512" t="str">
            <v>RM</v>
          </cell>
          <cell r="C1512" t="str">
            <v>WALNUT</v>
          </cell>
          <cell r="D1512" t="str">
            <v>Walnut - Inshell</v>
          </cell>
        </row>
        <row r="1513">
          <cell r="A1513" t="str">
            <v>California Walnut Kernels 2pc</v>
          </cell>
          <cell r="B1513" t="str">
            <v>RM</v>
          </cell>
          <cell r="C1513" t="str">
            <v>WALNUT</v>
          </cell>
          <cell r="D1513" t="str">
            <v>Walnut - Kernel</v>
          </cell>
        </row>
        <row r="1514">
          <cell r="A1514" t="str">
            <v>California Walnut Tukda</v>
          </cell>
          <cell r="B1514" t="str">
            <v>RM</v>
          </cell>
          <cell r="C1514" t="str">
            <v>WALNUT</v>
          </cell>
          <cell r="D1514" t="str">
            <v>Walnut - Broken</v>
          </cell>
        </row>
        <row r="1515">
          <cell r="A1515" t="str">
            <v>Canola Oil</v>
          </cell>
          <cell r="B1515" t="str">
            <v>RM</v>
          </cell>
          <cell r="C1515" t="str">
            <v>MISCELLANEOUS - RM</v>
          </cell>
          <cell r="D1515" t="str">
            <v>Other Misc</v>
          </cell>
        </row>
        <row r="1516">
          <cell r="A1516" t="str">
            <v>CAPOL 254N</v>
          </cell>
          <cell r="B1516" t="str">
            <v>RM</v>
          </cell>
          <cell r="C1516" t="str">
            <v>MISCELLANEOUS - RM</v>
          </cell>
          <cell r="D1516" t="str">
            <v>Other Misc</v>
          </cell>
        </row>
        <row r="1517">
          <cell r="A1517" t="str">
            <v>CAPOL 425M</v>
          </cell>
          <cell r="B1517" t="str">
            <v>RM</v>
          </cell>
          <cell r="C1517" t="str">
            <v>MISCELLANEOUS - RM</v>
          </cell>
          <cell r="D1517" t="str">
            <v>Other Misc</v>
          </cell>
        </row>
        <row r="1518">
          <cell r="A1518" t="str">
            <v>CA PREMIUM ALMOND CALIFORNIA 218GM/P</v>
          </cell>
          <cell r="B1518" t="str">
            <v>FG</v>
          </cell>
          <cell r="C1518" t="str">
            <v>ALMOND</v>
          </cell>
          <cell r="D1518" t="str">
            <v>Almond - Kernels</v>
          </cell>
        </row>
        <row r="1519">
          <cell r="A1519" t="str">
            <v>CA PREMIUM DRY CANBERRY 230GM/P</v>
          </cell>
          <cell r="B1519" t="str">
            <v>FG</v>
          </cell>
          <cell r="C1519" t="str">
            <v>CRANBERRY</v>
          </cell>
          <cell r="D1519" t="str">
            <v>Cranberry - Whole</v>
          </cell>
        </row>
        <row r="1520">
          <cell r="A1520" t="str">
            <v>CA PREMIUM PINSHROSTSALTIRANIPISTA15 /P</v>
          </cell>
          <cell r="B1520" t="str">
            <v>FG</v>
          </cell>
          <cell r="C1520" t="str">
            <v>PISTA</v>
          </cell>
          <cell r="D1520" t="str">
            <v>Pista - Irani</v>
          </cell>
        </row>
        <row r="1521">
          <cell r="A1521" t="str">
            <v>Caramel Macadamia 250g</v>
          </cell>
          <cell r="B1521" t="str">
            <v>FG</v>
          </cell>
          <cell r="C1521" t="str">
            <v>PREMIUM NUTS</v>
          </cell>
          <cell r="D1521" t="str">
            <v>Macadamia Nuts</v>
          </cell>
        </row>
        <row r="1522">
          <cell r="A1522" t="str">
            <v>Caramel Pecannut</v>
          </cell>
          <cell r="B1522" t="str">
            <v>FG</v>
          </cell>
          <cell r="C1522" t="str">
            <v>PREMIUM NUTS</v>
          </cell>
          <cell r="D1522" t="str">
            <v>Pecan Nuts</v>
          </cell>
        </row>
        <row r="1523">
          <cell r="A1523" t="str">
            <v>Cardamom Powder</v>
          </cell>
          <cell r="B1523" t="str">
            <v>RM</v>
          </cell>
          <cell r="C1523" t="str">
            <v>SPICES</v>
          </cell>
          <cell r="D1523" t="str">
            <v>Ground Spices</v>
          </cell>
        </row>
        <row r="1524">
          <cell r="A1524" t="str">
            <v>Carnial Almond Dragees 100gm</v>
          </cell>
          <cell r="B1524" t="str">
            <v>FG</v>
          </cell>
          <cell r="C1524" t="str">
            <v>ALMOND</v>
          </cell>
          <cell r="D1524" t="str">
            <v>Almond - Kernels</v>
          </cell>
        </row>
        <row r="1525">
          <cell r="A1525" t="str">
            <v>Carnival Afghan Apricot 250gm</v>
          </cell>
          <cell r="B1525" t="str">
            <v>FG</v>
          </cell>
          <cell r="C1525" t="str">
            <v>APRICOT</v>
          </cell>
          <cell r="D1525" t="str">
            <v>Apricot - Afghan</v>
          </cell>
        </row>
        <row r="1526">
          <cell r="A1526" t="str">
            <v>Carnival A Garden of Bloom 300g</v>
          </cell>
          <cell r="B1526" t="str">
            <v>FG</v>
          </cell>
          <cell r="C1526" t="str">
            <v>FESTIVE HAMPERS</v>
          </cell>
          <cell r="D1526" t="str">
            <v>Gifting</v>
          </cell>
        </row>
        <row r="1527">
          <cell r="A1527" t="str">
            <v>Carnival Almond Choco Bite (Dark Chocolate) 100g</v>
          </cell>
          <cell r="B1527" t="str">
            <v>FG</v>
          </cell>
          <cell r="C1527" t="str">
            <v>BARS &amp; CEREALS</v>
          </cell>
          <cell r="D1527" t="str">
            <v>Bites</v>
          </cell>
        </row>
        <row r="1528">
          <cell r="A1528" t="str">
            <v>Carnival Almond Choco Bite (Milk Chocolate) 100g</v>
          </cell>
          <cell r="B1528" t="str">
            <v>FG</v>
          </cell>
          <cell r="C1528" t="str">
            <v>BARS &amp; CEREALS</v>
          </cell>
          <cell r="D1528" t="str">
            <v>Bites</v>
          </cell>
        </row>
        <row r="1529">
          <cell r="A1529" t="str">
            <v>Carnival Almond Choco Bite (White Chocolate) 100g</v>
          </cell>
          <cell r="B1529" t="str">
            <v>FG</v>
          </cell>
          <cell r="C1529" t="str">
            <v>BARS &amp; CEREALS</v>
          </cell>
          <cell r="D1529" t="str">
            <v>Bites</v>
          </cell>
        </row>
        <row r="1530">
          <cell r="A1530" t="str">
            <v>Carnival Almonds 250 Gm</v>
          </cell>
          <cell r="B1530" t="str">
            <v>FG</v>
          </cell>
          <cell r="C1530" t="str">
            <v>ALMOND</v>
          </cell>
          <cell r="D1530" t="str">
            <v>Almond - Kernels</v>
          </cell>
        </row>
        <row r="1531">
          <cell r="A1531" t="str">
            <v>Carnival Almonds - Indepance 200g Mono Carton</v>
          </cell>
          <cell r="B1531" t="str">
            <v>FG</v>
          </cell>
          <cell r="C1531" t="str">
            <v>ALMOND</v>
          </cell>
          <cell r="D1531" t="str">
            <v>Almond - Kernels</v>
          </cell>
        </row>
        <row r="1532">
          <cell r="A1532" t="str">
            <v>Carnival Almonds Independence 1Kg</v>
          </cell>
          <cell r="B1532" t="str">
            <v>FG</v>
          </cell>
          <cell r="C1532" t="str">
            <v>ALMOND</v>
          </cell>
          <cell r="D1532" t="str">
            <v>Almond - Kernels</v>
          </cell>
        </row>
        <row r="1533">
          <cell r="A1533" t="str">
            <v>Carnival Almonds - Independence 200g</v>
          </cell>
          <cell r="B1533" t="str">
            <v>FG</v>
          </cell>
          <cell r="C1533" t="str">
            <v>ALMOND</v>
          </cell>
          <cell r="D1533" t="str">
            <v>Almond - Kernels</v>
          </cell>
        </row>
        <row r="1534">
          <cell r="A1534" t="str">
            <v>Carnival Almond Smoked Paprika 100g</v>
          </cell>
          <cell r="B1534" t="str">
            <v>FG</v>
          </cell>
          <cell r="C1534" t="str">
            <v>ALMOND</v>
          </cell>
          <cell r="D1534" t="str">
            <v>Almond - Kernels</v>
          </cell>
        </row>
        <row r="1535">
          <cell r="A1535" t="str">
            <v>Carnival Almond Smoked Paprika 200g</v>
          </cell>
          <cell r="B1535" t="str">
            <v>FG</v>
          </cell>
          <cell r="C1535" t="str">
            <v>ALMOND</v>
          </cell>
          <cell r="D1535" t="str">
            <v>Almond - Kernels</v>
          </cell>
        </row>
        <row r="1536">
          <cell r="A1536" t="str">
            <v>Carnival Anjeer Regular 400gm</v>
          </cell>
          <cell r="B1536" t="str">
            <v>FG</v>
          </cell>
          <cell r="C1536" t="str">
            <v>ANJEER</v>
          </cell>
          <cell r="D1536" t="str">
            <v>Dried Figs</v>
          </cell>
        </row>
        <row r="1537">
          <cell r="A1537" t="str">
            <v>Carnival Apricot Turkey 1x2 300gm</v>
          </cell>
          <cell r="B1537" t="str">
            <v>FG</v>
          </cell>
          <cell r="C1537" t="str">
            <v>APRICOT</v>
          </cell>
          <cell r="D1537" t="str">
            <v>Apricot - Turkey</v>
          </cell>
        </row>
        <row r="1538">
          <cell r="A1538" t="str">
            <v>Carnival Arabian 350gm</v>
          </cell>
          <cell r="B1538" t="str">
            <v>FG</v>
          </cell>
          <cell r="C1538" t="str">
            <v>DATES</v>
          </cell>
          <cell r="D1538" t="str">
            <v>Barhi</v>
          </cell>
        </row>
        <row r="1539">
          <cell r="A1539" t="str">
            <v>Carnival Barbeque Cashew 100gm</v>
          </cell>
          <cell r="B1539" t="str">
            <v>FG</v>
          </cell>
          <cell r="C1539" t="str">
            <v>CASHEW</v>
          </cell>
          <cell r="D1539" t="str">
            <v>Cashew - Kernel</v>
          </cell>
        </row>
        <row r="1540">
          <cell r="A1540" t="str">
            <v>Carnival Barbeque Cashew 200gm</v>
          </cell>
          <cell r="B1540" t="str">
            <v>FG</v>
          </cell>
          <cell r="C1540" t="str">
            <v>CASHEW</v>
          </cell>
          <cell r="D1540" t="str">
            <v>Cashew - Kernel</v>
          </cell>
        </row>
        <row r="1541">
          <cell r="A1541" t="str">
            <v>Carnival Barbeque Makhana 125 Gm</v>
          </cell>
          <cell r="B1541" t="str">
            <v>FG</v>
          </cell>
          <cell r="C1541" t="str">
            <v>MAKHANA</v>
          </cell>
          <cell r="D1541" t="str">
            <v>Makhana - Suta</v>
          </cell>
        </row>
        <row r="1542">
          <cell r="A1542" t="str">
            <v>Carnival Barbeque Makhana 55g</v>
          </cell>
          <cell r="B1542" t="str">
            <v>FG</v>
          </cell>
          <cell r="C1542" t="str">
            <v>MAKHANA</v>
          </cell>
          <cell r="D1542" t="str">
            <v>Makhana - Suta</v>
          </cell>
        </row>
        <row r="1543">
          <cell r="A1543" t="str">
            <v>Carnival Berry Barbeque Trail Mix 200g</v>
          </cell>
          <cell r="B1543" t="str">
            <v>FG</v>
          </cell>
          <cell r="C1543" t="str">
            <v>TRAIL MIX</v>
          </cell>
          <cell r="D1543" t="str">
            <v>Trail Mix</v>
          </cell>
        </row>
        <row r="1544">
          <cell r="A1544" t="str">
            <v>Carnival Black Pepper Makhana 125 Gm</v>
          </cell>
          <cell r="B1544" t="str">
            <v>FG</v>
          </cell>
          <cell r="C1544" t="str">
            <v>MAKHANA</v>
          </cell>
          <cell r="D1544" t="str">
            <v>Makhana - Suta</v>
          </cell>
        </row>
        <row r="1545">
          <cell r="A1545" t="str">
            <v>Carnival Black Pepper Makhana 55g</v>
          </cell>
          <cell r="B1545" t="str">
            <v>FG</v>
          </cell>
          <cell r="C1545" t="str">
            <v>MAKHANA</v>
          </cell>
          <cell r="D1545" t="str">
            <v>Makhana - Suta</v>
          </cell>
        </row>
        <row r="1546">
          <cell r="A1546" t="str">
            <v>Carnival Black Pepper Pistachio 80g</v>
          </cell>
          <cell r="B1546" t="str">
            <v>FG</v>
          </cell>
          <cell r="C1546" t="str">
            <v>PISTA</v>
          </cell>
          <cell r="D1546" t="str">
            <v>Pista - Inshell</v>
          </cell>
        </row>
        <row r="1547">
          <cell r="A1547" t="str">
            <v>Carnival Blueberries Dried - 250G</v>
          </cell>
          <cell r="B1547" t="str">
            <v>FG</v>
          </cell>
          <cell r="C1547" t="str">
            <v>BLUEBERRY</v>
          </cell>
          <cell r="D1547" t="str">
            <v>Blueberry - Plain</v>
          </cell>
        </row>
        <row r="1548">
          <cell r="A1548" t="str">
            <v>Carnival Blueberry 100g</v>
          </cell>
          <cell r="B1548" t="str">
            <v>FG</v>
          </cell>
          <cell r="C1548" t="str">
            <v>BLUEBERRY</v>
          </cell>
          <cell r="D1548" t="str">
            <v>Blueberry - Plain</v>
          </cell>
        </row>
        <row r="1549">
          <cell r="A1549" t="str">
            <v>Carnival California Almonds Independence 1kg</v>
          </cell>
          <cell r="B1549" t="str">
            <v>FG</v>
          </cell>
          <cell r="C1549" t="str">
            <v>ALMOND</v>
          </cell>
          <cell r="D1549" t="str">
            <v>Almond - Kernels</v>
          </cell>
        </row>
        <row r="1550">
          <cell r="A1550" t="str">
            <v>Carnival California Pistachio 200g</v>
          </cell>
          <cell r="B1550" t="str">
            <v>FG</v>
          </cell>
          <cell r="C1550" t="str">
            <v>PISTA</v>
          </cell>
          <cell r="D1550" t="str">
            <v>Pista - Inshell</v>
          </cell>
        </row>
        <row r="1551">
          <cell r="A1551" t="str">
            <v>Carnival California Pista Roasted and Salted 800g</v>
          </cell>
          <cell r="B1551" t="str">
            <v>FG</v>
          </cell>
          <cell r="C1551" t="str">
            <v>PISTA</v>
          </cell>
          <cell r="D1551" t="str">
            <v>Pista - Inshell</v>
          </cell>
        </row>
        <row r="1552">
          <cell r="A1552" t="str">
            <v>Carnival California Pitted Prunes 300 Gms</v>
          </cell>
          <cell r="B1552" t="str">
            <v>FG</v>
          </cell>
          <cell r="C1552" t="str">
            <v>PRUNES</v>
          </cell>
          <cell r="D1552" t="str">
            <v>Prunes - Pitted</v>
          </cell>
        </row>
        <row r="1553">
          <cell r="A1553" t="str">
            <v>Carnival Caramel Sesame Walnut 150g</v>
          </cell>
          <cell r="B1553" t="str">
            <v>FG</v>
          </cell>
          <cell r="C1553" t="str">
            <v>WALNUT</v>
          </cell>
          <cell r="D1553" t="str">
            <v>Walnut - Kernel</v>
          </cell>
        </row>
        <row r="1554">
          <cell r="A1554" t="str">
            <v>Carnival Caramel Sesame Walnut 70g</v>
          </cell>
          <cell r="B1554" t="str">
            <v>FG</v>
          </cell>
          <cell r="C1554" t="str">
            <v>WALNUT</v>
          </cell>
          <cell r="D1554" t="str">
            <v>Walnut - Kernel</v>
          </cell>
        </row>
        <row r="1555">
          <cell r="A1555" t="str">
            <v>Carnival Cashew (400 - 450) 200g Mono Carton</v>
          </cell>
          <cell r="B1555" t="str">
            <v>FG</v>
          </cell>
          <cell r="C1555" t="str">
            <v>CASHEW</v>
          </cell>
          <cell r="D1555" t="str">
            <v>Cashew - Kernel</v>
          </cell>
        </row>
        <row r="1556">
          <cell r="A1556" t="str">
            <v>Carnival Cashew Nut 250g</v>
          </cell>
          <cell r="B1556" t="str">
            <v>FG</v>
          </cell>
          <cell r="C1556" t="str">
            <v>CASHEW</v>
          </cell>
          <cell r="D1556" t="str">
            <v>Cashew - Kernel</v>
          </cell>
        </row>
        <row r="1557">
          <cell r="A1557" t="str">
            <v>Carnival Cashew Roasted And Salted 250g</v>
          </cell>
          <cell r="B1557" t="str">
            <v>FG</v>
          </cell>
          <cell r="C1557" t="str">
            <v>CASHEW</v>
          </cell>
          <cell r="D1557" t="str">
            <v>Cashew - Kernel</v>
          </cell>
        </row>
        <row r="1558">
          <cell r="A1558" t="str">
            <v>Carnival Chatpata Black Raisins 100g</v>
          </cell>
          <cell r="B1558" t="str">
            <v>FG</v>
          </cell>
          <cell r="C1558" t="str">
            <v>RAISIN</v>
          </cell>
          <cell r="D1558" t="str">
            <v>Raisin - Black</v>
          </cell>
        </row>
        <row r="1559">
          <cell r="A1559" t="str">
            <v>Carnival Chatpata Cranberry 100G</v>
          </cell>
          <cell r="B1559" t="str">
            <v>FG</v>
          </cell>
          <cell r="C1559" t="str">
            <v>CRANBERRY</v>
          </cell>
          <cell r="D1559" t="str">
            <v>Cranberry - Whole</v>
          </cell>
        </row>
        <row r="1560">
          <cell r="A1560" t="str">
            <v>Carnival Chatpata Cranberry 250gm</v>
          </cell>
          <cell r="B1560" t="str">
            <v>FG</v>
          </cell>
          <cell r="C1560" t="str">
            <v>CRANBERRY</v>
          </cell>
          <cell r="D1560" t="str">
            <v>Cranberry - Whole</v>
          </cell>
        </row>
        <row r="1561">
          <cell r="A1561" t="str">
            <v>Carnival Chatpata Prunes 100gm</v>
          </cell>
          <cell r="B1561" t="str">
            <v>FG</v>
          </cell>
          <cell r="C1561" t="str">
            <v>PRUNES</v>
          </cell>
          <cell r="D1561" t="str">
            <v>Prunes - Pitted</v>
          </cell>
        </row>
        <row r="1562">
          <cell r="A1562" t="str">
            <v>Carnival Cheese Cashew 100g</v>
          </cell>
          <cell r="B1562" t="str">
            <v>FG</v>
          </cell>
          <cell r="C1562" t="str">
            <v>CASHEW</v>
          </cell>
          <cell r="D1562" t="str">
            <v>Cashew - Kernel</v>
          </cell>
        </row>
        <row r="1563">
          <cell r="A1563" t="str">
            <v>Carnival Cheese Cashew 230g</v>
          </cell>
          <cell r="B1563" t="str">
            <v>FG</v>
          </cell>
          <cell r="C1563" t="str">
            <v>CASHEW</v>
          </cell>
          <cell r="D1563" t="str">
            <v>Cashew - Kernel</v>
          </cell>
        </row>
        <row r="1564">
          <cell r="A1564" t="str">
            <v>Carnival Cheese Makhana 125g</v>
          </cell>
          <cell r="B1564" t="str">
            <v>FG</v>
          </cell>
          <cell r="C1564" t="str">
            <v>MAKHANA</v>
          </cell>
          <cell r="D1564" t="str">
            <v>Makhana - Suta</v>
          </cell>
        </row>
        <row r="1565">
          <cell r="A1565" t="str">
            <v>Carnival Cheese Makhana 55g</v>
          </cell>
          <cell r="B1565" t="str">
            <v>FG</v>
          </cell>
          <cell r="C1565" t="str">
            <v>MAKHANA</v>
          </cell>
          <cell r="D1565" t="str">
            <v>Makhana - Suta</v>
          </cell>
        </row>
        <row r="1566">
          <cell r="A1566" t="str">
            <v>Carnival Choco Orange Walnut 150gm</v>
          </cell>
          <cell r="B1566" t="str">
            <v>FG</v>
          </cell>
          <cell r="C1566" t="str">
            <v>WALNUT</v>
          </cell>
          <cell r="D1566" t="str">
            <v>Walnut - Kernel</v>
          </cell>
        </row>
        <row r="1567">
          <cell r="A1567" t="str">
            <v>Carnival Classic Almonds 100g</v>
          </cell>
          <cell r="B1567" t="str">
            <v>FG</v>
          </cell>
          <cell r="C1567" t="str">
            <v>ALMOND</v>
          </cell>
          <cell r="D1567" t="str">
            <v>Almond - Kernels</v>
          </cell>
        </row>
        <row r="1568">
          <cell r="A1568" t="str">
            <v>Carnival Classic Almonds 250g</v>
          </cell>
          <cell r="B1568" t="str">
            <v>FG</v>
          </cell>
          <cell r="C1568" t="str">
            <v>ALMOND</v>
          </cell>
          <cell r="D1568" t="str">
            <v>Almond - Kernels</v>
          </cell>
        </row>
        <row r="1569">
          <cell r="A1569" t="str">
            <v>Carnival Classic Anjeer 250g</v>
          </cell>
          <cell r="B1569" t="str">
            <v>FG</v>
          </cell>
          <cell r="C1569" t="str">
            <v>ANJEER</v>
          </cell>
          <cell r="D1569" t="str">
            <v>Dried Figs</v>
          </cell>
        </row>
        <row r="1570">
          <cell r="A1570" t="str">
            <v>Carnival Classic Cashew 200g</v>
          </cell>
          <cell r="B1570" t="str">
            <v>FG</v>
          </cell>
          <cell r="C1570" t="str">
            <v>CASHEW</v>
          </cell>
          <cell r="D1570" t="str">
            <v>Cashew - Kernel</v>
          </cell>
        </row>
        <row r="1571">
          <cell r="A1571" t="str">
            <v>Carnival Classic Cashew 250 Gms</v>
          </cell>
          <cell r="B1571" t="str">
            <v>FG</v>
          </cell>
          <cell r="C1571" t="str">
            <v>CASHEW</v>
          </cell>
          <cell r="D1571" t="str">
            <v>Cashew - Kernel</v>
          </cell>
        </row>
        <row r="1572">
          <cell r="A1572" t="str">
            <v>Carnival Classic Chia Seeds 100gm</v>
          </cell>
          <cell r="B1572" t="str">
            <v>FG</v>
          </cell>
          <cell r="C1572" t="str">
            <v>SEEDS</v>
          </cell>
          <cell r="D1572" t="str">
            <v>Chia</v>
          </cell>
        </row>
        <row r="1573">
          <cell r="A1573" t="str">
            <v>Carnival Classic Chia Seeds 1 Kg</v>
          </cell>
          <cell r="B1573" t="str">
            <v>FG</v>
          </cell>
          <cell r="C1573" t="str">
            <v>SEEDS</v>
          </cell>
          <cell r="D1573" t="str">
            <v>Chia</v>
          </cell>
        </row>
        <row r="1574">
          <cell r="A1574" t="str">
            <v>Carnival Classic Date Bites 357gm</v>
          </cell>
          <cell r="B1574" t="str">
            <v>FG</v>
          </cell>
          <cell r="C1574" t="str">
            <v>BARS &amp; CEREALS</v>
          </cell>
          <cell r="D1574" t="str">
            <v>Bites</v>
          </cell>
        </row>
        <row r="1575">
          <cell r="A1575" t="str">
            <v>Carnival Classic Hazelnut 250 GMS</v>
          </cell>
          <cell r="B1575" t="str">
            <v>FG</v>
          </cell>
          <cell r="C1575" t="str">
            <v>PREMIUM NUTS</v>
          </cell>
          <cell r="D1575" t="str">
            <v>Hazelnuts</v>
          </cell>
        </row>
        <row r="1576">
          <cell r="A1576" t="str">
            <v>Carnival Classic Indian Kishmish 500 Gms</v>
          </cell>
          <cell r="B1576" t="str">
            <v>FG</v>
          </cell>
          <cell r="C1576" t="str">
            <v>RAISIN</v>
          </cell>
          <cell r="D1576" t="str">
            <v>Raisin - Indian</v>
          </cell>
        </row>
        <row r="1577">
          <cell r="A1577" t="str">
            <v>Carnival Classic Indian Raisins 250g</v>
          </cell>
          <cell r="B1577" t="str">
            <v>FG</v>
          </cell>
          <cell r="C1577" t="str">
            <v>RAISIN</v>
          </cell>
          <cell r="D1577" t="str">
            <v>Raisin - Indian</v>
          </cell>
        </row>
        <row r="1578">
          <cell r="A1578" t="str">
            <v>Carnival Classic Irani Pistachio Salted 80g</v>
          </cell>
          <cell r="B1578" t="str">
            <v>FG</v>
          </cell>
          <cell r="C1578" t="str">
            <v>PISTA</v>
          </cell>
          <cell r="D1578" t="str">
            <v>Pista - Irani</v>
          </cell>
        </row>
        <row r="1579">
          <cell r="A1579" t="str">
            <v>Carnival Classic Pumpkin Seeds 100g</v>
          </cell>
          <cell r="B1579" t="str">
            <v>FG</v>
          </cell>
          <cell r="C1579" t="str">
            <v>SEEDS</v>
          </cell>
          <cell r="D1579" t="str">
            <v>Pumpkin</v>
          </cell>
        </row>
        <row r="1580">
          <cell r="A1580" t="str">
            <v>Carnival Classic Sunflower Seeds 100G</v>
          </cell>
          <cell r="B1580" t="str">
            <v>FG</v>
          </cell>
          <cell r="C1580" t="str">
            <v>SEEDS</v>
          </cell>
          <cell r="D1580" t="str">
            <v>Sunflower</v>
          </cell>
        </row>
        <row r="1581">
          <cell r="A1581" t="str">
            <v>Carnival Classic Walnut Quarter 250 Gms</v>
          </cell>
          <cell r="B1581" t="str">
            <v>FG</v>
          </cell>
          <cell r="C1581" t="str">
            <v>WALNUT</v>
          </cell>
          <cell r="D1581" t="str">
            <v>Walnut - Broken</v>
          </cell>
        </row>
        <row r="1582">
          <cell r="A1582" t="str">
            <v>Carnival Cocktail Mix 200g</v>
          </cell>
          <cell r="B1582" t="str">
            <v>FG</v>
          </cell>
          <cell r="C1582" t="str">
            <v>TRAIL MIX</v>
          </cell>
          <cell r="D1582" t="str">
            <v>Trail Mix</v>
          </cell>
        </row>
        <row r="1583">
          <cell r="A1583" t="str">
            <v>Carnival Cocktail Mix 250g</v>
          </cell>
          <cell r="B1583" t="str">
            <v>FG</v>
          </cell>
          <cell r="C1583" t="str">
            <v>TRAIL MIX</v>
          </cell>
          <cell r="D1583" t="str">
            <v>Trail Mix</v>
          </cell>
        </row>
        <row r="1584">
          <cell r="A1584" t="str">
            <v>Carnival Cocktail Mix Plain Pouch 100g</v>
          </cell>
          <cell r="B1584" t="str">
            <v>FG</v>
          </cell>
          <cell r="C1584" t="str">
            <v>TRAIL MIX</v>
          </cell>
          <cell r="D1584" t="str">
            <v>Trail Mix</v>
          </cell>
        </row>
        <row r="1585">
          <cell r="A1585" t="str">
            <v>Carnival Cranberry Classic Slice 200 G (110001359)</v>
          </cell>
          <cell r="B1585" t="str">
            <v>FG</v>
          </cell>
          <cell r="C1585" t="str">
            <v>CRANBERRY</v>
          </cell>
          <cell r="D1585" t="str">
            <v>Cranberry - Sliced</v>
          </cell>
        </row>
        <row r="1586">
          <cell r="A1586" t="str">
            <v>Carnival Cranberry Flavoured Chatpata 200g</v>
          </cell>
          <cell r="B1586" t="str">
            <v>FG</v>
          </cell>
          <cell r="C1586" t="str">
            <v>CRANBERRY</v>
          </cell>
          <cell r="D1586" t="str">
            <v>Cranberry - Whole</v>
          </cell>
        </row>
        <row r="1587">
          <cell r="A1587" t="str">
            <v>Carnival Cranberry Premium Whole 200 G (110001358)</v>
          </cell>
          <cell r="B1587" t="str">
            <v>FG</v>
          </cell>
          <cell r="C1587" t="str">
            <v>CRANBERRY</v>
          </cell>
          <cell r="D1587" t="str">
            <v>Cranberry - Whole</v>
          </cell>
        </row>
        <row r="1588">
          <cell r="A1588" t="str">
            <v>Carnival Cranberry Sliced 250 Gms</v>
          </cell>
          <cell r="B1588" t="str">
            <v>FG</v>
          </cell>
          <cell r="C1588" t="str">
            <v>CRANBERRY</v>
          </cell>
          <cell r="D1588" t="str">
            <v>Cranberry - Sliced</v>
          </cell>
        </row>
        <row r="1589">
          <cell r="A1589" t="str">
            <v>Carnival Cranberry Whole - 100gm</v>
          </cell>
          <cell r="B1589" t="str">
            <v>FG</v>
          </cell>
          <cell r="C1589" t="str">
            <v>CRANBERRY</v>
          </cell>
          <cell r="D1589" t="str">
            <v>Cranberry - Whole</v>
          </cell>
        </row>
        <row r="1590">
          <cell r="A1590" t="str">
            <v>Carnival Cranberry Whole 250G</v>
          </cell>
          <cell r="B1590" t="str">
            <v>FG</v>
          </cell>
          <cell r="C1590" t="str">
            <v>CRANBERRY</v>
          </cell>
          <cell r="D1590" t="str">
            <v>Cranberry - Whole</v>
          </cell>
        </row>
        <row r="1591">
          <cell r="A1591" t="str">
            <v>Carnival Crunchy Caramel Trail Mix 100g</v>
          </cell>
          <cell r="B1591" t="str">
            <v>FG</v>
          </cell>
          <cell r="C1591" t="str">
            <v>TRAIL MIX</v>
          </cell>
          <cell r="D1591" t="str">
            <v>Trail Mix</v>
          </cell>
        </row>
        <row r="1592">
          <cell r="A1592" t="str">
            <v>Carnival Crunchy Caramel Trail Mix 200g</v>
          </cell>
          <cell r="B1592" t="str">
            <v>FG</v>
          </cell>
          <cell r="C1592" t="str">
            <v>TRAIL MIX</v>
          </cell>
          <cell r="D1592" t="str">
            <v>Trail Mix</v>
          </cell>
        </row>
        <row r="1593">
          <cell r="A1593" t="str">
            <v>Carnival Crunchy Caramel Trail Mix 250g</v>
          </cell>
          <cell r="B1593" t="str">
            <v>FG</v>
          </cell>
          <cell r="C1593" t="str">
            <v>TRAIL MIX</v>
          </cell>
          <cell r="D1593" t="str">
            <v>Trail Mix</v>
          </cell>
        </row>
        <row r="1594">
          <cell r="A1594" t="str">
            <v>Carnival Daily Mewa Health Mix 250g</v>
          </cell>
          <cell r="B1594" t="str">
            <v>FG</v>
          </cell>
          <cell r="C1594" t="str">
            <v>TRAIL MIX</v>
          </cell>
          <cell r="D1594" t="str">
            <v>Trail Mix</v>
          </cell>
        </row>
        <row r="1595">
          <cell r="A1595" t="str">
            <v>Carnival Dates Khalas Seedless 350g</v>
          </cell>
          <cell r="B1595" t="str">
            <v>FG</v>
          </cell>
          <cell r="C1595" t="str">
            <v>DATES</v>
          </cell>
          <cell r="D1595" t="str">
            <v>Seedless</v>
          </cell>
        </row>
        <row r="1596">
          <cell r="A1596" t="str">
            <v>Carnival Deluxe Seeded Black Raisin 250gm</v>
          </cell>
          <cell r="B1596" t="str">
            <v>FG</v>
          </cell>
          <cell r="C1596" t="str">
            <v>RAISIN</v>
          </cell>
          <cell r="D1596" t="str">
            <v>Raisin - Black</v>
          </cell>
        </row>
        <row r="1597">
          <cell r="A1597" t="str">
            <v>Carnival Dried Blueberry 250g</v>
          </cell>
          <cell r="B1597" t="str">
            <v>FG</v>
          </cell>
          <cell r="C1597" t="str">
            <v>BLUEBERRY</v>
          </cell>
          <cell r="D1597" t="str">
            <v>Blueberry - Plain</v>
          </cell>
        </row>
        <row r="1598">
          <cell r="A1598" t="str">
            <v>Carnival Dried Blueberry 250g - Tub</v>
          </cell>
          <cell r="B1598" t="str">
            <v>FG</v>
          </cell>
          <cell r="C1598" t="str">
            <v>BLUEBERRY</v>
          </cell>
          <cell r="D1598" t="str">
            <v>Blueberry - Plain</v>
          </cell>
        </row>
        <row r="1599">
          <cell r="A1599" t="str">
            <v>Carnival Dried Cranberry Whole 100g (PP)</v>
          </cell>
          <cell r="B1599" t="str">
            <v>FG</v>
          </cell>
          <cell r="C1599" t="str">
            <v>CRANBERRY</v>
          </cell>
          <cell r="D1599" t="str">
            <v>Cranberry - Whole</v>
          </cell>
        </row>
        <row r="1600">
          <cell r="A1600" t="str">
            <v>Carnival Dried Cranberry Whole 250g - Tub</v>
          </cell>
          <cell r="B1600" t="str">
            <v>FG</v>
          </cell>
          <cell r="C1600" t="str">
            <v>CRANBERRY</v>
          </cell>
          <cell r="D1600" t="str">
            <v>Cranberry - Whole</v>
          </cell>
        </row>
        <row r="1601">
          <cell r="A1601" t="str">
            <v>Carnival Everyday Cashew W450 - 1kg</v>
          </cell>
          <cell r="B1601" t="str">
            <v>FG</v>
          </cell>
          <cell r="C1601" t="str">
            <v>CASHEW</v>
          </cell>
          <cell r="D1601" t="str">
            <v>Cashew - Kernel</v>
          </cell>
        </row>
        <row r="1602">
          <cell r="A1602" t="str">
            <v>Carnival Festive Almonds (27-28 count) 100gm</v>
          </cell>
          <cell r="B1602" t="str">
            <v>FG</v>
          </cell>
          <cell r="C1602" t="str">
            <v>ALMOND</v>
          </cell>
          <cell r="D1602" t="str">
            <v>Almond - Kernels</v>
          </cell>
        </row>
        <row r="1603">
          <cell r="A1603" t="str">
            <v>Carnival Festive Almonds (27-28 count) 125gm</v>
          </cell>
          <cell r="B1603" t="str">
            <v>FG</v>
          </cell>
          <cell r="C1603" t="str">
            <v>ALMOND</v>
          </cell>
          <cell r="D1603" t="str">
            <v>Almond - Kernels</v>
          </cell>
        </row>
        <row r="1604">
          <cell r="A1604" t="str">
            <v>Carnival Festive Almonds (27-28 count) 150gm</v>
          </cell>
          <cell r="B1604" t="str">
            <v>FG</v>
          </cell>
          <cell r="C1604" t="str">
            <v>ALMOND</v>
          </cell>
          <cell r="D1604" t="str">
            <v>Almond - Kernels</v>
          </cell>
        </row>
        <row r="1605">
          <cell r="A1605" t="str">
            <v>Carnival Festive Almonds (27-28 count) 200gm</v>
          </cell>
          <cell r="B1605" t="str">
            <v>FG</v>
          </cell>
          <cell r="C1605" t="str">
            <v>ALMOND</v>
          </cell>
          <cell r="D1605" t="str">
            <v>Almond - Kernels</v>
          </cell>
        </row>
        <row r="1606">
          <cell r="A1606" t="str">
            <v>Carnival Festive Black Raisin Seedless 150gm</v>
          </cell>
          <cell r="B1606" t="str">
            <v>FG</v>
          </cell>
          <cell r="C1606" t="str">
            <v>RAISIN</v>
          </cell>
          <cell r="D1606" t="str">
            <v>Raisin - Black</v>
          </cell>
        </row>
        <row r="1607">
          <cell r="A1607" t="str">
            <v>Carnival Festive California Pista (21-26) 100gm</v>
          </cell>
          <cell r="B1607" t="str">
            <v>FG</v>
          </cell>
          <cell r="C1607" t="str">
            <v>PISTA</v>
          </cell>
          <cell r="D1607" t="str">
            <v>Pista - Inshell</v>
          </cell>
        </row>
        <row r="1608">
          <cell r="A1608" t="str">
            <v>Carnival Festive California Pista (21-26) 125gm</v>
          </cell>
          <cell r="B1608" t="str">
            <v>FG</v>
          </cell>
          <cell r="C1608" t="str">
            <v>PISTA</v>
          </cell>
          <cell r="D1608" t="str">
            <v>Pista - Inshell</v>
          </cell>
        </row>
        <row r="1609">
          <cell r="A1609" t="str">
            <v>Carnival Festive California Pista (21-26) 150gm</v>
          </cell>
          <cell r="B1609" t="str">
            <v>FG</v>
          </cell>
          <cell r="C1609" t="str">
            <v>PISTA</v>
          </cell>
          <cell r="D1609" t="str">
            <v>Pista - Inshell</v>
          </cell>
        </row>
        <row r="1610">
          <cell r="A1610" t="str">
            <v>Carnival Festive California Pista (21-26) 200gm</v>
          </cell>
          <cell r="B1610" t="str">
            <v>FG</v>
          </cell>
          <cell r="C1610" t="str">
            <v>PISTA</v>
          </cell>
          <cell r="D1610" t="str">
            <v>Pista - Inshell</v>
          </cell>
        </row>
        <row r="1611">
          <cell r="A1611" t="str">
            <v>Carnival Festive California Pista (21-26) 80gm</v>
          </cell>
          <cell r="B1611" t="str">
            <v>FG</v>
          </cell>
          <cell r="C1611" t="str">
            <v>PISTA</v>
          </cell>
          <cell r="D1611" t="str">
            <v>Pista - Inshell</v>
          </cell>
        </row>
        <row r="1612">
          <cell r="A1612" t="str">
            <v>Carnival Festive Cashew (320) 100gm</v>
          </cell>
          <cell r="B1612" t="str">
            <v>FG</v>
          </cell>
          <cell r="C1612" t="str">
            <v>CASHEW</v>
          </cell>
          <cell r="D1612" t="str">
            <v>Cashew - Kernel</v>
          </cell>
        </row>
        <row r="1613">
          <cell r="A1613" t="str">
            <v>Carnival Festive Cashew (320) 125gm</v>
          </cell>
          <cell r="B1613" t="str">
            <v>FG</v>
          </cell>
          <cell r="C1613" t="str">
            <v>CASHEW</v>
          </cell>
          <cell r="D1613" t="str">
            <v>Cashew - Kernel</v>
          </cell>
        </row>
        <row r="1614">
          <cell r="A1614" t="str">
            <v>Carnival Festive Cashew (320) 150gm</v>
          </cell>
          <cell r="B1614" t="str">
            <v>FG</v>
          </cell>
          <cell r="C1614" t="str">
            <v>CASHEW</v>
          </cell>
          <cell r="D1614" t="str">
            <v>Cashew - Kernel</v>
          </cell>
        </row>
        <row r="1615">
          <cell r="A1615" t="str">
            <v>Carnival Festive Cashew (320) 200gm</v>
          </cell>
          <cell r="B1615" t="str">
            <v>FG</v>
          </cell>
          <cell r="C1615" t="str">
            <v>CASHEW</v>
          </cell>
          <cell r="D1615" t="str">
            <v>Cashew - Kernel</v>
          </cell>
        </row>
        <row r="1616">
          <cell r="A1616" t="str">
            <v>Carnival Festive Cashew (320) 80gm</v>
          </cell>
          <cell r="B1616" t="str">
            <v>FG</v>
          </cell>
          <cell r="C1616" t="str">
            <v>CASHEW</v>
          </cell>
          <cell r="D1616" t="str">
            <v>Cashew - Kernel</v>
          </cell>
        </row>
        <row r="1617">
          <cell r="A1617" t="str">
            <v>Carnival Festive Chatpata Cranberry 100gm</v>
          </cell>
          <cell r="B1617" t="str">
            <v>FG</v>
          </cell>
          <cell r="C1617" t="str">
            <v>CRANBERRY</v>
          </cell>
          <cell r="D1617" t="str">
            <v>Cranberry - Sliced</v>
          </cell>
        </row>
        <row r="1618">
          <cell r="A1618" t="str">
            <v>Carnival Festive Chatpata Cranberry 120g</v>
          </cell>
          <cell r="B1618" t="str">
            <v>FG</v>
          </cell>
          <cell r="C1618" t="str">
            <v>CRANBERRY</v>
          </cell>
          <cell r="D1618" t="str">
            <v>Cranberry - Sliced</v>
          </cell>
        </row>
        <row r="1619">
          <cell r="A1619" t="str">
            <v>Carnival Festive Chatpata Cranberry 250gm</v>
          </cell>
          <cell r="B1619" t="str">
            <v>FG</v>
          </cell>
          <cell r="C1619" t="str">
            <v>CRANBERRY</v>
          </cell>
          <cell r="D1619" t="str">
            <v>Cranberry - Sliced</v>
          </cell>
        </row>
        <row r="1620">
          <cell r="A1620" t="str">
            <v>Carnival Festive Chatpata Cranberry 80gm</v>
          </cell>
          <cell r="B1620" t="str">
            <v>FG</v>
          </cell>
          <cell r="C1620" t="str">
            <v>CRANBERRY</v>
          </cell>
          <cell r="D1620" t="str">
            <v>Cranberry - Sliced</v>
          </cell>
        </row>
        <row r="1621">
          <cell r="A1621" t="str">
            <v>Carnival Festive Crunchy Caramel Trail Mix 250g</v>
          </cell>
          <cell r="B1621" t="str">
            <v>FG</v>
          </cell>
          <cell r="C1621" t="str">
            <v>TRAIL MIX</v>
          </cell>
          <cell r="D1621" t="str">
            <v>Trail Mix</v>
          </cell>
        </row>
        <row r="1622">
          <cell r="A1622" t="str">
            <v>Carnival Festive Flavoured Cashew (320) 100gm</v>
          </cell>
          <cell r="B1622" t="str">
            <v>FG</v>
          </cell>
          <cell r="C1622" t="str">
            <v>CASHEW</v>
          </cell>
          <cell r="D1622" t="str">
            <v>Cashew - Kernel</v>
          </cell>
        </row>
        <row r="1623">
          <cell r="A1623" t="str">
            <v>Carnival Festive Flavoured Cashew (320) 80gm</v>
          </cell>
          <cell r="B1623" t="str">
            <v>FG</v>
          </cell>
          <cell r="C1623" t="str">
            <v>CASHEW</v>
          </cell>
          <cell r="D1623" t="str">
            <v>Cashew - Kernel</v>
          </cell>
        </row>
        <row r="1624">
          <cell r="A1624" t="str">
            <v>Carnival Festive Indian Raisin 100gm</v>
          </cell>
          <cell r="B1624" t="str">
            <v>FG</v>
          </cell>
          <cell r="C1624" t="str">
            <v>RAISIN</v>
          </cell>
          <cell r="D1624" t="str">
            <v>Raisin - Indian</v>
          </cell>
        </row>
        <row r="1625">
          <cell r="A1625" t="str">
            <v>Carnival Festive Indian Raisin 150gm</v>
          </cell>
          <cell r="B1625" t="str">
            <v>FG</v>
          </cell>
          <cell r="C1625" t="str">
            <v>RAISIN</v>
          </cell>
          <cell r="D1625" t="str">
            <v>Raisin - Indian</v>
          </cell>
        </row>
        <row r="1626">
          <cell r="A1626" t="str">
            <v>Carnival Festive Indian Raisin 175gm</v>
          </cell>
          <cell r="B1626" t="str">
            <v>FG</v>
          </cell>
          <cell r="C1626" t="str">
            <v>RAISIN</v>
          </cell>
          <cell r="D1626" t="str">
            <v>Raisin - Indian</v>
          </cell>
        </row>
        <row r="1627">
          <cell r="A1627" t="str">
            <v>Carnival Festive Indian Raisin 200gm</v>
          </cell>
          <cell r="B1627" t="str">
            <v>FG</v>
          </cell>
          <cell r="C1627" t="str">
            <v>RAISIN</v>
          </cell>
          <cell r="D1627" t="str">
            <v>Raisin - Indian</v>
          </cell>
        </row>
        <row r="1628">
          <cell r="A1628" t="str">
            <v>Carnival Festive Indian Raisin 250gm</v>
          </cell>
          <cell r="B1628" t="str">
            <v>FG</v>
          </cell>
          <cell r="C1628" t="str">
            <v>RAISIN</v>
          </cell>
          <cell r="D1628" t="str">
            <v>Raisin - Indian</v>
          </cell>
        </row>
        <row r="1629">
          <cell r="A1629" t="str">
            <v>Carnival Festive Nuts &amp; Seeds Mix 120g</v>
          </cell>
          <cell r="B1629" t="str">
            <v>FG</v>
          </cell>
          <cell r="C1629" t="str">
            <v>TRAIL MIX</v>
          </cell>
          <cell r="D1629" t="str">
            <v>Trail Mix</v>
          </cell>
        </row>
        <row r="1630">
          <cell r="A1630" t="str">
            <v>Carnival Festive Paan Cranberry 125gm</v>
          </cell>
          <cell r="B1630" t="str">
            <v>FG</v>
          </cell>
          <cell r="C1630" t="str">
            <v>CRANBERRY</v>
          </cell>
          <cell r="D1630" t="str">
            <v>Cranberry - Whole</v>
          </cell>
        </row>
        <row r="1631">
          <cell r="A1631" t="str">
            <v>Carnival Festive Paan Raisin 125gm</v>
          </cell>
          <cell r="B1631" t="str">
            <v>FG</v>
          </cell>
          <cell r="C1631" t="str">
            <v>RAISIN</v>
          </cell>
          <cell r="D1631" t="str">
            <v>Raisin - Indian</v>
          </cell>
        </row>
        <row r="1632">
          <cell r="A1632" t="str">
            <v>Carnival Festive Salted Almonds (27-28 count) 100gm</v>
          </cell>
          <cell r="B1632" t="str">
            <v>FG</v>
          </cell>
          <cell r="C1632" t="str">
            <v>ALMOND</v>
          </cell>
          <cell r="D1632" t="str">
            <v>Almond - Kernels</v>
          </cell>
        </row>
        <row r="1633">
          <cell r="A1633" t="str">
            <v>Carnival Festive Salted Almonds (27-28 count) 150gm</v>
          </cell>
          <cell r="B1633" t="str">
            <v>FG</v>
          </cell>
          <cell r="C1633" t="str">
            <v>ALMOND</v>
          </cell>
          <cell r="D1633" t="str">
            <v>Almond - Kernels</v>
          </cell>
        </row>
        <row r="1634">
          <cell r="A1634" t="str">
            <v>Carnival Festive Salted Almonds (27-28 Count) 230gm</v>
          </cell>
          <cell r="B1634" t="str">
            <v>FG</v>
          </cell>
          <cell r="C1634" t="str">
            <v>ALMOND</v>
          </cell>
          <cell r="D1634" t="str">
            <v>Almond - Kernels</v>
          </cell>
        </row>
        <row r="1635">
          <cell r="A1635" t="str">
            <v>Carnival Festive Salted Almonds (27-28 count) 80gm</v>
          </cell>
          <cell r="B1635" t="str">
            <v>FG</v>
          </cell>
          <cell r="C1635" t="str">
            <v>ALMOND</v>
          </cell>
          <cell r="D1635" t="str">
            <v>Almond - Kernels</v>
          </cell>
        </row>
        <row r="1636">
          <cell r="A1636" t="str">
            <v>Carnival FestiveSalted Cashew (320) 100gm</v>
          </cell>
          <cell r="B1636" t="str">
            <v>FG</v>
          </cell>
          <cell r="C1636" t="str">
            <v>CASHEW</v>
          </cell>
          <cell r="D1636" t="str">
            <v>Cashew - Kernel</v>
          </cell>
        </row>
        <row r="1637">
          <cell r="A1637" t="str">
            <v>Carnival Festive Salted Cashew (320) 150gm</v>
          </cell>
          <cell r="B1637" t="str">
            <v>FG</v>
          </cell>
          <cell r="C1637" t="str">
            <v>CASHEW</v>
          </cell>
          <cell r="D1637" t="str">
            <v>Cashew - Kernel</v>
          </cell>
        </row>
        <row r="1638">
          <cell r="A1638" t="str">
            <v>Carnival Festive Salted Cashew (320) 230gm</v>
          </cell>
          <cell r="B1638" t="str">
            <v>FG</v>
          </cell>
          <cell r="C1638" t="str">
            <v>CASHEW</v>
          </cell>
          <cell r="D1638" t="str">
            <v>Cashew - Kernel</v>
          </cell>
        </row>
        <row r="1639">
          <cell r="A1639" t="str">
            <v>Carnival Festive Seedless Black Raisin 200gm</v>
          </cell>
          <cell r="B1639" t="str">
            <v>FG</v>
          </cell>
          <cell r="C1639" t="str">
            <v>RAISIN</v>
          </cell>
          <cell r="D1639" t="str">
            <v>Raisin - Black</v>
          </cell>
        </row>
        <row r="1640">
          <cell r="A1640" t="str">
            <v>Carnival Flax Seeds 100G</v>
          </cell>
          <cell r="B1640" t="str">
            <v>FG</v>
          </cell>
          <cell r="C1640" t="str">
            <v>SEEDS</v>
          </cell>
          <cell r="D1640" t="str">
            <v>FLax</v>
          </cell>
        </row>
        <row r="1641">
          <cell r="A1641" t="str">
            <v>Carnival Ganpati Date Mewa Box 242g</v>
          </cell>
          <cell r="B1641" t="str">
            <v>FG</v>
          </cell>
          <cell r="C1641" t="str">
            <v>FESTIVE HAMPERS</v>
          </cell>
          <cell r="D1641" t="str">
            <v>Gifting</v>
          </cell>
        </row>
        <row r="1642">
          <cell r="A1642" t="str">
            <v>Carnival Green Chilli Cashew 100g</v>
          </cell>
          <cell r="B1642" t="str">
            <v>FG</v>
          </cell>
          <cell r="C1642" t="str">
            <v>CASHEW</v>
          </cell>
          <cell r="D1642" t="str">
            <v>Cashew - Kernel</v>
          </cell>
        </row>
        <row r="1643">
          <cell r="A1643" t="str">
            <v>Carnival Green Chilli Cashew 230g</v>
          </cell>
          <cell r="B1643" t="str">
            <v>FG</v>
          </cell>
          <cell r="C1643" t="str">
            <v>CASHEW</v>
          </cell>
          <cell r="D1643" t="str">
            <v>Cashew - Kernel</v>
          </cell>
        </row>
        <row r="1644">
          <cell r="A1644" t="str">
            <v>Carnival Himalayan Salt &amp; Pepper Pistachios 200gm</v>
          </cell>
          <cell r="B1644" t="str">
            <v>FG</v>
          </cell>
          <cell r="C1644" t="str">
            <v>PISTA</v>
          </cell>
          <cell r="D1644" t="str">
            <v>Pista - Inshell</v>
          </cell>
        </row>
        <row r="1645">
          <cell r="A1645" t="str">
            <v>Carnival Himalayan Salt &amp; Pepper Pistachios 25g</v>
          </cell>
          <cell r="B1645" t="str">
            <v>FG</v>
          </cell>
          <cell r="C1645" t="str">
            <v>PISTA</v>
          </cell>
          <cell r="D1645" t="str">
            <v>Pista - Inshell</v>
          </cell>
        </row>
        <row r="1646">
          <cell r="A1646" t="str">
            <v>Carnival Honey Roasted Almonds 100G</v>
          </cell>
          <cell r="B1646" t="str">
            <v>FG</v>
          </cell>
          <cell r="C1646" t="str">
            <v>ALMOND</v>
          </cell>
          <cell r="D1646" t="str">
            <v>Almond - Kernels</v>
          </cell>
        </row>
        <row r="1647">
          <cell r="A1647" t="str">
            <v>Carnival Honey Roasted Almonds 230G</v>
          </cell>
          <cell r="B1647" t="str">
            <v>FG</v>
          </cell>
          <cell r="C1647" t="str">
            <v>ALMOND</v>
          </cell>
          <cell r="D1647" t="str">
            <v>Almond - Kernels</v>
          </cell>
        </row>
        <row r="1648">
          <cell r="A1648" t="str">
            <v>Carnival Indian Green Raisins 200g</v>
          </cell>
          <cell r="B1648" t="str">
            <v>FG</v>
          </cell>
          <cell r="C1648" t="str">
            <v>RAISIN</v>
          </cell>
          <cell r="D1648" t="str">
            <v>Raisin - Indian</v>
          </cell>
        </row>
        <row r="1649">
          <cell r="A1649" t="str">
            <v>Carnival Indian Kishmish 100g</v>
          </cell>
          <cell r="B1649" t="str">
            <v>FG</v>
          </cell>
          <cell r="C1649" t="str">
            <v>RAISIN</v>
          </cell>
          <cell r="D1649" t="str">
            <v>Raisin - Indian</v>
          </cell>
        </row>
        <row r="1650">
          <cell r="A1650" t="str">
            <v>Carnival Iranian Pistachio 250 Gm</v>
          </cell>
          <cell r="B1650" t="str">
            <v>FG</v>
          </cell>
          <cell r="C1650" t="str">
            <v>PISTA</v>
          </cell>
          <cell r="D1650" t="str">
            <v>Pista - Irani</v>
          </cell>
        </row>
        <row r="1651">
          <cell r="A1651" t="str">
            <v>Carnival Jumbo Salted Cashew with Skin 200g</v>
          </cell>
          <cell r="B1651" t="str">
            <v>FG</v>
          </cell>
          <cell r="C1651" t="str">
            <v>CASHEW</v>
          </cell>
          <cell r="D1651" t="str">
            <v>Cashew - Kernel</v>
          </cell>
        </row>
        <row r="1652">
          <cell r="A1652" t="str">
            <v>Carnival Kishmish Almond Mix 100g</v>
          </cell>
          <cell r="B1652" t="str">
            <v>FG</v>
          </cell>
          <cell r="C1652" t="str">
            <v>TRAIL MIX</v>
          </cell>
          <cell r="D1652" t="str">
            <v>Trail Mix</v>
          </cell>
        </row>
        <row r="1653">
          <cell r="A1653" t="str">
            <v>Carnival Macadamia 200gm</v>
          </cell>
          <cell r="B1653" t="str">
            <v>FG</v>
          </cell>
          <cell r="C1653" t="str">
            <v>PREMIUM NUTS</v>
          </cell>
          <cell r="D1653" t="str">
            <v>Macadamia Nuts</v>
          </cell>
        </row>
        <row r="1654">
          <cell r="A1654" t="str">
            <v>Carnival Madhur Mahotsav DF Box 4P 400g</v>
          </cell>
          <cell r="B1654" t="str">
            <v>FG</v>
          </cell>
          <cell r="C1654" t="str">
            <v>FESTIVE HAMPERS</v>
          </cell>
          <cell r="D1654" t="str">
            <v>Gifting</v>
          </cell>
        </row>
        <row r="1655">
          <cell r="A1655" t="str">
            <v>Carnival Magic Moments 4P 600gm</v>
          </cell>
          <cell r="B1655" t="str">
            <v>FG</v>
          </cell>
          <cell r="C1655" t="str">
            <v>FESTIVE HAMPERS</v>
          </cell>
          <cell r="D1655" t="str">
            <v>Gifting</v>
          </cell>
        </row>
        <row r="1656">
          <cell r="A1656" t="str">
            <v>Carnival Makhana Plain 250g</v>
          </cell>
          <cell r="B1656" t="str">
            <v>FG</v>
          </cell>
          <cell r="C1656" t="str">
            <v>MAKHANA</v>
          </cell>
          <cell r="D1656" t="str">
            <v>Makhana - Suta</v>
          </cell>
        </row>
        <row r="1657">
          <cell r="A1657" t="str">
            <v>Carnival Mangalmay Utsav DF Box 6P 600g</v>
          </cell>
          <cell r="B1657" t="str">
            <v>FG</v>
          </cell>
          <cell r="C1657" t="str">
            <v>FESTIVE HAMPERS</v>
          </cell>
          <cell r="D1657" t="str">
            <v>Gifting</v>
          </cell>
        </row>
        <row r="1658">
          <cell r="A1658" t="str">
            <v>CARNIVAL Mayur Ratna Big 520g</v>
          </cell>
          <cell r="B1658" t="str">
            <v>FG</v>
          </cell>
          <cell r="C1658" t="str">
            <v>FESTIVE HAMPERS</v>
          </cell>
          <cell r="D1658" t="str">
            <v>Gifting</v>
          </cell>
        </row>
        <row r="1659">
          <cell r="A1659" t="str">
            <v>CARNIVAL Mayur Ratna Big 520gm</v>
          </cell>
          <cell r="B1659" t="str">
            <v>FG</v>
          </cell>
          <cell r="C1659" t="str">
            <v>FESTIVE HAMPERS</v>
          </cell>
          <cell r="D1659" t="str">
            <v>Gifting</v>
          </cell>
        </row>
        <row r="1660">
          <cell r="A1660" t="str">
            <v>CARNIVAL Mayur Ratna Small 360g</v>
          </cell>
          <cell r="B1660" t="str">
            <v>FG</v>
          </cell>
          <cell r="C1660" t="str">
            <v>FESTIVE HAMPERS</v>
          </cell>
          <cell r="D1660" t="str">
            <v>Gifting</v>
          </cell>
        </row>
        <row r="1661">
          <cell r="A1661" t="str">
            <v>CARNIVAL Mayur Ratna Small 360gm</v>
          </cell>
          <cell r="B1661" t="str">
            <v>FG</v>
          </cell>
          <cell r="C1661" t="str">
            <v>FESTIVE HAMPERS</v>
          </cell>
          <cell r="D1661" t="str">
            <v>Gifting</v>
          </cell>
        </row>
        <row r="1662">
          <cell r="A1662" t="str">
            <v>Carnival Mocha Mojo Trail Mix 100g</v>
          </cell>
          <cell r="B1662" t="str">
            <v>FG</v>
          </cell>
          <cell r="C1662" t="str">
            <v>TRAIL MIX</v>
          </cell>
          <cell r="D1662" t="str">
            <v>Trail Mix</v>
          </cell>
        </row>
        <row r="1663">
          <cell r="A1663" t="str">
            <v>Carnival Mocha Mojo Trail Mix 200g</v>
          </cell>
          <cell r="B1663" t="str">
            <v>FG</v>
          </cell>
          <cell r="C1663" t="str">
            <v>TRAIL MIX</v>
          </cell>
          <cell r="D1663" t="str">
            <v>Trail Mix</v>
          </cell>
        </row>
        <row r="1664">
          <cell r="A1664" t="str">
            <v>Carnival Mocha Mojo Trail Mix 250g</v>
          </cell>
          <cell r="B1664" t="str">
            <v>FG</v>
          </cell>
          <cell r="C1664" t="str">
            <v>TRAIL MIX</v>
          </cell>
          <cell r="D1664" t="str">
            <v>Trail Mix</v>
          </cell>
        </row>
        <row r="1665">
          <cell r="A1665" t="str">
            <v>Carnival Nuts &amp; Seed Mix 100gm</v>
          </cell>
          <cell r="B1665" t="str">
            <v>FG</v>
          </cell>
          <cell r="C1665" t="str">
            <v>TRAIL MIX</v>
          </cell>
          <cell r="D1665" t="str">
            <v>Trail Mix</v>
          </cell>
        </row>
        <row r="1666">
          <cell r="A1666" t="str">
            <v>Carnival Oman Dates 250g</v>
          </cell>
          <cell r="B1666" t="str">
            <v>FG</v>
          </cell>
          <cell r="C1666" t="str">
            <v>DATES</v>
          </cell>
          <cell r="D1666" t="str">
            <v>Oman</v>
          </cell>
        </row>
        <row r="1667">
          <cell r="A1667" t="str">
            <v>Carnival Pan Raisin 125g</v>
          </cell>
          <cell r="B1667" t="str">
            <v>FG</v>
          </cell>
          <cell r="C1667" t="str">
            <v>RAISIN</v>
          </cell>
          <cell r="D1667" t="str">
            <v>Raisin - Indian</v>
          </cell>
        </row>
        <row r="1668">
          <cell r="A1668" t="str">
            <v>Carnival Pepper Cashew 100G</v>
          </cell>
          <cell r="B1668" t="str">
            <v>FG</v>
          </cell>
          <cell r="C1668" t="str">
            <v>CASHEW</v>
          </cell>
          <cell r="D1668" t="str">
            <v>Cashew - Kernel</v>
          </cell>
        </row>
        <row r="1669">
          <cell r="A1669" t="str">
            <v>Carnival Pepper Cashew 125gm</v>
          </cell>
          <cell r="B1669" t="str">
            <v>FG</v>
          </cell>
          <cell r="C1669" t="str">
            <v>CASHEW</v>
          </cell>
          <cell r="D1669" t="str">
            <v>Cashew - Kernel</v>
          </cell>
        </row>
        <row r="1670">
          <cell r="A1670" t="str">
            <v>Carnival Pepper Cashew 200G</v>
          </cell>
          <cell r="B1670" t="str">
            <v>FG</v>
          </cell>
          <cell r="C1670" t="str">
            <v>CASHEW</v>
          </cell>
          <cell r="D1670" t="str">
            <v>Cashew - Kernel</v>
          </cell>
        </row>
        <row r="1671">
          <cell r="A1671" t="str">
            <v>Carnival Pepper Pistachios 200G</v>
          </cell>
          <cell r="B1671" t="str">
            <v>FG</v>
          </cell>
          <cell r="C1671" t="str">
            <v>PISTA</v>
          </cell>
          <cell r="D1671" t="str">
            <v>Pista - Inshell</v>
          </cell>
        </row>
        <row r="1672">
          <cell r="A1672" t="str">
            <v>Carnival Peri Peri Cashew 100 Gms</v>
          </cell>
          <cell r="B1672" t="str">
            <v>FG</v>
          </cell>
          <cell r="C1672" t="str">
            <v>CASHEW</v>
          </cell>
          <cell r="D1672" t="str">
            <v>Cashew - Kernel</v>
          </cell>
        </row>
        <row r="1673">
          <cell r="A1673" t="str">
            <v>Carnival Peri Peri Cashew 150gm</v>
          </cell>
          <cell r="B1673" t="str">
            <v>FG</v>
          </cell>
          <cell r="C1673" t="str">
            <v>CASHEW</v>
          </cell>
          <cell r="D1673" t="str">
            <v>Cashew - Kernel</v>
          </cell>
        </row>
        <row r="1674">
          <cell r="A1674" t="str">
            <v>Carnival Peri Peri Cashew 200gm</v>
          </cell>
          <cell r="B1674" t="str">
            <v>FG</v>
          </cell>
          <cell r="C1674" t="str">
            <v>CASHEW</v>
          </cell>
          <cell r="D1674" t="str">
            <v>Cashew - Kernel</v>
          </cell>
        </row>
        <row r="1675">
          <cell r="A1675" t="str">
            <v>Carnival Peri Peri Makhana 125g</v>
          </cell>
          <cell r="B1675" t="str">
            <v>FG</v>
          </cell>
          <cell r="C1675" t="str">
            <v>MAKHANA</v>
          </cell>
          <cell r="D1675" t="str">
            <v>Makhana - Suta</v>
          </cell>
        </row>
        <row r="1676">
          <cell r="A1676" t="str">
            <v>Carnival Peri Peri Makhana 55g</v>
          </cell>
          <cell r="B1676" t="str">
            <v>FG</v>
          </cell>
          <cell r="C1676" t="str">
            <v>MAKHANA</v>
          </cell>
          <cell r="D1676" t="str">
            <v>Makhana - Suta</v>
          </cell>
        </row>
        <row r="1677">
          <cell r="A1677" t="str">
            <v>Carnival Peri Peri Walnut 150g</v>
          </cell>
          <cell r="B1677" t="str">
            <v>FG</v>
          </cell>
          <cell r="C1677" t="str">
            <v>WALNUT</v>
          </cell>
          <cell r="D1677" t="str">
            <v>Walnut - Kernel</v>
          </cell>
        </row>
        <row r="1678">
          <cell r="A1678" t="str">
            <v>CARNIVAL PERMINUM KHARIK DRY DATES</v>
          </cell>
          <cell r="B1678" t="str">
            <v>RM</v>
          </cell>
          <cell r="C1678" t="str">
            <v>DATES</v>
          </cell>
          <cell r="D1678" t="str">
            <v>Dry Dates</v>
          </cell>
        </row>
        <row r="1679">
          <cell r="A1679" t="str">
            <v>Carnival Pine Nut 100 Gms</v>
          </cell>
          <cell r="B1679" t="str">
            <v>FG</v>
          </cell>
          <cell r="C1679" t="str">
            <v>PREMIUM NUTS</v>
          </cell>
          <cell r="D1679" t="str">
            <v>Pine Nuts</v>
          </cell>
        </row>
        <row r="1680">
          <cell r="A1680" t="str">
            <v>Carnival Pitted Prunes 250g</v>
          </cell>
          <cell r="B1680" t="str">
            <v>FG</v>
          </cell>
          <cell r="C1680" t="str">
            <v>PRUNES</v>
          </cell>
          <cell r="D1680" t="str">
            <v>Prunes - Pitted</v>
          </cell>
        </row>
        <row r="1681">
          <cell r="A1681" t="str">
            <v>Carnival Popcorn Makhana 125g</v>
          </cell>
          <cell r="B1681" t="str">
            <v>FG</v>
          </cell>
          <cell r="C1681" t="str">
            <v>MAKHANA</v>
          </cell>
          <cell r="D1681" t="str">
            <v>Makhana - Suta</v>
          </cell>
        </row>
        <row r="1682">
          <cell r="A1682" t="str">
            <v>Carnival Popcorn Makhana 55gm</v>
          </cell>
          <cell r="B1682" t="str">
            <v>FG</v>
          </cell>
          <cell r="C1682" t="str">
            <v>MAKHANA</v>
          </cell>
          <cell r="D1682" t="str">
            <v>Makhana - Suta</v>
          </cell>
        </row>
        <row r="1683">
          <cell r="A1683" t="str">
            <v>Carnival Premium Abjosh 100gm</v>
          </cell>
          <cell r="B1683" t="str">
            <v>FG</v>
          </cell>
          <cell r="C1683" t="str">
            <v>RAISIN</v>
          </cell>
          <cell r="D1683" t="str">
            <v>Raisin - Abjosh</v>
          </cell>
        </row>
        <row r="1684">
          <cell r="A1684" t="str">
            <v>Carnival Premium Brazil Nuts, 250 Gms</v>
          </cell>
          <cell r="B1684" t="str">
            <v>FG</v>
          </cell>
          <cell r="C1684" t="str">
            <v>PREMIUM NUTS</v>
          </cell>
          <cell r="D1684" t="str">
            <v>Brazil Nuts</v>
          </cell>
        </row>
        <row r="1685">
          <cell r="A1685" t="str">
            <v>Carnival Premium Cocktail Mix 100g</v>
          </cell>
          <cell r="B1685" t="str">
            <v>FG</v>
          </cell>
          <cell r="C1685" t="str">
            <v>TRAIL MIX</v>
          </cell>
          <cell r="D1685" t="str">
            <v>Trail Mix</v>
          </cell>
        </row>
        <row r="1686">
          <cell r="A1686" t="str">
            <v>Carnival Premium Cocktail Mix 250 Gms</v>
          </cell>
          <cell r="B1686" t="str">
            <v>FG</v>
          </cell>
          <cell r="C1686" t="str">
            <v>TRAIL MIX</v>
          </cell>
          <cell r="D1686" t="str">
            <v>Trail Mix</v>
          </cell>
        </row>
        <row r="1687">
          <cell r="A1687" t="str">
            <v>Carnival Premium Kesar 0.5 Gms</v>
          </cell>
          <cell r="B1687" t="str">
            <v>FG</v>
          </cell>
          <cell r="C1687" t="str">
            <v>SPICES</v>
          </cell>
          <cell r="D1687" t="str">
            <v>Whole Spices</v>
          </cell>
        </row>
        <row r="1688">
          <cell r="A1688" t="str">
            <v>Carnival Premium Macadamia Nut 250 Gms</v>
          </cell>
          <cell r="B1688" t="str">
            <v>FG</v>
          </cell>
          <cell r="C1688" t="str">
            <v>PREMIUM NUTS</v>
          </cell>
          <cell r="D1688" t="str">
            <v>Macadamia Nuts</v>
          </cell>
        </row>
        <row r="1689">
          <cell r="A1689" t="str">
            <v>Carnival Premium Pecan Nuts 200g Mono Carton</v>
          </cell>
          <cell r="B1689" t="str">
            <v>FG</v>
          </cell>
          <cell r="C1689" t="str">
            <v>PREMIUM NUTS</v>
          </cell>
          <cell r="D1689" t="str">
            <v>Pecan Nuts</v>
          </cell>
        </row>
        <row r="1690">
          <cell r="A1690" t="str">
            <v>Carnival Premium Pecan Nuts 250 Gms</v>
          </cell>
          <cell r="B1690" t="str">
            <v>FG</v>
          </cell>
          <cell r="C1690" t="str">
            <v>PREMIUM NUTS</v>
          </cell>
          <cell r="D1690" t="str">
            <v>Pecan Nuts</v>
          </cell>
        </row>
        <row r="1691">
          <cell r="A1691" t="str">
            <v>Carnival Premium Walnut Kernels 250 Gms</v>
          </cell>
          <cell r="B1691" t="str">
            <v>FG</v>
          </cell>
          <cell r="C1691" t="str">
            <v>WALNUT</v>
          </cell>
          <cell r="D1691" t="str">
            <v>Walnut - Kernel</v>
          </cell>
        </row>
        <row r="1692">
          <cell r="A1692" t="str">
            <v>Carnival Pudina Almonds 125g</v>
          </cell>
          <cell r="B1692" t="str">
            <v>FG</v>
          </cell>
          <cell r="C1692" t="str">
            <v>ALMOND</v>
          </cell>
          <cell r="D1692" t="str">
            <v>Almond - Kernels</v>
          </cell>
        </row>
        <row r="1693">
          <cell r="A1693" t="str">
            <v>Carnival Pudina Makhana 125 Gm</v>
          </cell>
          <cell r="B1693" t="str">
            <v>FG</v>
          </cell>
          <cell r="C1693" t="str">
            <v>MAKHANA</v>
          </cell>
          <cell r="D1693" t="str">
            <v>Makhana - Suta</v>
          </cell>
        </row>
        <row r="1694">
          <cell r="A1694" t="str">
            <v>Carnival Raisin Black Seeded 250gm</v>
          </cell>
          <cell r="B1694" t="str">
            <v>FG</v>
          </cell>
          <cell r="C1694" t="str">
            <v>RAISIN</v>
          </cell>
          <cell r="D1694" t="str">
            <v>Raisin - Black</v>
          </cell>
        </row>
        <row r="1695">
          <cell r="A1695" t="str">
            <v>CARNIVAL RAISIN IDNIAN GREEN/GOLDEN ROUND 1KG</v>
          </cell>
          <cell r="B1695" t="str">
            <v>FG</v>
          </cell>
          <cell r="C1695" t="str">
            <v>RAISIN</v>
          </cell>
          <cell r="D1695" t="str">
            <v>Raisin - Indian</v>
          </cell>
        </row>
        <row r="1696">
          <cell r="A1696" t="str">
            <v>Carnival Raisins Black Chatpata 200g</v>
          </cell>
          <cell r="B1696" t="str">
            <v>FG</v>
          </cell>
          <cell r="C1696" t="str">
            <v>RAISIN</v>
          </cell>
          <cell r="D1696" t="str">
            <v>Raisin - Black</v>
          </cell>
        </row>
        <row r="1697">
          <cell r="A1697" t="str">
            <v>Carnival Ramayana DF Box 6P 600gm</v>
          </cell>
          <cell r="B1697" t="str">
            <v>FG</v>
          </cell>
          <cell r="C1697" t="str">
            <v>FESTIVE HAMPERS</v>
          </cell>
          <cell r="D1697" t="str">
            <v>Gifting</v>
          </cell>
        </row>
        <row r="1698">
          <cell r="A1698" t="str">
            <v>Carnival Rasleela DF Box 4P 400g</v>
          </cell>
          <cell r="B1698" t="str">
            <v>FG</v>
          </cell>
          <cell r="C1698" t="str">
            <v>FESTIVE HAMPERS</v>
          </cell>
          <cell r="D1698" t="str">
            <v>Gifting</v>
          </cell>
        </row>
        <row r="1699">
          <cell r="A1699" t="str">
            <v>Carnival Roasted And Salted Irani Pista 250g</v>
          </cell>
          <cell r="B1699" t="str">
            <v>FG</v>
          </cell>
          <cell r="C1699" t="str">
            <v>PISTA</v>
          </cell>
          <cell r="D1699" t="str">
            <v>Pista - Irani</v>
          </cell>
        </row>
        <row r="1700">
          <cell r="A1700" t="str">
            <v>Carnival Roasted Macadamia Nuts 100g</v>
          </cell>
          <cell r="B1700" t="str">
            <v>FG</v>
          </cell>
          <cell r="C1700" t="str">
            <v>PREMIUM NUTS</v>
          </cell>
          <cell r="D1700" t="str">
            <v>Macadamia Nuts</v>
          </cell>
        </row>
        <row r="1701">
          <cell r="A1701" t="str">
            <v>Carnival Roasted Macadamia Nuts 250g</v>
          </cell>
          <cell r="B1701" t="str">
            <v>FG</v>
          </cell>
          <cell r="C1701" t="str">
            <v>PREMIUM NUTS</v>
          </cell>
          <cell r="D1701" t="str">
            <v>Macadamia Nuts</v>
          </cell>
        </row>
        <row r="1702">
          <cell r="A1702" t="str">
            <v>Carnival Roasted &amp; Salted Almonds 100g</v>
          </cell>
          <cell r="B1702" t="str">
            <v>FG</v>
          </cell>
          <cell r="C1702" t="str">
            <v>ALMOND</v>
          </cell>
          <cell r="D1702" t="str">
            <v>Almond - Kernels</v>
          </cell>
        </row>
        <row r="1703">
          <cell r="A1703" t="str">
            <v>Carnival Roasted &amp; Salted Almonds 230g</v>
          </cell>
          <cell r="B1703" t="str">
            <v>FG</v>
          </cell>
          <cell r="C1703" t="str">
            <v>ALMOND</v>
          </cell>
          <cell r="D1703" t="str">
            <v>Almond - Kernels</v>
          </cell>
        </row>
        <row r="1704">
          <cell r="A1704" t="str">
            <v>Carnival Roasted &amp; Salted Almonds 250g</v>
          </cell>
          <cell r="B1704" t="str">
            <v>FG</v>
          </cell>
          <cell r="C1704" t="str">
            <v>ALMOND</v>
          </cell>
          <cell r="D1704" t="str">
            <v>Almond - Kernels</v>
          </cell>
        </row>
        <row r="1705">
          <cell r="A1705" t="str">
            <v>Carnival Roasted &amp; Salted Cashew 100g</v>
          </cell>
          <cell r="B1705" t="str">
            <v>FG</v>
          </cell>
          <cell r="C1705" t="str">
            <v>CASHEW</v>
          </cell>
          <cell r="D1705" t="str">
            <v>Cashew - Kernel</v>
          </cell>
        </row>
        <row r="1706">
          <cell r="A1706" t="str">
            <v>Carnival Roasted &amp; Salted Cashew 230g</v>
          </cell>
          <cell r="B1706" t="str">
            <v>FG</v>
          </cell>
          <cell r="C1706" t="str">
            <v>CASHEW</v>
          </cell>
          <cell r="D1706" t="str">
            <v>Cashew - Kernel</v>
          </cell>
        </row>
        <row r="1707">
          <cell r="A1707" t="str">
            <v>Carnival Roasted &amp; Salted Pistachio 100g</v>
          </cell>
          <cell r="B1707" t="str">
            <v>FG</v>
          </cell>
          <cell r="C1707" t="str">
            <v>PISTA</v>
          </cell>
          <cell r="D1707" t="str">
            <v>Pista - Inshell</v>
          </cell>
        </row>
        <row r="1708">
          <cell r="A1708" t="str">
            <v>Carnival Roasted &amp; Salted Pistachio 200g</v>
          </cell>
          <cell r="B1708" t="str">
            <v>FG</v>
          </cell>
          <cell r="C1708" t="str">
            <v>PISTA</v>
          </cell>
          <cell r="D1708" t="str">
            <v>Pista - Inshell</v>
          </cell>
        </row>
        <row r="1709">
          <cell r="A1709" t="str">
            <v>Carnival Roasted &amp; Salted Pistachio 250g</v>
          </cell>
          <cell r="B1709" t="str">
            <v>FG</v>
          </cell>
          <cell r="C1709" t="str">
            <v>PISTA</v>
          </cell>
          <cell r="D1709" t="str">
            <v>Pista - Inshell</v>
          </cell>
        </row>
        <row r="1710">
          <cell r="A1710" t="str">
            <v>CARNIVAL Royal divine 550g</v>
          </cell>
          <cell r="B1710" t="str">
            <v>FG</v>
          </cell>
          <cell r="C1710" t="str">
            <v>FESTIVE HAMPERS</v>
          </cell>
          <cell r="D1710" t="str">
            <v>Gifting</v>
          </cell>
        </row>
        <row r="1711">
          <cell r="A1711" t="str">
            <v>Carnival Salted Caramel Pecannuts 80g</v>
          </cell>
          <cell r="B1711" t="str">
            <v>FG</v>
          </cell>
          <cell r="C1711" t="str">
            <v>PREMIUM NUTS</v>
          </cell>
          <cell r="D1711" t="str">
            <v>Pecan Nuts</v>
          </cell>
        </row>
        <row r="1712">
          <cell r="A1712" t="str">
            <v>Carnival Salt &amp; Pepper Walnut 150g</v>
          </cell>
          <cell r="B1712" t="str">
            <v>FG</v>
          </cell>
          <cell r="C1712" t="str">
            <v>WALNUT</v>
          </cell>
          <cell r="D1712" t="str">
            <v>Walnut - Kernel</v>
          </cell>
        </row>
        <row r="1713">
          <cell r="A1713" t="str">
            <v>Carnival Seedless Black Raisin 250 Gm</v>
          </cell>
          <cell r="B1713" t="str">
            <v>FG</v>
          </cell>
          <cell r="C1713" t="str">
            <v>RAISIN</v>
          </cell>
          <cell r="D1713" t="str">
            <v>Raisin - Black</v>
          </cell>
        </row>
        <row r="1714">
          <cell r="A1714" t="str">
            <v>Carnival Seedless Oman Dates 250G</v>
          </cell>
          <cell r="B1714" t="str">
            <v>FG</v>
          </cell>
          <cell r="C1714" t="str">
            <v>DATES</v>
          </cell>
          <cell r="D1714" t="str">
            <v>Seedless</v>
          </cell>
        </row>
        <row r="1715">
          <cell r="A1715" t="str">
            <v>Carnival Shubhakamnayein 3P 300g</v>
          </cell>
          <cell r="B1715" t="str">
            <v>FG</v>
          </cell>
          <cell r="C1715" t="str">
            <v>FESTIVE HAMPERS</v>
          </cell>
          <cell r="D1715" t="str">
            <v>Gifting</v>
          </cell>
        </row>
        <row r="1716">
          <cell r="A1716" t="str">
            <v>Carnival Simply Thandai 100g</v>
          </cell>
          <cell r="B1716" t="str">
            <v>FG</v>
          </cell>
          <cell r="C1716" t="str">
            <v>TRAIL MIX</v>
          </cell>
          <cell r="D1716" t="str">
            <v>Trail Mix</v>
          </cell>
        </row>
        <row r="1717">
          <cell r="A1717" t="str">
            <v>Carnival Simply Thandai Mix 200gm</v>
          </cell>
          <cell r="B1717" t="str">
            <v>FG</v>
          </cell>
          <cell r="C1717" t="str">
            <v>TRAIL MIX</v>
          </cell>
          <cell r="D1717" t="str">
            <v>Trail Mix</v>
          </cell>
        </row>
        <row r="1718">
          <cell r="A1718" t="str">
            <v>Carnival Smoked Almonds 100gm</v>
          </cell>
          <cell r="B1718" t="str">
            <v>FG</v>
          </cell>
          <cell r="C1718" t="str">
            <v>ALMOND</v>
          </cell>
          <cell r="D1718" t="str">
            <v>Almond - Kernels</v>
          </cell>
        </row>
        <row r="1719">
          <cell r="A1719" t="str">
            <v>Carnival Smoked Almonds 200g</v>
          </cell>
          <cell r="B1719" t="str">
            <v>FG</v>
          </cell>
          <cell r="C1719" t="str">
            <v>ALMOND</v>
          </cell>
          <cell r="D1719" t="str">
            <v>Almond - Kernels</v>
          </cell>
        </row>
        <row r="1720">
          <cell r="A1720" t="str">
            <v>Carnival Spanish Tomato Cashew 100G</v>
          </cell>
          <cell r="B1720" t="str">
            <v>FG</v>
          </cell>
          <cell r="C1720" t="str">
            <v>CASHEW</v>
          </cell>
          <cell r="D1720" t="str">
            <v>Cashew - Kernel</v>
          </cell>
        </row>
        <row r="1721">
          <cell r="A1721" t="str">
            <v>CARNIVAL STANDARD KHARIK DATES</v>
          </cell>
          <cell r="B1721" t="str">
            <v>RM</v>
          </cell>
          <cell r="C1721" t="str">
            <v>DATES</v>
          </cell>
          <cell r="D1721" t="str">
            <v>Dry Dates</v>
          </cell>
        </row>
        <row r="1722">
          <cell r="A1722" t="str">
            <v>CARNIVAL Utsav 700g</v>
          </cell>
          <cell r="B1722" t="str">
            <v>FG</v>
          </cell>
          <cell r="C1722" t="str">
            <v>FESTIVE HAMPERS</v>
          </cell>
          <cell r="D1722" t="str">
            <v>Gifting</v>
          </cell>
        </row>
        <row r="1723">
          <cell r="A1723" t="str">
            <v>Carnival Walnut Kernal 2pc 200gm</v>
          </cell>
          <cell r="B1723" t="str">
            <v>FG</v>
          </cell>
          <cell r="C1723" t="str">
            <v>WALNUT</v>
          </cell>
          <cell r="D1723" t="str">
            <v>Walnut - Kernel</v>
          </cell>
        </row>
        <row r="1724">
          <cell r="A1724" t="str">
            <v>Carnival Wasabi Makhana 55g</v>
          </cell>
          <cell r="B1724" t="str">
            <v>FG</v>
          </cell>
          <cell r="C1724" t="str">
            <v>MAKHANA</v>
          </cell>
          <cell r="D1724" t="str">
            <v>Makhana - Suta</v>
          </cell>
        </row>
        <row r="1725">
          <cell r="A1725" t="str">
            <v>Cashew 100g (B07GQZSS49) FBA</v>
          </cell>
          <cell r="B1725" t="str">
            <v>FG</v>
          </cell>
          <cell r="C1725" t="str">
            <v>CASHEW</v>
          </cell>
          <cell r="D1725" t="str">
            <v>Cashew - Kernel</v>
          </cell>
        </row>
        <row r="1726">
          <cell r="A1726" t="str">
            <v>Cashew 150</v>
          </cell>
          <cell r="B1726" t="str">
            <v>RM</v>
          </cell>
          <cell r="C1726" t="str">
            <v>CASHEW</v>
          </cell>
          <cell r="D1726" t="str">
            <v>Cashew - Kernel</v>
          </cell>
        </row>
        <row r="1727">
          <cell r="A1727" t="str">
            <v>Cashew 180</v>
          </cell>
          <cell r="B1727" t="str">
            <v>RM</v>
          </cell>
          <cell r="C1727" t="str">
            <v>CASHEW</v>
          </cell>
          <cell r="D1727" t="str">
            <v>Cashew - Kernel</v>
          </cell>
        </row>
        <row r="1728">
          <cell r="A1728" t="str">
            <v>Cashew 210</v>
          </cell>
          <cell r="B1728" t="str">
            <v>RM</v>
          </cell>
          <cell r="C1728" t="str">
            <v>CASHEW</v>
          </cell>
          <cell r="D1728" t="str">
            <v>Cashew - Kernel</v>
          </cell>
        </row>
        <row r="1729">
          <cell r="A1729" t="str">
            <v>Cashew 230gm</v>
          </cell>
          <cell r="B1729" t="str">
            <v>FG</v>
          </cell>
          <cell r="C1729" t="str">
            <v>CASHEW</v>
          </cell>
          <cell r="D1729" t="str">
            <v>Cashew - Kernel</v>
          </cell>
        </row>
        <row r="1730">
          <cell r="A1730" t="str">
            <v>Cashew 240</v>
          </cell>
          <cell r="B1730" t="str">
            <v>RM</v>
          </cell>
          <cell r="C1730" t="str">
            <v>CASHEW</v>
          </cell>
          <cell r="D1730" t="str">
            <v>Cashew - Kernel</v>
          </cell>
        </row>
        <row r="1731">
          <cell r="A1731" t="str">
            <v>Cashew 240 230g</v>
          </cell>
          <cell r="B1731" t="str">
            <v>FG</v>
          </cell>
          <cell r="C1731" t="str">
            <v>CASHEW</v>
          </cell>
          <cell r="D1731" t="str">
            <v>Cashew - Kernel</v>
          </cell>
        </row>
        <row r="1732">
          <cell r="A1732" t="str">
            <v>Cashew 280</v>
          </cell>
          <cell r="B1732" t="str">
            <v>RM</v>
          </cell>
          <cell r="C1732" t="str">
            <v>CASHEW</v>
          </cell>
          <cell r="D1732" t="str">
            <v>Cashew - Kernel</v>
          </cell>
        </row>
        <row r="1733">
          <cell r="A1733" t="str">
            <v>Cashew 300</v>
          </cell>
          <cell r="B1733" t="str">
            <v>RM</v>
          </cell>
          <cell r="C1733" t="str">
            <v>CASHEW</v>
          </cell>
          <cell r="D1733" t="str">
            <v>Cashew - Kernel</v>
          </cell>
        </row>
        <row r="1734">
          <cell r="A1734" t="str">
            <v>Cashew 320</v>
          </cell>
          <cell r="B1734" t="str">
            <v>RM</v>
          </cell>
          <cell r="C1734" t="str">
            <v>CASHEW</v>
          </cell>
          <cell r="D1734" t="str">
            <v>Cashew - Kernel</v>
          </cell>
        </row>
        <row r="1735">
          <cell r="A1735" t="str">
            <v>Cashew 400</v>
          </cell>
          <cell r="B1735" t="str">
            <v>RM</v>
          </cell>
          <cell r="C1735" t="str">
            <v>CASHEW</v>
          </cell>
          <cell r="D1735" t="str">
            <v>Cashew - Kernel</v>
          </cell>
        </row>
        <row r="1736">
          <cell r="A1736" t="str">
            <v>CASHEW 450</v>
          </cell>
          <cell r="B1736" t="str">
            <v>RM</v>
          </cell>
          <cell r="C1736" t="str">
            <v>CASHEW</v>
          </cell>
          <cell r="D1736" t="str">
            <v>Cashew - Kernel</v>
          </cell>
        </row>
        <row r="1737">
          <cell r="A1737" t="str">
            <v>Cashew 500g (B07GQW1HHN)</v>
          </cell>
          <cell r="B1737" t="str">
            <v>FG</v>
          </cell>
          <cell r="C1737" t="str">
            <v>CASHEW</v>
          </cell>
          <cell r="D1737" t="str">
            <v>Cashew - Kernel</v>
          </cell>
        </row>
        <row r="1738">
          <cell r="A1738" t="str">
            <v>Cashew Flavoured Rosemary Loose</v>
          </cell>
          <cell r="B1738" t="str">
            <v>FG</v>
          </cell>
          <cell r="C1738" t="str">
            <v>CASHEW</v>
          </cell>
          <cell r="D1738" t="str">
            <v>Cashew - Kernel</v>
          </cell>
        </row>
        <row r="1739">
          <cell r="A1739" t="str">
            <v>Cashew Jumbo with Skin</v>
          </cell>
          <cell r="B1739" t="str">
            <v>RM</v>
          </cell>
          <cell r="C1739" t="str">
            <v>CASHEW</v>
          </cell>
          <cell r="D1739" t="str">
            <v>Cashew - Kernel</v>
          </cell>
        </row>
        <row r="1740">
          <cell r="A1740" t="str">
            <v>Cashew Jumbo with Skin Roasted and Salted</v>
          </cell>
          <cell r="B1740" t="str">
            <v>FG</v>
          </cell>
          <cell r="C1740" t="str">
            <v>CASHEW</v>
          </cell>
          <cell r="D1740" t="str">
            <v>Cashew - Kernel</v>
          </cell>
        </row>
        <row r="1741">
          <cell r="A1741" t="str">
            <v>Cashew Kani</v>
          </cell>
          <cell r="B1741" t="str">
            <v>RM</v>
          </cell>
          <cell r="C1741" t="str">
            <v>CASHEW</v>
          </cell>
          <cell r="D1741" t="str">
            <v>Cashew - Broken</v>
          </cell>
        </row>
        <row r="1742">
          <cell r="A1742" t="str">
            <v>Cashew Kernel</v>
          </cell>
          <cell r="B1742" t="str">
            <v>RM</v>
          </cell>
          <cell r="C1742" t="str">
            <v>CASHEW</v>
          </cell>
          <cell r="D1742" t="str">
            <v>Cashew - Kernel</v>
          </cell>
        </row>
        <row r="1743">
          <cell r="A1743" t="str">
            <v>Cashew Masala</v>
          </cell>
          <cell r="B1743" t="str">
            <v>FG</v>
          </cell>
          <cell r="C1743" t="str">
            <v>CASHEW</v>
          </cell>
          <cell r="D1743" t="str">
            <v>Cashew - Kernel</v>
          </cell>
        </row>
        <row r="1744">
          <cell r="A1744" t="str">
            <v>Cashew Pink salt</v>
          </cell>
          <cell r="B1744" t="str">
            <v>FG</v>
          </cell>
          <cell r="C1744" t="str">
            <v>CASHEW</v>
          </cell>
          <cell r="D1744" t="str">
            <v>Cashew - Kernel</v>
          </cell>
        </row>
        <row r="1745">
          <cell r="A1745" t="str">
            <v>CASHEW POWDER</v>
          </cell>
          <cell r="B1745" t="str">
            <v>RM</v>
          </cell>
          <cell r="C1745" t="str">
            <v>CASHEW</v>
          </cell>
          <cell r="D1745" t="str">
            <v>Cashew - Broken</v>
          </cell>
        </row>
        <row r="1746">
          <cell r="A1746" t="str">
            <v>Cashew Roasted</v>
          </cell>
          <cell r="B1746" t="str">
            <v>FG</v>
          </cell>
          <cell r="C1746" t="str">
            <v>CASHEW</v>
          </cell>
          <cell r="D1746" t="str">
            <v>Cashew - Kernel</v>
          </cell>
        </row>
        <row r="1747">
          <cell r="A1747" t="str">
            <v>CASHEW RSTD SAL W320 250G</v>
          </cell>
          <cell r="B1747" t="str">
            <v>FG</v>
          </cell>
          <cell r="C1747" t="str">
            <v>CASHEW</v>
          </cell>
          <cell r="D1747" t="str">
            <v>Cashew - Kernel</v>
          </cell>
        </row>
        <row r="1748">
          <cell r="A1748" t="str">
            <v>Cashew Split</v>
          </cell>
          <cell r="B1748" t="str">
            <v>RM</v>
          </cell>
          <cell r="C1748" t="str">
            <v>CASHEW</v>
          </cell>
          <cell r="D1748" t="str">
            <v>Cashew - Broken</v>
          </cell>
        </row>
        <row r="1749">
          <cell r="A1749" t="str">
            <v>Cashew Tukda</v>
          </cell>
          <cell r="B1749" t="str">
            <v>RM</v>
          </cell>
          <cell r="C1749" t="str">
            <v>CASHEW</v>
          </cell>
          <cell r="D1749" t="str">
            <v>Cashew - Broken</v>
          </cell>
        </row>
        <row r="1750">
          <cell r="A1750" t="str">
            <v>Cashew Wasabi</v>
          </cell>
          <cell r="B1750" t="str">
            <v>FG</v>
          </cell>
          <cell r="C1750" t="str">
            <v>CASHEW</v>
          </cell>
          <cell r="D1750" t="str">
            <v>Cashew - Kernel</v>
          </cell>
        </row>
        <row r="1751">
          <cell r="A1751" t="str">
            <v>CA WALNUT CHILE (VACUUM PACKING)250GM /P</v>
          </cell>
          <cell r="B1751" t="str">
            <v>FG</v>
          </cell>
          <cell r="C1751" t="str">
            <v>WALNUT</v>
          </cell>
          <cell r="D1751" t="str">
            <v>Walnut - Kernel</v>
          </cell>
        </row>
        <row r="1752">
          <cell r="A1752" t="str">
            <v>Cayenne Pepper Powder</v>
          </cell>
          <cell r="B1752" t="str">
            <v>RM</v>
          </cell>
          <cell r="C1752" t="str">
            <v>SEASONING</v>
          </cell>
          <cell r="D1752" t="str">
            <v>Seasoning</v>
          </cell>
        </row>
        <row r="1753">
          <cell r="A1753" t="str">
            <v>CCD Energy Bar with Jaggery</v>
          </cell>
          <cell r="B1753" t="str">
            <v>FG</v>
          </cell>
          <cell r="C1753" t="str">
            <v>BARS &amp; CEREALS</v>
          </cell>
          <cell r="D1753" t="str">
            <v>Energy Bars</v>
          </cell>
        </row>
        <row r="1754">
          <cell r="A1754" t="str">
            <v>CCD Energy Bar with Jaggery Semi Finished</v>
          </cell>
          <cell r="B1754" t="str">
            <v>FG</v>
          </cell>
          <cell r="C1754" t="str">
            <v>BARS &amp; CEREALS</v>
          </cell>
          <cell r="D1754" t="str">
            <v>Energy Bars</v>
          </cell>
        </row>
        <row r="1755">
          <cell r="A1755" t="str">
            <v>CELEBRATING MOMENTS 300gm</v>
          </cell>
          <cell r="B1755" t="str">
            <v>FG</v>
          </cell>
          <cell r="C1755" t="str">
            <v>FESTIVE HAMPERS</v>
          </cell>
          <cell r="D1755" t="str">
            <v>Gifting</v>
          </cell>
        </row>
        <row r="1756">
          <cell r="A1756" t="str">
            <v>Celebration Exclusive 4P 800g Customized</v>
          </cell>
          <cell r="B1756" t="str">
            <v>FG</v>
          </cell>
          <cell r="C1756" t="str">
            <v>FESTIVE HAMPERS</v>
          </cell>
          <cell r="D1756" t="str">
            <v>Gifting</v>
          </cell>
        </row>
        <row r="1757">
          <cell r="A1757" t="str">
            <v>CELEBRATIONS 550gm</v>
          </cell>
          <cell r="B1757" t="str">
            <v>FG</v>
          </cell>
          <cell r="C1757" t="str">
            <v>FESTIVE HAMPERS</v>
          </cell>
          <cell r="D1757" t="str">
            <v>Gifting</v>
          </cell>
        </row>
        <row r="1758">
          <cell r="A1758" t="str">
            <v>Celebration Sleek Box 200g</v>
          </cell>
          <cell r="B1758" t="str">
            <v>FG</v>
          </cell>
          <cell r="C1758" t="str">
            <v>FESTIVE HAMPERS</v>
          </cell>
          <cell r="D1758" t="str">
            <v>Gifting</v>
          </cell>
        </row>
        <row r="1759">
          <cell r="A1759" t="str">
            <v>Celebration Sleek Box Hamper 01</v>
          </cell>
          <cell r="B1759" t="str">
            <v>FG</v>
          </cell>
          <cell r="C1759" t="str">
            <v>FESTIVE HAMPERS</v>
          </cell>
          <cell r="D1759" t="str">
            <v>Gifting</v>
          </cell>
        </row>
        <row r="1760">
          <cell r="A1760" t="str">
            <v>Celebration Sleek Box Hamper 02</v>
          </cell>
          <cell r="B1760" t="str">
            <v>FG</v>
          </cell>
          <cell r="C1760" t="str">
            <v>FESTIVE HAMPERS</v>
          </cell>
          <cell r="D1760" t="str">
            <v>Gifting</v>
          </cell>
        </row>
        <row r="1761">
          <cell r="A1761" t="str">
            <v>Chat Almonds</v>
          </cell>
          <cell r="B1761" t="str">
            <v>FG</v>
          </cell>
          <cell r="C1761" t="str">
            <v>ALMOND</v>
          </cell>
          <cell r="D1761" t="str">
            <v>Almond - Kernels</v>
          </cell>
        </row>
        <row r="1762">
          <cell r="A1762" t="str">
            <v>CHAT MASALA</v>
          </cell>
          <cell r="B1762" t="str">
            <v>RM</v>
          </cell>
          <cell r="C1762" t="str">
            <v>SEASONING</v>
          </cell>
          <cell r="D1762" t="str">
            <v>Seasoning</v>
          </cell>
        </row>
        <row r="1763">
          <cell r="A1763" t="str">
            <v>CHAT MASALA MDH</v>
          </cell>
          <cell r="B1763" t="str">
            <v>RM</v>
          </cell>
          <cell r="C1763" t="str">
            <v>SEASONING</v>
          </cell>
          <cell r="D1763" t="str">
            <v>Seasoning</v>
          </cell>
        </row>
        <row r="1764">
          <cell r="A1764" t="str">
            <v>Chatpata Black Raisin</v>
          </cell>
          <cell r="B1764" t="str">
            <v>FG</v>
          </cell>
          <cell r="C1764" t="str">
            <v>RAISIN</v>
          </cell>
          <cell r="D1764" t="str">
            <v>Raisin - Black</v>
          </cell>
        </row>
        <row r="1765">
          <cell r="A1765" t="str">
            <v>Chatpata Cranberry</v>
          </cell>
          <cell r="B1765" t="str">
            <v>FG</v>
          </cell>
          <cell r="C1765" t="str">
            <v>CRANBERRY</v>
          </cell>
          <cell r="D1765" t="str">
            <v>Cranberry - Whole</v>
          </cell>
        </row>
        <row r="1766">
          <cell r="A1766" t="str">
            <v>Chatpata Cranberry 75gm</v>
          </cell>
          <cell r="B1766" t="str">
            <v>FG</v>
          </cell>
          <cell r="C1766" t="str">
            <v>CRANBERRY</v>
          </cell>
          <cell r="D1766" t="str">
            <v>Cranberry - Whole</v>
          </cell>
        </row>
        <row r="1767">
          <cell r="A1767" t="str">
            <v>Chatpata Prunes</v>
          </cell>
          <cell r="B1767" t="str">
            <v>FG</v>
          </cell>
          <cell r="C1767" t="str">
            <v>PRUNES</v>
          </cell>
          <cell r="D1767" t="str">
            <v>Prunes - Pitted</v>
          </cell>
        </row>
        <row r="1768">
          <cell r="A1768" t="str">
            <v>Chatpata Seasoning</v>
          </cell>
          <cell r="B1768" t="str">
            <v>RM</v>
          </cell>
          <cell r="C1768" t="str">
            <v>SEASONING</v>
          </cell>
          <cell r="D1768" t="str">
            <v>Seasoning</v>
          </cell>
        </row>
        <row r="1769">
          <cell r="A1769" t="str">
            <v>CHATPATA SNACK MIX</v>
          </cell>
          <cell r="B1769" t="str">
            <v>FG</v>
          </cell>
          <cell r="C1769" t="str">
            <v>TRAIL MIX</v>
          </cell>
          <cell r="D1769" t="str">
            <v>Trail Mix</v>
          </cell>
        </row>
        <row r="1770">
          <cell r="A1770" t="str">
            <v>Cheddar Cheese Seasoning</v>
          </cell>
          <cell r="B1770" t="str">
            <v>RM</v>
          </cell>
          <cell r="C1770" t="str">
            <v>MISCELLANEOUS - RM</v>
          </cell>
          <cell r="D1770" t="str">
            <v>Other Misc</v>
          </cell>
        </row>
        <row r="1771">
          <cell r="A1771" t="str">
            <v>Cheeky Cheese Trail Mix 250gm</v>
          </cell>
          <cell r="B1771" t="str">
            <v>FG</v>
          </cell>
          <cell r="C1771" t="str">
            <v>TRAIL MIX</v>
          </cell>
          <cell r="D1771" t="str">
            <v>Trail Mix</v>
          </cell>
        </row>
        <row r="1772">
          <cell r="A1772" t="str">
            <v>Cheese Cashew</v>
          </cell>
          <cell r="B1772" t="str">
            <v>FG</v>
          </cell>
          <cell r="C1772" t="str">
            <v>CASHEW</v>
          </cell>
          <cell r="D1772" t="str">
            <v>Cashew - Kernel</v>
          </cell>
        </row>
        <row r="1773">
          <cell r="A1773" t="str">
            <v>Cheese Makhana</v>
          </cell>
          <cell r="B1773" t="str">
            <v>FG</v>
          </cell>
          <cell r="C1773" t="str">
            <v>MAKHANA</v>
          </cell>
          <cell r="D1773" t="str">
            <v>Makhana - Suta</v>
          </cell>
        </row>
        <row r="1774">
          <cell r="A1774" t="str">
            <v>CHEESE SEASONING</v>
          </cell>
          <cell r="B1774" t="str">
            <v>RM</v>
          </cell>
          <cell r="C1774" t="str">
            <v>SEASONING</v>
          </cell>
          <cell r="D1774" t="str">
            <v>Seasoning</v>
          </cell>
        </row>
        <row r="1775">
          <cell r="A1775" t="str">
            <v>CHEESE SEASONING - TPL</v>
          </cell>
          <cell r="B1775" t="str">
            <v>RM</v>
          </cell>
          <cell r="C1775" t="str">
            <v>TAJIR</v>
          </cell>
          <cell r="D1775" t="str">
            <v>Tajir - Other</v>
          </cell>
        </row>
        <row r="1776">
          <cell r="A1776" t="str">
            <v>Cheese Tomato Flavoured Coated Peanuts</v>
          </cell>
          <cell r="B1776" t="str">
            <v>FG</v>
          </cell>
          <cell r="C1776" t="str">
            <v>PEANUTS</v>
          </cell>
          <cell r="D1776" t="str">
            <v>Peanut - Coated</v>
          </cell>
        </row>
        <row r="1777">
          <cell r="A1777" t="str">
            <v>Cheese Tomato Flavoured Coated Peanuts 35gm</v>
          </cell>
          <cell r="B1777" t="str">
            <v>FG</v>
          </cell>
          <cell r="C1777" t="str">
            <v>PEANUTS</v>
          </cell>
          <cell r="D1777" t="str">
            <v>Peanut - Coated</v>
          </cell>
        </row>
        <row r="1778">
          <cell r="A1778" t="str">
            <v>Cheesy Tomato Seasoning 2 (PR01895/001)</v>
          </cell>
          <cell r="B1778" t="str">
            <v>RM</v>
          </cell>
          <cell r="C1778" t="str">
            <v>SEASONING</v>
          </cell>
          <cell r="D1778" t="str">
            <v>Seasoning</v>
          </cell>
        </row>
        <row r="1779">
          <cell r="A1779" t="str">
            <v>Chia Seeds 100G (B07GQZCP91)</v>
          </cell>
          <cell r="B1779" t="str">
            <v>FG</v>
          </cell>
          <cell r="C1779" t="str">
            <v>SEEDS</v>
          </cell>
          <cell r="D1779" t="str">
            <v>Chia</v>
          </cell>
        </row>
        <row r="1780">
          <cell r="A1780" t="str">
            <v>Chia Seeds 200G (B07GQQLZPD)</v>
          </cell>
          <cell r="B1780" t="str">
            <v>FG</v>
          </cell>
          <cell r="C1780" t="str">
            <v>SEEDS</v>
          </cell>
          <cell r="D1780" t="str">
            <v>Chia</v>
          </cell>
        </row>
        <row r="1781">
          <cell r="A1781" t="str">
            <v>Chia Seeds 500G (B07GQZSJFH)</v>
          </cell>
          <cell r="B1781" t="str">
            <v>FG</v>
          </cell>
          <cell r="C1781" t="str">
            <v>SEEDS</v>
          </cell>
          <cell r="D1781" t="str">
            <v>Chia</v>
          </cell>
        </row>
        <row r="1782">
          <cell r="A1782" t="str">
            <v>Chilean Walnut Inshell</v>
          </cell>
          <cell r="B1782" t="str">
            <v>RM</v>
          </cell>
          <cell r="C1782" t="str">
            <v>WALNUT</v>
          </cell>
          <cell r="D1782" t="str">
            <v>Walnut - Inshell</v>
          </cell>
        </row>
        <row r="1783">
          <cell r="A1783" t="str">
            <v>Chilean  Walnut Kernel 2pc 230g</v>
          </cell>
          <cell r="B1783" t="str">
            <v>FG</v>
          </cell>
          <cell r="C1783" t="str">
            <v>WALNUT</v>
          </cell>
          <cell r="D1783" t="str">
            <v>Walnut - Kernel</v>
          </cell>
        </row>
        <row r="1784">
          <cell r="A1784" t="str">
            <v>Chilean Walnut Kernel 2 pcs</v>
          </cell>
          <cell r="B1784" t="str">
            <v>RM</v>
          </cell>
          <cell r="C1784" t="str">
            <v>WALNUT</v>
          </cell>
          <cell r="D1784" t="str">
            <v>Walnut - Kernel</v>
          </cell>
        </row>
        <row r="1785">
          <cell r="A1785" t="str">
            <v>Chilean Walnut Kernel Kani</v>
          </cell>
          <cell r="B1785" t="str">
            <v>RM</v>
          </cell>
          <cell r="C1785" t="str">
            <v>WALNUT</v>
          </cell>
          <cell r="D1785" t="str">
            <v>Walnut - Broken</v>
          </cell>
        </row>
        <row r="1786">
          <cell r="A1786" t="str">
            <v>Chilean Walnut Kernel Quarter</v>
          </cell>
          <cell r="B1786" t="str">
            <v>RM</v>
          </cell>
          <cell r="C1786" t="str">
            <v>WALNUT</v>
          </cell>
          <cell r="D1786" t="str">
            <v>Walnut - Broken</v>
          </cell>
        </row>
        <row r="1787">
          <cell r="A1787" t="str">
            <v>Chilean Walnut Kernel Quarter BBQ</v>
          </cell>
          <cell r="B1787" t="str">
            <v>FG</v>
          </cell>
          <cell r="C1787" t="str">
            <v>WALNUT</v>
          </cell>
          <cell r="D1787" t="str">
            <v>Walnut - Broken</v>
          </cell>
        </row>
        <row r="1788">
          <cell r="A1788" t="str">
            <v>Chilean Walnut Kernel Quarter caramel</v>
          </cell>
          <cell r="B1788" t="str">
            <v>FG</v>
          </cell>
          <cell r="C1788" t="str">
            <v>WALNUT</v>
          </cell>
          <cell r="D1788" t="str">
            <v>Walnut - Broken</v>
          </cell>
        </row>
        <row r="1789">
          <cell r="A1789" t="str">
            <v>Chilean Walnut Kernel Quarter lemon pepper</v>
          </cell>
          <cell r="B1789" t="str">
            <v>FG</v>
          </cell>
          <cell r="C1789" t="str">
            <v>WALNUT</v>
          </cell>
          <cell r="D1789" t="str">
            <v>Walnut - Broken</v>
          </cell>
        </row>
        <row r="1790">
          <cell r="A1790" t="str">
            <v>Chilean Walnut Kernel Quarter pepper</v>
          </cell>
          <cell r="B1790" t="str">
            <v>FG</v>
          </cell>
          <cell r="C1790" t="str">
            <v>WALNUT</v>
          </cell>
          <cell r="D1790" t="str">
            <v>Walnut - Broken</v>
          </cell>
        </row>
        <row r="1791">
          <cell r="A1791" t="str">
            <v>Chilean Walnut Kernel Quarter peri peri</v>
          </cell>
          <cell r="B1791" t="str">
            <v>FG</v>
          </cell>
          <cell r="C1791" t="str">
            <v>WALNUT</v>
          </cell>
          <cell r="D1791" t="str">
            <v>Walnut - Broken</v>
          </cell>
        </row>
        <row r="1792">
          <cell r="A1792" t="str">
            <v>Chilli Almonds Bulk</v>
          </cell>
          <cell r="B1792" t="str">
            <v>FG</v>
          </cell>
          <cell r="C1792" t="str">
            <v>ALMOND</v>
          </cell>
          <cell r="D1792" t="str">
            <v>Almond - Kernels</v>
          </cell>
        </row>
        <row r="1793">
          <cell r="A1793" t="str">
            <v>Chilli Garlic Cashew Bulk</v>
          </cell>
          <cell r="B1793" t="str">
            <v>FG</v>
          </cell>
          <cell r="C1793" t="str">
            <v>CASHEW</v>
          </cell>
          <cell r="D1793" t="str">
            <v>Cashew - Kernel</v>
          </cell>
        </row>
        <row r="1794">
          <cell r="A1794" t="str">
            <v>Chilli Garlic Masala Seasoning</v>
          </cell>
          <cell r="B1794" t="str">
            <v>RM</v>
          </cell>
          <cell r="C1794" t="str">
            <v>SEASONING</v>
          </cell>
          <cell r="D1794" t="str">
            <v>Seasoning</v>
          </cell>
        </row>
        <row r="1795">
          <cell r="A1795" t="str">
            <v>Chilli Powder</v>
          </cell>
          <cell r="B1795" t="str">
            <v>RM</v>
          </cell>
          <cell r="C1795" t="str">
            <v>SEASONING</v>
          </cell>
          <cell r="D1795" t="str">
            <v>Seasoning</v>
          </cell>
        </row>
        <row r="1796">
          <cell r="A1796" t="str">
            <v>Chilli Seasoning</v>
          </cell>
          <cell r="B1796" t="str">
            <v>RM</v>
          </cell>
          <cell r="C1796" t="str">
            <v>SEASONING</v>
          </cell>
          <cell r="D1796" t="str">
            <v>Seasoning</v>
          </cell>
        </row>
        <row r="1797">
          <cell r="A1797" t="str">
            <v>Chilly Garlic Coated Peanuts 60gm</v>
          </cell>
          <cell r="B1797" t="str">
            <v>FG</v>
          </cell>
          <cell r="C1797" t="str">
            <v>PEANUTS</v>
          </cell>
          <cell r="D1797" t="str">
            <v>Peanut - Coated</v>
          </cell>
        </row>
        <row r="1798">
          <cell r="A1798" t="str">
            <v>Chipotle Honey Coated Peanuts 200g</v>
          </cell>
          <cell r="B1798" t="str">
            <v>FG</v>
          </cell>
          <cell r="C1798" t="str">
            <v>PEANUTS</v>
          </cell>
          <cell r="D1798" t="str">
            <v>Peanut - Coated</v>
          </cell>
        </row>
        <row r="1799">
          <cell r="A1799" t="str">
            <v>Chipotle Honey Coated Peanuts 70gm</v>
          </cell>
          <cell r="B1799" t="str">
            <v>FG</v>
          </cell>
          <cell r="C1799" t="str">
            <v>PEANUTS</v>
          </cell>
          <cell r="D1799" t="str">
            <v>Peanut - Coated</v>
          </cell>
        </row>
        <row r="1800">
          <cell r="A1800" t="str">
            <v>Chipotle Honey Seasoning</v>
          </cell>
          <cell r="B1800" t="str">
            <v>RM</v>
          </cell>
          <cell r="C1800" t="str">
            <v>SEASONING</v>
          </cell>
          <cell r="D1800" t="str">
            <v>Seasoning</v>
          </cell>
        </row>
        <row r="1801">
          <cell r="A1801" t="str">
            <v>Chironji , Charoli</v>
          </cell>
          <cell r="B1801" t="str">
            <v>RM</v>
          </cell>
          <cell r="C1801" t="str">
            <v>MISCELLANEOUS - RM</v>
          </cell>
          <cell r="D1801" t="str">
            <v>Other Misc</v>
          </cell>
        </row>
        <row r="1802">
          <cell r="A1802" t="str">
            <v>Choco Chips</v>
          </cell>
          <cell r="B1802" t="str">
            <v>RM</v>
          </cell>
          <cell r="C1802" t="str">
            <v>SEASONING</v>
          </cell>
          <cell r="D1802" t="str">
            <v>Seasoning</v>
          </cell>
        </row>
        <row r="1803">
          <cell r="A1803" t="str">
            <v>Choco Crunch Energy Bar 38gm</v>
          </cell>
          <cell r="B1803" t="str">
            <v>FG</v>
          </cell>
          <cell r="C1803" t="str">
            <v>BARS &amp; CEREALS</v>
          </cell>
          <cell r="D1803" t="str">
            <v>Energy Bars</v>
          </cell>
        </row>
        <row r="1804">
          <cell r="A1804" t="str">
            <v>Chocolate Coated Almond Dragees 50gm</v>
          </cell>
          <cell r="B1804" t="str">
            <v>FG</v>
          </cell>
          <cell r="C1804" t="str">
            <v>TRAIL MIX</v>
          </cell>
          <cell r="D1804" t="str">
            <v>Trail Mix</v>
          </cell>
        </row>
        <row r="1805">
          <cell r="A1805" t="str">
            <v>Chocolate Coated Blueberries Dragees 50gm</v>
          </cell>
          <cell r="B1805" t="str">
            <v>FG</v>
          </cell>
          <cell r="C1805" t="str">
            <v>TRAIL MIX</v>
          </cell>
          <cell r="D1805" t="str">
            <v>Trail Mix</v>
          </cell>
        </row>
        <row r="1806">
          <cell r="A1806" t="str">
            <v>Chocolate Dipped Pecan Nut Loose</v>
          </cell>
          <cell r="B1806" t="str">
            <v>FG</v>
          </cell>
          <cell r="C1806" t="str">
            <v>PREMIUM NUTS</v>
          </cell>
          <cell r="D1806" t="str">
            <v>Pecan Nuts</v>
          </cell>
        </row>
        <row r="1807">
          <cell r="A1807" t="str">
            <v>CHOCOLATE MODAK 110g</v>
          </cell>
          <cell r="B1807" t="str">
            <v>FG</v>
          </cell>
          <cell r="C1807" t="str">
            <v>TRAIL MIX</v>
          </cell>
          <cell r="D1807" t="str">
            <v>Trail Mix</v>
          </cell>
        </row>
        <row r="1808">
          <cell r="A1808" t="str">
            <v>Cinnamon Glazed Almond</v>
          </cell>
          <cell r="B1808" t="str">
            <v>FG</v>
          </cell>
          <cell r="C1808" t="str">
            <v>ALMOND</v>
          </cell>
          <cell r="D1808" t="str">
            <v>Almond - Kernels</v>
          </cell>
        </row>
        <row r="1809">
          <cell r="A1809" t="str">
            <v>Cinnamon Glazed Pecan</v>
          </cell>
          <cell r="B1809" t="str">
            <v>FG</v>
          </cell>
          <cell r="C1809" t="str">
            <v>PREMIUM NUTS</v>
          </cell>
          <cell r="D1809" t="str">
            <v>Pecan Nuts</v>
          </cell>
        </row>
        <row r="1810">
          <cell r="A1810" t="str">
            <v>Cinnamon Quills</v>
          </cell>
          <cell r="B1810" t="str">
            <v>RM</v>
          </cell>
          <cell r="C1810" t="str">
            <v>SPICES</v>
          </cell>
          <cell r="D1810" t="str">
            <v>Whole Spices</v>
          </cell>
        </row>
        <row r="1811">
          <cell r="A1811" t="str">
            <v>Classic Flavour Date Mewa 18gm</v>
          </cell>
          <cell r="B1811" t="str">
            <v>FG</v>
          </cell>
          <cell r="C1811" t="str">
            <v>BARS &amp; CEREALS</v>
          </cell>
          <cell r="D1811" t="str">
            <v>Bites</v>
          </cell>
        </row>
        <row r="1812">
          <cell r="A1812" t="str">
            <v>Coated Peanut Base</v>
          </cell>
          <cell r="B1812" t="str">
            <v>FG</v>
          </cell>
          <cell r="C1812" t="str">
            <v>PEANUTS</v>
          </cell>
          <cell r="D1812" t="str">
            <v>Peanut - Coated</v>
          </cell>
        </row>
        <row r="1813">
          <cell r="A1813" t="str">
            <v>Coated Peanuts</v>
          </cell>
          <cell r="B1813" t="str">
            <v>FG</v>
          </cell>
          <cell r="C1813" t="str">
            <v>PEANUTS</v>
          </cell>
          <cell r="D1813" t="str">
            <v>Peanut - Coated</v>
          </cell>
        </row>
        <row r="1814">
          <cell r="A1814" t="str">
            <v>Coated Peanuts - Magic Masala 1Kg</v>
          </cell>
          <cell r="B1814" t="str">
            <v>FG</v>
          </cell>
          <cell r="C1814" t="str">
            <v>PEANUTS</v>
          </cell>
          <cell r="D1814" t="str">
            <v>Peanut - Coated</v>
          </cell>
        </row>
        <row r="1815">
          <cell r="A1815" t="str">
            <v>Coated Peanuts Tandoori Toofan Bulk</v>
          </cell>
          <cell r="B1815" t="str">
            <v>FG</v>
          </cell>
          <cell r="C1815" t="str">
            <v>PEANUTS</v>
          </cell>
          <cell r="D1815" t="str">
            <v>Peanut - Coated</v>
          </cell>
        </row>
        <row r="1816">
          <cell r="A1816" t="str">
            <v>Coated Peanuts Thai Flavour Bulk</v>
          </cell>
          <cell r="B1816" t="str">
            <v>FG</v>
          </cell>
          <cell r="C1816" t="str">
            <v>PEANUTS</v>
          </cell>
          <cell r="D1816" t="str">
            <v>Peanut - Coated</v>
          </cell>
        </row>
        <row r="1817">
          <cell r="A1817" t="str">
            <v>Coating Mix</v>
          </cell>
          <cell r="B1817" t="str">
            <v>RM</v>
          </cell>
          <cell r="C1817" t="str">
            <v>MISCELLANEOUS - RM</v>
          </cell>
          <cell r="D1817" t="str">
            <v>Other Misc</v>
          </cell>
        </row>
        <row r="1818">
          <cell r="A1818" t="str">
            <v>Cocktail Mix</v>
          </cell>
          <cell r="B1818" t="str">
            <v>FG</v>
          </cell>
          <cell r="C1818" t="str">
            <v>TRAIL MIX</v>
          </cell>
          <cell r="D1818" t="str">
            <v>Trail Mix</v>
          </cell>
        </row>
        <row r="1819">
          <cell r="A1819" t="str">
            <v>Cocktail Mix 230g</v>
          </cell>
          <cell r="B1819" t="str">
            <v>FG</v>
          </cell>
          <cell r="C1819" t="str">
            <v>TRAIL MIX</v>
          </cell>
          <cell r="D1819" t="str">
            <v>Trail Mix</v>
          </cell>
        </row>
        <row r="1820">
          <cell r="A1820" t="str">
            <v>Cocoa Glazed Almonds</v>
          </cell>
          <cell r="B1820" t="str">
            <v>FG</v>
          </cell>
          <cell r="C1820" t="str">
            <v>ALMOND</v>
          </cell>
          <cell r="D1820" t="str">
            <v>Almond - Kernels</v>
          </cell>
        </row>
        <row r="1821">
          <cell r="A1821" t="str">
            <v>Cocoa Glazed Hazelnuts</v>
          </cell>
          <cell r="B1821" t="str">
            <v>FG</v>
          </cell>
          <cell r="C1821" t="str">
            <v>PREMIUM NUTS</v>
          </cell>
          <cell r="D1821" t="str">
            <v>Hazelnuts</v>
          </cell>
        </row>
        <row r="1822">
          <cell r="A1822" t="str">
            <v>Cocoa Peanut Date Balls 48 gms</v>
          </cell>
          <cell r="B1822" t="str">
            <v>FG</v>
          </cell>
          <cell r="C1822" t="str">
            <v>TRAIL MIX</v>
          </cell>
          <cell r="D1822" t="str">
            <v>Trail Mix</v>
          </cell>
        </row>
        <row r="1823">
          <cell r="A1823" t="str">
            <v>Cococart Almond &amp; Orange Dark Choco Date Bar 50gm</v>
          </cell>
          <cell r="B1823" t="str">
            <v>FG</v>
          </cell>
          <cell r="C1823" t="str">
            <v>BARS &amp; CEREALS</v>
          </cell>
          <cell r="D1823" t="str">
            <v>Energy Bars</v>
          </cell>
        </row>
        <row r="1824">
          <cell r="A1824" t="str">
            <v>Cococart Barbeque Trail Mix 60gm</v>
          </cell>
          <cell r="B1824" t="str">
            <v>FG</v>
          </cell>
          <cell r="C1824" t="str">
            <v>TRAIL MIX</v>
          </cell>
          <cell r="D1824" t="str">
            <v>Trail Mix</v>
          </cell>
        </row>
        <row r="1825">
          <cell r="A1825" t="str">
            <v>Cococart Black Pepper Trail Mix 60gm</v>
          </cell>
          <cell r="B1825" t="str">
            <v>FG</v>
          </cell>
          <cell r="C1825" t="str">
            <v>TRAIL MIX</v>
          </cell>
          <cell r="D1825" t="str">
            <v>Trail Mix</v>
          </cell>
        </row>
        <row r="1826">
          <cell r="A1826" t="str">
            <v>Cococart Cheese Makhana 100gm</v>
          </cell>
          <cell r="B1826" t="str">
            <v>FG</v>
          </cell>
          <cell r="C1826" t="str">
            <v>MAKHANA</v>
          </cell>
          <cell r="D1826" t="str">
            <v>Makhana - Suta</v>
          </cell>
        </row>
        <row r="1827">
          <cell r="A1827" t="str">
            <v>Cococart Fruit &amp; Nut Date Bar 50gm</v>
          </cell>
          <cell r="B1827" t="str">
            <v>FG</v>
          </cell>
          <cell r="C1827" t="str">
            <v>BARS &amp; CEREALS</v>
          </cell>
          <cell r="D1827" t="str">
            <v>Energy Bars</v>
          </cell>
        </row>
        <row r="1828">
          <cell r="A1828" t="str">
            <v>Cococart Himalayan Pink Salt Makhana 100gm</v>
          </cell>
          <cell r="B1828" t="str">
            <v>FG</v>
          </cell>
          <cell r="C1828" t="str">
            <v>MAKHANA</v>
          </cell>
          <cell r="D1828" t="str">
            <v>Makhana - Suta</v>
          </cell>
        </row>
        <row r="1829">
          <cell r="A1829" t="str">
            <v>Cococart Himalayan Salt Trail Mix 75gm</v>
          </cell>
          <cell r="B1829" t="str">
            <v>FG</v>
          </cell>
          <cell r="C1829" t="str">
            <v>TRAIL MIX</v>
          </cell>
          <cell r="D1829" t="str">
            <v>Trail Mix</v>
          </cell>
        </row>
        <row r="1830">
          <cell r="A1830" t="str">
            <v>Cococart Lime Chilli Makhana 100gm</v>
          </cell>
          <cell r="B1830" t="str">
            <v>FG</v>
          </cell>
          <cell r="C1830" t="str">
            <v>MAKHANA</v>
          </cell>
          <cell r="D1830" t="str">
            <v>Makhana - Suta</v>
          </cell>
        </row>
        <row r="1831">
          <cell r="A1831" t="str">
            <v>Cococart Peri Peri Trail Mix 60gm</v>
          </cell>
          <cell r="B1831" t="str">
            <v>FG</v>
          </cell>
          <cell r="C1831" t="str">
            <v>TRAIL MIX</v>
          </cell>
          <cell r="D1831" t="str">
            <v>Trail Mix</v>
          </cell>
        </row>
        <row r="1832">
          <cell r="A1832" t="str">
            <v>Cococart Pudina Salt Makhana 100gm</v>
          </cell>
          <cell r="B1832" t="str">
            <v>FG</v>
          </cell>
          <cell r="C1832" t="str">
            <v>MAKHANA</v>
          </cell>
          <cell r="D1832" t="str">
            <v>Makhana - Suta</v>
          </cell>
        </row>
        <row r="1833">
          <cell r="A1833" t="str">
            <v>Cococart Raspberry Almond Dark Choco Date Bar 50gm</v>
          </cell>
          <cell r="B1833" t="str">
            <v>FG</v>
          </cell>
          <cell r="C1833" t="str">
            <v>BARS &amp; CEREALS</v>
          </cell>
          <cell r="D1833" t="str">
            <v>Energy Bars</v>
          </cell>
        </row>
        <row r="1834">
          <cell r="A1834" t="str">
            <v>Coconut Laddubar Mini 9g</v>
          </cell>
          <cell r="B1834" t="str">
            <v>FG</v>
          </cell>
          <cell r="C1834" t="str">
            <v>BARS &amp; CEREALS</v>
          </cell>
          <cell r="D1834" t="str">
            <v>Energy Bars</v>
          </cell>
        </row>
        <row r="1835">
          <cell r="A1835" t="str">
            <v>Coconut Laddubar (Semi Finished)</v>
          </cell>
          <cell r="B1835" t="str">
            <v>FG</v>
          </cell>
          <cell r="C1835" t="str">
            <v>BARS &amp; CEREALS</v>
          </cell>
          <cell r="D1835" t="str">
            <v>Bites</v>
          </cell>
        </row>
        <row r="1836">
          <cell r="A1836" t="str">
            <v>COCONUT POWDER</v>
          </cell>
          <cell r="B1836" t="str">
            <v>RM</v>
          </cell>
          <cell r="C1836" t="str">
            <v>MISCELLANEOUS - RM</v>
          </cell>
          <cell r="D1836" t="str">
            <v>Other Misc</v>
          </cell>
        </row>
        <row r="1837">
          <cell r="A1837" t="str">
            <v>Coffe Date Bites (Semi)</v>
          </cell>
          <cell r="B1837" t="str">
            <v>FG</v>
          </cell>
          <cell r="C1837" t="str">
            <v>BARS &amp; CEREALS</v>
          </cell>
          <cell r="D1837" t="str">
            <v>Bites</v>
          </cell>
        </row>
        <row r="1838">
          <cell r="A1838" t="str">
            <v>Coffee Beans</v>
          </cell>
          <cell r="B1838" t="str">
            <v>RM</v>
          </cell>
          <cell r="C1838" t="str">
            <v>SEASONING</v>
          </cell>
          <cell r="D1838" t="str">
            <v>Seasoning</v>
          </cell>
        </row>
        <row r="1839">
          <cell r="A1839" t="str">
            <v>Coffee Crush 1 Kg</v>
          </cell>
          <cell r="B1839" t="str">
            <v>FG</v>
          </cell>
          <cell r="C1839" t="str">
            <v>MISCELLANEOUS - RM</v>
          </cell>
          <cell r="D1839" t="str">
            <v>Other Misc</v>
          </cell>
        </row>
        <row r="1840">
          <cell r="A1840" t="str">
            <v>Coffee Laddoo 18gm</v>
          </cell>
          <cell r="B1840" t="str">
            <v>FG</v>
          </cell>
          <cell r="C1840" t="str">
            <v>BARS &amp; CEREALS</v>
          </cell>
          <cell r="D1840" t="str">
            <v>Bites</v>
          </cell>
        </row>
        <row r="1841">
          <cell r="A1841" t="str">
            <v>Coffee Laddoo Semi Finished</v>
          </cell>
          <cell r="B1841" t="str">
            <v>FG</v>
          </cell>
          <cell r="C1841" t="str">
            <v>BARS &amp; CEREALS</v>
          </cell>
          <cell r="D1841" t="str">
            <v>Bites</v>
          </cell>
        </row>
        <row r="1842">
          <cell r="A1842" t="str">
            <v>CORIANDER / DHANIYA / Cilantro seeds</v>
          </cell>
          <cell r="B1842" t="str">
            <v>RM</v>
          </cell>
          <cell r="C1842" t="str">
            <v>SEASONING</v>
          </cell>
          <cell r="D1842" t="str">
            <v>Seasoning</v>
          </cell>
        </row>
        <row r="1843">
          <cell r="A1843" t="str">
            <v>Corn Flakes</v>
          </cell>
          <cell r="B1843" t="str">
            <v>RM</v>
          </cell>
          <cell r="C1843" t="str">
            <v>MISCELLANEOUS - RM</v>
          </cell>
          <cell r="D1843" t="str">
            <v>Flakes</v>
          </cell>
        </row>
        <row r="1844">
          <cell r="A1844" t="str">
            <v>Cotton Waste , Woolen Rags Etc 6310</v>
          </cell>
          <cell r="B1844">
            <v>0</v>
          </cell>
          <cell r="C1844" t="str">
            <v>Others</v>
          </cell>
          <cell r="D1844" t="str">
            <v>Others</v>
          </cell>
        </row>
        <row r="1845">
          <cell r="A1845" t="str">
            <v>Cranberry Date Balls 48 gms</v>
          </cell>
          <cell r="B1845" t="str">
            <v>FG</v>
          </cell>
          <cell r="C1845" t="str">
            <v>TRAIL MIX</v>
          </cell>
          <cell r="D1845" t="str">
            <v>Trail Mix</v>
          </cell>
        </row>
        <row r="1846">
          <cell r="A1846" t="str">
            <v>Cranberry Slice</v>
          </cell>
          <cell r="B1846" t="str">
            <v>RM</v>
          </cell>
          <cell r="C1846" t="str">
            <v>CRANBERRY</v>
          </cell>
          <cell r="D1846" t="str">
            <v>Cranberry - Sliced</v>
          </cell>
        </row>
        <row r="1847">
          <cell r="A1847" t="str">
            <v>Cranberry Slice Apple Infused</v>
          </cell>
          <cell r="B1847" t="str">
            <v>RM</v>
          </cell>
          <cell r="C1847" t="str">
            <v>CRANBERRY</v>
          </cell>
          <cell r="D1847" t="str">
            <v>Cranberry - Sliced</v>
          </cell>
        </row>
        <row r="1848">
          <cell r="A1848" t="str">
            <v>Cranberry Whole 230g</v>
          </cell>
          <cell r="B1848" t="str">
            <v>FG</v>
          </cell>
          <cell r="C1848" t="str">
            <v>CRANBERRY</v>
          </cell>
          <cell r="D1848" t="str">
            <v>Cranberry - Whole</v>
          </cell>
        </row>
        <row r="1849">
          <cell r="A1849" t="str">
            <v>Crunchy Caramel Trail Mix</v>
          </cell>
          <cell r="B1849" t="str">
            <v>FG</v>
          </cell>
          <cell r="C1849" t="str">
            <v>TRAIL MIX</v>
          </cell>
          <cell r="D1849" t="str">
            <v>Trail Mix</v>
          </cell>
        </row>
        <row r="1850">
          <cell r="A1850" t="str">
            <v>Crunchy Caramel Trail Mix 230g</v>
          </cell>
          <cell r="B1850" t="str">
            <v>FG</v>
          </cell>
          <cell r="C1850" t="str">
            <v>TRAIL MIX</v>
          </cell>
          <cell r="D1850" t="str">
            <v>Trail Mix</v>
          </cell>
        </row>
        <row r="1851">
          <cell r="A1851" t="str">
            <v>Crystal Ginger</v>
          </cell>
          <cell r="B1851" t="str">
            <v>RM</v>
          </cell>
          <cell r="C1851" t="str">
            <v>DEHYDRATED FRUITS</v>
          </cell>
          <cell r="D1851" t="str">
            <v>DF - Ginger</v>
          </cell>
        </row>
        <row r="1852">
          <cell r="A1852" t="str">
            <v>CTC TEA</v>
          </cell>
          <cell r="B1852" t="str">
            <v>RM</v>
          </cell>
          <cell r="C1852" t="str">
            <v>MISCELLANEOUS - RM</v>
          </cell>
          <cell r="D1852" t="str">
            <v>Other Misc</v>
          </cell>
        </row>
        <row r="1853">
          <cell r="A1853" t="str">
            <v>Curate Anjeer 200g</v>
          </cell>
          <cell r="B1853" t="str">
            <v>FG</v>
          </cell>
          <cell r="C1853" t="str">
            <v>ANJEER</v>
          </cell>
          <cell r="D1853" t="str">
            <v>Dried Figs</v>
          </cell>
        </row>
        <row r="1854">
          <cell r="A1854" t="str">
            <v>Curate Anjeer 250g Jr</v>
          </cell>
          <cell r="B1854" t="str">
            <v>FG</v>
          </cell>
          <cell r="C1854" t="str">
            <v>ANJEER</v>
          </cell>
          <cell r="D1854" t="str">
            <v>Dried Figs</v>
          </cell>
        </row>
        <row r="1855">
          <cell r="A1855" t="str">
            <v>Curate Apricot ( Jaradalu ) 550g Jr</v>
          </cell>
          <cell r="B1855" t="str">
            <v>FG</v>
          </cell>
          <cell r="C1855" t="str">
            <v>APRICOT</v>
          </cell>
          <cell r="D1855" t="str">
            <v>Apricot - Afghan</v>
          </cell>
        </row>
        <row r="1856">
          <cell r="A1856" t="str">
            <v>Curate Apricot ( Jardalu ) 250g Jr</v>
          </cell>
          <cell r="B1856" t="str">
            <v>FG</v>
          </cell>
          <cell r="C1856" t="str">
            <v>APRICOT</v>
          </cell>
          <cell r="D1856" t="str">
            <v>Apricot - Afghan</v>
          </cell>
        </row>
        <row r="1857">
          <cell r="A1857" t="str">
            <v>CURATE BLUEBERRIES 200G</v>
          </cell>
          <cell r="B1857" t="str">
            <v>FG</v>
          </cell>
          <cell r="C1857" t="str">
            <v>BLUEBERRY</v>
          </cell>
          <cell r="D1857" t="str">
            <v>Blueberry - Plain</v>
          </cell>
        </row>
        <row r="1858">
          <cell r="A1858" t="str">
            <v>Curate Cashew 550g Jr</v>
          </cell>
          <cell r="B1858" t="str">
            <v>FG</v>
          </cell>
          <cell r="C1858" t="str">
            <v>CASHEW</v>
          </cell>
          <cell r="D1858" t="str">
            <v>Cashew - Kernel</v>
          </cell>
        </row>
        <row r="1859">
          <cell r="A1859" t="str">
            <v>Curate Cashews 200g</v>
          </cell>
          <cell r="B1859" t="str">
            <v>FG</v>
          </cell>
          <cell r="C1859" t="str">
            <v>CASHEW</v>
          </cell>
          <cell r="D1859" t="str">
            <v>Cashew - Kernel</v>
          </cell>
        </row>
        <row r="1860">
          <cell r="A1860" t="str">
            <v>Curate Cashews 250g Jr</v>
          </cell>
          <cell r="B1860" t="str">
            <v>FG</v>
          </cell>
          <cell r="C1860" t="str">
            <v>CASHEW</v>
          </cell>
          <cell r="D1860" t="str">
            <v>Cashew - Kernel</v>
          </cell>
        </row>
        <row r="1861">
          <cell r="A1861" t="str">
            <v>Curate Cashews 500g</v>
          </cell>
          <cell r="B1861" t="str">
            <v>FG</v>
          </cell>
          <cell r="C1861" t="str">
            <v>CASHEW</v>
          </cell>
          <cell r="D1861" t="str">
            <v>Cashew - Kernel</v>
          </cell>
        </row>
        <row r="1862">
          <cell r="A1862" t="str">
            <v>CURATE DATE BITES ASRTD RO/CA IND 420G</v>
          </cell>
          <cell r="B1862" t="str">
            <v>FG</v>
          </cell>
          <cell r="C1862" t="str">
            <v>BARS &amp; CEREALS</v>
          </cell>
          <cell r="D1862" t="str">
            <v>Bites</v>
          </cell>
        </row>
        <row r="1863">
          <cell r="A1863" t="str">
            <v>CURATE DATE BITES COFFEE IND 210G</v>
          </cell>
          <cell r="B1863" t="str">
            <v>FG</v>
          </cell>
          <cell r="C1863" t="str">
            <v>BARS &amp; CEREALS</v>
          </cell>
          <cell r="D1863" t="str">
            <v>Bites</v>
          </cell>
        </row>
        <row r="1864">
          <cell r="A1864" t="str">
            <v>CURATE DATE BITES IND 210G</v>
          </cell>
          <cell r="B1864" t="str">
            <v>FG</v>
          </cell>
          <cell r="C1864" t="str">
            <v>BARS &amp; CEREALS</v>
          </cell>
          <cell r="D1864" t="str">
            <v>Bites</v>
          </cell>
        </row>
        <row r="1865">
          <cell r="A1865" t="str">
            <v>CURATE DATE BITES ROSE IND 210G</v>
          </cell>
          <cell r="B1865" t="str">
            <v>FG</v>
          </cell>
          <cell r="C1865" t="str">
            <v>BARS &amp; CEREALS</v>
          </cell>
          <cell r="D1865" t="str">
            <v>Bites</v>
          </cell>
        </row>
        <row r="1866">
          <cell r="A1866" t="str">
            <v>CURATE DATE BITES ROSE IND 360G</v>
          </cell>
          <cell r="B1866" t="str">
            <v>FG</v>
          </cell>
          <cell r="C1866" t="str">
            <v>BARS &amp; CEREALS</v>
          </cell>
          <cell r="D1866" t="str">
            <v>Bites</v>
          </cell>
        </row>
        <row r="1867">
          <cell r="A1867" t="str">
            <v>CURATE DATE BITES ROSE (Semi)- Not Use</v>
          </cell>
          <cell r="B1867" t="str">
            <v>FG</v>
          </cell>
          <cell r="C1867" t="str">
            <v>BARS &amp; CEREALS</v>
          </cell>
          <cell r="D1867" t="str">
            <v>Bites</v>
          </cell>
        </row>
        <row r="1868">
          <cell r="A1868" t="str">
            <v>Curate Dried Bluebrries 300g Jr</v>
          </cell>
          <cell r="B1868" t="str">
            <v>FG</v>
          </cell>
          <cell r="C1868" t="str">
            <v>BLUEBERRY</v>
          </cell>
          <cell r="D1868" t="str">
            <v>Blueberry - Plain</v>
          </cell>
        </row>
        <row r="1869">
          <cell r="A1869" t="str">
            <v>Curate Macadamia Nuts 250g Jr</v>
          </cell>
          <cell r="B1869" t="str">
            <v>FG</v>
          </cell>
          <cell r="C1869" t="str">
            <v>PREMIUM NUTS</v>
          </cell>
          <cell r="D1869" t="str">
            <v>Macadamia Nuts</v>
          </cell>
        </row>
        <row r="1870">
          <cell r="A1870" t="str">
            <v>CURATE MACADEMIA NUTS 200G</v>
          </cell>
          <cell r="B1870" t="str">
            <v>FG</v>
          </cell>
          <cell r="C1870" t="str">
            <v>PREMIUM NUTS</v>
          </cell>
          <cell r="D1870" t="str">
            <v>Macadamia Nuts</v>
          </cell>
        </row>
        <row r="1871">
          <cell r="A1871" t="str">
            <v>CURATE MAMRA ALMOND 500G</v>
          </cell>
          <cell r="B1871" t="str">
            <v>FG</v>
          </cell>
          <cell r="C1871" t="str">
            <v>ALMOND</v>
          </cell>
          <cell r="D1871" t="str">
            <v>Almond - Mamra</v>
          </cell>
        </row>
        <row r="1872">
          <cell r="A1872" t="str">
            <v>Curate Mamra Almonds 200g</v>
          </cell>
          <cell r="B1872" t="str">
            <v>FG</v>
          </cell>
          <cell r="C1872" t="str">
            <v>ALMOND</v>
          </cell>
          <cell r="D1872" t="str">
            <v>Almond - Mamra</v>
          </cell>
        </row>
        <row r="1873">
          <cell r="A1873" t="str">
            <v>Curate Mamra Almonds 250g Jr</v>
          </cell>
          <cell r="B1873" t="str">
            <v>FG</v>
          </cell>
          <cell r="C1873" t="str">
            <v>ALMOND</v>
          </cell>
          <cell r="D1873" t="str">
            <v>Almond - Mamra</v>
          </cell>
        </row>
        <row r="1874">
          <cell r="A1874" t="str">
            <v>Curate Mamra Almonds 600g Jr</v>
          </cell>
          <cell r="B1874" t="str">
            <v>FG</v>
          </cell>
          <cell r="C1874" t="str">
            <v>ALMOND</v>
          </cell>
          <cell r="D1874" t="str">
            <v>Almond - Mamra</v>
          </cell>
        </row>
        <row r="1875">
          <cell r="A1875" t="str">
            <v>Curate Oriental Dates 500gm</v>
          </cell>
          <cell r="B1875" t="str">
            <v>FG</v>
          </cell>
          <cell r="C1875" t="str">
            <v>DATES</v>
          </cell>
          <cell r="D1875" t="str">
            <v>Deri</v>
          </cell>
        </row>
        <row r="1876">
          <cell r="A1876" t="str">
            <v>Curate Pista Akbari 250g JR</v>
          </cell>
          <cell r="B1876" t="str">
            <v>FG</v>
          </cell>
          <cell r="C1876" t="str">
            <v>PISTA</v>
          </cell>
          <cell r="D1876" t="str">
            <v>Pista - Akbari</v>
          </cell>
        </row>
        <row r="1877">
          <cell r="A1877" t="str">
            <v>Curate Pista Akbari 550g JR</v>
          </cell>
          <cell r="B1877" t="str">
            <v>FG</v>
          </cell>
          <cell r="C1877" t="str">
            <v>PISTA</v>
          </cell>
          <cell r="D1877" t="str">
            <v>Pista - Akbari</v>
          </cell>
        </row>
        <row r="1878">
          <cell r="A1878" t="str">
            <v>Curate Pista Peshawari 300g Jr</v>
          </cell>
          <cell r="B1878" t="str">
            <v>FG</v>
          </cell>
          <cell r="C1878" t="str">
            <v>PISTA</v>
          </cell>
          <cell r="D1878" t="str">
            <v>Pista - Inshell</v>
          </cell>
        </row>
        <row r="1879">
          <cell r="A1879" t="str">
            <v>Curate Pista Pishori 200g</v>
          </cell>
          <cell r="B1879" t="str">
            <v>FG</v>
          </cell>
          <cell r="C1879" t="str">
            <v>PISTA</v>
          </cell>
          <cell r="D1879" t="str">
            <v>Pista - Pishori</v>
          </cell>
        </row>
        <row r="1880">
          <cell r="A1880" t="str">
            <v>Curate Pitted Prunes 300g Jr</v>
          </cell>
          <cell r="B1880" t="str">
            <v>FG</v>
          </cell>
          <cell r="C1880" t="str">
            <v>PRUNES</v>
          </cell>
          <cell r="D1880" t="str">
            <v>Prunes - Pitted</v>
          </cell>
        </row>
        <row r="1881">
          <cell r="A1881" t="str">
            <v>Curate Prunes 200g</v>
          </cell>
          <cell r="B1881" t="str">
            <v>FG</v>
          </cell>
          <cell r="C1881" t="str">
            <v>PRUNES</v>
          </cell>
          <cell r="D1881" t="str">
            <v>Prunes - Pitted</v>
          </cell>
        </row>
        <row r="1882">
          <cell r="A1882" t="str">
            <v>Curate Roasted Hazelnuts 200g</v>
          </cell>
          <cell r="B1882" t="str">
            <v>FG</v>
          </cell>
          <cell r="C1882" t="str">
            <v>PREMIUM NUTS</v>
          </cell>
          <cell r="D1882" t="str">
            <v>Hazelnuts</v>
          </cell>
        </row>
        <row r="1883">
          <cell r="A1883" t="str">
            <v>Curate Roasted Hazelnuts 250g Jr</v>
          </cell>
          <cell r="B1883" t="str">
            <v>FG</v>
          </cell>
          <cell r="C1883" t="str">
            <v>PREMIUM NUTS</v>
          </cell>
          <cell r="D1883" t="str">
            <v>Hazelnuts</v>
          </cell>
        </row>
        <row r="1884">
          <cell r="A1884" t="str">
            <v>Curate Roasted Hazelnuts 550g Jr</v>
          </cell>
          <cell r="B1884" t="str">
            <v>FG</v>
          </cell>
          <cell r="C1884" t="str">
            <v>PREMIUM NUTS</v>
          </cell>
          <cell r="D1884" t="str">
            <v>Hazelnuts</v>
          </cell>
        </row>
        <row r="1885">
          <cell r="A1885" t="str">
            <v>Curate Sandhukhani Kismis 300g Jr</v>
          </cell>
          <cell r="B1885" t="str">
            <v>FG</v>
          </cell>
          <cell r="C1885" t="str">
            <v>RAISIN</v>
          </cell>
          <cell r="D1885" t="str">
            <v>Raisin - Shandukhani</v>
          </cell>
        </row>
        <row r="1886">
          <cell r="A1886" t="str">
            <v>Curate Sandhukhani Kismis 600g Jr</v>
          </cell>
          <cell r="B1886" t="str">
            <v>FG</v>
          </cell>
          <cell r="C1886" t="str">
            <v>RAISIN</v>
          </cell>
          <cell r="D1886" t="str">
            <v>Raisin - Shandukhani</v>
          </cell>
        </row>
        <row r="1887">
          <cell r="A1887" t="str">
            <v>CURATE WHOLE CRANBERRIES 200G</v>
          </cell>
          <cell r="B1887" t="str">
            <v>FG</v>
          </cell>
          <cell r="C1887" t="str">
            <v>CRANBERRY</v>
          </cell>
          <cell r="D1887" t="str">
            <v>Cranberry - Whole</v>
          </cell>
        </row>
        <row r="1888">
          <cell r="A1888" t="str">
            <v>Curate Whole Cranberries 300g Jr</v>
          </cell>
          <cell r="B1888" t="str">
            <v>FG</v>
          </cell>
          <cell r="C1888" t="str">
            <v>CRANBERRY</v>
          </cell>
          <cell r="D1888" t="str">
            <v>Cranberry - Whole</v>
          </cell>
        </row>
        <row r="1889">
          <cell r="A1889" t="str">
            <v>Curate Whole Cranberries 300gm</v>
          </cell>
          <cell r="B1889" t="str">
            <v>FG</v>
          </cell>
          <cell r="C1889" t="str">
            <v>CRANBERRY</v>
          </cell>
          <cell r="D1889" t="str">
            <v>Cranberry - Whole</v>
          </cell>
        </row>
        <row r="1890">
          <cell r="A1890" t="str">
            <v>Daily Mewa Healthy Mix</v>
          </cell>
          <cell r="B1890" t="str">
            <v>FG</v>
          </cell>
          <cell r="C1890" t="str">
            <v>TRAIL MIX</v>
          </cell>
          <cell r="D1890" t="str">
            <v>Trail Mix</v>
          </cell>
        </row>
        <row r="1891">
          <cell r="A1891" t="str">
            <v>Dalchini (Cinnamon) Powder</v>
          </cell>
          <cell r="B1891" t="str">
            <v>RM</v>
          </cell>
          <cell r="C1891" t="str">
            <v>SEASONING</v>
          </cell>
          <cell r="D1891" t="str">
            <v>Seasoning</v>
          </cell>
        </row>
        <row r="1892">
          <cell r="A1892" t="str">
            <v>Dark Almond Draggies</v>
          </cell>
          <cell r="B1892" t="str">
            <v>FG</v>
          </cell>
          <cell r="C1892" t="str">
            <v>ALMOND</v>
          </cell>
          <cell r="D1892" t="str">
            <v>Almond - Kernels</v>
          </cell>
        </row>
        <row r="1893">
          <cell r="A1893" t="str">
            <v>Dark Chocolate Coated Almond Stuffed Khalas Single</v>
          </cell>
          <cell r="B1893" t="str">
            <v>FG</v>
          </cell>
          <cell r="C1893" t="str">
            <v>TRAIL MIX</v>
          </cell>
          <cell r="D1893" t="str">
            <v>Trail Mix</v>
          </cell>
        </row>
        <row r="1894">
          <cell r="A1894" t="str">
            <v>Dark Chocolate Coated Cashew Stuffed Khalas Single</v>
          </cell>
          <cell r="B1894" t="str">
            <v>FG</v>
          </cell>
          <cell r="C1894" t="str">
            <v>TRAIL MIX</v>
          </cell>
          <cell r="D1894" t="str">
            <v>Trail Mix</v>
          </cell>
        </row>
        <row r="1895">
          <cell r="A1895" t="str">
            <v>Dark Chocolate Coated Deri Date with Almond Single</v>
          </cell>
          <cell r="B1895" t="str">
            <v>FG</v>
          </cell>
          <cell r="C1895" t="str">
            <v>TRAIL MIX</v>
          </cell>
          <cell r="D1895" t="str">
            <v>Trail Mix</v>
          </cell>
        </row>
        <row r="1896">
          <cell r="A1896" t="str">
            <v>Dark Chocolate Coated Fard Date with Almond Single</v>
          </cell>
          <cell r="B1896" t="str">
            <v>FG</v>
          </cell>
          <cell r="C1896" t="str">
            <v>TRAIL MIX</v>
          </cell>
          <cell r="D1896" t="str">
            <v>Trail Mix</v>
          </cell>
        </row>
        <row r="1897">
          <cell r="A1897" t="str">
            <v>Dark Chocolate Coated Macadamia 110g</v>
          </cell>
          <cell r="B1897" t="str">
            <v>FG</v>
          </cell>
          <cell r="C1897" t="str">
            <v>BARS &amp; CEREALS</v>
          </cell>
          <cell r="D1897" t="str">
            <v>Chocolate</v>
          </cell>
        </row>
        <row r="1898">
          <cell r="A1898" t="str">
            <v>Dark Chocolate Coated Safavi Stuffed Dates Pc</v>
          </cell>
          <cell r="B1898" t="str">
            <v>FG</v>
          </cell>
          <cell r="C1898" t="str">
            <v>TRAIL MIX</v>
          </cell>
          <cell r="D1898" t="str">
            <v>Trail Mix</v>
          </cell>
        </row>
        <row r="1899">
          <cell r="A1899" t="str">
            <v>DARK CHOCOLATE COUVERTURE 811</v>
          </cell>
          <cell r="B1899" t="str">
            <v>RM</v>
          </cell>
          <cell r="C1899" t="str">
            <v>MISCELLANEOUS - RM</v>
          </cell>
          <cell r="D1899" t="str">
            <v>Chocolate</v>
          </cell>
        </row>
        <row r="1900">
          <cell r="A1900" t="str">
            <v>Dark Chocolate Macadamia Clusters 100gm</v>
          </cell>
          <cell r="B1900" t="str">
            <v>FG</v>
          </cell>
          <cell r="C1900" t="str">
            <v>PREMIUM NUTS</v>
          </cell>
          <cell r="D1900" t="str">
            <v>Macadamia Nuts</v>
          </cell>
        </row>
        <row r="1901">
          <cell r="A1901" t="str">
            <v>Dark Compound Chips</v>
          </cell>
          <cell r="B1901" t="str">
            <v>RM</v>
          </cell>
          <cell r="C1901" t="str">
            <v>MISCELLANEOUS - RM</v>
          </cell>
          <cell r="D1901" t="str">
            <v>Other Misc</v>
          </cell>
        </row>
        <row r="1902">
          <cell r="A1902" t="str">
            <v>Dark Compound Chocolate</v>
          </cell>
          <cell r="B1902" t="str">
            <v>RM</v>
          </cell>
          <cell r="C1902" t="str">
            <v>MISCELLANEOUS - RM</v>
          </cell>
          <cell r="D1902" t="str">
            <v>Chocolate</v>
          </cell>
        </row>
        <row r="1903">
          <cell r="A1903" t="str">
            <v>Date Balls Coated Coconut (22G X 3)</v>
          </cell>
          <cell r="B1903" t="str">
            <v>FG</v>
          </cell>
          <cell r="C1903" t="str">
            <v>TRAIL MIX</v>
          </cell>
          <cell r="D1903" t="str">
            <v>Chocolate</v>
          </cell>
        </row>
        <row r="1904">
          <cell r="A1904" t="str">
            <v>Date Balls Coated Dark (22g x 3)</v>
          </cell>
          <cell r="B1904" t="str">
            <v>FG</v>
          </cell>
          <cell r="C1904" t="str">
            <v>TRAIL MIX</v>
          </cell>
          <cell r="D1904" t="str">
            <v>Chocolate</v>
          </cell>
        </row>
        <row r="1905">
          <cell r="A1905" t="str">
            <v>Date Balls Coated Milk (22g x 3)</v>
          </cell>
          <cell r="B1905" t="str">
            <v>FG</v>
          </cell>
          <cell r="C1905" t="str">
            <v>TRAIL MIX</v>
          </cell>
          <cell r="D1905" t="str">
            <v>Chocolate</v>
          </cell>
        </row>
        <row r="1906">
          <cell r="A1906" t="str">
            <v>Date Balls Coated White (22g x 3)</v>
          </cell>
          <cell r="B1906" t="str">
            <v>FG</v>
          </cell>
          <cell r="C1906" t="str">
            <v>TRAIL MIX</v>
          </cell>
          <cell r="D1906" t="str">
            <v>Chocolate</v>
          </cell>
        </row>
        <row r="1907">
          <cell r="A1907" t="str">
            <v>Date Bite Bulk</v>
          </cell>
          <cell r="B1907" t="str">
            <v>FG</v>
          </cell>
          <cell r="C1907" t="str">
            <v>TRAIL MIX</v>
          </cell>
          <cell r="D1907" t="str">
            <v>Bites</v>
          </cell>
        </row>
        <row r="1908">
          <cell r="A1908" t="str">
            <v>Date Bites 9gm</v>
          </cell>
          <cell r="B1908" t="str">
            <v>FG</v>
          </cell>
          <cell r="C1908" t="str">
            <v>TRAIL MIX</v>
          </cell>
          <cell r="D1908" t="str">
            <v>Bites</v>
          </cell>
        </row>
        <row r="1909">
          <cell r="A1909" t="str">
            <v>Date Bites Semi Finished</v>
          </cell>
          <cell r="B1909" t="str">
            <v>FG</v>
          </cell>
          <cell r="C1909" t="str">
            <v>BARS &amp; CEREALS</v>
          </cell>
          <cell r="D1909" t="str">
            <v>Bites</v>
          </cell>
        </row>
        <row r="1910">
          <cell r="A1910" t="str">
            <v>Date Mewa Bon Bon Laddu (18g x 3)</v>
          </cell>
          <cell r="B1910" t="str">
            <v>FG</v>
          </cell>
          <cell r="C1910" t="str">
            <v>TRAIL MIX</v>
          </cell>
          <cell r="D1910" t="str">
            <v>Trail Mix</v>
          </cell>
        </row>
        <row r="1911">
          <cell r="A1911" t="str">
            <v>Date Mewa Festive Gifting &amp; Feast Parcel 500gm</v>
          </cell>
          <cell r="B1911" t="str">
            <v>FG</v>
          </cell>
          <cell r="C1911" t="str">
            <v>FESTIVE HAMPERS</v>
          </cell>
          <cell r="D1911" t="str">
            <v>Gifting</v>
          </cell>
        </row>
        <row r="1912">
          <cell r="A1912" t="str">
            <v>Date Mewa Ladu 18gm</v>
          </cell>
          <cell r="B1912" t="str">
            <v>FG</v>
          </cell>
          <cell r="C1912" t="str">
            <v>TRAIL MIX</v>
          </cell>
          <cell r="D1912" t="str">
            <v>Trail Mix</v>
          </cell>
        </row>
        <row r="1913">
          <cell r="A1913" t="str">
            <v>Dates Ajwa Loose</v>
          </cell>
          <cell r="B1913" t="str">
            <v>RM</v>
          </cell>
          <cell r="C1913" t="str">
            <v>DATES</v>
          </cell>
          <cell r="D1913" t="str">
            <v>Ajwa</v>
          </cell>
        </row>
        <row r="1914">
          <cell r="A1914" t="str">
            <v>Dates Ameri Loose</v>
          </cell>
          <cell r="B1914" t="str">
            <v>RM</v>
          </cell>
          <cell r="C1914" t="str">
            <v>DATES</v>
          </cell>
          <cell r="D1914" t="str">
            <v>Amary</v>
          </cell>
        </row>
        <row r="1915">
          <cell r="A1915" t="str">
            <v>Dates Delight Khajur Pak 375gm</v>
          </cell>
          <cell r="B1915" t="str">
            <v>FG</v>
          </cell>
          <cell r="C1915" t="str">
            <v>TRAIL MIX</v>
          </cell>
          <cell r="D1915" t="str">
            <v>Trail Mix</v>
          </cell>
        </row>
        <row r="1916">
          <cell r="A1916" t="str">
            <v>Dates Fard Loose</v>
          </cell>
          <cell r="B1916" t="str">
            <v>FG</v>
          </cell>
          <cell r="C1916" t="str">
            <v>DATES</v>
          </cell>
          <cell r="D1916" t="str">
            <v>FARD</v>
          </cell>
        </row>
        <row r="1917">
          <cell r="A1917" t="str">
            <v>DATES IMPORTED 500 Gm</v>
          </cell>
          <cell r="B1917" t="str">
            <v>FG</v>
          </cell>
          <cell r="C1917" t="str">
            <v>DATES</v>
          </cell>
          <cell r="D1917" t="str">
            <v>Kimia</v>
          </cell>
        </row>
        <row r="1918">
          <cell r="A1918" t="str">
            <v>Dates Mazafati Loose</v>
          </cell>
          <cell r="B1918" t="str">
            <v>RM</v>
          </cell>
          <cell r="C1918" t="str">
            <v>DATES</v>
          </cell>
          <cell r="D1918" t="str">
            <v>Kimia</v>
          </cell>
        </row>
        <row r="1919">
          <cell r="A1919" t="str">
            <v>Dates Medjool Jumbo Loose</v>
          </cell>
          <cell r="B1919" t="str">
            <v>RM</v>
          </cell>
          <cell r="C1919" t="str">
            <v>DATES</v>
          </cell>
          <cell r="D1919" t="str">
            <v>Medjoul-Jumbo</v>
          </cell>
        </row>
        <row r="1920">
          <cell r="A1920" t="str">
            <v>Dates Medjool Large Loose</v>
          </cell>
          <cell r="B1920" t="str">
            <v>RM</v>
          </cell>
          <cell r="C1920" t="str">
            <v>DATES</v>
          </cell>
          <cell r="D1920" t="str">
            <v>Medjoul-Large</v>
          </cell>
        </row>
        <row r="1921">
          <cell r="A1921" t="str">
            <v>Dates Medjool Super Jumbo Loose</v>
          </cell>
          <cell r="B1921" t="str">
            <v>RM</v>
          </cell>
          <cell r="C1921" t="str">
            <v>DATES</v>
          </cell>
          <cell r="D1921" t="str">
            <v>Medjoul-Super Jumbo</v>
          </cell>
        </row>
        <row r="1922">
          <cell r="A1922" t="str">
            <v>Dates Medjoul Junior Loose</v>
          </cell>
          <cell r="B1922" t="str">
            <v>FG</v>
          </cell>
          <cell r="C1922" t="str">
            <v>DATES</v>
          </cell>
          <cell r="D1922" t="str">
            <v>Medjoul-Junior</v>
          </cell>
        </row>
        <row r="1923">
          <cell r="A1923" t="str">
            <v>Dates Mewa Assorted 210gm</v>
          </cell>
          <cell r="B1923" t="str">
            <v>FG</v>
          </cell>
          <cell r="C1923" t="str">
            <v>TRAIL MIX</v>
          </cell>
          <cell r="D1923" t="str">
            <v>Trail Mix</v>
          </cell>
        </row>
        <row r="1924">
          <cell r="A1924" t="str">
            <v>Dates Mewa Classic 210gm</v>
          </cell>
          <cell r="B1924" t="str">
            <v>FG</v>
          </cell>
          <cell r="C1924" t="str">
            <v>TRAIL MIX</v>
          </cell>
          <cell r="D1924" t="str">
            <v>Trail Mix</v>
          </cell>
        </row>
        <row r="1925">
          <cell r="A1925" t="str">
            <v>Dates Mewa Classic (Semi)</v>
          </cell>
          <cell r="B1925" t="str">
            <v>FG</v>
          </cell>
          <cell r="C1925" t="str">
            <v>BARS &amp; CEREALS</v>
          </cell>
          <cell r="D1925" t="str">
            <v>Bites</v>
          </cell>
        </row>
        <row r="1926">
          <cell r="A1926" t="str">
            <v>Dates Oriental Loose</v>
          </cell>
          <cell r="B1926" t="str">
            <v>RM</v>
          </cell>
          <cell r="C1926" t="str">
            <v>DATES</v>
          </cell>
          <cell r="D1926" t="str">
            <v>Deri</v>
          </cell>
        </row>
        <row r="1927">
          <cell r="A1927" t="str">
            <v>Dates Safavi Loose</v>
          </cell>
          <cell r="B1927" t="str">
            <v>RM</v>
          </cell>
          <cell r="C1927" t="str">
            <v>DATES</v>
          </cell>
          <cell r="D1927" t="str">
            <v>Safavi</v>
          </cell>
        </row>
        <row r="1928">
          <cell r="A1928" t="str">
            <v>Dates Sayer Loose</v>
          </cell>
          <cell r="B1928" t="str">
            <v>FG</v>
          </cell>
          <cell r="C1928" t="str">
            <v>DATES</v>
          </cell>
          <cell r="D1928" t="str">
            <v>Sayer</v>
          </cell>
        </row>
        <row r="1929">
          <cell r="A1929" t="str">
            <v>Dates Seeds</v>
          </cell>
          <cell r="B1929" t="str">
            <v>RM</v>
          </cell>
          <cell r="C1929" t="str">
            <v>DATES</v>
          </cell>
          <cell r="D1929" t="str">
            <v>Seeds</v>
          </cell>
        </row>
        <row r="1930">
          <cell r="A1930" t="str">
            <v>Dates Zahidi Loose</v>
          </cell>
          <cell r="B1930" t="str">
            <v>RM</v>
          </cell>
          <cell r="C1930" t="str">
            <v>DATES</v>
          </cell>
          <cell r="D1930" t="str">
            <v>Zahidi</v>
          </cell>
        </row>
        <row r="1931">
          <cell r="A1931" t="str">
            <v>DCC Almonds</v>
          </cell>
          <cell r="B1931" t="str">
            <v>FG</v>
          </cell>
          <cell r="C1931" t="str">
            <v>ALMOND</v>
          </cell>
          <cell r="D1931" t="str">
            <v>Almond - Kernels</v>
          </cell>
        </row>
        <row r="1932">
          <cell r="A1932" t="str">
            <v>DEGLET.908 GM</v>
          </cell>
          <cell r="B1932" t="str">
            <v>FG</v>
          </cell>
          <cell r="C1932" t="str">
            <v>DATES</v>
          </cell>
          <cell r="D1932" t="str">
            <v>Deglet</v>
          </cell>
        </row>
        <row r="1933">
          <cell r="A1933" t="str">
            <v>Deglet Dates</v>
          </cell>
          <cell r="B1933" t="str">
            <v>RM</v>
          </cell>
          <cell r="C1933" t="str">
            <v>DATES</v>
          </cell>
          <cell r="D1933" t="str">
            <v>Deglet</v>
          </cell>
        </row>
        <row r="1934">
          <cell r="A1934" t="str">
            <v>DEGLET NOUR BRANCHES 5KG</v>
          </cell>
          <cell r="B1934" t="str">
            <v>RM</v>
          </cell>
          <cell r="C1934" t="str">
            <v>DATES</v>
          </cell>
          <cell r="D1934" t="str">
            <v>Deglet</v>
          </cell>
        </row>
        <row r="1935">
          <cell r="A1935" t="str">
            <v>Dehydrated Aloe Vera Chunk</v>
          </cell>
          <cell r="B1935" t="str">
            <v>RM</v>
          </cell>
          <cell r="C1935" t="str">
            <v>DEHYDRATED FRUITS</v>
          </cell>
          <cell r="D1935" t="str">
            <v>DF - Other</v>
          </cell>
        </row>
        <row r="1936">
          <cell r="A1936" t="str">
            <v>DEHYDRATED BABY ORANGE</v>
          </cell>
          <cell r="B1936" t="str">
            <v>RM</v>
          </cell>
          <cell r="C1936" t="str">
            <v>DEHYDRATED FRUITS</v>
          </cell>
          <cell r="D1936" t="str">
            <v>DF - Orange</v>
          </cell>
        </row>
        <row r="1937">
          <cell r="A1937" t="str">
            <v>Dehydrated Chikoo fruit</v>
          </cell>
          <cell r="B1937" t="str">
            <v>RM</v>
          </cell>
          <cell r="C1937" t="str">
            <v>DEHYDRATED FRUITS</v>
          </cell>
          <cell r="D1937" t="str">
            <v>DF - Other</v>
          </cell>
        </row>
        <row r="1938">
          <cell r="A1938" t="str">
            <v>Dehydrated Ginger</v>
          </cell>
          <cell r="B1938" t="str">
            <v>RM</v>
          </cell>
          <cell r="C1938" t="str">
            <v>DEHYDRATED FRUITS</v>
          </cell>
          <cell r="D1938" t="str">
            <v>DF - Ginger</v>
          </cell>
        </row>
        <row r="1939">
          <cell r="A1939" t="str">
            <v>Dehydrated Guava Sliced</v>
          </cell>
          <cell r="B1939" t="str">
            <v>RM</v>
          </cell>
          <cell r="C1939" t="str">
            <v>DEHYDRATED FRUITS</v>
          </cell>
          <cell r="D1939" t="str">
            <v>DF - Guava</v>
          </cell>
        </row>
        <row r="1940">
          <cell r="A1940" t="str">
            <v>Dehydrated Jamun fruit</v>
          </cell>
          <cell r="B1940" t="str">
            <v>RM</v>
          </cell>
          <cell r="C1940" t="str">
            <v>DEHYDRATED FRUITS</v>
          </cell>
          <cell r="D1940" t="str">
            <v>DF - Other</v>
          </cell>
        </row>
        <row r="1941">
          <cell r="A1941" t="str">
            <v>Dehydrated Lemon (Candied)</v>
          </cell>
          <cell r="B1941" t="str">
            <v>RM</v>
          </cell>
          <cell r="C1941" t="str">
            <v>DEHYDRATED FRUITS</v>
          </cell>
          <cell r="D1941" t="str">
            <v>DF - Orange</v>
          </cell>
        </row>
        <row r="1942">
          <cell r="A1942" t="str">
            <v>Dehydrated Mango</v>
          </cell>
          <cell r="B1942" t="str">
            <v>RM</v>
          </cell>
          <cell r="C1942" t="str">
            <v>DEHYDRATED FRUITS</v>
          </cell>
          <cell r="D1942" t="str">
            <v>DF - Mango</v>
          </cell>
        </row>
        <row r="1943">
          <cell r="A1943" t="str">
            <v>Dehydrated Mango fruit</v>
          </cell>
          <cell r="B1943" t="str">
            <v>RM</v>
          </cell>
          <cell r="C1943" t="str">
            <v>DEHYDRATED FRUITS</v>
          </cell>
          <cell r="D1943" t="str">
            <v>DF - Mango</v>
          </cell>
        </row>
        <row r="1944">
          <cell r="A1944" t="str">
            <v>Dehydrated Mango Papad (Aam Papad)</v>
          </cell>
          <cell r="B1944" t="str">
            <v>RM</v>
          </cell>
          <cell r="C1944" t="str">
            <v>DEHYDRATED FRUITS</v>
          </cell>
          <cell r="D1944" t="str">
            <v>DF - Mango</v>
          </cell>
        </row>
        <row r="1945">
          <cell r="A1945" t="str">
            <v>Dehydrated Mango Slice</v>
          </cell>
          <cell r="B1945" t="str">
            <v>RM</v>
          </cell>
          <cell r="C1945" t="str">
            <v>DEHYDRATED FRUITS</v>
          </cell>
          <cell r="D1945" t="str">
            <v>DF - Mango</v>
          </cell>
        </row>
        <row r="1946">
          <cell r="A1946" t="str">
            <v>Dehydrated Mixed Fruits</v>
          </cell>
          <cell r="B1946" t="str">
            <v>RM</v>
          </cell>
          <cell r="C1946" t="str">
            <v>DEHYDRATED FRUITS</v>
          </cell>
          <cell r="D1946" t="str">
            <v>DF - Mix</v>
          </cell>
        </row>
        <row r="1947">
          <cell r="A1947" t="str">
            <v>Dehydrated Papaya Chunk</v>
          </cell>
          <cell r="B1947" t="str">
            <v>RM</v>
          </cell>
          <cell r="C1947" t="str">
            <v>DEHYDRATED FRUITS</v>
          </cell>
          <cell r="D1947" t="str">
            <v>DF - Papaya</v>
          </cell>
        </row>
        <row r="1948">
          <cell r="A1948" t="str">
            <v>DEHYDRATED PEACH GREEN</v>
          </cell>
          <cell r="B1948" t="str">
            <v>RM</v>
          </cell>
          <cell r="C1948" t="str">
            <v>DEHYDRATED FRUITS</v>
          </cell>
          <cell r="D1948" t="str">
            <v>DF - Peach</v>
          </cell>
        </row>
        <row r="1949">
          <cell r="A1949" t="str">
            <v>DEHYDRATED PEACH RED</v>
          </cell>
          <cell r="B1949" t="str">
            <v>RM</v>
          </cell>
          <cell r="C1949" t="str">
            <v>DEHYDRATED FRUITS</v>
          </cell>
          <cell r="D1949" t="str">
            <v>DF - Peach</v>
          </cell>
        </row>
        <row r="1950">
          <cell r="A1950" t="str">
            <v>DEHYDRATED PEACH YELLOW</v>
          </cell>
          <cell r="B1950" t="str">
            <v>RM</v>
          </cell>
          <cell r="C1950" t="str">
            <v>DEHYDRATED FRUITS</v>
          </cell>
          <cell r="D1950" t="str">
            <v>DF - Peach</v>
          </cell>
        </row>
        <row r="1951">
          <cell r="A1951" t="str">
            <v>DEHYDRATED PINEAPPLE COIN</v>
          </cell>
          <cell r="B1951" t="str">
            <v>RM</v>
          </cell>
          <cell r="C1951" t="str">
            <v>DEHYDRATED FRUITS</v>
          </cell>
          <cell r="D1951" t="str">
            <v>DF - Pineapple</v>
          </cell>
        </row>
        <row r="1952">
          <cell r="A1952" t="str">
            <v>DEHYDRATED PINEAPPLE RING</v>
          </cell>
          <cell r="B1952" t="str">
            <v>RM</v>
          </cell>
          <cell r="C1952" t="str">
            <v>DEHYDRATED FRUITS</v>
          </cell>
          <cell r="D1952" t="str">
            <v>DF - Pineapple</v>
          </cell>
        </row>
        <row r="1953">
          <cell r="A1953" t="str">
            <v>Dehydrated Strawberry fruit</v>
          </cell>
          <cell r="B1953" t="str">
            <v>RM</v>
          </cell>
          <cell r="C1953" t="str">
            <v>DEHYDRATED FRUITS</v>
          </cell>
          <cell r="D1953" t="str">
            <v>DF - Berries</v>
          </cell>
        </row>
        <row r="1954">
          <cell r="A1954" t="str">
            <v>Delkash Dates 500 Gms (110002704)</v>
          </cell>
          <cell r="B1954" t="str">
            <v>FG</v>
          </cell>
          <cell r="C1954" t="str">
            <v>DATES</v>
          </cell>
          <cell r="D1954" t="str">
            <v>Maryam</v>
          </cell>
        </row>
        <row r="1955">
          <cell r="A1955" t="str">
            <v>Delmonte Cranberries 130gm</v>
          </cell>
          <cell r="B1955" t="str">
            <v>FG</v>
          </cell>
          <cell r="C1955" t="str">
            <v>CRANBERRY</v>
          </cell>
          <cell r="D1955" t="str">
            <v>Cranberry - Whole</v>
          </cell>
        </row>
        <row r="1956">
          <cell r="A1956" t="str">
            <v>Delmonte Prunes 130g</v>
          </cell>
          <cell r="B1956" t="str">
            <v>FG</v>
          </cell>
          <cell r="C1956" t="str">
            <v>PRUNES</v>
          </cell>
          <cell r="D1956" t="str">
            <v>Prunes - Pitted</v>
          </cell>
        </row>
        <row r="1957">
          <cell r="A1957" t="str">
            <v>Delmonte Prunes 130g [1 Case x 40 unit]</v>
          </cell>
          <cell r="B1957" t="str">
            <v>FG</v>
          </cell>
          <cell r="C1957" t="str">
            <v>PRUNES</v>
          </cell>
          <cell r="D1957" t="str">
            <v>Prunes - Pitted</v>
          </cell>
        </row>
        <row r="1958">
          <cell r="A1958" t="str">
            <v>Delmonte Prunes 340g</v>
          </cell>
          <cell r="B1958" t="str">
            <v>FG</v>
          </cell>
          <cell r="C1958" t="str">
            <v>PRUNES</v>
          </cell>
          <cell r="D1958" t="str">
            <v>Prunes - Pitted</v>
          </cell>
        </row>
        <row r="1959">
          <cell r="A1959" t="str">
            <v>Delmonte Prunes 340g [1 Case x 20 unit]</v>
          </cell>
          <cell r="B1959" t="str">
            <v>FG</v>
          </cell>
          <cell r="C1959" t="str">
            <v>PRUNES</v>
          </cell>
          <cell r="D1959" t="str">
            <v>Prunes - Pitted</v>
          </cell>
        </row>
        <row r="1960">
          <cell r="A1960" t="str">
            <v>Delmonte Royal Arabian dates 200g</v>
          </cell>
          <cell r="B1960" t="str">
            <v>FG</v>
          </cell>
          <cell r="C1960" t="str">
            <v>DATES</v>
          </cell>
          <cell r="D1960" t="str">
            <v>Khalas</v>
          </cell>
        </row>
        <row r="1961">
          <cell r="A1961" t="str">
            <v>Delmonte Royal Arabian dates 200g [1 Case x 36 unit] Non-Promo</v>
          </cell>
          <cell r="B1961" t="str">
            <v>FG</v>
          </cell>
          <cell r="C1961" t="str">
            <v>DATES</v>
          </cell>
          <cell r="D1961" t="str">
            <v>Khalas</v>
          </cell>
        </row>
        <row r="1962">
          <cell r="A1962" t="str">
            <v>Delmonte Royal Arabian dates 200g [1 Case x 36 unit] Promo</v>
          </cell>
          <cell r="B1962" t="str">
            <v>FG</v>
          </cell>
          <cell r="C1962" t="str">
            <v>DATES</v>
          </cell>
          <cell r="D1962" t="str">
            <v>Khalas</v>
          </cell>
        </row>
        <row r="1963">
          <cell r="A1963" t="str">
            <v>Delmonte Royal Arabian dates 500g</v>
          </cell>
          <cell r="B1963" t="str">
            <v>FG</v>
          </cell>
          <cell r="C1963" t="str">
            <v>DATES</v>
          </cell>
          <cell r="D1963" t="str">
            <v>Khalas</v>
          </cell>
        </row>
        <row r="1964">
          <cell r="A1964" t="str">
            <v>Delmonte Royal Arabian dates 500g [1 Case x 24 unit] Non-Promo</v>
          </cell>
          <cell r="B1964" t="str">
            <v>FG</v>
          </cell>
          <cell r="C1964" t="str">
            <v>DATES</v>
          </cell>
          <cell r="D1964" t="str">
            <v>Khalas</v>
          </cell>
        </row>
        <row r="1965">
          <cell r="A1965" t="str">
            <v>Delmonte Royal Arabian dates 500g [1 Case x 24 unit] Promo</v>
          </cell>
          <cell r="B1965" t="str">
            <v>FG</v>
          </cell>
          <cell r="C1965" t="str">
            <v>DATES</v>
          </cell>
          <cell r="D1965" t="str">
            <v>Khalas</v>
          </cell>
        </row>
        <row r="1966">
          <cell r="A1966" t="str">
            <v>Delmonte Royal Fard Dates 200gm</v>
          </cell>
          <cell r="B1966" t="str">
            <v>FG</v>
          </cell>
          <cell r="C1966" t="str">
            <v>DATES</v>
          </cell>
          <cell r="D1966" t="str">
            <v>Fard</v>
          </cell>
        </row>
        <row r="1967">
          <cell r="A1967" t="str">
            <v>Delmonte Royal Fard Dates 200gm [1 Case x 36 unit] Non-Promo</v>
          </cell>
          <cell r="B1967" t="str">
            <v>FG</v>
          </cell>
          <cell r="C1967" t="str">
            <v>DATES</v>
          </cell>
          <cell r="D1967" t="str">
            <v>Fard</v>
          </cell>
        </row>
        <row r="1968">
          <cell r="A1968" t="str">
            <v>Delmonte Royal Fard Dates 200gm [1 Case x 36 unit] Promo</v>
          </cell>
          <cell r="B1968" t="str">
            <v>FG</v>
          </cell>
          <cell r="C1968" t="str">
            <v>DATES</v>
          </cell>
          <cell r="D1968" t="str">
            <v>Fard</v>
          </cell>
        </row>
        <row r="1969">
          <cell r="A1969" t="str">
            <v>Delmonte Royal Fard Dates 450gm [1Case x 24Pack]NPR</v>
          </cell>
          <cell r="B1969" t="str">
            <v>FG</v>
          </cell>
          <cell r="C1969" t="str">
            <v>DATES</v>
          </cell>
          <cell r="D1969" t="str">
            <v>Fard</v>
          </cell>
        </row>
        <row r="1970">
          <cell r="A1970" t="str">
            <v>Delmonte Royal Fard Dates 450gm [1Case x 24Pack] PR</v>
          </cell>
          <cell r="B1970" t="str">
            <v>FG</v>
          </cell>
          <cell r="C1970" t="str">
            <v>DATES</v>
          </cell>
          <cell r="D1970" t="str">
            <v>Fard</v>
          </cell>
        </row>
        <row r="1971">
          <cell r="A1971" t="str">
            <v>Delmonte Royal Fard Dates 500gm</v>
          </cell>
          <cell r="B1971" t="str">
            <v>FG</v>
          </cell>
          <cell r="C1971" t="str">
            <v>DATES</v>
          </cell>
          <cell r="D1971" t="str">
            <v>Fard</v>
          </cell>
        </row>
        <row r="1972">
          <cell r="A1972" t="str">
            <v>Delmonte Royal Fard Dates 500gm [1 Case x 24 unit] Non-Promo</v>
          </cell>
          <cell r="B1972" t="str">
            <v>FG</v>
          </cell>
          <cell r="C1972" t="str">
            <v>DATES</v>
          </cell>
          <cell r="D1972" t="str">
            <v>Fard</v>
          </cell>
        </row>
        <row r="1973">
          <cell r="A1973" t="str">
            <v>Delmonte Royal Fard Dates 500gm [1 Case x 24 unit] Promo</v>
          </cell>
          <cell r="B1973" t="str">
            <v>FG</v>
          </cell>
          <cell r="C1973" t="str">
            <v>DATES</v>
          </cell>
          <cell r="D1973" t="str">
            <v>Fard</v>
          </cell>
        </row>
        <row r="1974">
          <cell r="A1974" t="str">
            <v>Deri Dates</v>
          </cell>
          <cell r="B1974" t="str">
            <v>RM</v>
          </cell>
          <cell r="C1974" t="str">
            <v>DATES</v>
          </cell>
          <cell r="D1974" t="str">
            <v>Deri</v>
          </cell>
        </row>
        <row r="1975">
          <cell r="A1975" t="str">
            <v>Deri Dates 250g (1359841)</v>
          </cell>
          <cell r="B1975" t="str">
            <v>FG</v>
          </cell>
          <cell r="C1975" t="str">
            <v>DATES</v>
          </cell>
          <cell r="D1975" t="str">
            <v>Deri</v>
          </cell>
        </row>
        <row r="1976">
          <cell r="A1976" t="str">
            <v>Deri Grade B</v>
          </cell>
          <cell r="B1976" t="str">
            <v>RM</v>
          </cell>
          <cell r="C1976" t="str">
            <v>DATES</v>
          </cell>
          <cell r="D1976" t="str">
            <v>Deri</v>
          </cell>
        </row>
        <row r="1977">
          <cell r="A1977" t="str">
            <v>Desi Ghee</v>
          </cell>
          <cell r="B1977" t="str">
            <v>RM</v>
          </cell>
          <cell r="C1977" t="str">
            <v>MISCELLANEOUS - RM</v>
          </cell>
          <cell r="D1977" t="str">
            <v>Other Misc</v>
          </cell>
        </row>
        <row r="1978">
          <cell r="A1978" t="str">
            <v>Desi Masala Seasoning</v>
          </cell>
          <cell r="B1978" t="str">
            <v>RM</v>
          </cell>
          <cell r="C1978" t="str">
            <v>SEASONING</v>
          </cell>
          <cell r="D1978" t="str">
            <v>Seasoning</v>
          </cell>
        </row>
        <row r="1979">
          <cell r="A1979" t="str">
            <v>Dessert Coconut Chips</v>
          </cell>
          <cell r="B1979" t="str">
            <v>RM</v>
          </cell>
          <cell r="C1979" t="str">
            <v>MISCELLANEOUS - RM</v>
          </cell>
          <cell r="D1979" t="str">
            <v>Other Misc</v>
          </cell>
        </row>
        <row r="1980">
          <cell r="A1980" t="str">
            <v>Diced Almond</v>
          </cell>
          <cell r="B1980" t="str">
            <v>RM</v>
          </cell>
          <cell r="C1980" t="str">
            <v>ALMOND</v>
          </cell>
          <cell r="D1980" t="str">
            <v>Almond - Broken</v>
          </cell>
        </row>
        <row r="1981">
          <cell r="A1981" t="str">
            <v>Dill Seed - Suva</v>
          </cell>
          <cell r="B1981" t="str">
            <v>RM</v>
          </cell>
          <cell r="C1981" t="str">
            <v>MISCELLANEOUS - RM</v>
          </cell>
          <cell r="D1981" t="str">
            <v>Other Misc</v>
          </cell>
        </row>
        <row r="1982">
          <cell r="A1982" t="str">
            <v>Disposable Facemasks</v>
          </cell>
          <cell r="B1982">
            <v>0</v>
          </cell>
          <cell r="C1982" t="str">
            <v>Consumables</v>
          </cell>
          <cell r="D1982" t="str">
            <v>Others</v>
          </cell>
        </row>
        <row r="1983">
          <cell r="A1983" t="str">
            <v>Disposable Hair Nets</v>
          </cell>
          <cell r="B1983">
            <v>0</v>
          </cell>
          <cell r="C1983" t="str">
            <v>Others</v>
          </cell>
          <cell r="D1983" t="str">
            <v>Others</v>
          </cell>
        </row>
        <row r="1984">
          <cell r="A1984" t="str">
            <v>Disposable Non Woven Apron</v>
          </cell>
          <cell r="B1984">
            <v>0</v>
          </cell>
          <cell r="C1984" t="str">
            <v>Others</v>
          </cell>
          <cell r="D1984" t="str">
            <v>Others</v>
          </cell>
        </row>
        <row r="1985">
          <cell r="A1985" t="str">
            <v>Dragees Dark Cranberry</v>
          </cell>
          <cell r="B1985" t="str">
            <v>FG</v>
          </cell>
          <cell r="C1985" t="str">
            <v>TRAIL MIX</v>
          </cell>
          <cell r="D1985" t="str">
            <v>Trail Mix</v>
          </cell>
        </row>
        <row r="1986">
          <cell r="A1986" t="str">
            <v>Dragees Milk Cranberry</v>
          </cell>
          <cell r="B1986" t="str">
            <v>FG</v>
          </cell>
          <cell r="C1986" t="str">
            <v>TRAIL MIX</v>
          </cell>
          <cell r="D1986" t="str">
            <v>Trail Mix</v>
          </cell>
        </row>
        <row r="1987">
          <cell r="A1987" t="str">
            <v>Dragees White Cranberry</v>
          </cell>
          <cell r="B1987" t="str">
            <v>FG</v>
          </cell>
          <cell r="C1987" t="str">
            <v>TRAIL MIX</v>
          </cell>
          <cell r="D1987" t="str">
            <v>Trail Mix</v>
          </cell>
        </row>
        <row r="1988">
          <cell r="A1988" t="str">
            <v>Drangees Dark Almond</v>
          </cell>
          <cell r="B1988" t="str">
            <v>FG</v>
          </cell>
          <cell r="C1988" t="str">
            <v>ALMOND</v>
          </cell>
          <cell r="D1988" t="str">
            <v>Almond - Kernels</v>
          </cell>
        </row>
        <row r="1989">
          <cell r="A1989" t="str">
            <v>Dr Batra#s Hair Health Protein Bar 35gm</v>
          </cell>
          <cell r="B1989" t="str">
            <v>FG</v>
          </cell>
          <cell r="C1989" t="str">
            <v>BARS &amp; CEREALS</v>
          </cell>
          <cell r="D1989" t="str">
            <v>Energy Bars</v>
          </cell>
        </row>
        <row r="1990">
          <cell r="A1990" t="str">
            <v>Dr Batra Hair Health Protein Bar (Semi Finished)</v>
          </cell>
          <cell r="B1990" t="str">
            <v>FG</v>
          </cell>
          <cell r="C1990" t="str">
            <v>BARS &amp; CEREALS</v>
          </cell>
          <cell r="D1990" t="str">
            <v>Energy Bars</v>
          </cell>
        </row>
        <row r="1991">
          <cell r="A1991" t="str">
            <v>Dried Anjeer 200gm</v>
          </cell>
          <cell r="B1991" t="str">
            <v>FG</v>
          </cell>
          <cell r="C1991" t="str">
            <v>ANJEER</v>
          </cell>
          <cell r="D1991" t="str">
            <v>Dried Figs</v>
          </cell>
        </row>
        <row r="1992">
          <cell r="A1992" t="str">
            <v>Dried Apple</v>
          </cell>
          <cell r="B1992" t="str">
            <v>RM</v>
          </cell>
          <cell r="C1992" t="str">
            <v>DEHYDRATED FRUITS</v>
          </cell>
          <cell r="D1992" t="str">
            <v>DF - Other</v>
          </cell>
        </row>
        <row r="1993">
          <cell r="A1993" t="str">
            <v>Dried Blackberry</v>
          </cell>
          <cell r="B1993" t="str">
            <v>RM</v>
          </cell>
          <cell r="C1993" t="str">
            <v>BLACKBERRY</v>
          </cell>
          <cell r="D1993" t="str">
            <v>Dried Blackberry</v>
          </cell>
        </row>
        <row r="1994">
          <cell r="A1994" t="str">
            <v>Dried Black Currant</v>
          </cell>
          <cell r="B1994" t="str">
            <v>RM</v>
          </cell>
          <cell r="C1994" t="str">
            <v>BLACKCURRANT</v>
          </cell>
          <cell r="D1994" t="str">
            <v>Dried Blackcurrant</v>
          </cell>
        </row>
        <row r="1995">
          <cell r="A1995" t="str">
            <v>Dried Blueberry</v>
          </cell>
          <cell r="B1995" t="str">
            <v>RM</v>
          </cell>
          <cell r="C1995" t="str">
            <v>BLUEBERRY</v>
          </cell>
          <cell r="D1995" t="str">
            <v>Blueberry - Plain</v>
          </cell>
        </row>
        <row r="1996">
          <cell r="A1996" t="str">
            <v>Dried Blueberry 100gm</v>
          </cell>
          <cell r="B1996" t="str">
            <v>FG</v>
          </cell>
          <cell r="C1996" t="str">
            <v>BLUEBERRY</v>
          </cell>
          <cell r="D1996" t="str">
            <v>Blueberry - Plain</v>
          </cell>
        </row>
        <row r="1997">
          <cell r="A1997" t="str">
            <v>Dried Blueberry Apple Infused</v>
          </cell>
          <cell r="B1997" t="str">
            <v>RM</v>
          </cell>
          <cell r="C1997" t="str">
            <v>BLUEBERRY</v>
          </cell>
          <cell r="D1997" t="str">
            <v>Blueberry - Apple Infused</v>
          </cell>
        </row>
        <row r="1998">
          <cell r="A1998" t="str">
            <v>Dried Cherry (Red)</v>
          </cell>
          <cell r="B1998" t="str">
            <v>RM</v>
          </cell>
          <cell r="C1998" t="str">
            <v>DEHYDRATED FRUITS</v>
          </cell>
          <cell r="D1998" t="str">
            <v>DF - Berries</v>
          </cell>
        </row>
        <row r="1999">
          <cell r="A1999" t="str">
            <v>Dried Coconut - Copra</v>
          </cell>
          <cell r="B1999" t="str">
            <v>RM</v>
          </cell>
          <cell r="C1999" t="str">
            <v>MISCELLANEOUS - RM</v>
          </cell>
          <cell r="D1999" t="str">
            <v>Other Misc</v>
          </cell>
        </row>
        <row r="2000">
          <cell r="A2000" t="str">
            <v>Dried Coconut Flakes [Khaman Srifal]</v>
          </cell>
          <cell r="B2000" t="str">
            <v>RM</v>
          </cell>
          <cell r="C2000" t="str">
            <v>MISCELLANEOUS - RM</v>
          </cell>
          <cell r="D2000" t="str">
            <v>Flakes</v>
          </cell>
        </row>
        <row r="2001">
          <cell r="A2001" t="str">
            <v>Dried Cranberry 100gm</v>
          </cell>
          <cell r="B2001" t="str">
            <v>FG</v>
          </cell>
          <cell r="C2001" t="str">
            <v>CRANBERRY</v>
          </cell>
          <cell r="D2001" t="str">
            <v>Cranberry - Whole</v>
          </cell>
        </row>
        <row r="2002">
          <cell r="A2002" t="str">
            <v>Dried Cranberry Sliced</v>
          </cell>
          <cell r="B2002" t="str">
            <v>RM</v>
          </cell>
          <cell r="C2002" t="str">
            <v>CRANBERRY</v>
          </cell>
          <cell r="D2002" t="str">
            <v>Cranberry - Sliced</v>
          </cell>
        </row>
        <row r="2003">
          <cell r="A2003" t="str">
            <v>Dried Cranberry Whole</v>
          </cell>
          <cell r="B2003" t="str">
            <v>RM</v>
          </cell>
          <cell r="C2003" t="str">
            <v>CRANBERRY</v>
          </cell>
          <cell r="D2003" t="str">
            <v>Cranberry - Whole</v>
          </cell>
        </row>
        <row r="2004">
          <cell r="A2004" t="str">
            <v>Dried Ginger Cubes</v>
          </cell>
          <cell r="B2004" t="str">
            <v>RM</v>
          </cell>
          <cell r="C2004" t="str">
            <v>DEHYDRATED FRUITS</v>
          </cell>
          <cell r="D2004" t="str">
            <v>DF - Ginger</v>
          </cell>
        </row>
        <row r="2005">
          <cell r="A2005" t="str">
            <v>Dried Ginger Powder - Saunth Powder</v>
          </cell>
          <cell r="B2005" t="str">
            <v>RM</v>
          </cell>
          <cell r="C2005" t="str">
            <v>DEHYDRATED FRUITS</v>
          </cell>
          <cell r="D2005" t="str">
            <v>DF - Ginger</v>
          </cell>
        </row>
        <row r="2006">
          <cell r="A2006" t="str">
            <v>Dried Goji Berry</v>
          </cell>
          <cell r="B2006" t="str">
            <v>RM</v>
          </cell>
          <cell r="C2006" t="str">
            <v>DEHYDRATED FRUITS</v>
          </cell>
          <cell r="D2006" t="str">
            <v>DF - Berries</v>
          </cell>
        </row>
        <row r="2007">
          <cell r="A2007" t="str">
            <v>Dried Kiwi</v>
          </cell>
          <cell r="B2007" t="str">
            <v>RM</v>
          </cell>
          <cell r="C2007" t="str">
            <v>DEHYDRATED FRUITS</v>
          </cell>
          <cell r="D2007" t="str">
            <v>DF - Kiwi</v>
          </cell>
        </row>
        <row r="2008">
          <cell r="A2008" t="str">
            <v>Dried Mango</v>
          </cell>
          <cell r="B2008" t="str">
            <v>RM</v>
          </cell>
          <cell r="C2008" t="str">
            <v>DEHYDRATED FRUITS</v>
          </cell>
          <cell r="D2008" t="str">
            <v>DF - Mango</v>
          </cell>
        </row>
        <row r="2009">
          <cell r="A2009" t="str">
            <v>Dried Mango Loose</v>
          </cell>
          <cell r="B2009" t="str">
            <v>RM</v>
          </cell>
          <cell r="C2009" t="str">
            <v>DEHYDRATED FRUITS</v>
          </cell>
          <cell r="D2009" t="str">
            <v>DF - Mango</v>
          </cell>
        </row>
        <row r="2010">
          <cell r="A2010" t="str">
            <v>Dried Mango Powder - Amchur</v>
          </cell>
          <cell r="B2010" t="str">
            <v>RM</v>
          </cell>
          <cell r="C2010" t="str">
            <v>SEASONING</v>
          </cell>
          <cell r="D2010" t="str">
            <v>Seasoning</v>
          </cell>
        </row>
        <row r="2011">
          <cell r="A2011" t="str">
            <v>Dried Masala Kiwi</v>
          </cell>
          <cell r="B2011" t="str">
            <v>FG</v>
          </cell>
          <cell r="C2011" t="str">
            <v>DEHYDRATED FRUITS</v>
          </cell>
          <cell r="D2011" t="str">
            <v>DF - Kiwi</v>
          </cell>
        </row>
        <row r="2012">
          <cell r="A2012" t="str">
            <v>Dried Masala Mango</v>
          </cell>
          <cell r="B2012" t="str">
            <v>FG</v>
          </cell>
          <cell r="C2012" t="str">
            <v>DEHYDRATED FRUITS</v>
          </cell>
          <cell r="D2012" t="str">
            <v>DF - Mango</v>
          </cell>
        </row>
        <row r="2013">
          <cell r="A2013" t="str">
            <v>Dried Masala Pineapple</v>
          </cell>
          <cell r="B2013" t="str">
            <v>FG</v>
          </cell>
          <cell r="C2013" t="str">
            <v>DEHYDRATED FRUITS</v>
          </cell>
          <cell r="D2013" t="str">
            <v>DF - Pineapple</v>
          </cell>
        </row>
        <row r="2014">
          <cell r="A2014" t="str">
            <v>Dried Meduri Cranberry Whole</v>
          </cell>
          <cell r="B2014" t="str">
            <v>RM</v>
          </cell>
          <cell r="C2014" t="str">
            <v>CRANBERRY</v>
          </cell>
          <cell r="D2014" t="str">
            <v>Cranberry - Whole</v>
          </cell>
        </row>
        <row r="2015">
          <cell r="A2015" t="str">
            <v>Dried Orange Peel</v>
          </cell>
          <cell r="B2015" t="str">
            <v>RM</v>
          </cell>
          <cell r="C2015" t="str">
            <v>DEHYDRATED FRUITS</v>
          </cell>
          <cell r="D2015" t="str">
            <v>DF - Orange</v>
          </cell>
        </row>
        <row r="2016">
          <cell r="A2016" t="str">
            <v>Dried Peach</v>
          </cell>
          <cell r="B2016" t="str">
            <v>RM</v>
          </cell>
          <cell r="C2016" t="str">
            <v>DEHYDRATED FRUITS</v>
          </cell>
          <cell r="D2016" t="str">
            <v>DF - Peach</v>
          </cell>
        </row>
        <row r="2017">
          <cell r="A2017" t="str">
            <v>Dried Pineapple</v>
          </cell>
          <cell r="B2017" t="str">
            <v>RM</v>
          </cell>
          <cell r="C2017" t="str">
            <v>DEHYDRATED FRUITS</v>
          </cell>
          <cell r="D2017" t="str">
            <v>DF - Pineapple</v>
          </cell>
        </row>
        <row r="2018">
          <cell r="A2018" t="str">
            <v>Dried Pomelo</v>
          </cell>
          <cell r="B2018" t="str">
            <v>RM</v>
          </cell>
          <cell r="C2018" t="str">
            <v>DEHYDRATED FRUITS</v>
          </cell>
          <cell r="D2018" t="str">
            <v>DF - Berries</v>
          </cell>
        </row>
        <row r="2019">
          <cell r="A2019" t="str">
            <v>Dried Prunes (Pitted)</v>
          </cell>
          <cell r="B2019" t="str">
            <v>RM</v>
          </cell>
          <cell r="C2019" t="str">
            <v>PRUNES</v>
          </cell>
          <cell r="D2019" t="str">
            <v>Prunes - Pitted</v>
          </cell>
        </row>
        <row r="2020">
          <cell r="A2020" t="str">
            <v>Dried Raspberry</v>
          </cell>
          <cell r="B2020" t="str">
            <v>RM</v>
          </cell>
          <cell r="C2020" t="str">
            <v>DEHYDRATED FRUITS</v>
          </cell>
          <cell r="D2020" t="str">
            <v>DF - Berries</v>
          </cell>
        </row>
        <row r="2021">
          <cell r="A2021" t="str">
            <v>DRIED ROSEMARY</v>
          </cell>
          <cell r="B2021" t="str">
            <v>RM</v>
          </cell>
          <cell r="C2021" t="str">
            <v>SEASONING</v>
          </cell>
          <cell r="D2021" t="str">
            <v>Seasoning</v>
          </cell>
        </row>
        <row r="2022">
          <cell r="A2022" t="str">
            <v>Dried Strawberry</v>
          </cell>
          <cell r="B2022" t="str">
            <v>RM</v>
          </cell>
          <cell r="C2022" t="str">
            <v>DEHYDRATED FRUITS</v>
          </cell>
          <cell r="D2022" t="str">
            <v>DF - Berries</v>
          </cell>
        </row>
        <row r="2023">
          <cell r="A2023" t="str">
            <v>DRY DATES-GRADE 2</v>
          </cell>
          <cell r="B2023" t="str">
            <v>RM</v>
          </cell>
          <cell r="C2023" t="str">
            <v>DATES</v>
          </cell>
          <cell r="D2023" t="str">
            <v>Dry Dates</v>
          </cell>
        </row>
        <row r="2024">
          <cell r="A2024" t="str">
            <v>Dry Fruit Hamper</v>
          </cell>
          <cell r="B2024" t="str">
            <v>FG</v>
          </cell>
          <cell r="C2024" t="str">
            <v>FESTIVE HAMPERS</v>
          </cell>
          <cell r="D2024" t="str">
            <v>Gifting</v>
          </cell>
        </row>
        <row r="2025">
          <cell r="A2025" t="str">
            <v>Dryfruit instant Energy laddu Bar 35gm</v>
          </cell>
          <cell r="B2025" t="str">
            <v>FG</v>
          </cell>
          <cell r="C2025" t="str">
            <v>BARS &amp; CEREALS</v>
          </cell>
          <cell r="D2025" t="str">
            <v>Energy Bars</v>
          </cell>
        </row>
        <row r="2026">
          <cell r="A2026" t="str">
            <v>Dryfruit Instant Energy Laddubar Bites 9gm</v>
          </cell>
          <cell r="B2026" t="str">
            <v>FG</v>
          </cell>
          <cell r="C2026" t="str">
            <v>BARS &amp; CEREALS</v>
          </cell>
          <cell r="D2026" t="str">
            <v>Bites</v>
          </cell>
        </row>
        <row r="2027">
          <cell r="A2027" t="str">
            <v>Dryfruit Instant Energy LadduBar Master Carton (Pack of 5 - 54 units)</v>
          </cell>
          <cell r="B2027" t="str">
            <v>FG</v>
          </cell>
          <cell r="C2027" t="str">
            <v>BARS &amp; CEREALS</v>
          </cell>
          <cell r="D2027" t="str">
            <v>Energy Bars</v>
          </cell>
        </row>
        <row r="2028">
          <cell r="A2028" t="str">
            <v>Dryfruit Instant Energy Laddubar Mini Pack of 2 Master Carton (17 gms) - 300 units</v>
          </cell>
          <cell r="B2028" t="str">
            <v>FG</v>
          </cell>
          <cell r="C2028" t="str">
            <v>BARS &amp; CEREALS</v>
          </cell>
          <cell r="D2028" t="str">
            <v>Energy Bars</v>
          </cell>
        </row>
        <row r="2029">
          <cell r="A2029" t="str">
            <v>Dryfruit Instant Energy LadduBar Pack of 5</v>
          </cell>
          <cell r="B2029" t="str">
            <v>FG</v>
          </cell>
          <cell r="C2029" t="str">
            <v>BARS &amp; CEREALS</v>
          </cell>
          <cell r="D2029" t="str">
            <v>Energy Bars</v>
          </cell>
        </row>
        <row r="2030">
          <cell r="A2030" t="str">
            <v>Dryfruit Instant Energy Laddubar (Semi Finished)</v>
          </cell>
          <cell r="B2030" t="str">
            <v>FG</v>
          </cell>
          <cell r="C2030" t="str">
            <v>BARS &amp; CEREALS</v>
          </cell>
          <cell r="D2030" t="str">
            <v>Energy Bars</v>
          </cell>
        </row>
        <row r="2031">
          <cell r="A2031" t="str">
            <v>Edamame Beans</v>
          </cell>
          <cell r="B2031" t="str">
            <v>RM</v>
          </cell>
          <cell r="C2031" t="str">
            <v>SEEDS</v>
          </cell>
          <cell r="D2031" t="str">
            <v>Edamame</v>
          </cell>
        </row>
        <row r="2032">
          <cell r="A2032" t="str">
            <v>Egyptian Wet Dates 10kg</v>
          </cell>
          <cell r="B2032" t="str">
            <v>RM</v>
          </cell>
          <cell r="C2032" t="str">
            <v>DATES</v>
          </cell>
          <cell r="D2032" t="str">
            <v>Egyptian</v>
          </cell>
        </row>
        <row r="2033">
          <cell r="A2033" t="str">
            <v>Energy Bar - Choco Crunch 30gm</v>
          </cell>
          <cell r="B2033" t="str">
            <v>FG</v>
          </cell>
          <cell r="C2033" t="str">
            <v>BARS &amp; CEREALS</v>
          </cell>
          <cell r="D2033" t="str">
            <v>Energy Bars</v>
          </cell>
        </row>
        <row r="2034">
          <cell r="A2034" t="str">
            <v>Energy Bar - Choco Crunch (Semi Finished)</v>
          </cell>
          <cell r="B2034" t="str">
            <v>FG</v>
          </cell>
          <cell r="C2034" t="str">
            <v>BARS &amp; CEREALS</v>
          </cell>
          <cell r="D2034" t="str">
            <v>Energy Bars</v>
          </cell>
        </row>
        <row r="2035">
          <cell r="A2035" t="str">
            <v>Energy Bar - Fig &amp; Dates 30gm</v>
          </cell>
          <cell r="B2035" t="str">
            <v>FG</v>
          </cell>
          <cell r="C2035" t="str">
            <v>BARS &amp; CEREALS</v>
          </cell>
          <cell r="D2035" t="str">
            <v>Energy Bars</v>
          </cell>
        </row>
        <row r="2036">
          <cell r="A2036" t="str">
            <v>Energy Bar- Fig &amp; Dates (Semi Finished)</v>
          </cell>
          <cell r="B2036" t="str">
            <v>FG</v>
          </cell>
          <cell r="C2036" t="str">
            <v>BARS &amp; CEREALS</v>
          </cell>
          <cell r="D2036" t="str">
            <v>Energy Bars</v>
          </cell>
        </row>
        <row r="2037">
          <cell r="A2037" t="str">
            <v>Energy Bar - Hazelnut Magic 30gm</v>
          </cell>
          <cell r="B2037" t="str">
            <v>FG</v>
          </cell>
          <cell r="C2037" t="str">
            <v>BARS &amp; CEREALS</v>
          </cell>
          <cell r="D2037" t="str">
            <v>Energy Bars</v>
          </cell>
        </row>
        <row r="2038">
          <cell r="A2038" t="str">
            <v>Energy Bar- Hazelnut Magic (Semi Finished)</v>
          </cell>
          <cell r="B2038" t="str">
            <v>FG</v>
          </cell>
          <cell r="C2038" t="str">
            <v>BARS &amp; CEREALS</v>
          </cell>
          <cell r="D2038" t="str">
            <v>Energy Bars</v>
          </cell>
        </row>
        <row r="2039">
          <cell r="A2039" t="str">
            <v>Energy Bar - Oats &amp; Apricot 30gm</v>
          </cell>
          <cell r="B2039" t="str">
            <v>FG</v>
          </cell>
          <cell r="C2039" t="str">
            <v>BARS &amp; CEREALS</v>
          </cell>
          <cell r="D2039" t="str">
            <v>Energy Bars</v>
          </cell>
        </row>
        <row r="2040">
          <cell r="A2040" t="str">
            <v>Energy Bar- Oats &amp; Apricot (Semi Finished)</v>
          </cell>
          <cell r="B2040" t="str">
            <v>FG</v>
          </cell>
          <cell r="C2040" t="str">
            <v>BARS &amp; CEREALS</v>
          </cell>
          <cell r="D2040" t="str">
            <v>Energy Bars</v>
          </cell>
        </row>
        <row r="2041">
          <cell r="A2041" t="str">
            <v>Energy Bars Oats and Dates (Pack of 6) 210gm</v>
          </cell>
          <cell r="B2041" t="str">
            <v>FG</v>
          </cell>
          <cell r="C2041" t="str">
            <v>BARS &amp; CEREALS</v>
          </cell>
          <cell r="D2041" t="str">
            <v>Energy Bars</v>
          </cell>
        </row>
        <row r="2042">
          <cell r="A2042" t="str">
            <v>Energy Bars Oats and Dates (Semi)</v>
          </cell>
          <cell r="B2042" t="str">
            <v>FG</v>
          </cell>
          <cell r="C2042" t="str">
            <v>BARS &amp; CEREALS</v>
          </cell>
          <cell r="D2042" t="str">
            <v>Bites</v>
          </cell>
        </row>
        <row r="2043">
          <cell r="A2043" t="str">
            <v>Energy Bars Oats and Dates (Semi Finished)</v>
          </cell>
          <cell r="B2043" t="str">
            <v>FG</v>
          </cell>
          <cell r="C2043" t="str">
            <v>BARS &amp; CEREALS</v>
          </cell>
          <cell r="D2043" t="str">
            <v>Bites</v>
          </cell>
        </row>
        <row r="2044">
          <cell r="A2044" t="str">
            <v>Energy Bar with Jaggery 30gm</v>
          </cell>
          <cell r="B2044" t="str">
            <v>FG</v>
          </cell>
          <cell r="C2044" t="str">
            <v>BARS &amp; CEREALS</v>
          </cell>
          <cell r="D2044" t="str">
            <v>Energy Bars</v>
          </cell>
        </row>
        <row r="2045">
          <cell r="A2045" t="str">
            <v>Extra Cheese Seasoning Extreme</v>
          </cell>
          <cell r="B2045" t="str">
            <v>FG</v>
          </cell>
          <cell r="C2045" t="str">
            <v>TAJIR</v>
          </cell>
          <cell r="D2045" t="str">
            <v>Tajir - Other</v>
          </cell>
        </row>
        <row r="2046">
          <cell r="A2046" t="str">
            <v>Extra Cheese Seasoning (UNC) 1Kg</v>
          </cell>
          <cell r="B2046" t="str">
            <v>FG</v>
          </cell>
          <cell r="C2046" t="str">
            <v>TAJIR</v>
          </cell>
          <cell r="D2046" t="str">
            <v>Tajir - Other</v>
          </cell>
        </row>
        <row r="2047">
          <cell r="A2047" t="str">
            <v>Extra Cheese Seasoning-UNC( Malaysian) 15kg</v>
          </cell>
          <cell r="B2047" t="str">
            <v>FG</v>
          </cell>
          <cell r="C2047" t="str">
            <v>TAJIR</v>
          </cell>
          <cell r="D2047" t="str">
            <v>Tajir - Other</v>
          </cell>
        </row>
        <row r="2048">
          <cell r="A2048" t="str">
            <v>Extra Cheese Seasoning-UNC( Malaysian) 1kg</v>
          </cell>
          <cell r="B2048" t="str">
            <v>FG</v>
          </cell>
          <cell r="C2048" t="str">
            <v>TAJIR</v>
          </cell>
          <cell r="D2048" t="str">
            <v>Tajir - Other</v>
          </cell>
        </row>
        <row r="2049">
          <cell r="A2049" t="str">
            <v>Extreme Cheese Seasoning( Malaysian) 1kg</v>
          </cell>
          <cell r="B2049" t="str">
            <v>FG</v>
          </cell>
          <cell r="C2049" t="str">
            <v>TAJIR</v>
          </cell>
          <cell r="D2049" t="str">
            <v>Tajir - Other</v>
          </cell>
        </row>
        <row r="2050">
          <cell r="A2050" t="str">
            <v>Ez Almond California Bold Loose</v>
          </cell>
          <cell r="B2050" t="str">
            <v>FG</v>
          </cell>
          <cell r="C2050" t="str">
            <v>ALMOND</v>
          </cell>
          <cell r="D2050" t="str">
            <v>Almond - Kernels</v>
          </cell>
        </row>
        <row r="2051">
          <cell r="A2051" t="str">
            <v>Ez Almond California Regular Loose</v>
          </cell>
          <cell r="B2051" t="str">
            <v>FG</v>
          </cell>
          <cell r="C2051" t="str">
            <v>ALMOND</v>
          </cell>
          <cell r="D2051" t="str">
            <v>Almond - Kernels</v>
          </cell>
        </row>
        <row r="2052">
          <cell r="A2052" t="str">
            <v>Ez Almond Mammra Regular Loose</v>
          </cell>
          <cell r="B2052" t="str">
            <v>FG</v>
          </cell>
          <cell r="C2052" t="str">
            <v>ALMOND</v>
          </cell>
          <cell r="D2052" t="str">
            <v>Almond - Kernels</v>
          </cell>
        </row>
        <row r="2053">
          <cell r="A2053" t="str">
            <v>Ez Almond Mamra Regular Loose (1459019)</v>
          </cell>
          <cell r="B2053" t="str">
            <v>FG</v>
          </cell>
          <cell r="C2053" t="str">
            <v>ALMOND</v>
          </cell>
          <cell r="D2053" t="str">
            <v>Almond - Mamra</v>
          </cell>
        </row>
        <row r="2054">
          <cell r="A2054" t="str">
            <v>Ez Almond Rstd Salted Loose</v>
          </cell>
          <cell r="B2054" t="str">
            <v>FG</v>
          </cell>
          <cell r="C2054" t="str">
            <v>ALMOND</v>
          </cell>
          <cell r="D2054" t="str">
            <v>Almond - Kernels</v>
          </cell>
        </row>
        <row r="2055">
          <cell r="A2055" t="str">
            <v>Ez Anjeer Big Loose (1459023)</v>
          </cell>
          <cell r="B2055" t="str">
            <v>FG</v>
          </cell>
          <cell r="C2055" t="str">
            <v>ANJEER</v>
          </cell>
          <cell r="D2055" t="str">
            <v>Dried Figs</v>
          </cell>
        </row>
        <row r="2056">
          <cell r="A2056" t="str">
            <v>Ez Anjeer Small Loose</v>
          </cell>
          <cell r="B2056" t="str">
            <v>FG</v>
          </cell>
          <cell r="C2056" t="str">
            <v>ANJEER</v>
          </cell>
          <cell r="D2056" t="str">
            <v>Dried Figs</v>
          </cell>
        </row>
        <row r="2057">
          <cell r="A2057" t="str">
            <v>Ez Black Raisin Loose (1459026)</v>
          </cell>
          <cell r="B2057" t="str">
            <v>FG</v>
          </cell>
          <cell r="C2057" t="str">
            <v>RAISIN</v>
          </cell>
          <cell r="D2057" t="str">
            <v>Raisin - Black</v>
          </cell>
        </row>
        <row r="2058">
          <cell r="A2058" t="str">
            <v>Ez Black Raisin Seedless Loose</v>
          </cell>
          <cell r="B2058" t="str">
            <v>FG</v>
          </cell>
          <cell r="C2058" t="str">
            <v>RAISIN</v>
          </cell>
          <cell r="D2058" t="str">
            <v>Raisin - Black</v>
          </cell>
        </row>
        <row r="2059">
          <cell r="A2059" t="str">
            <v>Ez Blue Berry Loose</v>
          </cell>
          <cell r="B2059" t="str">
            <v>FG</v>
          </cell>
          <cell r="C2059" t="str">
            <v>BLUEBERRY</v>
          </cell>
          <cell r="D2059" t="str">
            <v>Blueberry - Plain</v>
          </cell>
        </row>
        <row r="2060">
          <cell r="A2060" t="str">
            <v>Ez Cashew 210 Loose</v>
          </cell>
          <cell r="B2060" t="str">
            <v>FG</v>
          </cell>
          <cell r="C2060" t="str">
            <v>CASHEW</v>
          </cell>
          <cell r="D2060" t="str">
            <v>Cashew - Kernel</v>
          </cell>
        </row>
        <row r="2061">
          <cell r="A2061" t="str">
            <v>Ez Cashew 240 Loose</v>
          </cell>
          <cell r="B2061" t="str">
            <v>FG</v>
          </cell>
          <cell r="C2061" t="str">
            <v>CASHEW</v>
          </cell>
          <cell r="D2061" t="str">
            <v>Cashew - Kernel</v>
          </cell>
        </row>
        <row r="2062">
          <cell r="A2062" t="str">
            <v>Ez Cashew 320 Loose</v>
          </cell>
          <cell r="B2062" t="str">
            <v>FG</v>
          </cell>
          <cell r="C2062" t="str">
            <v>CASHEW</v>
          </cell>
          <cell r="D2062" t="str">
            <v>Cashew - Kernel</v>
          </cell>
        </row>
        <row r="2063">
          <cell r="A2063" t="str">
            <v>Ez Cashew 4pc Loose</v>
          </cell>
          <cell r="B2063" t="str">
            <v>FG</v>
          </cell>
          <cell r="C2063" t="str">
            <v>CASHEW</v>
          </cell>
          <cell r="D2063" t="str">
            <v>Cashew - Broken</v>
          </cell>
        </row>
        <row r="2064">
          <cell r="A2064" t="str">
            <v>Ez Cashew Roasted Salted Loose</v>
          </cell>
          <cell r="B2064" t="str">
            <v>FG</v>
          </cell>
          <cell r="C2064" t="str">
            <v>CASHEW</v>
          </cell>
          <cell r="D2064" t="str">
            <v>Cashew - Kernel</v>
          </cell>
        </row>
        <row r="2065">
          <cell r="A2065" t="str">
            <v>Ez Chilean Walnut Giri Regular Loose</v>
          </cell>
          <cell r="B2065" t="str">
            <v>FG</v>
          </cell>
          <cell r="C2065" t="str">
            <v>WALNUT</v>
          </cell>
          <cell r="D2065" t="str">
            <v>Walnut - Kernel</v>
          </cell>
        </row>
        <row r="2066">
          <cell r="A2066" t="str">
            <v>Ez Chilean Walnut Giri Small Loose (1459038)</v>
          </cell>
          <cell r="B2066" t="str">
            <v>FG</v>
          </cell>
          <cell r="C2066" t="str">
            <v>WALNUT</v>
          </cell>
          <cell r="D2066" t="str">
            <v>Walnut - Kernel</v>
          </cell>
        </row>
        <row r="2067">
          <cell r="A2067" t="str">
            <v>Ez Cranberry Loose</v>
          </cell>
          <cell r="B2067" t="str">
            <v>FG</v>
          </cell>
          <cell r="C2067" t="str">
            <v>CRANBERRY</v>
          </cell>
          <cell r="D2067" t="str">
            <v>Cranberry - Whole</v>
          </cell>
        </row>
        <row r="2068">
          <cell r="A2068" t="str">
            <v>Ez Dried Apricot Loose</v>
          </cell>
          <cell r="B2068" t="str">
            <v>FG</v>
          </cell>
          <cell r="C2068" t="str">
            <v>APRICOT</v>
          </cell>
          <cell r="D2068" t="str">
            <v>Apricot - Afghan</v>
          </cell>
        </row>
        <row r="2069">
          <cell r="A2069" t="str">
            <v>Ez Dried Fruits Mixed (1459045)</v>
          </cell>
          <cell r="B2069" t="str">
            <v>FG</v>
          </cell>
          <cell r="C2069" t="str">
            <v>DEHYDRATED FRUITS</v>
          </cell>
          <cell r="D2069" t="str">
            <v>DF - Mix</v>
          </cell>
        </row>
        <row r="2070">
          <cell r="A2070" t="str">
            <v>Ez Green Pista Loose (1459047)</v>
          </cell>
          <cell r="B2070" t="str">
            <v>FG</v>
          </cell>
          <cell r="C2070" t="str">
            <v>PISTA</v>
          </cell>
          <cell r="D2070" t="str">
            <v>Pista - Inshell</v>
          </cell>
        </row>
        <row r="2071">
          <cell r="A2071" t="str">
            <v>Ez Honey Amla Loose (1459048)</v>
          </cell>
          <cell r="B2071" t="str">
            <v>FG</v>
          </cell>
          <cell r="C2071" t="str">
            <v>DEHYDRATED FRUITS</v>
          </cell>
          <cell r="D2071" t="str">
            <v>DF - Amla</v>
          </cell>
        </row>
        <row r="2072">
          <cell r="A2072" t="str">
            <v>Ez Khurmani Wet Apricot Loose (1459052)</v>
          </cell>
          <cell r="B2072" t="str">
            <v>FG</v>
          </cell>
          <cell r="C2072" t="str">
            <v>APRICOT</v>
          </cell>
          <cell r="D2072" t="str">
            <v>Apricot - Turkey</v>
          </cell>
        </row>
        <row r="2073">
          <cell r="A2073" t="str">
            <v>Ez Kishmish Afghani Loose</v>
          </cell>
          <cell r="B2073" t="str">
            <v>FG</v>
          </cell>
          <cell r="C2073" t="str">
            <v>RAISIN</v>
          </cell>
          <cell r="D2073" t="str">
            <v>Raisin - Indian</v>
          </cell>
        </row>
        <row r="2074">
          <cell r="A2074" t="str">
            <v>Ez Mix Dry Fruit Regular Loose (1459062)</v>
          </cell>
          <cell r="B2074" t="str">
            <v>FG</v>
          </cell>
          <cell r="C2074" t="str">
            <v>TRAIL MIX</v>
          </cell>
          <cell r="D2074" t="str">
            <v>Trail Mix</v>
          </cell>
        </row>
        <row r="2075">
          <cell r="A2075" t="str">
            <v>Ez Munakka Loose</v>
          </cell>
          <cell r="B2075" t="str">
            <v>FG</v>
          </cell>
          <cell r="C2075" t="str">
            <v>RAISIN</v>
          </cell>
          <cell r="D2075" t="str">
            <v>Raisin - Abjosh</v>
          </cell>
        </row>
        <row r="2076">
          <cell r="A2076" t="str">
            <v>Ez Pista Roasted Salted Akbari Loose</v>
          </cell>
          <cell r="B2076" t="str">
            <v>FG</v>
          </cell>
          <cell r="C2076" t="str">
            <v>PISTA</v>
          </cell>
          <cell r="D2076" t="str">
            <v>Pista - Akbari</v>
          </cell>
        </row>
        <row r="2077">
          <cell r="A2077" t="str">
            <v>Ez Pista Roasted Salted Irani Loose</v>
          </cell>
          <cell r="B2077" t="str">
            <v>FG</v>
          </cell>
          <cell r="C2077" t="str">
            <v>PISTA</v>
          </cell>
          <cell r="D2077" t="str">
            <v>Pista - Irani</v>
          </cell>
        </row>
        <row r="2078">
          <cell r="A2078" t="str">
            <v>Ez Seeds And Berries Mix Loose (1459071)</v>
          </cell>
          <cell r="B2078" t="str">
            <v>FG</v>
          </cell>
          <cell r="C2078" t="str">
            <v>TRAIL MIX</v>
          </cell>
          <cell r="D2078" t="str">
            <v>Trail Mix</v>
          </cell>
        </row>
        <row r="2079">
          <cell r="A2079" t="str">
            <v>Ez Walnut Broken Loose</v>
          </cell>
          <cell r="B2079" t="str">
            <v>FG</v>
          </cell>
          <cell r="C2079" t="str">
            <v>WALNUT</v>
          </cell>
          <cell r="D2079" t="str">
            <v>Walnut - Broken</v>
          </cell>
        </row>
        <row r="2080">
          <cell r="A2080" t="str">
            <v>Ez Walnut Whole Loose</v>
          </cell>
          <cell r="B2080" t="str">
            <v>FG</v>
          </cell>
          <cell r="C2080" t="str">
            <v>WALNUT</v>
          </cell>
          <cell r="D2080" t="str">
            <v>Walnut - Kernel</v>
          </cell>
        </row>
        <row r="2081">
          <cell r="A2081" t="str">
            <v>Fabsta Akbari Pista Rs 200g  (1468047)</v>
          </cell>
          <cell r="B2081" t="str">
            <v>FG</v>
          </cell>
          <cell r="C2081" t="str">
            <v>PISTA</v>
          </cell>
          <cell r="D2081" t="str">
            <v>Pista - Akbari</v>
          </cell>
        </row>
        <row r="2082">
          <cell r="A2082" t="str">
            <v>FABSTA ALMOND 100G</v>
          </cell>
          <cell r="B2082" t="str">
            <v>FG</v>
          </cell>
          <cell r="C2082" t="str">
            <v>ALMOND</v>
          </cell>
          <cell r="D2082" t="str">
            <v>Almond - Kernels</v>
          </cell>
        </row>
        <row r="2083">
          <cell r="A2083" t="str">
            <v>FABSTA ALMOND 1KG</v>
          </cell>
          <cell r="B2083" t="str">
            <v>FG</v>
          </cell>
          <cell r="C2083" t="str">
            <v>ALMOND</v>
          </cell>
          <cell r="D2083" t="str">
            <v>Almond - Kernels</v>
          </cell>
        </row>
        <row r="2084">
          <cell r="A2084" t="str">
            <v>FABSTA ALMOND 200G</v>
          </cell>
          <cell r="B2084" t="str">
            <v>FG</v>
          </cell>
          <cell r="C2084" t="str">
            <v>ALMOND</v>
          </cell>
          <cell r="D2084" t="str">
            <v>Almond - Kernels</v>
          </cell>
        </row>
        <row r="2085">
          <cell r="A2085" t="str">
            <v>FABSTA ALMOND 500G</v>
          </cell>
          <cell r="B2085" t="str">
            <v>FG</v>
          </cell>
          <cell r="C2085" t="str">
            <v>ALMOND</v>
          </cell>
          <cell r="D2085" t="str">
            <v>Almond - Kernels</v>
          </cell>
        </row>
        <row r="2086">
          <cell r="A2086" t="str">
            <v>FABSTA ALMOND REGULAR 100G</v>
          </cell>
          <cell r="B2086" t="str">
            <v>FG</v>
          </cell>
          <cell r="C2086" t="str">
            <v>ALMOND</v>
          </cell>
          <cell r="D2086" t="str">
            <v>Almond - Kernels</v>
          </cell>
        </row>
        <row r="2087">
          <cell r="A2087" t="str">
            <v>FABSTA ALMOND REGULAR 200G</v>
          </cell>
          <cell r="B2087" t="str">
            <v>FG</v>
          </cell>
          <cell r="C2087" t="str">
            <v>ALMOND</v>
          </cell>
          <cell r="D2087" t="str">
            <v>Almond - Kernels</v>
          </cell>
        </row>
        <row r="2088">
          <cell r="A2088" t="str">
            <v>FABSTA ALMOND REGULAR 500G</v>
          </cell>
          <cell r="B2088" t="str">
            <v>FG</v>
          </cell>
          <cell r="C2088" t="str">
            <v>ALMOND</v>
          </cell>
          <cell r="D2088" t="str">
            <v>Almond - Kernels</v>
          </cell>
        </row>
        <row r="2089">
          <cell r="A2089" t="str">
            <v>Fabsta Almond Roasted 200g (1468499)</v>
          </cell>
          <cell r="B2089" t="str">
            <v>FG</v>
          </cell>
          <cell r="C2089" t="str">
            <v>ALMOND</v>
          </cell>
          <cell r="D2089" t="str">
            <v>Almond - Kernels</v>
          </cell>
        </row>
        <row r="2090">
          <cell r="A2090" t="str">
            <v>Fabsta Anjeer 200gm</v>
          </cell>
          <cell r="B2090" t="str">
            <v>FG</v>
          </cell>
          <cell r="C2090" t="str">
            <v>ANJEER</v>
          </cell>
          <cell r="D2090" t="str">
            <v>Dried Figs</v>
          </cell>
        </row>
        <row r="2091">
          <cell r="A2091" t="str">
            <v>FABSTA Apricots Dry 100gm</v>
          </cell>
          <cell r="B2091" t="str">
            <v>FG</v>
          </cell>
          <cell r="C2091" t="str">
            <v>APRICOT</v>
          </cell>
          <cell r="D2091" t="str">
            <v>Apricot - Afghan</v>
          </cell>
        </row>
        <row r="2092">
          <cell r="A2092" t="str">
            <v>FABSTA BLACK RAISINS 100G (1455547)</v>
          </cell>
          <cell r="B2092" t="str">
            <v>FG</v>
          </cell>
          <cell r="C2092" t="str">
            <v>RAISIN</v>
          </cell>
          <cell r="D2092" t="str">
            <v>Raisin - Black</v>
          </cell>
        </row>
        <row r="2093">
          <cell r="A2093" t="str">
            <v>FABSTA BLACK RAISINS 200G</v>
          </cell>
          <cell r="B2093" t="str">
            <v>FG</v>
          </cell>
          <cell r="C2093" t="str">
            <v>RAISIN</v>
          </cell>
          <cell r="D2093" t="str">
            <v>Raisin - Black</v>
          </cell>
        </row>
        <row r="2094">
          <cell r="A2094" t="str">
            <v>FABSTA BLACK RAISINS 500G</v>
          </cell>
          <cell r="B2094" t="str">
            <v>FG</v>
          </cell>
          <cell r="C2094" t="str">
            <v>RAISIN</v>
          </cell>
          <cell r="D2094" t="str">
            <v>Raisin - Black</v>
          </cell>
        </row>
        <row r="2095">
          <cell r="A2095" t="str">
            <v>FABSTA CASHEWNUT 240 COUNT 200g</v>
          </cell>
          <cell r="B2095" t="str">
            <v>FG</v>
          </cell>
          <cell r="C2095" t="str">
            <v>CASHEW</v>
          </cell>
          <cell r="D2095" t="str">
            <v>Cashew - Kernel</v>
          </cell>
        </row>
        <row r="2096">
          <cell r="A2096" t="str">
            <v>FABSTA CASHEWNUT BROKEN 200G</v>
          </cell>
          <cell r="B2096" t="str">
            <v>FG</v>
          </cell>
          <cell r="C2096" t="str">
            <v>CASHEW</v>
          </cell>
          <cell r="D2096" t="str">
            <v>Cashew - Broken</v>
          </cell>
        </row>
        <row r="2097">
          <cell r="A2097" t="str">
            <v>FABSTA CASHEW RS W320 100G</v>
          </cell>
          <cell r="B2097" t="str">
            <v>FG</v>
          </cell>
          <cell r="C2097" t="str">
            <v>CASHEW</v>
          </cell>
          <cell r="D2097" t="str">
            <v>Cashew - Kernel</v>
          </cell>
        </row>
        <row r="2098">
          <cell r="A2098" t="str">
            <v>FABSTA CASHEW RS W320 200G</v>
          </cell>
          <cell r="B2098" t="str">
            <v>FG</v>
          </cell>
          <cell r="C2098" t="str">
            <v>CASHEW</v>
          </cell>
          <cell r="D2098" t="str">
            <v>Cashew - Kernel</v>
          </cell>
        </row>
        <row r="2099">
          <cell r="A2099" t="str">
            <v>Fabsta Cashew W320 Roasted 200g (1468502)</v>
          </cell>
          <cell r="B2099" t="str">
            <v>FG</v>
          </cell>
          <cell r="C2099" t="str">
            <v>CASHEW</v>
          </cell>
          <cell r="D2099" t="str">
            <v>Cashew - Kernel</v>
          </cell>
        </row>
        <row r="2100">
          <cell r="A2100" t="str">
            <v>FABSTA DRY APRICOT 200G</v>
          </cell>
          <cell r="B2100" t="str">
            <v>FG</v>
          </cell>
          <cell r="C2100" t="str">
            <v>APRICOT</v>
          </cell>
          <cell r="D2100" t="str">
            <v>Apricot - Afghan</v>
          </cell>
        </row>
        <row r="2101">
          <cell r="A2101" t="str">
            <v>Fabsta Figs Regular 500gm</v>
          </cell>
          <cell r="B2101" t="str">
            <v>FG</v>
          </cell>
          <cell r="C2101" t="str">
            <v>ANJEER</v>
          </cell>
          <cell r="D2101" t="str">
            <v>Dried Figs</v>
          </cell>
        </row>
        <row r="2102">
          <cell r="A2102" t="str">
            <v>FABSTA INDIAN RAISINS 200G</v>
          </cell>
          <cell r="B2102" t="str">
            <v>FG</v>
          </cell>
          <cell r="C2102" t="str">
            <v>RAISIN</v>
          </cell>
          <cell r="D2102" t="str">
            <v>Raisin - Indian</v>
          </cell>
        </row>
        <row r="2103">
          <cell r="A2103" t="str">
            <v>FABSTA INDIAN RAISINS 500G</v>
          </cell>
          <cell r="B2103" t="str">
            <v>FG</v>
          </cell>
          <cell r="C2103" t="str">
            <v>RAISIN</v>
          </cell>
          <cell r="D2103" t="str">
            <v>Raisin - Indian</v>
          </cell>
        </row>
        <row r="2104">
          <cell r="A2104" t="str">
            <v>FABSTA PISTA CALIFORNIA 200G</v>
          </cell>
          <cell r="B2104" t="str">
            <v>FG</v>
          </cell>
          <cell r="C2104" t="str">
            <v>PISTA</v>
          </cell>
          <cell r="D2104" t="str">
            <v>Pista - Inshell</v>
          </cell>
        </row>
        <row r="2105">
          <cell r="A2105" t="str">
            <v>FABSTA Raisins Indian 100 Gm</v>
          </cell>
          <cell r="B2105" t="str">
            <v>FG</v>
          </cell>
          <cell r="C2105" t="str">
            <v>RAISIN</v>
          </cell>
          <cell r="D2105" t="str">
            <v>Raisin - Indian</v>
          </cell>
        </row>
        <row r="2106">
          <cell r="A2106" t="str">
            <v>Fabsta Rstd Flax Seeds 100g</v>
          </cell>
          <cell r="B2106" t="str">
            <v>FG</v>
          </cell>
          <cell r="C2106" t="str">
            <v>SEEDS</v>
          </cell>
          <cell r="D2106" t="str">
            <v>FLax</v>
          </cell>
        </row>
        <row r="2107">
          <cell r="A2107" t="str">
            <v>Fabsta Rstd Melon Seeds 100g</v>
          </cell>
          <cell r="B2107" t="str">
            <v>FG</v>
          </cell>
          <cell r="C2107" t="str">
            <v>SEEDS</v>
          </cell>
          <cell r="D2107" t="str">
            <v>Melon</v>
          </cell>
        </row>
        <row r="2108">
          <cell r="A2108" t="str">
            <v>Fabsta Rstd Pumpkin Seeds 100g</v>
          </cell>
          <cell r="B2108" t="str">
            <v>FG</v>
          </cell>
          <cell r="C2108" t="str">
            <v>SEEDS</v>
          </cell>
          <cell r="D2108" t="str">
            <v>Pumpkin</v>
          </cell>
        </row>
        <row r="2109">
          <cell r="A2109" t="str">
            <v>Fabsta Rstd Sunflower Seeds 100g</v>
          </cell>
          <cell r="B2109" t="str">
            <v>FG</v>
          </cell>
          <cell r="C2109" t="str">
            <v>SEEDS</v>
          </cell>
          <cell r="D2109" t="str">
            <v>Sunflower</v>
          </cell>
        </row>
        <row r="2110">
          <cell r="A2110" t="str">
            <v>FABSTA Walnut Split 100gm</v>
          </cell>
          <cell r="B2110" t="str">
            <v>FG</v>
          </cell>
          <cell r="C2110" t="str">
            <v>WALNUT</v>
          </cell>
          <cell r="D2110" t="str">
            <v>Walnut - Broken</v>
          </cell>
        </row>
        <row r="2111">
          <cell r="A2111" t="str">
            <v>FABSTA WALNUT SPLIT 250G</v>
          </cell>
          <cell r="B2111" t="str">
            <v>FG</v>
          </cell>
          <cell r="C2111" t="str">
            <v>WALNUT</v>
          </cell>
          <cell r="D2111" t="str">
            <v>Walnut - Broken</v>
          </cell>
        </row>
        <row r="2112">
          <cell r="A2112" t="str">
            <v>Fabsta Walnut Split 500g</v>
          </cell>
          <cell r="B2112" t="str">
            <v>FG</v>
          </cell>
          <cell r="C2112" t="str">
            <v>WALNUT</v>
          </cell>
          <cell r="D2112" t="str">
            <v>Walnut - Broken</v>
          </cell>
        </row>
        <row r="2113">
          <cell r="A2113" t="str">
            <v>Fan Bag 300g</v>
          </cell>
          <cell r="B2113" t="str">
            <v>FG</v>
          </cell>
          <cell r="C2113" t="str">
            <v>FESTIVE HAMPERS</v>
          </cell>
          <cell r="D2113" t="str">
            <v>Gifting</v>
          </cell>
        </row>
        <row r="2114">
          <cell r="A2114" t="str">
            <v>Fard Grade B</v>
          </cell>
          <cell r="B2114" t="str">
            <v>RM</v>
          </cell>
          <cell r="C2114" t="str">
            <v>DATES</v>
          </cell>
          <cell r="D2114" t="str">
            <v>Fard</v>
          </cell>
        </row>
        <row r="2115">
          <cell r="A2115" t="str">
            <v>Fardh Dates</v>
          </cell>
          <cell r="B2115" t="str">
            <v>RM</v>
          </cell>
          <cell r="C2115" t="str">
            <v>DATES</v>
          </cell>
          <cell r="D2115" t="str">
            <v>Fard</v>
          </cell>
        </row>
        <row r="2116">
          <cell r="A2116" t="str">
            <v>Fard Seedless Dates</v>
          </cell>
          <cell r="B2116" t="str">
            <v>RM</v>
          </cell>
          <cell r="C2116" t="str">
            <v>DATES</v>
          </cell>
          <cell r="D2116" t="str">
            <v>Seedless</v>
          </cell>
        </row>
        <row r="2117">
          <cell r="A2117" t="str">
            <v>Fennel Seed / Saunf / Variyali</v>
          </cell>
          <cell r="B2117" t="str">
            <v>RM</v>
          </cell>
          <cell r="C2117" t="str">
            <v>SPICES</v>
          </cell>
          <cell r="D2117" t="str">
            <v>Whole Spices</v>
          </cell>
        </row>
        <row r="2118">
          <cell r="A2118" t="str">
            <v>Festive Box - Magic Moments 600g</v>
          </cell>
          <cell r="B2118" t="str">
            <v>FG</v>
          </cell>
          <cell r="C2118" t="str">
            <v>FESTIVE HAMPERS</v>
          </cell>
          <cell r="D2118" t="str">
            <v>Gifting</v>
          </cell>
        </row>
        <row r="2119">
          <cell r="A2119" t="str">
            <v>Festive Box - Supreme 1000g</v>
          </cell>
          <cell r="B2119" t="str">
            <v>FG</v>
          </cell>
          <cell r="C2119" t="str">
            <v>FESTIVE HAMPERS</v>
          </cell>
          <cell r="D2119" t="str">
            <v>Gifting</v>
          </cell>
        </row>
        <row r="2120">
          <cell r="A2120" t="str">
            <v>FESTIVE GREETING 560gm</v>
          </cell>
          <cell r="B2120" t="str">
            <v>FG</v>
          </cell>
          <cell r="C2120" t="str">
            <v>FESTIVE HAMPERS</v>
          </cell>
          <cell r="D2120" t="str">
            <v>Gifting</v>
          </cell>
        </row>
        <row r="2121">
          <cell r="A2121" t="str">
            <v>Festive Hamper 01</v>
          </cell>
          <cell r="B2121" t="str">
            <v>FG</v>
          </cell>
          <cell r="C2121" t="str">
            <v>FESTIVE HAMPERS</v>
          </cell>
          <cell r="D2121" t="str">
            <v>Gifting</v>
          </cell>
        </row>
        <row r="2122">
          <cell r="A2122" t="str">
            <v>Festive Hamper 02</v>
          </cell>
          <cell r="B2122" t="str">
            <v>FG</v>
          </cell>
          <cell r="C2122" t="str">
            <v>FESTIVE HAMPERS</v>
          </cell>
          <cell r="D2122" t="str">
            <v>Gifting</v>
          </cell>
        </row>
        <row r="2123">
          <cell r="A2123" t="str">
            <v>Festive Hamper 03</v>
          </cell>
          <cell r="B2123" t="str">
            <v>FG</v>
          </cell>
          <cell r="C2123" t="str">
            <v>FESTIVE HAMPERS</v>
          </cell>
          <cell r="D2123" t="str">
            <v>Gifting</v>
          </cell>
        </row>
        <row r="2124">
          <cell r="A2124" t="str">
            <v>FIESTA DryFruit Box 800gm</v>
          </cell>
          <cell r="B2124" t="str">
            <v>FG</v>
          </cell>
          <cell r="C2124" t="str">
            <v>FESTIVE HAMPERS</v>
          </cell>
          <cell r="D2124" t="str">
            <v>Gifting</v>
          </cell>
        </row>
        <row r="2125">
          <cell r="A2125" t="str">
            <v>Fit Nutrition Berries Blast Bar 50g</v>
          </cell>
          <cell r="B2125" t="str">
            <v>FG</v>
          </cell>
          <cell r="C2125" t="str">
            <v>BARS &amp; CEREALS</v>
          </cell>
          <cell r="D2125" t="str">
            <v>Energy Bars</v>
          </cell>
        </row>
        <row r="2126">
          <cell r="A2126" t="str">
            <v>Flaxseeds 200G (B07GR346G4)</v>
          </cell>
          <cell r="B2126" t="str">
            <v>FG</v>
          </cell>
          <cell r="C2126" t="str">
            <v>SEEDS</v>
          </cell>
          <cell r="D2126" t="str">
            <v>FLax</v>
          </cell>
        </row>
        <row r="2127">
          <cell r="A2127" t="str">
            <v>Flaxseeds 500G (B07GQZ7ZVT)</v>
          </cell>
          <cell r="B2127" t="str">
            <v>FG</v>
          </cell>
          <cell r="C2127" t="str">
            <v>SEEDS</v>
          </cell>
          <cell r="D2127" t="str">
            <v>FLax</v>
          </cell>
        </row>
        <row r="2128">
          <cell r="A2128" t="str">
            <v>Flax Seeds (Alsi)</v>
          </cell>
          <cell r="B2128" t="str">
            <v>RM</v>
          </cell>
          <cell r="C2128" t="str">
            <v>SEEDS</v>
          </cell>
          <cell r="D2128" t="str">
            <v>FLax</v>
          </cell>
        </row>
        <row r="2129">
          <cell r="A2129" t="str">
            <v>Floppy Bag Gift Hamper</v>
          </cell>
          <cell r="B2129" t="str">
            <v>FG</v>
          </cell>
          <cell r="C2129" t="str">
            <v>FESTIVE HAMPERS</v>
          </cell>
          <cell r="D2129" t="str">
            <v>Gifting</v>
          </cell>
        </row>
        <row r="2130">
          <cell r="A2130" t="str">
            <v>FNP Almonds 26-29 - Salted &amp; Roasted 50 gm</v>
          </cell>
          <cell r="B2130" t="str">
            <v>FG</v>
          </cell>
          <cell r="C2130" t="str">
            <v>ALMOND</v>
          </cell>
          <cell r="D2130" t="str">
            <v>Almond - Kernels</v>
          </cell>
        </row>
        <row r="2131">
          <cell r="A2131" t="str">
            <v>FNP Choco Almonds 50gm</v>
          </cell>
          <cell r="B2131" t="str">
            <v>FG</v>
          </cell>
          <cell r="C2131" t="str">
            <v>ALMOND</v>
          </cell>
          <cell r="D2131" t="str">
            <v>Almond - Kernels</v>
          </cell>
        </row>
        <row r="2132">
          <cell r="A2132" t="str">
            <v>FNP Choco Berry Bites 50gm</v>
          </cell>
          <cell r="B2132" t="str">
            <v>FG</v>
          </cell>
          <cell r="C2132" t="str">
            <v>TRAIL MIX</v>
          </cell>
          <cell r="D2132" t="str">
            <v>Bites</v>
          </cell>
        </row>
        <row r="2133">
          <cell r="A2133" t="str">
            <v>FNP Fiery Almonds Sizzlin Peri Peri 50gm</v>
          </cell>
          <cell r="B2133" t="str">
            <v>FG</v>
          </cell>
          <cell r="C2133" t="str">
            <v>ALMOND</v>
          </cell>
          <cell r="D2133" t="str">
            <v>Almond - Kernels</v>
          </cell>
        </row>
        <row r="2134">
          <cell r="A2134" t="str">
            <v>FNP Indian Raisins 70 gm</v>
          </cell>
          <cell r="B2134" t="str">
            <v>FG</v>
          </cell>
          <cell r="C2134" t="str">
            <v>RAISIN</v>
          </cell>
          <cell r="D2134" t="str">
            <v>Raisin - Indian</v>
          </cell>
        </row>
        <row r="2135">
          <cell r="A2135" t="str">
            <v>FNP Pistachios Salted &amp; Roasted 50 gm</v>
          </cell>
          <cell r="B2135" t="str">
            <v>FG</v>
          </cell>
          <cell r="C2135" t="str">
            <v>PISTA</v>
          </cell>
          <cell r="D2135" t="str">
            <v>Pista - Inshell</v>
          </cell>
        </row>
        <row r="2136">
          <cell r="A2136" t="str">
            <v>FNP Salt &amp; Pepper Cashew 50gm</v>
          </cell>
          <cell r="B2136" t="str">
            <v>FG</v>
          </cell>
          <cell r="C2136" t="str">
            <v>CASHEW</v>
          </cell>
          <cell r="D2136" t="str">
            <v>Cashew - Kernel</v>
          </cell>
        </row>
        <row r="2137">
          <cell r="A2137" t="str">
            <v>FNP Smokin Sweet N Smoky BBQ Almond 50gm</v>
          </cell>
          <cell r="B2137" t="str">
            <v>FG</v>
          </cell>
          <cell r="C2137" t="str">
            <v>ALMOND</v>
          </cell>
          <cell r="D2137" t="str">
            <v>Almond - Kernels</v>
          </cell>
        </row>
        <row r="2138">
          <cell r="A2138" t="str">
            <v>FNP Smokin Sweet N Smoky BBQ Cashew 50g</v>
          </cell>
          <cell r="B2138" t="str">
            <v>FG</v>
          </cell>
          <cell r="C2138" t="str">
            <v>CASHEW</v>
          </cell>
          <cell r="D2138" t="str">
            <v>Cashew - Kernel</v>
          </cell>
        </row>
        <row r="2139">
          <cell r="A2139" t="str">
            <v>Foodsquare Truffle Laquered Nuts 200gm</v>
          </cell>
          <cell r="B2139" t="str">
            <v>FG</v>
          </cell>
          <cell r="C2139" t="str">
            <v>TRAIL MIX</v>
          </cell>
          <cell r="D2139" t="str">
            <v>Trail Mix</v>
          </cell>
        </row>
        <row r="2140">
          <cell r="A2140" t="str">
            <v>Foodsquare Truffle Laquered Nuts (Bulk)</v>
          </cell>
          <cell r="B2140" t="str">
            <v>FG</v>
          </cell>
          <cell r="C2140" t="str">
            <v>TRAIL MIX</v>
          </cell>
          <cell r="D2140" t="str">
            <v>Trail Mix</v>
          </cell>
        </row>
        <row r="2141">
          <cell r="A2141" t="str">
            <v>Forsi Coctail Mix</v>
          </cell>
          <cell r="B2141" t="str">
            <v>FG</v>
          </cell>
          <cell r="C2141" t="str">
            <v>TRAIL MIX</v>
          </cell>
          <cell r="D2141" t="str">
            <v>Trail Mix</v>
          </cell>
        </row>
        <row r="2142">
          <cell r="A2142" t="str">
            <v>Forsi Panchmewa</v>
          </cell>
          <cell r="B2142" t="str">
            <v>FG</v>
          </cell>
          <cell r="C2142" t="str">
            <v>TRAIL MIX</v>
          </cell>
          <cell r="D2142" t="str">
            <v>Trail Mix</v>
          </cell>
        </row>
        <row r="2143">
          <cell r="A2143" t="str">
            <v>FOS L55</v>
          </cell>
          <cell r="B2143" t="str">
            <v>RM</v>
          </cell>
          <cell r="C2143" t="str">
            <v>MISCELLANEOUS - RM</v>
          </cell>
          <cell r="D2143" t="str">
            <v>Other Misc</v>
          </cell>
        </row>
        <row r="2144">
          <cell r="A2144" t="str">
            <v>Freeze Dried Mango</v>
          </cell>
          <cell r="B2144" t="str">
            <v>RM</v>
          </cell>
          <cell r="C2144" t="str">
            <v>DEHYDRATED FRUITS</v>
          </cell>
          <cell r="D2144" t="str">
            <v>DF - Mango</v>
          </cell>
        </row>
        <row r="2145">
          <cell r="A2145" t="str">
            <v>Freeze Dried Strawberry</v>
          </cell>
          <cell r="B2145" t="str">
            <v>RM</v>
          </cell>
          <cell r="C2145" t="str">
            <v>DEHYDRATED FRUITS</v>
          </cell>
          <cell r="D2145" t="str">
            <v>DF - Strawberry</v>
          </cell>
        </row>
        <row r="2146">
          <cell r="A2146" t="str">
            <v>Fresho Kimia Dates 500gm</v>
          </cell>
          <cell r="B2146" t="str">
            <v>FG</v>
          </cell>
          <cell r="C2146" t="str">
            <v>DATES</v>
          </cell>
          <cell r="D2146" t="str">
            <v>Kimia</v>
          </cell>
        </row>
        <row r="2147">
          <cell r="A2147" t="str">
            <v>Garlic Cashew</v>
          </cell>
          <cell r="B2147" t="str">
            <v>FG</v>
          </cell>
          <cell r="C2147" t="str">
            <v>CASHEW</v>
          </cell>
          <cell r="D2147" t="str">
            <v>Cashew - Kernel</v>
          </cell>
        </row>
        <row r="2148">
          <cell r="A2148" t="str">
            <v>GI- Eatrite Arabian Dates 500gm</v>
          </cell>
          <cell r="B2148" t="str">
            <v>FG</v>
          </cell>
          <cell r="C2148" t="str">
            <v>DATES</v>
          </cell>
          <cell r="D2148" t="str">
            <v>Khalas</v>
          </cell>
        </row>
        <row r="2149">
          <cell r="A2149" t="str">
            <v>GI- Eatrite Fard Dates 500gm</v>
          </cell>
          <cell r="B2149" t="str">
            <v>FG</v>
          </cell>
          <cell r="C2149" t="str">
            <v>DATES</v>
          </cell>
          <cell r="D2149" t="str">
            <v>Fard</v>
          </cell>
        </row>
        <row r="2150">
          <cell r="A2150" t="str">
            <v>Girnar Kahwa Tea</v>
          </cell>
          <cell r="B2150" t="str">
            <v>RM</v>
          </cell>
          <cell r="C2150" t="str">
            <v>MISCELLANEOUS - RM</v>
          </cell>
          <cell r="D2150" t="str">
            <v>Other Misc</v>
          </cell>
        </row>
        <row r="2151">
          <cell r="A2151" t="str">
            <v>GL CALIFORNIA PISTA RSTED &amp; SLTD 500g PP</v>
          </cell>
          <cell r="B2151" t="str">
            <v>FG</v>
          </cell>
          <cell r="C2151" t="str">
            <v>PISTA</v>
          </cell>
          <cell r="D2151" t="str">
            <v>Pista - Inshell</v>
          </cell>
        </row>
        <row r="2152">
          <cell r="A2152" t="str">
            <v>GL ROSTED&amp;SLTD CALIFORNIA PISTA 200g PCH</v>
          </cell>
          <cell r="B2152" t="str">
            <v>FG</v>
          </cell>
          <cell r="C2152" t="str">
            <v>PISTA</v>
          </cell>
          <cell r="D2152" t="str">
            <v>Pista - Inshell</v>
          </cell>
        </row>
        <row r="2153">
          <cell r="A2153" t="str">
            <v>Glucose Syrup / Liquid Glucose</v>
          </cell>
          <cell r="B2153" t="str">
            <v>RM</v>
          </cell>
          <cell r="C2153" t="str">
            <v>MISCELLANEOUS - RM</v>
          </cell>
          <cell r="D2153" t="str">
            <v>Other Misc</v>
          </cell>
        </row>
        <row r="2154">
          <cell r="A2154" t="str">
            <v>GNG Almonds Coated Dark Chocolate 200g</v>
          </cell>
          <cell r="B2154" t="str">
            <v>FG</v>
          </cell>
          <cell r="C2154" t="str">
            <v>TRAIL MIX</v>
          </cell>
          <cell r="D2154" t="str">
            <v>Trail Mix</v>
          </cell>
        </row>
        <row r="2155">
          <cell r="A2155" t="str">
            <v>GNG Almonds Coated Milk Chocolate 200g</v>
          </cell>
          <cell r="B2155" t="str">
            <v>FG</v>
          </cell>
          <cell r="C2155" t="str">
            <v>TRAIL MIX</v>
          </cell>
          <cell r="D2155" t="str">
            <v>Trail Mix</v>
          </cell>
        </row>
        <row r="2156">
          <cell r="A2156" t="str">
            <v>GNG Almonds Coated White Chocolate 200g</v>
          </cell>
          <cell r="B2156" t="str">
            <v>FG</v>
          </cell>
          <cell r="C2156" t="str">
            <v>TRAIL MIX</v>
          </cell>
          <cell r="D2156" t="str">
            <v>Trail Mix</v>
          </cell>
        </row>
        <row r="2157">
          <cell r="A2157" t="str">
            <v>GNG Cranberry Coated Dark Chocolate 200g</v>
          </cell>
          <cell r="B2157" t="str">
            <v>FG</v>
          </cell>
          <cell r="C2157" t="str">
            <v>TRAIL MIX</v>
          </cell>
          <cell r="D2157" t="str">
            <v>Trail Mix</v>
          </cell>
        </row>
        <row r="2158">
          <cell r="A2158" t="str">
            <v>GNG Cranberry Coated Milk Chocolate 200g</v>
          </cell>
          <cell r="B2158" t="str">
            <v>FG</v>
          </cell>
          <cell r="C2158" t="str">
            <v>TRAIL MIX</v>
          </cell>
          <cell r="D2158" t="str">
            <v>Trail Mix</v>
          </cell>
        </row>
        <row r="2159">
          <cell r="A2159" t="str">
            <v>GNG Cranberry Coated White Chocolate 200g</v>
          </cell>
          <cell r="B2159" t="str">
            <v>FG</v>
          </cell>
          <cell r="C2159" t="str">
            <v>TRAIL MIX</v>
          </cell>
          <cell r="D2159" t="str">
            <v>Trail Mix</v>
          </cell>
        </row>
        <row r="2160">
          <cell r="A2160" t="str">
            <v>Goji Berries - 12%</v>
          </cell>
          <cell r="B2160" t="str">
            <v>RM</v>
          </cell>
          <cell r="C2160" t="str">
            <v>DEHYDRATED FRUITS</v>
          </cell>
          <cell r="D2160" t="str">
            <v>DF - Berries</v>
          </cell>
        </row>
        <row r="2161">
          <cell r="A2161" t="str">
            <v>Gondh Dryfruit Laddu Bar 35gm</v>
          </cell>
          <cell r="B2161" t="str">
            <v>FG</v>
          </cell>
          <cell r="C2161" t="str">
            <v>BARS &amp; CEREALS</v>
          </cell>
          <cell r="D2161" t="str">
            <v>Energy Bars</v>
          </cell>
        </row>
        <row r="2162">
          <cell r="A2162" t="str">
            <v>Gondh Dryfruit LadduBar Pack of 6</v>
          </cell>
          <cell r="B2162" t="str">
            <v>FG</v>
          </cell>
          <cell r="C2162" t="str">
            <v>BARS &amp; CEREALS</v>
          </cell>
          <cell r="D2162" t="str">
            <v>Energy Bars</v>
          </cell>
        </row>
        <row r="2163">
          <cell r="A2163" t="str">
            <v>Gondh Dryfruit Laddubar Semi Finished</v>
          </cell>
          <cell r="B2163" t="str">
            <v>FG</v>
          </cell>
          <cell r="C2163" t="str">
            <v>BARS &amp; CEREALS</v>
          </cell>
          <cell r="D2163" t="str">
            <v>Bites</v>
          </cell>
        </row>
        <row r="2164">
          <cell r="A2164" t="str">
            <v>Good Health Dry Fruit Box 750 g</v>
          </cell>
          <cell r="B2164" t="str">
            <v>FG</v>
          </cell>
          <cell r="C2164" t="str">
            <v>FESTIVE HAMPERS</v>
          </cell>
          <cell r="D2164" t="str">
            <v>Gifting</v>
          </cell>
        </row>
        <row r="2165">
          <cell r="A2165" t="str">
            <v>GOOD LIFE ALMOND 100 g PP</v>
          </cell>
          <cell r="B2165" t="str">
            <v>FG</v>
          </cell>
          <cell r="C2165" t="str">
            <v>ALMOND</v>
          </cell>
          <cell r="D2165" t="str">
            <v>Almond - Kernels</v>
          </cell>
        </row>
        <row r="2166">
          <cell r="A2166" t="str">
            <v>GOOD LIFE ALMOND 200 g PP</v>
          </cell>
          <cell r="B2166" t="str">
            <v>FG</v>
          </cell>
          <cell r="C2166" t="str">
            <v>ALMOND</v>
          </cell>
          <cell r="D2166" t="str">
            <v>Almond - Kernels</v>
          </cell>
        </row>
        <row r="2167">
          <cell r="A2167" t="str">
            <v>GOOD LIFE ALMOND 500 g PP</v>
          </cell>
          <cell r="B2167" t="str">
            <v>FG</v>
          </cell>
          <cell r="C2167" t="str">
            <v>ALMOND</v>
          </cell>
          <cell r="D2167" t="str">
            <v>Almond - Kernels</v>
          </cell>
        </row>
        <row r="2168">
          <cell r="A2168" t="str">
            <v>GOOD LIFE ARABIAN DATES 500 g</v>
          </cell>
          <cell r="B2168" t="str">
            <v>FG</v>
          </cell>
          <cell r="C2168" t="str">
            <v>DATES</v>
          </cell>
          <cell r="D2168" t="str">
            <v>Sayer</v>
          </cell>
        </row>
        <row r="2169">
          <cell r="A2169" t="str">
            <v>GOOD LIFE CHIA SEED 100G</v>
          </cell>
          <cell r="B2169" t="str">
            <v>FG</v>
          </cell>
          <cell r="C2169" t="str">
            <v>SEEDS</v>
          </cell>
          <cell r="D2169" t="str">
            <v>Chia</v>
          </cell>
        </row>
        <row r="2170">
          <cell r="A2170" t="str">
            <v>GOOD LIFE FARD DATES 500 g</v>
          </cell>
          <cell r="B2170" t="str">
            <v>FG</v>
          </cell>
          <cell r="C2170" t="str">
            <v>DATES</v>
          </cell>
          <cell r="D2170" t="str">
            <v>Fard</v>
          </cell>
        </row>
        <row r="2171">
          <cell r="A2171" t="str">
            <v>GOOD LIFE FLAX SEED 100G</v>
          </cell>
          <cell r="B2171" t="str">
            <v>FG</v>
          </cell>
          <cell r="C2171" t="str">
            <v>SEEDS</v>
          </cell>
          <cell r="D2171" t="str">
            <v>FLax</v>
          </cell>
        </row>
        <row r="2172">
          <cell r="A2172" t="str">
            <v>GOOD LIFE PUMPKIN SEED 100G</v>
          </cell>
          <cell r="B2172" t="str">
            <v>FG</v>
          </cell>
          <cell r="C2172" t="str">
            <v>SEEDS</v>
          </cell>
          <cell r="D2172" t="str">
            <v>Pumpkin</v>
          </cell>
        </row>
        <row r="2173">
          <cell r="A2173" t="str">
            <v>GOOD LIFE SUNFLOWER SEED 100G</v>
          </cell>
          <cell r="B2173" t="str">
            <v>FG</v>
          </cell>
          <cell r="C2173" t="str">
            <v>SEEDS</v>
          </cell>
          <cell r="D2173" t="str">
            <v>Sunflower</v>
          </cell>
        </row>
        <row r="2174">
          <cell r="A2174" t="str">
            <v>GREEK DARK SEEDLESS RAISINS (Black Currant)</v>
          </cell>
          <cell r="B2174" t="str">
            <v>RM</v>
          </cell>
          <cell r="C2174" t="str">
            <v>BLACKCURRANT</v>
          </cell>
          <cell r="D2174" t="str">
            <v>Dried Blackcurrant</v>
          </cell>
        </row>
        <row r="2175">
          <cell r="A2175" t="str">
            <v>Green Cardamom</v>
          </cell>
          <cell r="B2175" t="str">
            <v>RM</v>
          </cell>
          <cell r="C2175" t="str">
            <v>SPICES</v>
          </cell>
          <cell r="D2175" t="str">
            <v>Whole Spices</v>
          </cell>
        </row>
        <row r="2176">
          <cell r="A2176" t="str">
            <v>Green Chilli Cashew Bulk</v>
          </cell>
          <cell r="B2176" t="str">
            <v>FG</v>
          </cell>
          <cell r="C2176" t="str">
            <v>CASHEW</v>
          </cell>
          <cell r="D2176" t="str">
            <v>Cashew - Kernel</v>
          </cell>
        </row>
        <row r="2177">
          <cell r="A2177" t="str">
            <v>Green Chilly Cashew</v>
          </cell>
          <cell r="B2177" t="str">
            <v>FG</v>
          </cell>
          <cell r="C2177" t="str">
            <v>CASHEW</v>
          </cell>
          <cell r="D2177" t="str">
            <v>Cashew - Kernel</v>
          </cell>
        </row>
        <row r="2178">
          <cell r="A2178" t="str">
            <v>Greendot Coated Peanuts</v>
          </cell>
          <cell r="B2178" t="str">
            <v>FG</v>
          </cell>
          <cell r="C2178" t="str">
            <v>PEANUTS</v>
          </cell>
          <cell r="D2178" t="str">
            <v>Peanut - Coated</v>
          </cell>
        </row>
        <row r="2179">
          <cell r="A2179" t="str">
            <v>Green Leafy Trunk Gift Hamper</v>
          </cell>
          <cell r="B2179" t="str">
            <v>FG</v>
          </cell>
          <cell r="C2179" t="str">
            <v>FESTIVE HAMPERS</v>
          </cell>
          <cell r="D2179" t="str">
            <v>Gifting</v>
          </cell>
        </row>
        <row r="2180">
          <cell r="A2180" t="str">
            <v>Green Tea / Other Tea Sachet Etc</v>
          </cell>
          <cell r="B2180">
            <v>0</v>
          </cell>
          <cell r="C2180" t="str">
            <v>Others</v>
          </cell>
          <cell r="D2180" t="str">
            <v>Others</v>
          </cell>
        </row>
        <row r="2181">
          <cell r="A2181" t="str">
            <v>Green Tea Plain</v>
          </cell>
          <cell r="B2181" t="str">
            <v>RM</v>
          </cell>
          <cell r="C2181" t="str">
            <v>MISCELLANEOUS - RM</v>
          </cell>
          <cell r="D2181" t="str">
            <v>Other Misc</v>
          </cell>
        </row>
        <row r="2182">
          <cell r="A2182" t="str">
            <v>HA AJWA DATES 300GM (1357012)</v>
          </cell>
          <cell r="B2182" t="str">
            <v>FG</v>
          </cell>
          <cell r="C2182" t="str">
            <v>DATES</v>
          </cell>
          <cell r="D2182" t="str">
            <v>Ajwa</v>
          </cell>
        </row>
        <row r="2183">
          <cell r="A2183" t="str">
            <v>Ha Akbari Pista 200g (1357005)</v>
          </cell>
          <cell r="B2183" t="str">
            <v>FG</v>
          </cell>
          <cell r="C2183" t="str">
            <v>PISTA</v>
          </cell>
          <cell r="D2183" t="str">
            <v>Pista - Akbari</v>
          </cell>
        </row>
        <row r="2184">
          <cell r="A2184" t="str">
            <v>HA ALMOND MAMRA 100g (1340535)</v>
          </cell>
          <cell r="B2184" t="str">
            <v>FG</v>
          </cell>
          <cell r="C2184" t="str">
            <v>ALMOND</v>
          </cell>
          <cell r="D2184" t="str">
            <v>Almond - Mamra</v>
          </cell>
        </row>
        <row r="2185">
          <cell r="A2185" t="str">
            <v>Ha Almond Mamro 250g (1340532)</v>
          </cell>
          <cell r="B2185" t="str">
            <v>FG</v>
          </cell>
          <cell r="C2185" t="str">
            <v>ALMOND</v>
          </cell>
          <cell r="D2185" t="str">
            <v>Almond - Kernels</v>
          </cell>
        </row>
        <row r="2186">
          <cell r="A2186" t="str">
            <v>Ha Almond Mamro 500g (1350928)</v>
          </cell>
          <cell r="B2186" t="str">
            <v>FG</v>
          </cell>
          <cell r="C2186" t="str">
            <v>ALMOND</v>
          </cell>
          <cell r="D2186" t="str">
            <v>Almond - Kernels</v>
          </cell>
        </row>
        <row r="2187">
          <cell r="A2187" t="str">
            <v>HA APRICOT - JARDALOO 200g (1340540)</v>
          </cell>
          <cell r="B2187" t="str">
            <v>FG</v>
          </cell>
          <cell r="C2187" t="str">
            <v>APRICOT</v>
          </cell>
          <cell r="D2187" t="str">
            <v>Apricot - Afghan</v>
          </cell>
        </row>
        <row r="2188">
          <cell r="A2188" t="str">
            <v>Habit Coconut Cream Powder 1 Kg (Bakery Division)</v>
          </cell>
          <cell r="B2188" t="str">
            <v>FG</v>
          </cell>
          <cell r="C2188" t="str">
            <v>TAJIR</v>
          </cell>
          <cell r="D2188" t="str">
            <v>Tajir - CCP</v>
          </cell>
        </row>
        <row r="2189">
          <cell r="A2189" t="str">
            <v>Habit Coconut Cream Powder 1 Kg (Instant)</v>
          </cell>
          <cell r="B2189" t="str">
            <v>FG</v>
          </cell>
          <cell r="C2189" t="str">
            <v>TAJIR</v>
          </cell>
          <cell r="D2189" t="str">
            <v>Tajir - CCP</v>
          </cell>
        </row>
        <row r="2190">
          <cell r="A2190" t="str">
            <v>Habit Coconut Cream Powder 1 Kg (Plain)</v>
          </cell>
          <cell r="B2190" t="str">
            <v>FG</v>
          </cell>
          <cell r="C2190" t="str">
            <v>TAJIR</v>
          </cell>
          <cell r="D2190" t="str">
            <v>Tajir - CCP</v>
          </cell>
        </row>
        <row r="2191">
          <cell r="A2191" t="str">
            <v>Habit Extra Cheese Seasoning (15kg)</v>
          </cell>
          <cell r="B2191" t="str">
            <v>FG</v>
          </cell>
          <cell r="C2191" t="str">
            <v>TAJIR</v>
          </cell>
          <cell r="D2191" t="str">
            <v>Tajir - Other</v>
          </cell>
        </row>
        <row r="2192">
          <cell r="A2192" t="str">
            <v>Habit Pecan Nuts 500gm</v>
          </cell>
          <cell r="B2192" t="str">
            <v>FG</v>
          </cell>
          <cell r="C2192" t="str">
            <v>PREMIUM NUTS</v>
          </cell>
          <cell r="D2192" t="str">
            <v>Pecan Nuts</v>
          </cell>
        </row>
        <row r="2193">
          <cell r="A2193" t="str">
            <v>HA BLACK CURRENT 250g (1340541)</v>
          </cell>
          <cell r="B2193" t="str">
            <v>FG</v>
          </cell>
          <cell r="C2193" t="str">
            <v>BLACKCURRANT</v>
          </cell>
          <cell r="D2193" t="str">
            <v>Dried Blackcurrant</v>
          </cell>
        </row>
        <row r="2194">
          <cell r="A2194" t="str">
            <v>Ha Brazil Nut 200g (1340533)</v>
          </cell>
          <cell r="B2194" t="str">
            <v>FG</v>
          </cell>
          <cell r="C2194" t="str">
            <v>PREMIUM NUTS</v>
          </cell>
          <cell r="D2194" t="str">
            <v>Brazil Nuts</v>
          </cell>
        </row>
        <row r="2195">
          <cell r="A2195" t="str">
            <v>Ha Hazulnut 250g (1340531)</v>
          </cell>
          <cell r="B2195" t="str">
            <v>FG</v>
          </cell>
          <cell r="C2195" t="str">
            <v>PREMIUM NUTS</v>
          </cell>
          <cell r="D2195" t="str">
            <v>Hazelnuts</v>
          </cell>
        </row>
        <row r="2196">
          <cell r="A2196" t="str">
            <v>HA MABOROOM DATES 300GM (1357011)</v>
          </cell>
          <cell r="B2196" t="str">
            <v>FG</v>
          </cell>
          <cell r="C2196" t="str">
            <v>DATES</v>
          </cell>
          <cell r="D2196" t="str">
            <v>Mabroom</v>
          </cell>
        </row>
        <row r="2197">
          <cell r="A2197" t="str">
            <v>Ha Maryam Dates 300g(1340537)</v>
          </cell>
          <cell r="B2197" t="str">
            <v>FG</v>
          </cell>
          <cell r="C2197" t="str">
            <v>DATES</v>
          </cell>
          <cell r="D2197" t="str">
            <v>Maryam</v>
          </cell>
        </row>
        <row r="2198">
          <cell r="A2198" t="str">
            <v>Ha Pinenut 100g (1340543)</v>
          </cell>
          <cell r="B2198" t="str">
            <v>FG</v>
          </cell>
          <cell r="C2198" t="str">
            <v>PREMIUM NUTS</v>
          </cell>
          <cell r="D2198" t="str">
            <v>Pine Nuts</v>
          </cell>
        </row>
        <row r="2199">
          <cell r="A2199" t="str">
            <v>Ha Premium Dates Medjool 300g(1340530)</v>
          </cell>
          <cell r="B2199" t="str">
            <v>FG</v>
          </cell>
          <cell r="C2199" t="str">
            <v>DATES</v>
          </cell>
          <cell r="D2199" t="str">
            <v>Medjoul-General</v>
          </cell>
        </row>
        <row r="2200">
          <cell r="A2200" t="str">
            <v>Ha Premium Pecans 150g (1340534)</v>
          </cell>
          <cell r="B2200" t="str">
            <v>FG</v>
          </cell>
          <cell r="C2200" t="str">
            <v>PREMIUM NUTS</v>
          </cell>
          <cell r="D2200" t="str">
            <v>Pecan Nuts</v>
          </cell>
        </row>
        <row r="2201">
          <cell r="A2201" t="str">
            <v>Ha Premium Saudi Dates 300g(1340536)</v>
          </cell>
          <cell r="B2201" t="str">
            <v>FG</v>
          </cell>
          <cell r="C2201" t="str">
            <v>DATES</v>
          </cell>
          <cell r="D2201" t="str">
            <v>Safavi</v>
          </cell>
        </row>
        <row r="2202">
          <cell r="A2202" t="str">
            <v>Ha Premium Saudi Dates 500g(1356005)</v>
          </cell>
          <cell r="B2202" t="str">
            <v>FG</v>
          </cell>
          <cell r="C2202" t="str">
            <v>DATES</v>
          </cell>
          <cell r="D2202" t="str">
            <v>Safavi</v>
          </cell>
        </row>
        <row r="2203">
          <cell r="A2203" t="str">
            <v>Ha Prunes 275g(1340539)</v>
          </cell>
          <cell r="B2203" t="str">
            <v>FG</v>
          </cell>
          <cell r="C2203" t="str">
            <v>PRUNES</v>
          </cell>
          <cell r="D2203" t="str">
            <v>Prunes - Pitted</v>
          </cell>
        </row>
        <row r="2204">
          <cell r="A2204" t="str">
            <v>HARDIK SHUBHKAMANYEN 280gm</v>
          </cell>
          <cell r="B2204" t="str">
            <v>FG</v>
          </cell>
          <cell r="C2204" t="str">
            <v>FESTIVE HAMPERS</v>
          </cell>
          <cell r="D2204" t="str">
            <v>Gifting</v>
          </cell>
        </row>
        <row r="2205">
          <cell r="A2205" t="str">
            <v>HA SEGAI DATES 300GM (1357010)</v>
          </cell>
          <cell r="B2205" t="str">
            <v>FG</v>
          </cell>
          <cell r="C2205" t="str">
            <v>DATES</v>
          </cell>
          <cell r="D2205" t="str">
            <v>Seggai</v>
          </cell>
        </row>
        <row r="2206">
          <cell r="A2206" t="str">
            <v>HA SINDUKANI RAISIN 250GM</v>
          </cell>
          <cell r="B2206" t="str">
            <v>FG</v>
          </cell>
          <cell r="C2206" t="str">
            <v>RAISIN</v>
          </cell>
          <cell r="D2206" t="str">
            <v>Raisin - Shandukhani</v>
          </cell>
        </row>
        <row r="2207">
          <cell r="A2207" t="str">
            <v>HA SUKHRY DATES 300GM (1357013)</v>
          </cell>
          <cell r="B2207" t="str">
            <v>FG</v>
          </cell>
          <cell r="C2207" t="str">
            <v>DATES</v>
          </cell>
          <cell r="D2207" t="str">
            <v>Sukhary</v>
          </cell>
        </row>
        <row r="2208">
          <cell r="A2208" t="str">
            <v>Ha Walnut Kernal 250g(1340542)</v>
          </cell>
          <cell r="B2208" t="str">
            <v>FG</v>
          </cell>
          <cell r="C2208" t="str">
            <v>WALNUT</v>
          </cell>
          <cell r="D2208" t="str">
            <v>Walnut - Kernel</v>
          </cell>
        </row>
        <row r="2209">
          <cell r="A2209" t="str">
            <v>Ha Walnut Kernal 500g(1350930)</v>
          </cell>
          <cell r="B2209" t="str">
            <v>FG</v>
          </cell>
          <cell r="C2209" t="str">
            <v>WALNUT</v>
          </cell>
          <cell r="D2209" t="str">
            <v>Walnut - Kernel</v>
          </cell>
        </row>
        <row r="2210">
          <cell r="A2210" t="str">
            <v>Ha Walnut Whole 500g(1350935)</v>
          </cell>
          <cell r="B2210" t="str">
            <v>FG</v>
          </cell>
          <cell r="C2210" t="str">
            <v>WALNUT</v>
          </cell>
          <cell r="D2210" t="str">
            <v>Walnut - Inshell</v>
          </cell>
        </row>
        <row r="2211">
          <cell r="A2211" t="str">
            <v>Hazelnut Blanched</v>
          </cell>
          <cell r="B2211" t="str">
            <v>RM</v>
          </cell>
          <cell r="C2211" t="str">
            <v>PREMIUM NUTS</v>
          </cell>
          <cell r="D2211" t="str">
            <v>Hazelnuts</v>
          </cell>
        </row>
        <row r="2212">
          <cell r="A2212" t="str">
            <v>Hazelnut Chocolate Spread</v>
          </cell>
          <cell r="B2212" t="str">
            <v>RM</v>
          </cell>
          <cell r="C2212" t="str">
            <v>PREMIUM NUTS</v>
          </cell>
          <cell r="D2212" t="str">
            <v>Hazelnuts</v>
          </cell>
        </row>
        <row r="2213">
          <cell r="A2213" t="str">
            <v>Hazelnut Kernal</v>
          </cell>
          <cell r="B2213" t="str">
            <v>RM</v>
          </cell>
          <cell r="C2213" t="str">
            <v>PREMIUM NUTS</v>
          </cell>
          <cell r="D2213" t="str">
            <v>Hazelnuts</v>
          </cell>
        </row>
        <row r="2214">
          <cell r="A2214" t="str">
            <v>Healthy Choice 5 in 1 Seeds Mix 200gm</v>
          </cell>
          <cell r="B2214" t="str">
            <v>FG</v>
          </cell>
          <cell r="C2214" t="str">
            <v>TRAIL MIX</v>
          </cell>
          <cell r="D2214" t="str">
            <v>Trail Mix</v>
          </cell>
        </row>
        <row r="2215">
          <cell r="A2215" t="str">
            <v>Healthy Choice 5 in 1 Seeds Mix Bulk</v>
          </cell>
          <cell r="B2215" t="str">
            <v>FG</v>
          </cell>
          <cell r="C2215" t="str">
            <v>TRAIL MIX</v>
          </cell>
          <cell r="D2215" t="str">
            <v>Trail Mix</v>
          </cell>
        </row>
        <row r="2216">
          <cell r="A2216" t="str">
            <v>Healthy Choice Chia Seeds 100 g</v>
          </cell>
          <cell r="B2216" t="str">
            <v>FG</v>
          </cell>
          <cell r="C2216" t="str">
            <v>SEEDS</v>
          </cell>
          <cell r="D2216" t="str">
            <v>Chia</v>
          </cell>
        </row>
        <row r="2217">
          <cell r="A2217" t="str">
            <v>Healthy Choice Chia Seeds 200 g</v>
          </cell>
          <cell r="B2217" t="str">
            <v>FG</v>
          </cell>
          <cell r="C2217" t="str">
            <v>SEEDS</v>
          </cell>
          <cell r="D2217" t="str">
            <v>Chia</v>
          </cell>
        </row>
        <row r="2218">
          <cell r="A2218" t="str">
            <v>Healthy Choice Roasted Pumpkin Seeds 100 g</v>
          </cell>
          <cell r="B2218" t="str">
            <v>FG</v>
          </cell>
          <cell r="C2218" t="str">
            <v>SEEDS</v>
          </cell>
          <cell r="D2218" t="str">
            <v>Pumpkin</v>
          </cell>
        </row>
        <row r="2219">
          <cell r="A2219" t="str">
            <v>Healthy Choice Roasted Pumpkin Seeds 200 g</v>
          </cell>
          <cell r="B2219" t="str">
            <v>FG</v>
          </cell>
          <cell r="C2219" t="str">
            <v>SEEDS</v>
          </cell>
          <cell r="D2219" t="str">
            <v>Pumpkin</v>
          </cell>
        </row>
        <row r="2220">
          <cell r="A2220" t="str">
            <v>Healthy Choice Roasted Sunflower Seeds 100 g</v>
          </cell>
          <cell r="B2220" t="str">
            <v>FG</v>
          </cell>
          <cell r="C2220" t="str">
            <v>SEEDS</v>
          </cell>
          <cell r="D2220" t="str">
            <v>Sunflower</v>
          </cell>
        </row>
        <row r="2221">
          <cell r="A2221" t="str">
            <v>Healthy Choice Roasted Sunflower Seeds 200 g</v>
          </cell>
          <cell r="B2221" t="str">
            <v>FG</v>
          </cell>
          <cell r="C2221" t="str">
            <v>SEEDS</v>
          </cell>
          <cell r="D2221" t="str">
            <v>Sunflower</v>
          </cell>
        </row>
        <row r="2222">
          <cell r="A2222" t="str">
            <v>Healthy Choice Roasted Watermelon Seeds 100 g</v>
          </cell>
          <cell r="B2222" t="str">
            <v>FG</v>
          </cell>
          <cell r="C2222" t="str">
            <v>SEEDS</v>
          </cell>
          <cell r="D2222" t="str">
            <v>Watermelon</v>
          </cell>
        </row>
        <row r="2223">
          <cell r="A2223" t="str">
            <v>Healthy Choice Roasted Watermelon Seeds 200 g</v>
          </cell>
          <cell r="B2223" t="str">
            <v>FG</v>
          </cell>
          <cell r="C2223" t="str">
            <v>SEEDS</v>
          </cell>
          <cell r="D2223" t="str">
            <v>Watermelon</v>
          </cell>
        </row>
        <row r="2224">
          <cell r="A2224" t="str">
            <v>Healthy &amp; Tasty BBQ Makhana 25gm</v>
          </cell>
          <cell r="B2224" t="str">
            <v>FG</v>
          </cell>
          <cell r="C2224" t="str">
            <v>MAKHANA</v>
          </cell>
          <cell r="D2224" t="str">
            <v>Makhana - Suta</v>
          </cell>
        </row>
        <row r="2225">
          <cell r="A2225" t="str">
            <v>Healthy &amp; Tasty Ghee and Himalayan Pink Salt Makhana 25gm</v>
          </cell>
          <cell r="B2225" t="str">
            <v>FG</v>
          </cell>
          <cell r="C2225" t="str">
            <v>MAKHANA</v>
          </cell>
          <cell r="D2225" t="str">
            <v>Makhana - Suta</v>
          </cell>
        </row>
        <row r="2226">
          <cell r="A2226" t="str">
            <v>Healthy &amp; Tasty Peri Peri Makhana 25gm</v>
          </cell>
          <cell r="B2226" t="str">
            <v>FG</v>
          </cell>
          <cell r="C2226" t="str">
            <v>MAKHANA</v>
          </cell>
          <cell r="D2226" t="str">
            <v>Makhana - Suta</v>
          </cell>
        </row>
        <row r="2227">
          <cell r="A2227" t="str">
            <v>Healthy &amp; Tasty Pudina Makhana 25gm</v>
          </cell>
          <cell r="B2227" t="str">
            <v>FG</v>
          </cell>
          <cell r="C2227" t="str">
            <v>MAKHANA</v>
          </cell>
          <cell r="D2227" t="str">
            <v>Makhana - Suta</v>
          </cell>
        </row>
        <row r="2228">
          <cell r="A2228" t="str">
            <v>Hemp Seeds</v>
          </cell>
          <cell r="B2228" t="str">
            <v>RM</v>
          </cell>
          <cell r="C2228" t="str">
            <v>SEEDS</v>
          </cell>
          <cell r="D2228" t="str">
            <v>Hemp</v>
          </cell>
        </row>
        <row r="2229">
          <cell r="A2229" t="str">
            <v>H Finest Turkey Appricot 300g(1340538)</v>
          </cell>
          <cell r="B2229" t="str">
            <v>FG</v>
          </cell>
          <cell r="C2229" t="str">
            <v>APRICOT</v>
          </cell>
          <cell r="D2229" t="str">
            <v>Apricot - Turkey</v>
          </cell>
        </row>
        <row r="2230">
          <cell r="A2230" t="str">
            <v>Himalayan Pink Salt Trail Mix 150g</v>
          </cell>
          <cell r="B2230" t="str">
            <v>FG</v>
          </cell>
          <cell r="C2230" t="str">
            <v>TRAIL MIX</v>
          </cell>
          <cell r="D2230" t="str">
            <v>Trail Mix</v>
          </cell>
        </row>
        <row r="2231">
          <cell r="A2231" t="str">
            <v>Hing Jeera - CP2218</v>
          </cell>
          <cell r="B2231" t="str">
            <v>RM</v>
          </cell>
          <cell r="C2231" t="str">
            <v>SEASONING</v>
          </cell>
          <cell r="D2231" t="str">
            <v>Seasoning</v>
          </cell>
        </row>
        <row r="2232">
          <cell r="A2232" t="str">
            <v>Hing Powder</v>
          </cell>
          <cell r="B2232" t="str">
            <v>RM</v>
          </cell>
          <cell r="C2232" t="str">
            <v>MISCELLANEOUS - RM</v>
          </cell>
          <cell r="D2232" t="str">
            <v>Other Misc</v>
          </cell>
        </row>
        <row r="2233">
          <cell r="A2233" t="str">
            <v>HOH Raksha Bandhan Box 190 Gm</v>
          </cell>
          <cell r="B2233" t="str">
            <v>FG</v>
          </cell>
          <cell r="C2233" t="str">
            <v>FESTIVE HAMPERS</v>
          </cell>
          <cell r="D2233" t="str">
            <v>Gifting</v>
          </cell>
        </row>
        <row r="2234">
          <cell r="A2234" t="str">
            <v>HOH Raksha Bandhan Box 268g</v>
          </cell>
          <cell r="B2234" t="str">
            <v>FG</v>
          </cell>
          <cell r="C2234" t="str">
            <v>FESTIVE HAMPERS</v>
          </cell>
          <cell r="D2234" t="str">
            <v>Gifting</v>
          </cell>
        </row>
        <row r="2235">
          <cell r="A2235" t="str">
            <v>HOH ZORRO PECAN MAPLE GLAZED 100G BOX</v>
          </cell>
          <cell r="B2235" t="str">
            <v>FG</v>
          </cell>
          <cell r="C2235" t="str">
            <v>PREMIUM NUTS</v>
          </cell>
          <cell r="D2235" t="str">
            <v>Pecan Nuts</v>
          </cell>
        </row>
        <row r="2236">
          <cell r="A2236" t="str">
            <v>HOH ZORRO PECAN ROASTED SALTED100G BOX</v>
          </cell>
          <cell r="B2236" t="str">
            <v>FG</v>
          </cell>
          <cell r="C2236" t="str">
            <v>PREMIUM NUTS</v>
          </cell>
          <cell r="D2236" t="str">
            <v>Pecan Nuts</v>
          </cell>
        </row>
        <row r="2237">
          <cell r="A2237" t="str">
            <v>HOH ZORRO PECANS FREE GRANOLA 100G BOX</v>
          </cell>
          <cell r="B2237" t="str">
            <v>FG</v>
          </cell>
          <cell r="C2237" t="str">
            <v>PREMIUM NUTS</v>
          </cell>
          <cell r="D2237" t="str">
            <v>Pecan Nuts</v>
          </cell>
        </row>
        <row r="2238">
          <cell r="A2238" t="str">
            <v>HOH ZORRO PECAN SIMPLY PECAN 100G BOX</v>
          </cell>
          <cell r="B2238" t="str">
            <v>FG</v>
          </cell>
          <cell r="C2238" t="str">
            <v>PREMIUM NUTS</v>
          </cell>
          <cell r="D2238" t="str">
            <v>Pecan Nuts</v>
          </cell>
        </row>
        <row r="2239">
          <cell r="A2239" t="str">
            <v>HOH ZORRO PECAN SWEET &amp; SPICY 100G BOX</v>
          </cell>
          <cell r="B2239" t="str">
            <v>FG</v>
          </cell>
          <cell r="C2239" t="str">
            <v>PREMIUM NUTS</v>
          </cell>
          <cell r="D2239" t="str">
            <v>Pecan Nuts</v>
          </cell>
        </row>
        <row r="2240">
          <cell r="A2240" t="str">
            <v>Honey Roast Almonds</v>
          </cell>
          <cell r="B2240" t="str">
            <v>RM</v>
          </cell>
          <cell r="C2240" t="str">
            <v>ALMOND</v>
          </cell>
          <cell r="D2240" t="str">
            <v>Almond - Kernels</v>
          </cell>
        </row>
        <row r="2241">
          <cell r="A2241" t="str">
            <v>Honey Roasted Macadamia Nut</v>
          </cell>
          <cell r="B2241" t="str">
            <v>FG</v>
          </cell>
          <cell r="C2241" t="str">
            <v>PREMIUM NUTS</v>
          </cell>
          <cell r="D2241" t="str">
            <v>Macadamia Nuts</v>
          </cell>
        </row>
        <row r="2242">
          <cell r="A2242" t="str">
            <v>Honey Roasted Macadamias 100gm</v>
          </cell>
          <cell r="B2242" t="str">
            <v>FG</v>
          </cell>
          <cell r="C2242" t="str">
            <v>PREMIUM NUTS</v>
          </cell>
          <cell r="D2242" t="str">
            <v>Macadamia Nuts</v>
          </cell>
        </row>
        <row r="2243">
          <cell r="A2243" t="str">
            <v>Hot Wasabi Trail Mix 150g</v>
          </cell>
          <cell r="B2243" t="str">
            <v>FG</v>
          </cell>
          <cell r="C2243" t="str">
            <v>TRAIL MIX</v>
          </cell>
          <cell r="D2243" t="str">
            <v>Trail Mix</v>
          </cell>
        </row>
        <row r="2244">
          <cell r="A2244" t="str">
            <v>Independence Almonds</v>
          </cell>
          <cell r="B2244" t="str">
            <v>RM</v>
          </cell>
          <cell r="C2244" t="str">
            <v>ALMOND</v>
          </cell>
          <cell r="D2244" t="str">
            <v>Almond - Kernels</v>
          </cell>
        </row>
        <row r="2245">
          <cell r="A2245" t="str">
            <v>Independent Almond Inshell</v>
          </cell>
          <cell r="B2245" t="str">
            <v>RM</v>
          </cell>
          <cell r="C2245" t="str">
            <v>ALMOND</v>
          </cell>
          <cell r="D2245" t="str">
            <v>Almond - Inshell</v>
          </cell>
        </row>
        <row r="2246">
          <cell r="A2246" t="str">
            <v>Indian Black Raisins</v>
          </cell>
          <cell r="B2246" t="str">
            <v>RM</v>
          </cell>
          <cell r="C2246" t="str">
            <v>RAISIN</v>
          </cell>
          <cell r="D2246" t="str">
            <v>Raisin - Black</v>
          </cell>
        </row>
        <row r="2247">
          <cell r="A2247" t="str">
            <v>Indian Green Raisins</v>
          </cell>
          <cell r="B2247" t="str">
            <v>RM</v>
          </cell>
          <cell r="C2247" t="str">
            <v>RAISIN</v>
          </cell>
          <cell r="D2247" t="str">
            <v>Raisin - Indian</v>
          </cell>
        </row>
        <row r="2248">
          <cell r="A2248" t="str">
            <v>Indian Green Raisins 230g</v>
          </cell>
          <cell r="B2248" t="str">
            <v>FG</v>
          </cell>
          <cell r="C2248" t="str">
            <v>RAISIN</v>
          </cell>
          <cell r="D2248" t="str">
            <v>Raisin - Indian</v>
          </cell>
        </row>
        <row r="2249">
          <cell r="A2249" t="str">
            <v>Indian Green Raisins 90gm</v>
          </cell>
          <cell r="B2249" t="str">
            <v>FG</v>
          </cell>
          <cell r="C2249" t="str">
            <v>RAISIN</v>
          </cell>
          <cell r="D2249" t="str">
            <v>Raisin - Indian</v>
          </cell>
        </row>
        <row r="2250">
          <cell r="A2250" t="str">
            <v>Indian Long Green Raisins</v>
          </cell>
          <cell r="B2250" t="str">
            <v>RM</v>
          </cell>
          <cell r="C2250" t="str">
            <v>RAISIN</v>
          </cell>
          <cell r="D2250" t="str">
            <v>Raisin - Indian</v>
          </cell>
        </row>
        <row r="2251">
          <cell r="A2251" t="str">
            <v>Jaggery Powder</v>
          </cell>
          <cell r="B2251" t="str">
            <v>RM</v>
          </cell>
          <cell r="C2251" t="str">
            <v>MISCELLANEOUS - RM</v>
          </cell>
          <cell r="D2251" t="str">
            <v>Other Misc</v>
          </cell>
        </row>
        <row r="2252">
          <cell r="A2252" t="str">
            <v>Jawar Puff</v>
          </cell>
          <cell r="B2252" t="str">
            <v>RM</v>
          </cell>
          <cell r="C2252" t="str">
            <v>MISCELLANEOUS - RM</v>
          </cell>
          <cell r="D2252" t="str">
            <v>Other Misc</v>
          </cell>
        </row>
        <row r="2253">
          <cell r="A2253" t="str">
            <v>JEERA (CUMIN SEEDS)</v>
          </cell>
          <cell r="B2253" t="str">
            <v>RM</v>
          </cell>
          <cell r="C2253" t="str">
            <v>SPICES</v>
          </cell>
          <cell r="D2253" t="str">
            <v>Whole Spices</v>
          </cell>
        </row>
        <row r="2254">
          <cell r="A2254" t="str">
            <v>Jeera Powder</v>
          </cell>
          <cell r="B2254" t="str">
            <v>RM</v>
          </cell>
          <cell r="C2254" t="str">
            <v>SPICES</v>
          </cell>
          <cell r="D2254" t="str">
            <v>Ground Spices</v>
          </cell>
        </row>
        <row r="2255">
          <cell r="A2255" t="str">
            <v>Jowar Flakes</v>
          </cell>
          <cell r="B2255" t="str">
            <v>RM</v>
          </cell>
          <cell r="C2255" t="str">
            <v>MISCELLANEOUS - RM</v>
          </cell>
          <cell r="D2255" t="str">
            <v>Flakes</v>
          </cell>
        </row>
        <row r="2256">
          <cell r="A2256" t="str">
            <v>Jute Drawstring  300g</v>
          </cell>
          <cell r="B2256" t="str">
            <v>FG</v>
          </cell>
          <cell r="C2256" t="str">
            <v>FESTIVE HAMPERS</v>
          </cell>
          <cell r="D2256" t="str">
            <v>Gifting</v>
          </cell>
        </row>
        <row r="2257">
          <cell r="A2257" t="str">
            <v>Kakdi Magaj</v>
          </cell>
          <cell r="B2257" t="str">
            <v>RM</v>
          </cell>
          <cell r="C2257" t="str">
            <v>SEEDS</v>
          </cell>
          <cell r="D2257" t="str">
            <v>Melon</v>
          </cell>
        </row>
        <row r="2258">
          <cell r="A2258" t="str">
            <v>Kalunji Seeds</v>
          </cell>
          <cell r="B2258" t="str">
            <v>RM</v>
          </cell>
          <cell r="C2258" t="str">
            <v>SEEDS</v>
          </cell>
          <cell r="D2258" t="str">
            <v>Kalunji</v>
          </cell>
        </row>
        <row r="2259">
          <cell r="A2259" t="str">
            <v>Kamar Kas Powder - Dink Powder</v>
          </cell>
          <cell r="B2259" t="str">
            <v>RM</v>
          </cell>
          <cell r="C2259" t="str">
            <v>MISCELLANEOUS - RM</v>
          </cell>
          <cell r="D2259" t="str">
            <v>Other Misc</v>
          </cell>
        </row>
        <row r="2260">
          <cell r="A2260" t="str">
            <v>Kara Coconut Cream Powder (Instant) 15kg/1 - TPL</v>
          </cell>
          <cell r="B2260" t="str">
            <v>RM</v>
          </cell>
          <cell r="C2260" t="str">
            <v>TAJIR</v>
          </cell>
          <cell r="D2260" t="str">
            <v>Tajir - CCP</v>
          </cell>
        </row>
        <row r="2261">
          <cell r="A2261" t="str">
            <v>Kara Coconut Milk 17% 200ml</v>
          </cell>
          <cell r="B2261" t="str">
            <v>RM</v>
          </cell>
          <cell r="C2261" t="str">
            <v>MISCELLANEOUS - RM</v>
          </cell>
          <cell r="D2261" t="str">
            <v>Other Misc</v>
          </cell>
        </row>
        <row r="2262">
          <cell r="A2262" t="str">
            <v>Kara Coconut Milk 17% 200ml New</v>
          </cell>
          <cell r="B2262" t="str">
            <v>RM</v>
          </cell>
          <cell r="C2262" t="str">
            <v>TAJIR</v>
          </cell>
          <cell r="D2262" t="str">
            <v>Tajir - Other</v>
          </cell>
        </row>
        <row r="2263">
          <cell r="A2263" t="str">
            <v>Kara Coconut Milk 17% 400ml</v>
          </cell>
          <cell r="B2263" t="str">
            <v>RM</v>
          </cell>
          <cell r="C2263" t="str">
            <v>TAJIR</v>
          </cell>
          <cell r="D2263" t="str">
            <v>Tajir - CCP</v>
          </cell>
        </row>
        <row r="2264">
          <cell r="A2264" t="str">
            <v>Kara Coconut Milk 17% 400ml New</v>
          </cell>
          <cell r="B2264" t="str">
            <v>RM</v>
          </cell>
          <cell r="C2264" t="str">
            <v>TAJIR</v>
          </cell>
          <cell r="D2264" t="str">
            <v>Tajir - Other</v>
          </cell>
        </row>
        <row r="2265">
          <cell r="A2265" t="str">
            <v>Kashmiri Walnut Kernels</v>
          </cell>
          <cell r="B2265" t="str">
            <v>RM</v>
          </cell>
          <cell r="C2265" t="str">
            <v>WALNUT</v>
          </cell>
          <cell r="D2265" t="str">
            <v>Walnut - Kernel</v>
          </cell>
        </row>
        <row r="2266">
          <cell r="A2266" t="str">
            <v>KERRY SAUCE MIX POWDER 25KG TPL</v>
          </cell>
          <cell r="B2266" t="str">
            <v>RM</v>
          </cell>
          <cell r="C2266" t="str">
            <v>TAJIR</v>
          </cell>
          <cell r="D2266" t="str">
            <v>Tajir - Other</v>
          </cell>
        </row>
        <row r="2267">
          <cell r="A2267" t="str">
            <v>Kesar Almonds</v>
          </cell>
          <cell r="B2267" t="str">
            <v>FG</v>
          </cell>
          <cell r="C2267" t="str">
            <v>ALMOND</v>
          </cell>
          <cell r="D2267" t="str">
            <v>Almond - Kernels</v>
          </cell>
        </row>
        <row r="2268">
          <cell r="A2268" t="str">
            <v>KFI FLAVORCREST UNC NF - TPL</v>
          </cell>
          <cell r="B2268" t="str">
            <v>RM</v>
          </cell>
          <cell r="C2268" t="str">
            <v>TAJIR</v>
          </cell>
          <cell r="D2268" t="str">
            <v>Tajir - Other</v>
          </cell>
        </row>
        <row r="2269">
          <cell r="A2269" t="str">
            <v>Khalas Grade B</v>
          </cell>
          <cell r="B2269" t="str">
            <v>RM</v>
          </cell>
          <cell r="C2269" t="str">
            <v>DATES</v>
          </cell>
          <cell r="D2269" t="str">
            <v>Khalas</v>
          </cell>
        </row>
        <row r="2270">
          <cell r="A2270" t="str">
            <v>Khaneizi Dates</v>
          </cell>
          <cell r="B2270" t="str">
            <v>RM</v>
          </cell>
          <cell r="C2270" t="str">
            <v>DATES</v>
          </cell>
          <cell r="D2270" t="str">
            <v>Khaneizi</v>
          </cell>
        </row>
        <row r="2271">
          <cell r="A2271" t="str">
            <v>Khaneizi Seedless Dates</v>
          </cell>
          <cell r="B2271" t="str">
            <v>RM</v>
          </cell>
          <cell r="C2271" t="str">
            <v>DATES</v>
          </cell>
          <cell r="D2271" t="str">
            <v>Seedless</v>
          </cell>
        </row>
        <row r="2272">
          <cell r="A2272" t="str">
            <v>Kharik Tukda</v>
          </cell>
          <cell r="B2272" t="str">
            <v>RM</v>
          </cell>
          <cell r="C2272" t="str">
            <v>DATES</v>
          </cell>
          <cell r="D2272" t="str">
            <v>Dry Dates</v>
          </cell>
        </row>
        <row r="2273">
          <cell r="A2273" t="str">
            <v>Khidri Jumbo Stuffed with Orange Peel 250g</v>
          </cell>
          <cell r="B2273" t="str">
            <v>FG</v>
          </cell>
          <cell r="C2273" t="str">
            <v>TRAIL MIX</v>
          </cell>
          <cell r="D2273" t="str">
            <v>Trail Mix</v>
          </cell>
        </row>
        <row r="2274">
          <cell r="A2274" t="str">
            <v>Khira Magaj - Cucumbar Seeds</v>
          </cell>
          <cell r="B2274" t="str">
            <v>RM</v>
          </cell>
          <cell r="C2274" t="str">
            <v>SEEDS</v>
          </cell>
          <cell r="D2274" t="str">
            <v>Melon</v>
          </cell>
        </row>
        <row r="2275">
          <cell r="A2275" t="str">
            <v>KHUS KHUS / POPPY SEEDS</v>
          </cell>
          <cell r="B2275" t="str">
            <v>RM</v>
          </cell>
          <cell r="C2275" t="str">
            <v>MISCELLANEOUS - RM</v>
          </cell>
          <cell r="D2275" t="str">
            <v>Other Misc</v>
          </cell>
        </row>
        <row r="2276">
          <cell r="A2276" t="str">
            <v>Kimia Grade B</v>
          </cell>
          <cell r="B2276" t="str">
            <v>RM</v>
          </cell>
          <cell r="C2276" t="str">
            <v>DATES</v>
          </cell>
          <cell r="D2276" t="str">
            <v>Kimia</v>
          </cell>
        </row>
        <row r="2277">
          <cell r="A2277" t="str">
            <v>KINGDOM OF DATES SAYER DATES</v>
          </cell>
          <cell r="B2277" t="str">
            <v>FG</v>
          </cell>
          <cell r="C2277" t="str">
            <v>DATES</v>
          </cell>
          <cell r="D2277" t="str">
            <v>Sayer</v>
          </cell>
        </row>
        <row r="2278">
          <cell r="A2278" t="str">
            <v>King Solomon 3 Dates 2 Go</v>
          </cell>
          <cell r="B2278" t="str">
            <v>FG</v>
          </cell>
          <cell r="C2278" t="str">
            <v>DATES</v>
          </cell>
          <cell r="D2278" t="str">
            <v>Medjoul-Large</v>
          </cell>
        </row>
        <row r="2279">
          <cell r="A2279" t="str">
            <v>King Solomon Dates Medjool Medium 200g</v>
          </cell>
          <cell r="B2279" t="str">
            <v>FG</v>
          </cell>
          <cell r="C2279" t="str">
            <v>DATES</v>
          </cell>
          <cell r="D2279" t="str">
            <v>Medjoul-Medium</v>
          </cell>
        </row>
        <row r="2280">
          <cell r="A2280" t="str">
            <v>King Solomon Dates Medjoul Medium [Y1562] 200gm</v>
          </cell>
          <cell r="B2280" t="str">
            <v>FG</v>
          </cell>
          <cell r="C2280" t="str">
            <v>DATES</v>
          </cell>
          <cell r="D2280" t="str">
            <v>Medjoul-Medium</v>
          </cell>
        </row>
        <row r="2281">
          <cell r="A2281" t="str">
            <v>King Solomon Medjoul Dates 250 Gms</v>
          </cell>
          <cell r="B2281" t="str">
            <v>FG</v>
          </cell>
          <cell r="C2281" t="str">
            <v>DATES</v>
          </cell>
          <cell r="D2281" t="str">
            <v>Medjoul-General</v>
          </cell>
        </row>
        <row r="2282">
          <cell r="A2282" t="str">
            <v>King Solomon Medjoul Dates 3 Dates 2 Go</v>
          </cell>
          <cell r="B2282" t="str">
            <v>FG</v>
          </cell>
          <cell r="C2282" t="str">
            <v>DATES</v>
          </cell>
          <cell r="D2282" t="str">
            <v>Medjoul-General</v>
          </cell>
        </row>
        <row r="2283">
          <cell r="A2283" t="str">
            <v>King Solomon Medjoul Dates 500 Gms</v>
          </cell>
          <cell r="B2283" t="str">
            <v>FG</v>
          </cell>
          <cell r="C2283" t="str">
            <v>DATES</v>
          </cell>
          <cell r="D2283" t="str">
            <v>Medjoul-General</v>
          </cell>
        </row>
        <row r="2284">
          <cell r="A2284" t="str">
            <v>King Solomon Medjoul Dates Jumbo 1kg</v>
          </cell>
          <cell r="B2284" t="str">
            <v>FG</v>
          </cell>
          <cell r="C2284" t="str">
            <v>DATES</v>
          </cell>
          <cell r="D2284" t="str">
            <v>Medjoul-Jumbo</v>
          </cell>
        </row>
        <row r="2285">
          <cell r="A2285" t="str">
            <v>King Solomon Medjoul Dates Junior 1kg</v>
          </cell>
          <cell r="B2285" t="str">
            <v>FG</v>
          </cell>
          <cell r="C2285" t="str">
            <v>DATES</v>
          </cell>
          <cell r="D2285" t="str">
            <v>Medjoul-Junior</v>
          </cell>
        </row>
        <row r="2286">
          <cell r="A2286" t="str">
            <v>King Solomon Medjoul Dates Large 1kg</v>
          </cell>
          <cell r="B2286" t="str">
            <v>FG</v>
          </cell>
          <cell r="C2286" t="str">
            <v>DATES</v>
          </cell>
          <cell r="D2286" t="str">
            <v>Medjoul-Large</v>
          </cell>
        </row>
        <row r="2287">
          <cell r="A2287" t="str">
            <v>King Solomon Medjoul Dates Medium 1kg</v>
          </cell>
          <cell r="B2287" t="str">
            <v>FG</v>
          </cell>
          <cell r="C2287" t="str">
            <v>DATES</v>
          </cell>
          <cell r="D2287" t="str">
            <v>Medjoul-Medium</v>
          </cell>
        </row>
        <row r="2288">
          <cell r="A2288" t="str">
            <v>King Solomon Medjoul Dates Medium 500 Gm</v>
          </cell>
          <cell r="B2288" t="str">
            <v>FG</v>
          </cell>
          <cell r="C2288" t="str">
            <v>DATES</v>
          </cell>
          <cell r="D2288" t="str">
            <v>Medjoul-Medium</v>
          </cell>
        </row>
        <row r="2289">
          <cell r="A2289" t="str">
            <v>King Solomon Medjoul Dates Mini 500 Gm</v>
          </cell>
          <cell r="B2289" t="str">
            <v>FG</v>
          </cell>
          <cell r="C2289" t="str">
            <v>DATES</v>
          </cell>
          <cell r="D2289" t="str">
            <v>Medjoul-Junior</v>
          </cell>
        </row>
        <row r="2290">
          <cell r="A2290" t="str">
            <v>King Solomon Medjoul Jumbo Dates 500gm</v>
          </cell>
          <cell r="B2290" t="str">
            <v>FG</v>
          </cell>
          <cell r="C2290" t="str">
            <v>DATES</v>
          </cell>
          <cell r="D2290" t="str">
            <v>Medjoul-Jumbo</v>
          </cell>
        </row>
        <row r="2291">
          <cell r="A2291" t="str">
            <v>King Solomon Medjoul Junior 500g</v>
          </cell>
          <cell r="B2291" t="str">
            <v>FG</v>
          </cell>
          <cell r="C2291" t="str">
            <v>DATES</v>
          </cell>
          <cell r="D2291" t="str">
            <v>Medjoul-Junior</v>
          </cell>
        </row>
        <row r="2292">
          <cell r="A2292" t="str">
            <v>King Solomon Medjoul Super Jumbo 1kg</v>
          </cell>
          <cell r="B2292" t="str">
            <v>FG</v>
          </cell>
          <cell r="C2292" t="str">
            <v>DATES</v>
          </cell>
          <cell r="D2292" t="str">
            <v>Medjoul-Super Jumbo</v>
          </cell>
        </row>
        <row r="2293">
          <cell r="A2293" t="str">
            <v>King Solomon Medjoul Super Jumbo 500gm</v>
          </cell>
          <cell r="B2293" t="str">
            <v>FG</v>
          </cell>
          <cell r="C2293" t="str">
            <v>DATES</v>
          </cell>
          <cell r="D2293" t="str">
            <v>Medjoul-Super Jumbo</v>
          </cell>
        </row>
        <row r="2294">
          <cell r="A2294" t="str">
            <v>King Solomon Oriental Dates 250g</v>
          </cell>
          <cell r="B2294" t="str">
            <v>FG</v>
          </cell>
          <cell r="C2294" t="str">
            <v>DATES</v>
          </cell>
          <cell r="D2294" t="str">
            <v>Deri</v>
          </cell>
        </row>
        <row r="2295">
          <cell r="A2295" t="str">
            <v>King Solomon Oriental Dates 500gm</v>
          </cell>
          <cell r="B2295" t="str">
            <v>FG</v>
          </cell>
          <cell r="C2295" t="str">
            <v>DATES</v>
          </cell>
          <cell r="D2295" t="str">
            <v>Deri</v>
          </cell>
        </row>
        <row r="2296">
          <cell r="A2296" t="str">
            <v>Korean Coated Peanuts 60gm</v>
          </cell>
          <cell r="B2296" t="str">
            <v>FG</v>
          </cell>
          <cell r="C2296" t="str">
            <v>PEANUTS</v>
          </cell>
          <cell r="D2296" t="str">
            <v>Peanut - Coated</v>
          </cell>
        </row>
        <row r="2297">
          <cell r="A2297" t="str">
            <v>Krack Nut Coated Peanuts Magic Masala 110g</v>
          </cell>
          <cell r="B2297" t="str">
            <v>FG</v>
          </cell>
          <cell r="C2297" t="str">
            <v>PEANUTS</v>
          </cell>
          <cell r="D2297" t="str">
            <v>Peanut - Coated</v>
          </cell>
        </row>
        <row r="2298">
          <cell r="A2298" t="str">
            <v>Kracknut Coated Peanuts-Pudhina Patakha 110g</v>
          </cell>
          <cell r="B2298" t="str">
            <v>FG</v>
          </cell>
          <cell r="C2298" t="str">
            <v>PEANUTS</v>
          </cell>
          <cell r="D2298" t="str">
            <v>Peanut - Coated</v>
          </cell>
        </row>
        <row r="2299">
          <cell r="A2299" t="str">
            <v>Kracknut Coated Peanuts-Pudhina Patakha 160gm</v>
          </cell>
          <cell r="B2299" t="str">
            <v>FG</v>
          </cell>
          <cell r="C2299" t="str">
            <v>PEANUTS</v>
          </cell>
          <cell r="D2299" t="str">
            <v>Peanut - Coated</v>
          </cell>
        </row>
        <row r="2300">
          <cell r="A2300" t="str">
            <v>Kracknut Coated Peanuts-Pudhina Patakha 1kg</v>
          </cell>
          <cell r="B2300" t="str">
            <v>FG</v>
          </cell>
          <cell r="C2300" t="str">
            <v>PEANUTS</v>
          </cell>
          <cell r="D2300" t="str">
            <v>Peanut - Coated</v>
          </cell>
        </row>
        <row r="2301">
          <cell r="A2301" t="str">
            <v>Krack Nut Coated Peanuts Pudina Patakha 100g</v>
          </cell>
          <cell r="B2301" t="str">
            <v>FG</v>
          </cell>
          <cell r="C2301" t="str">
            <v>PEANUTS</v>
          </cell>
          <cell r="D2301" t="str">
            <v>Peanut - Coated</v>
          </cell>
        </row>
        <row r="2302">
          <cell r="A2302" t="str">
            <v>Krack Nut Coated Peanuts Pudina Patakha 25gm</v>
          </cell>
          <cell r="B2302" t="str">
            <v>FG</v>
          </cell>
          <cell r="C2302" t="str">
            <v>PEANUTS</v>
          </cell>
          <cell r="D2302" t="str">
            <v>Peanut - Coated</v>
          </cell>
        </row>
        <row r="2303">
          <cell r="A2303" t="str">
            <v>Krack Nut Coated Peanuts Pudina Patakha 25g Not Use</v>
          </cell>
          <cell r="B2303" t="str">
            <v>FG</v>
          </cell>
          <cell r="C2303" t="str">
            <v>PEANUTS</v>
          </cell>
          <cell r="D2303" t="str">
            <v>Peanut - Coated</v>
          </cell>
        </row>
        <row r="2304">
          <cell r="A2304" t="str">
            <v>Kracknut Coated Peanuts - Tandoori Toofan 110g</v>
          </cell>
          <cell r="B2304" t="str">
            <v>FG</v>
          </cell>
          <cell r="C2304" t="str">
            <v>PEANUTS</v>
          </cell>
          <cell r="D2304" t="str">
            <v>Peanut - Coated</v>
          </cell>
        </row>
        <row r="2305">
          <cell r="A2305" t="str">
            <v>Kracknut Coated Peanuts - Tandoori Toofan 160gm</v>
          </cell>
          <cell r="B2305" t="str">
            <v>FG</v>
          </cell>
          <cell r="C2305" t="str">
            <v>PEANUTS</v>
          </cell>
          <cell r="D2305" t="str">
            <v>Peanut - Coated</v>
          </cell>
        </row>
        <row r="2306">
          <cell r="A2306" t="str">
            <v>Krack Nut Coated Peanuts Tandoori Toofan 1 Kg</v>
          </cell>
          <cell r="B2306" t="str">
            <v>FG</v>
          </cell>
          <cell r="C2306" t="str">
            <v>PEANUTS</v>
          </cell>
          <cell r="D2306" t="str">
            <v>Peanut - Coated</v>
          </cell>
        </row>
        <row r="2307">
          <cell r="A2307" t="str">
            <v>Kracknut Coated Peanuts - Tandoori Toofan 25g</v>
          </cell>
          <cell r="B2307" t="str">
            <v>FG</v>
          </cell>
          <cell r="C2307" t="str">
            <v>PEANUTS</v>
          </cell>
          <cell r="D2307" t="str">
            <v>Peanut - Coated</v>
          </cell>
        </row>
        <row r="2308">
          <cell r="A2308" t="str">
            <v>Krack Nut Coated Peanuts Thai Firangi 100g</v>
          </cell>
          <cell r="B2308" t="str">
            <v>FG</v>
          </cell>
          <cell r="C2308" t="str">
            <v>PEANUTS</v>
          </cell>
          <cell r="D2308" t="str">
            <v>Peanut - Coated</v>
          </cell>
        </row>
        <row r="2309">
          <cell r="A2309" t="str">
            <v>Kracknut Coated Peanuts-Thai Firangi 110g</v>
          </cell>
          <cell r="B2309" t="str">
            <v>FG</v>
          </cell>
          <cell r="C2309" t="str">
            <v>PEANUTS</v>
          </cell>
          <cell r="D2309" t="str">
            <v>Peanut - Coated</v>
          </cell>
        </row>
        <row r="2310">
          <cell r="A2310" t="str">
            <v>Kracknut Coated Peanuts-Thai Firangi 160gm</v>
          </cell>
          <cell r="B2310" t="str">
            <v>FG</v>
          </cell>
          <cell r="C2310" t="str">
            <v>PEANUTS</v>
          </cell>
          <cell r="D2310" t="str">
            <v>Peanut - Coated</v>
          </cell>
        </row>
        <row r="2311">
          <cell r="A2311" t="str">
            <v>Krack Nut Coated Peanuts Thai Firangi 1 Kg</v>
          </cell>
          <cell r="B2311" t="str">
            <v>FG</v>
          </cell>
          <cell r="C2311" t="str">
            <v>PEANUTS</v>
          </cell>
          <cell r="D2311" t="str">
            <v>Peanut - Coated</v>
          </cell>
        </row>
        <row r="2312">
          <cell r="A2312" t="str">
            <v>Kracknut Coated Peanuts - Thai Firangi 25g</v>
          </cell>
          <cell r="B2312" t="str">
            <v>FG</v>
          </cell>
          <cell r="C2312" t="str">
            <v>PEANUTS</v>
          </cell>
          <cell r="D2312" t="str">
            <v>Peanut - Coated</v>
          </cell>
        </row>
        <row r="2313">
          <cell r="A2313" t="str">
            <v>Lemon Pepper Cashew Bulk</v>
          </cell>
          <cell r="B2313" t="str">
            <v>FG</v>
          </cell>
          <cell r="C2313" t="str">
            <v>CASHEW</v>
          </cell>
          <cell r="D2313" t="str">
            <v>Cashew - Kernel</v>
          </cell>
        </row>
        <row r="2314">
          <cell r="A2314" t="str">
            <v>Lemon Pepper Seasoning</v>
          </cell>
          <cell r="B2314" t="str">
            <v>RM</v>
          </cell>
          <cell r="C2314" t="str">
            <v>SEASONING</v>
          </cell>
          <cell r="D2314" t="str">
            <v>Seasoning</v>
          </cell>
        </row>
        <row r="2315">
          <cell r="A2315" t="str">
            <v>Lime Chilli Seasoning</v>
          </cell>
          <cell r="B2315" t="str">
            <v>RM</v>
          </cell>
          <cell r="C2315" t="str">
            <v>SEASONING</v>
          </cell>
          <cell r="D2315" t="str">
            <v>Seasoning</v>
          </cell>
        </row>
        <row r="2316">
          <cell r="A2316" t="str">
            <v>Lime  &amp; Chilly Cashew</v>
          </cell>
          <cell r="B2316" t="str">
            <v>FG</v>
          </cell>
          <cell r="C2316" t="str">
            <v>CASHEW</v>
          </cell>
          <cell r="D2316" t="str">
            <v>Cashew - Kernel</v>
          </cell>
        </row>
        <row r="2317">
          <cell r="A2317" t="str">
            <v>Lime Chilly Coated Peanuts 60gm</v>
          </cell>
          <cell r="B2317" t="str">
            <v>FG</v>
          </cell>
          <cell r="C2317" t="str">
            <v>PEANUTS</v>
          </cell>
          <cell r="D2317" t="str">
            <v>Peanut - Coated</v>
          </cell>
        </row>
        <row r="2318">
          <cell r="A2318" t="str">
            <v>Mabroom Dates</v>
          </cell>
          <cell r="B2318" t="str">
            <v>RM</v>
          </cell>
          <cell r="C2318" t="str">
            <v>DATES</v>
          </cell>
          <cell r="D2318" t="str">
            <v>Mabroom</v>
          </cell>
        </row>
        <row r="2319">
          <cell r="A2319" t="str">
            <v>Macadamia Commercial Grade Style 1</v>
          </cell>
          <cell r="B2319" t="str">
            <v>RM</v>
          </cell>
          <cell r="C2319" t="str">
            <v>PREMIUM NUTS</v>
          </cell>
          <cell r="D2319" t="str">
            <v>Macadamia Nuts</v>
          </cell>
        </row>
        <row r="2320">
          <cell r="A2320" t="str">
            <v>Macadamia Commercial Grade Style 4L</v>
          </cell>
          <cell r="B2320" t="str">
            <v>RM</v>
          </cell>
          <cell r="C2320" t="str">
            <v>PREMIUM NUTS</v>
          </cell>
          <cell r="D2320" t="str">
            <v>Macadamia Nuts</v>
          </cell>
        </row>
        <row r="2321">
          <cell r="A2321" t="str">
            <v>Macadamia Dark Chocolate Clusters</v>
          </cell>
          <cell r="B2321" t="str">
            <v>FG</v>
          </cell>
          <cell r="C2321" t="str">
            <v>PREMIUM NUTS</v>
          </cell>
          <cell r="D2321" t="str">
            <v>Macadamia Nuts</v>
          </cell>
        </row>
        <row r="2322">
          <cell r="A2322" t="str">
            <v>MACADAMIA FINGER LIME &amp; JALAPENO</v>
          </cell>
          <cell r="B2322" t="str">
            <v>FG</v>
          </cell>
          <cell r="C2322" t="str">
            <v>PREMIUM NUTS</v>
          </cell>
          <cell r="D2322" t="str">
            <v>Macadamia Nuts</v>
          </cell>
        </row>
        <row r="2323">
          <cell r="A2323" t="str">
            <v>Macadamia Inshell</v>
          </cell>
          <cell r="B2323" t="str">
            <v>RM</v>
          </cell>
          <cell r="C2323" t="str">
            <v>PREMIUM NUTS</v>
          </cell>
          <cell r="D2323" t="str">
            <v>Macadamia Nuts</v>
          </cell>
        </row>
        <row r="2324">
          <cell r="A2324" t="str">
            <v>Macadamia Kernal 150gm</v>
          </cell>
          <cell r="B2324" t="str">
            <v>FG</v>
          </cell>
          <cell r="C2324" t="str">
            <v>PREMIUM NUTS</v>
          </cell>
          <cell r="D2324" t="str">
            <v>Macadamia Nuts</v>
          </cell>
        </row>
        <row r="2325">
          <cell r="A2325" t="str">
            <v>Macadamia Kernel ( Kg )</v>
          </cell>
          <cell r="B2325" t="str">
            <v>RM</v>
          </cell>
          <cell r="C2325" t="str">
            <v>PREMIUM NUTS</v>
          </cell>
          <cell r="D2325" t="str">
            <v>Macadamia Nuts</v>
          </cell>
        </row>
        <row r="2326">
          <cell r="A2326" t="str">
            <v>Macadamia Kernel Style 0</v>
          </cell>
          <cell r="B2326" t="str">
            <v>RM</v>
          </cell>
          <cell r="C2326" t="str">
            <v>PREMIUM NUTS</v>
          </cell>
          <cell r="D2326" t="str">
            <v>Macadamia Nuts</v>
          </cell>
        </row>
        <row r="2327">
          <cell r="A2327" t="str">
            <v>Macadamia Kernel Style 1L</v>
          </cell>
          <cell r="B2327" t="str">
            <v>RM</v>
          </cell>
          <cell r="C2327" t="str">
            <v>PREMIUM NUTS</v>
          </cell>
          <cell r="D2327" t="str">
            <v>Macadamia Nuts</v>
          </cell>
        </row>
        <row r="2328">
          <cell r="A2328" t="str">
            <v>Macadamia Milk Chocolate Clusters</v>
          </cell>
          <cell r="B2328" t="str">
            <v>FG</v>
          </cell>
          <cell r="C2328" t="str">
            <v>PREMIUM NUTS</v>
          </cell>
          <cell r="D2328" t="str">
            <v>Macadamia Nuts</v>
          </cell>
        </row>
        <row r="2329">
          <cell r="A2329" t="str">
            <v>MACADAMIA NIS - ROASTED SEA SALT</v>
          </cell>
          <cell r="B2329" t="str">
            <v>FG</v>
          </cell>
          <cell r="C2329" t="str">
            <v>PREMIUM NUTS</v>
          </cell>
          <cell r="D2329" t="str">
            <v>Macadamia Nuts</v>
          </cell>
        </row>
        <row r="2330">
          <cell r="A2330" t="str">
            <v>Macadamia Paste</v>
          </cell>
          <cell r="B2330" t="str">
            <v>RM</v>
          </cell>
          <cell r="C2330" t="str">
            <v>PREMIUM NUTS</v>
          </cell>
          <cell r="D2330" t="str">
            <v>Macadamia Nuts</v>
          </cell>
        </row>
        <row r="2331">
          <cell r="A2331" t="str">
            <v>Macadamia Roasted NIS Sawn</v>
          </cell>
          <cell r="B2331" t="str">
            <v>RM</v>
          </cell>
          <cell r="C2331" t="str">
            <v>PREMIUM NUTS</v>
          </cell>
          <cell r="D2331" t="str">
            <v>Macadamia Nuts</v>
          </cell>
        </row>
        <row r="2332">
          <cell r="A2332" t="str">
            <v>Macadamia Roasted Salted - Size 0</v>
          </cell>
          <cell r="B2332" t="str">
            <v>FG</v>
          </cell>
          <cell r="C2332" t="str">
            <v>PREMIUM NUTS</v>
          </cell>
          <cell r="D2332" t="str">
            <v>Macadamia Nuts</v>
          </cell>
        </row>
        <row r="2333">
          <cell r="A2333" t="str">
            <v>Macadamia Roasted Salted - Size 1</v>
          </cell>
          <cell r="B2333" t="str">
            <v>RM</v>
          </cell>
          <cell r="C2333" t="str">
            <v>PREMIUM NUTS</v>
          </cell>
          <cell r="D2333" t="str">
            <v>Macadamia Nuts</v>
          </cell>
        </row>
        <row r="2334">
          <cell r="A2334" t="str">
            <v>Macadamia Roasted Salted - Size 4</v>
          </cell>
          <cell r="B2334" t="str">
            <v>RM</v>
          </cell>
          <cell r="C2334" t="str">
            <v>PREMIUM NUTS</v>
          </cell>
          <cell r="D2334" t="str">
            <v>Macadamia Nuts</v>
          </cell>
        </row>
        <row r="2335">
          <cell r="A2335" t="str">
            <v>Macadamia Roasted &amp; Salted style 4</v>
          </cell>
          <cell r="B2335" t="str">
            <v>FG</v>
          </cell>
          <cell r="C2335" t="str">
            <v>PREMIUM NUTS</v>
          </cell>
          <cell r="D2335" t="str">
            <v>Macadamia Nuts</v>
          </cell>
        </row>
        <row r="2336">
          <cell r="A2336" t="str">
            <v>Macadamia Roasted - Size 0</v>
          </cell>
          <cell r="B2336" t="str">
            <v>RM</v>
          </cell>
          <cell r="C2336" t="str">
            <v>PREMIUM NUTS</v>
          </cell>
          <cell r="D2336" t="str">
            <v>Macadamia Nuts</v>
          </cell>
        </row>
        <row r="2337">
          <cell r="A2337" t="str">
            <v>Macadamia Roasted - Size 1</v>
          </cell>
          <cell r="B2337" t="str">
            <v>RM</v>
          </cell>
          <cell r="C2337" t="str">
            <v>PREMIUM NUTS</v>
          </cell>
          <cell r="D2337" t="str">
            <v>Macadamia Nuts</v>
          </cell>
        </row>
        <row r="2338">
          <cell r="A2338" t="str">
            <v>Macadamia Roasted - Size 2</v>
          </cell>
          <cell r="B2338" t="str">
            <v>RM</v>
          </cell>
          <cell r="C2338" t="str">
            <v>PREMIUM NUTS</v>
          </cell>
          <cell r="D2338" t="str">
            <v>Macadamia Nuts</v>
          </cell>
        </row>
        <row r="2339">
          <cell r="A2339" t="str">
            <v>Macadamia Roasted - Size 4</v>
          </cell>
          <cell r="B2339" t="str">
            <v>RM</v>
          </cell>
          <cell r="C2339" t="str">
            <v>PREMIUM NUTS</v>
          </cell>
          <cell r="D2339" t="str">
            <v>Macadamia Nuts</v>
          </cell>
        </row>
        <row r="2340">
          <cell r="A2340" t="str">
            <v>Macadamia Roasted - Size 4L</v>
          </cell>
          <cell r="B2340" t="str">
            <v>RM</v>
          </cell>
          <cell r="C2340" t="str">
            <v>PREMIUM NUTS</v>
          </cell>
          <cell r="D2340" t="str">
            <v>Macadamia Nuts</v>
          </cell>
        </row>
        <row r="2341">
          <cell r="A2341" t="str">
            <v>Macadamia Roasted - Size 6</v>
          </cell>
          <cell r="B2341" t="str">
            <v>RM</v>
          </cell>
          <cell r="C2341" t="str">
            <v>PREMIUM NUTS</v>
          </cell>
          <cell r="D2341" t="str">
            <v>Macadamia Nuts</v>
          </cell>
        </row>
        <row r="2342">
          <cell r="A2342" t="str">
            <v>MACADAMIA ROSEMARY &amp; SEA SALT</v>
          </cell>
          <cell r="B2342" t="str">
            <v>FG</v>
          </cell>
          <cell r="C2342" t="str">
            <v>PREMIUM NUTS</v>
          </cell>
          <cell r="D2342" t="str">
            <v>Macadamia Nuts</v>
          </cell>
        </row>
        <row r="2343">
          <cell r="A2343" t="str">
            <v>Macadamia Vanilla Whole - 320* Cut</v>
          </cell>
          <cell r="B2343" t="str">
            <v>RM</v>
          </cell>
          <cell r="C2343" t="str">
            <v>PREMIUM NUTS</v>
          </cell>
          <cell r="D2343" t="str">
            <v>Macadamia Nuts</v>
          </cell>
        </row>
        <row r="2344">
          <cell r="A2344" t="str">
            <v>Macadamia Whole - 320* Cut</v>
          </cell>
          <cell r="B2344" t="str">
            <v>RM</v>
          </cell>
          <cell r="C2344" t="str">
            <v>PREMIUM NUTS</v>
          </cell>
          <cell r="D2344" t="str">
            <v>Macadamia Nuts</v>
          </cell>
        </row>
        <row r="2345">
          <cell r="A2345" t="str">
            <v>MACSNACK DRYRST MCADAMIAMUNCHIE 100G PCH</v>
          </cell>
          <cell r="B2345" t="str">
            <v>FG</v>
          </cell>
          <cell r="C2345" t="str">
            <v>PREMIUM NUTS</v>
          </cell>
          <cell r="D2345" t="str">
            <v>Macadamia Nuts</v>
          </cell>
        </row>
        <row r="2346">
          <cell r="A2346" t="str">
            <v>MACSNACK DRYRST MCADAMIAMUNCHIE 200G PCH</v>
          </cell>
          <cell r="B2346" t="str">
            <v>FG</v>
          </cell>
          <cell r="C2346" t="str">
            <v>PREMIUM NUTS</v>
          </cell>
          <cell r="D2346" t="str">
            <v>Macadamia Nuts</v>
          </cell>
        </row>
        <row r="2347">
          <cell r="A2347" t="str">
            <v>Mac Snack Macadamia Stlye 0 Premium-200gm</v>
          </cell>
          <cell r="B2347" t="str">
            <v>FG</v>
          </cell>
          <cell r="C2347" t="str">
            <v>PREMIUM NUTS</v>
          </cell>
          <cell r="D2347" t="str">
            <v>Macadamia Nuts</v>
          </cell>
        </row>
        <row r="2348">
          <cell r="A2348" t="str">
            <v>Mac Snack Macadamia Style 1 Roasted &amp; Salted Premium 200g</v>
          </cell>
          <cell r="B2348" t="str">
            <v>FG</v>
          </cell>
          <cell r="C2348" t="str">
            <v>PREMIUM NUTS</v>
          </cell>
          <cell r="D2348" t="str">
            <v>Macadamia Nuts</v>
          </cell>
        </row>
        <row r="2349">
          <cell r="A2349" t="str">
            <v>MACSNACK R&amp;S MACADAMIA MUNCHIES 100G PCH</v>
          </cell>
          <cell r="B2349" t="str">
            <v>FG</v>
          </cell>
          <cell r="C2349" t="str">
            <v>PREMIUM NUTS</v>
          </cell>
          <cell r="D2349" t="str">
            <v>Macadamia Nuts</v>
          </cell>
        </row>
        <row r="2350">
          <cell r="A2350" t="str">
            <v>MACSNACK R&amp;S MACADAMIA MUNCHIES 200G PCH</v>
          </cell>
          <cell r="B2350" t="str">
            <v>FG</v>
          </cell>
          <cell r="C2350" t="str">
            <v>PREMIUM NUTS</v>
          </cell>
          <cell r="D2350" t="str">
            <v>Macadamia Nuts</v>
          </cell>
        </row>
        <row r="2351">
          <cell r="A2351" t="str">
            <v>Magic Masala Seasoning</v>
          </cell>
          <cell r="B2351" t="str">
            <v>RM</v>
          </cell>
          <cell r="C2351" t="str">
            <v>SEASONING</v>
          </cell>
          <cell r="D2351" t="str">
            <v>Seasoning</v>
          </cell>
        </row>
        <row r="2352">
          <cell r="A2352" t="str">
            <v>Maize Starch</v>
          </cell>
          <cell r="B2352" t="str">
            <v>RM</v>
          </cell>
          <cell r="C2352" t="str">
            <v>TAJIR</v>
          </cell>
          <cell r="D2352" t="str">
            <v>Tajir - Other</v>
          </cell>
        </row>
        <row r="2353">
          <cell r="A2353" t="str">
            <v>Makhana</v>
          </cell>
          <cell r="B2353" t="str">
            <v>RM</v>
          </cell>
          <cell r="C2353" t="str">
            <v>MAKHANA</v>
          </cell>
          <cell r="D2353" t="str">
            <v>Makhana - Suta</v>
          </cell>
        </row>
        <row r="2354">
          <cell r="A2354" t="str">
            <v>Makhana 4+ Sutta</v>
          </cell>
          <cell r="B2354" t="str">
            <v>RM</v>
          </cell>
          <cell r="C2354" t="str">
            <v>MAKHANA</v>
          </cell>
          <cell r="D2354" t="str">
            <v>Makhana - Suta</v>
          </cell>
        </row>
        <row r="2355">
          <cell r="A2355" t="str">
            <v>Makhana 5 Suta</v>
          </cell>
          <cell r="B2355" t="str">
            <v>RM</v>
          </cell>
          <cell r="C2355" t="str">
            <v>MAKHANA</v>
          </cell>
          <cell r="D2355" t="str">
            <v>Makhana - Suta</v>
          </cell>
        </row>
        <row r="2356">
          <cell r="A2356" t="str">
            <v>Makhana Black Pepper</v>
          </cell>
          <cell r="B2356" t="str">
            <v>FG</v>
          </cell>
          <cell r="C2356" t="str">
            <v>MAKHANA</v>
          </cell>
          <cell r="D2356" t="str">
            <v>Makhana - Suta</v>
          </cell>
        </row>
        <row r="2357">
          <cell r="A2357" t="str">
            <v>Makhana Black Salt 75gm</v>
          </cell>
          <cell r="B2357" t="str">
            <v>FG</v>
          </cell>
          <cell r="C2357" t="str">
            <v>MAKHANA</v>
          </cell>
          <cell r="D2357" t="str">
            <v>Makhana - Suta</v>
          </cell>
        </row>
        <row r="2358">
          <cell r="A2358" t="str">
            <v>Makhana Chilli Lime 75gm</v>
          </cell>
          <cell r="B2358" t="str">
            <v>FG</v>
          </cell>
          <cell r="C2358" t="str">
            <v>MAKHANA</v>
          </cell>
          <cell r="D2358" t="str">
            <v>Makhana - Suta</v>
          </cell>
        </row>
        <row r="2359">
          <cell r="A2359" t="str">
            <v>Makhana Himalayan Pink Salt</v>
          </cell>
          <cell r="B2359" t="str">
            <v>FG</v>
          </cell>
          <cell r="C2359" t="str">
            <v>MAKHANA</v>
          </cell>
          <cell r="D2359" t="str">
            <v>Makhana - Suta</v>
          </cell>
        </row>
        <row r="2360">
          <cell r="A2360" t="str">
            <v>Makhana Himalayan Pink Salt 75gm</v>
          </cell>
          <cell r="B2360" t="str">
            <v>FG</v>
          </cell>
          <cell r="C2360" t="str">
            <v>MAKHANA</v>
          </cell>
          <cell r="D2360" t="str">
            <v>Makhana - Suta</v>
          </cell>
        </row>
        <row r="2361">
          <cell r="A2361" t="str">
            <v>Makhana Masala</v>
          </cell>
          <cell r="B2361" t="str">
            <v>FG</v>
          </cell>
          <cell r="C2361" t="str">
            <v>MAKHANA</v>
          </cell>
          <cell r="D2361" t="str">
            <v>Makhana - Suta</v>
          </cell>
        </row>
        <row r="2362">
          <cell r="A2362" t="str">
            <v>Makhana Peri Peri</v>
          </cell>
          <cell r="B2362" t="str">
            <v>FG</v>
          </cell>
          <cell r="C2362" t="str">
            <v>MAKHANA</v>
          </cell>
          <cell r="D2362" t="str">
            <v>Makhana - Suta</v>
          </cell>
        </row>
        <row r="2363">
          <cell r="A2363" t="str">
            <v>Makhana Salted 50gm</v>
          </cell>
          <cell r="B2363" t="str">
            <v>FG</v>
          </cell>
          <cell r="C2363" t="str">
            <v>MAKHANA</v>
          </cell>
          <cell r="D2363" t="str">
            <v>Makhana - Suta</v>
          </cell>
        </row>
        <row r="2364">
          <cell r="A2364" t="str">
            <v>Makhana Tangy Tomato 75gm</v>
          </cell>
          <cell r="B2364" t="str">
            <v>FG</v>
          </cell>
          <cell r="C2364" t="str">
            <v>MAKHANA</v>
          </cell>
          <cell r="D2364" t="str">
            <v>Makhana - Suta</v>
          </cell>
        </row>
        <row r="2365">
          <cell r="A2365" t="str">
            <v>Maltodextrin - TPL</v>
          </cell>
          <cell r="B2365" t="str">
            <v>RM</v>
          </cell>
          <cell r="C2365" t="str">
            <v>TAJIR</v>
          </cell>
          <cell r="D2365" t="str">
            <v>Tajir - Other</v>
          </cell>
        </row>
        <row r="2366">
          <cell r="A2366" t="str">
            <v>Mamra Almonds 1A</v>
          </cell>
          <cell r="B2366" t="str">
            <v>RM</v>
          </cell>
          <cell r="C2366" t="str">
            <v>ALMOND</v>
          </cell>
          <cell r="D2366" t="str">
            <v>Almond - Mamra</v>
          </cell>
        </row>
        <row r="2367">
          <cell r="A2367" t="str">
            <v>Mamra Almonds 2A</v>
          </cell>
          <cell r="B2367" t="str">
            <v>RM</v>
          </cell>
          <cell r="C2367" t="str">
            <v>ALMOND</v>
          </cell>
          <cell r="D2367" t="str">
            <v>Almond - Mamra</v>
          </cell>
        </row>
        <row r="2368">
          <cell r="A2368" t="str">
            <v>Mamra Almonds 3A</v>
          </cell>
          <cell r="B2368" t="str">
            <v>RM</v>
          </cell>
          <cell r="C2368" t="str">
            <v>ALMOND</v>
          </cell>
          <cell r="D2368" t="str">
            <v>Almond - Mamra</v>
          </cell>
        </row>
        <row r="2369">
          <cell r="A2369" t="str">
            <v>Mamra Almonds 4A</v>
          </cell>
          <cell r="B2369" t="str">
            <v>RM</v>
          </cell>
          <cell r="C2369" t="str">
            <v>ALMOND</v>
          </cell>
          <cell r="D2369" t="str">
            <v>Almond - Mamra</v>
          </cell>
        </row>
        <row r="2370">
          <cell r="A2370" t="str">
            <v>Mamra Almonds 5A</v>
          </cell>
          <cell r="B2370" t="str">
            <v>RM</v>
          </cell>
          <cell r="C2370" t="str">
            <v>ALMOND</v>
          </cell>
          <cell r="D2370" t="str">
            <v>Almond - Mamra</v>
          </cell>
        </row>
        <row r="2371">
          <cell r="A2371" t="str">
            <v>Mamra Almonds 6A</v>
          </cell>
          <cell r="B2371" t="str">
            <v>RM</v>
          </cell>
          <cell r="C2371" t="str">
            <v>ALMOND</v>
          </cell>
          <cell r="D2371" t="str">
            <v>Almond - Mamra</v>
          </cell>
        </row>
        <row r="2372">
          <cell r="A2372" t="str">
            <v>Mamra Almonds 7A</v>
          </cell>
          <cell r="B2372" t="str">
            <v>RM</v>
          </cell>
          <cell r="C2372" t="str">
            <v>ALMOND</v>
          </cell>
          <cell r="D2372" t="str">
            <v>Almond - Mamra</v>
          </cell>
        </row>
        <row r="2373">
          <cell r="A2373" t="str">
            <v>Mamra Almonds ES</v>
          </cell>
          <cell r="B2373" t="str">
            <v>RM</v>
          </cell>
          <cell r="C2373" t="str">
            <v>ALMOND</v>
          </cell>
          <cell r="D2373" t="str">
            <v>Almond - Mamra</v>
          </cell>
        </row>
        <row r="2374">
          <cell r="A2374" t="str">
            <v>Mamra Selected</v>
          </cell>
          <cell r="B2374" t="str">
            <v>RM</v>
          </cell>
          <cell r="C2374" t="str">
            <v>ALMOND</v>
          </cell>
          <cell r="D2374" t="str">
            <v>Almond - Mamra</v>
          </cell>
        </row>
        <row r="2375">
          <cell r="A2375" t="str">
            <v>Mango Slice Chilli Seasoning</v>
          </cell>
          <cell r="B2375" t="str">
            <v>RM</v>
          </cell>
          <cell r="C2375" t="str">
            <v>SEASONING</v>
          </cell>
          <cell r="D2375" t="str">
            <v>Seasoning</v>
          </cell>
        </row>
        <row r="2376">
          <cell r="A2376" t="str">
            <v>Maryam Dates</v>
          </cell>
          <cell r="B2376" t="str">
            <v>RM</v>
          </cell>
          <cell r="C2376" t="str">
            <v>DATES</v>
          </cell>
          <cell r="D2376" t="str">
            <v>Maryam</v>
          </cell>
        </row>
        <row r="2377">
          <cell r="A2377" t="str">
            <v>Masala Cashew</v>
          </cell>
          <cell r="B2377" t="str">
            <v>FG</v>
          </cell>
          <cell r="C2377" t="str">
            <v>CASHEW</v>
          </cell>
          <cell r="D2377" t="str">
            <v>Cashew - Kernel</v>
          </cell>
        </row>
        <row r="2378">
          <cell r="A2378" t="str">
            <v>Masala Masti Trail Mix 150g</v>
          </cell>
          <cell r="B2378" t="str">
            <v>FG</v>
          </cell>
          <cell r="C2378" t="str">
            <v>TRAIL MIX</v>
          </cell>
          <cell r="D2378" t="str">
            <v>Trail Mix</v>
          </cell>
        </row>
        <row r="2379">
          <cell r="A2379" t="str">
            <v>Masala Raisin</v>
          </cell>
          <cell r="B2379" t="str">
            <v>FG</v>
          </cell>
          <cell r="C2379" t="str">
            <v>RAISIN</v>
          </cell>
          <cell r="D2379" t="str">
            <v>Raisin - Indian</v>
          </cell>
        </row>
        <row r="2380">
          <cell r="A2380" t="str">
            <v>Masala Seasoning</v>
          </cell>
          <cell r="B2380" t="str">
            <v>RM</v>
          </cell>
          <cell r="C2380" t="str">
            <v>SEASONING</v>
          </cell>
          <cell r="D2380" t="str">
            <v>Seasoning</v>
          </cell>
        </row>
        <row r="2381">
          <cell r="A2381" t="str">
            <v>Mazafati Dates</v>
          </cell>
          <cell r="B2381" t="str">
            <v>RM</v>
          </cell>
          <cell r="C2381" t="str">
            <v>DATES</v>
          </cell>
          <cell r="D2381" t="str">
            <v>Kimia</v>
          </cell>
        </row>
        <row r="2382">
          <cell r="A2382" t="str">
            <v>Mazafati Grade B</v>
          </cell>
          <cell r="B2382" t="str">
            <v>RM</v>
          </cell>
          <cell r="C2382" t="str">
            <v>DATES</v>
          </cell>
          <cell r="D2382" t="str">
            <v>Kimia</v>
          </cell>
        </row>
        <row r="2383">
          <cell r="A2383" t="str">
            <v>MEDJOUL DATES JUMBO</v>
          </cell>
          <cell r="B2383" t="str">
            <v>RM</v>
          </cell>
          <cell r="C2383" t="str">
            <v>DATES</v>
          </cell>
          <cell r="D2383" t="str">
            <v>Medjoul-Jumbo</v>
          </cell>
        </row>
        <row r="2384">
          <cell r="A2384" t="str">
            <v>Medjoul Dates Junior</v>
          </cell>
          <cell r="B2384" t="str">
            <v>RM</v>
          </cell>
          <cell r="C2384" t="str">
            <v>DATES</v>
          </cell>
          <cell r="D2384" t="str">
            <v>Medjoul-Junior</v>
          </cell>
        </row>
        <row r="2385">
          <cell r="A2385" t="str">
            <v>Medjoul Dates Large</v>
          </cell>
          <cell r="B2385" t="str">
            <v>RM</v>
          </cell>
          <cell r="C2385" t="str">
            <v>DATES</v>
          </cell>
          <cell r="D2385" t="str">
            <v>Medjoul-Large</v>
          </cell>
        </row>
        <row r="2386">
          <cell r="A2386" t="str">
            <v>Medjoul Dates Medium</v>
          </cell>
          <cell r="B2386" t="str">
            <v>RM</v>
          </cell>
          <cell r="C2386" t="str">
            <v>DATES</v>
          </cell>
          <cell r="D2386" t="str">
            <v>Medjoul-Medium</v>
          </cell>
        </row>
        <row r="2387">
          <cell r="A2387" t="str">
            <v>Medjoul Dates Mini</v>
          </cell>
          <cell r="B2387" t="str">
            <v>RM</v>
          </cell>
          <cell r="C2387" t="str">
            <v>DATES</v>
          </cell>
          <cell r="D2387" t="str">
            <v>Medjoul-Junior</v>
          </cell>
        </row>
        <row r="2388">
          <cell r="A2388" t="str">
            <v>Medjoul Dates Premium Bon Bon</v>
          </cell>
          <cell r="B2388" t="str">
            <v>RM</v>
          </cell>
          <cell r="C2388" t="str">
            <v>DATES</v>
          </cell>
          <cell r="D2388" t="str">
            <v>Medjoul-Bon Bon</v>
          </cell>
        </row>
        <row r="2389">
          <cell r="A2389" t="str">
            <v>Medjoul Dates Super Jumbo</v>
          </cell>
          <cell r="B2389" t="str">
            <v>RM</v>
          </cell>
          <cell r="C2389" t="str">
            <v>DATES</v>
          </cell>
          <cell r="D2389" t="str">
            <v>Medjoul-Super Jumbo</v>
          </cell>
        </row>
        <row r="2390">
          <cell r="A2390" t="str">
            <v>Medjoul Grade B</v>
          </cell>
          <cell r="B2390" t="str">
            <v>RM</v>
          </cell>
          <cell r="C2390" t="str">
            <v>DATES</v>
          </cell>
          <cell r="D2390" t="str">
            <v>Medjoul-General</v>
          </cell>
        </row>
        <row r="2391">
          <cell r="A2391" t="str">
            <v>MEDJOUL LARGE PITTED WET DATES</v>
          </cell>
          <cell r="B2391" t="str">
            <v>RM</v>
          </cell>
          <cell r="C2391" t="str">
            <v>DATES</v>
          </cell>
          <cell r="D2391" t="str">
            <v>Medjoul-Large</v>
          </cell>
        </row>
        <row r="2392">
          <cell r="A2392" t="str">
            <v>Methi</v>
          </cell>
          <cell r="B2392" t="str">
            <v>RM</v>
          </cell>
          <cell r="C2392" t="str">
            <v>MISCELLANEOUS - RM</v>
          </cell>
          <cell r="D2392" t="str">
            <v>Other Misc</v>
          </cell>
        </row>
        <row r="2393">
          <cell r="A2393" t="str">
            <v>Methi Dryfruit Laddu bar 35gm</v>
          </cell>
          <cell r="B2393" t="str">
            <v>FG</v>
          </cell>
          <cell r="C2393" t="str">
            <v>BARS &amp; CEREALS</v>
          </cell>
          <cell r="D2393" t="str">
            <v>Energy Bars</v>
          </cell>
        </row>
        <row r="2394">
          <cell r="A2394" t="str">
            <v>Methi Dryfruit LadduBar Pack of 6</v>
          </cell>
          <cell r="B2394" t="str">
            <v>FG</v>
          </cell>
          <cell r="C2394" t="str">
            <v>BARS &amp; CEREALS</v>
          </cell>
          <cell r="D2394" t="str">
            <v>Energy Bars</v>
          </cell>
        </row>
        <row r="2395">
          <cell r="A2395" t="str">
            <v>Mexican Chilli Seasoning (PR01027/001)</v>
          </cell>
          <cell r="B2395" t="str">
            <v>RM</v>
          </cell>
          <cell r="C2395" t="str">
            <v>SEASONING</v>
          </cell>
          <cell r="D2395" t="str">
            <v>Seasoning</v>
          </cell>
        </row>
        <row r="2396">
          <cell r="A2396" t="str">
            <v>Mexican Coated Peanuts 60gm</v>
          </cell>
          <cell r="B2396" t="str">
            <v>FG</v>
          </cell>
          <cell r="C2396" t="str">
            <v>PEANUTS</v>
          </cell>
          <cell r="D2396" t="str">
            <v>Peanut - Coated</v>
          </cell>
        </row>
        <row r="2397">
          <cell r="A2397" t="str">
            <v>Mexican Flavoured Coated Peanuts</v>
          </cell>
          <cell r="B2397" t="str">
            <v>FG</v>
          </cell>
          <cell r="C2397" t="str">
            <v>PEANUTS</v>
          </cell>
          <cell r="D2397" t="str">
            <v>Peanut - Coated</v>
          </cell>
        </row>
        <row r="2398">
          <cell r="A2398" t="str">
            <v>Mexican Flavoured Coated Peanuts 35gm</v>
          </cell>
          <cell r="B2398" t="str">
            <v>FG</v>
          </cell>
          <cell r="C2398" t="str">
            <v>PEANUTS</v>
          </cell>
          <cell r="D2398" t="str">
            <v>Peanut - Coated</v>
          </cell>
        </row>
        <row r="2399">
          <cell r="A2399" t="str">
            <v>Mild Chilly Glazed Almonds</v>
          </cell>
          <cell r="B2399" t="str">
            <v>FG</v>
          </cell>
          <cell r="C2399" t="str">
            <v>ALMOND</v>
          </cell>
          <cell r="D2399" t="str">
            <v>Almond - Kernels</v>
          </cell>
        </row>
        <row r="2400">
          <cell r="A2400" t="str">
            <v>Mild Chilly Glazed Cashew</v>
          </cell>
          <cell r="B2400" t="str">
            <v>FG</v>
          </cell>
          <cell r="C2400" t="str">
            <v>CASHEW</v>
          </cell>
          <cell r="D2400" t="str">
            <v>Cashew - Kernel</v>
          </cell>
        </row>
        <row r="2401">
          <cell r="A2401" t="str">
            <v>Milk Almond Draggies</v>
          </cell>
          <cell r="B2401" t="str">
            <v>FG</v>
          </cell>
          <cell r="C2401" t="str">
            <v>ALMOND</v>
          </cell>
          <cell r="D2401" t="str">
            <v>Almond - Kernels</v>
          </cell>
        </row>
        <row r="2402">
          <cell r="A2402" t="str">
            <v>MILK CHOCOLATE ALMOND DATE</v>
          </cell>
          <cell r="B2402" t="str">
            <v>FG</v>
          </cell>
          <cell r="C2402" t="str">
            <v>TRAIL MIX</v>
          </cell>
          <cell r="D2402" t="str">
            <v>Trail Mix</v>
          </cell>
        </row>
        <row r="2403">
          <cell r="A2403" t="str">
            <v>Milk Chocolate Coated Almond Stuffed Khalas Single</v>
          </cell>
          <cell r="B2403" t="str">
            <v>FG</v>
          </cell>
          <cell r="C2403" t="str">
            <v>TRAIL MIX</v>
          </cell>
          <cell r="D2403" t="str">
            <v>Trail Mix</v>
          </cell>
        </row>
        <row r="2404">
          <cell r="A2404" t="str">
            <v>Milk Chocolate Coated Date Bites</v>
          </cell>
          <cell r="B2404" t="str">
            <v>FG</v>
          </cell>
          <cell r="C2404" t="str">
            <v>BARS &amp; CEREALS</v>
          </cell>
          <cell r="D2404" t="str">
            <v>Bites</v>
          </cell>
        </row>
        <row r="2405">
          <cell r="A2405" t="str">
            <v>MILK CHOCOLATE COUVERTURE 823</v>
          </cell>
          <cell r="B2405" t="str">
            <v>RM</v>
          </cell>
          <cell r="C2405" t="str">
            <v>MISCELLANEOUS - RM</v>
          </cell>
          <cell r="D2405" t="str">
            <v>Chocolate</v>
          </cell>
        </row>
        <row r="2406">
          <cell r="A2406" t="str">
            <v>Milk Chocolate Macadamia Clusters 100gm</v>
          </cell>
          <cell r="B2406" t="str">
            <v>FG</v>
          </cell>
          <cell r="C2406" t="str">
            <v>PREMIUM NUTS</v>
          </cell>
          <cell r="D2406" t="str">
            <v>Macadamia Nuts</v>
          </cell>
        </row>
        <row r="2407">
          <cell r="A2407" t="str">
            <v>Milk Compound Chocolate</v>
          </cell>
          <cell r="B2407" t="str">
            <v>RM</v>
          </cell>
          <cell r="C2407" t="str">
            <v>MISCELLANEOUS - RM</v>
          </cell>
          <cell r="D2407" t="str">
            <v>Chocolate</v>
          </cell>
        </row>
        <row r="2408">
          <cell r="A2408" t="str">
            <v>MILK MAID</v>
          </cell>
          <cell r="B2408" t="str">
            <v>RM</v>
          </cell>
          <cell r="C2408" t="str">
            <v>MISCELLANEOUS - RM</v>
          </cell>
          <cell r="D2408" t="str">
            <v>Other Misc</v>
          </cell>
        </row>
        <row r="2409">
          <cell r="A2409" t="str">
            <v>Millennium Nut Mix</v>
          </cell>
          <cell r="B2409" t="str">
            <v>FG</v>
          </cell>
          <cell r="C2409" t="str">
            <v>TRAIL MIX</v>
          </cell>
          <cell r="D2409" t="str">
            <v>Trail Mix</v>
          </cell>
        </row>
        <row r="2410">
          <cell r="A2410" t="str">
            <v>Millet</v>
          </cell>
          <cell r="B2410" t="str">
            <v>RM</v>
          </cell>
          <cell r="C2410" t="str">
            <v>MISCELLANEOUS - RM</v>
          </cell>
          <cell r="D2410" t="str">
            <v>Other Misc</v>
          </cell>
        </row>
        <row r="2411">
          <cell r="A2411" t="str">
            <v>Mishri / Crystal Sugar/ Khadi Sakhar</v>
          </cell>
          <cell r="B2411" t="str">
            <v>RM</v>
          </cell>
          <cell r="C2411" t="str">
            <v>MISCELLANEOUS - RM</v>
          </cell>
          <cell r="D2411" t="str">
            <v>Other Misc</v>
          </cell>
        </row>
        <row r="2412">
          <cell r="A2412" t="str">
            <v>Mocha Mojo Trail Mix</v>
          </cell>
          <cell r="B2412" t="str">
            <v>FG</v>
          </cell>
          <cell r="C2412" t="str">
            <v>TRAIL MIX</v>
          </cell>
          <cell r="D2412" t="str">
            <v>Trail Mix</v>
          </cell>
        </row>
        <row r="2413">
          <cell r="A2413" t="str">
            <v>Moon Freeze Banana Date Fruit Bar - 10 GM</v>
          </cell>
          <cell r="B2413" t="str">
            <v>FG</v>
          </cell>
          <cell r="C2413" t="str">
            <v>BARS &amp; CEREALS</v>
          </cell>
          <cell r="D2413" t="str">
            <v>Energy Bars</v>
          </cell>
        </row>
        <row r="2414">
          <cell r="A2414" t="str">
            <v>Moon Freeze Banana Date Fruit Bar - 45 Gm</v>
          </cell>
          <cell r="B2414" t="str">
            <v>FG</v>
          </cell>
          <cell r="C2414" t="str">
            <v>BARS &amp; CEREALS</v>
          </cell>
          <cell r="D2414" t="str">
            <v>Energy Bars</v>
          </cell>
        </row>
        <row r="2415">
          <cell r="A2415" t="str">
            <v>Moon Freeze Mango Date Fruit Bar - 10 GM</v>
          </cell>
          <cell r="B2415" t="str">
            <v>FG</v>
          </cell>
          <cell r="C2415" t="str">
            <v>BARS &amp; CEREALS</v>
          </cell>
          <cell r="D2415" t="str">
            <v>Energy Bars</v>
          </cell>
        </row>
        <row r="2416">
          <cell r="A2416" t="str">
            <v>Moon Freeze Mango Date Fruit Bar - 45 Gm</v>
          </cell>
          <cell r="B2416" t="str">
            <v>FG</v>
          </cell>
          <cell r="C2416" t="str">
            <v>BARS &amp; CEREALS</v>
          </cell>
          <cell r="D2416" t="str">
            <v>Energy Bars</v>
          </cell>
        </row>
        <row r="2417">
          <cell r="A2417" t="str">
            <v>Moon Freeze Pineapple Date Fruit Bar -10 GM</v>
          </cell>
          <cell r="B2417" t="str">
            <v>FG</v>
          </cell>
          <cell r="C2417" t="str">
            <v>BARS &amp; CEREALS</v>
          </cell>
          <cell r="D2417" t="str">
            <v>Energy Bars</v>
          </cell>
        </row>
        <row r="2418">
          <cell r="A2418" t="str">
            <v>Moon Freeze Pineapple Date Fruit Bar - 45 Gm</v>
          </cell>
          <cell r="B2418" t="str">
            <v>FG</v>
          </cell>
          <cell r="C2418" t="str">
            <v>BARS &amp; CEREALS</v>
          </cell>
          <cell r="D2418" t="str">
            <v>Energy Bars</v>
          </cell>
        </row>
        <row r="2419">
          <cell r="A2419" t="str">
            <v>Moon Freeze Strawberry Date Fruit Bar -10 GM</v>
          </cell>
          <cell r="B2419" t="str">
            <v>FG</v>
          </cell>
          <cell r="C2419" t="str">
            <v>BARS &amp; CEREALS</v>
          </cell>
          <cell r="D2419" t="str">
            <v>Energy Bars</v>
          </cell>
        </row>
        <row r="2420">
          <cell r="A2420" t="str">
            <v>Moon Freeze Strawberry Date Fruit Bar - 45 Gm</v>
          </cell>
          <cell r="B2420" t="str">
            <v>FG</v>
          </cell>
          <cell r="C2420" t="str">
            <v>BARS &amp; CEREALS</v>
          </cell>
          <cell r="D2420" t="str">
            <v>Energy Bars</v>
          </cell>
        </row>
        <row r="2421">
          <cell r="A2421" t="str">
            <v>Morde Dark Chocolate - CHD45</v>
          </cell>
          <cell r="B2421" t="str">
            <v>RM</v>
          </cell>
          <cell r="C2421" t="str">
            <v>MISCELLANEOUS - RM</v>
          </cell>
          <cell r="D2421" t="str">
            <v>Chocolate</v>
          </cell>
        </row>
        <row r="2422">
          <cell r="A2422" t="str">
            <v>Morde Dark Chocolate - CHD55</v>
          </cell>
          <cell r="B2422" t="str">
            <v>RM</v>
          </cell>
          <cell r="C2422" t="str">
            <v>MISCELLANEOUS - RM</v>
          </cell>
          <cell r="D2422" t="str">
            <v>Chocolate</v>
          </cell>
        </row>
        <row r="2423">
          <cell r="A2423" t="str">
            <v>Morde White Chocolate - CHW35</v>
          </cell>
          <cell r="B2423" t="str">
            <v>RM</v>
          </cell>
          <cell r="C2423" t="str">
            <v>MISCELLANEOUS - RM</v>
          </cell>
          <cell r="D2423" t="str">
            <v>Chocolate</v>
          </cell>
        </row>
        <row r="2424">
          <cell r="A2424" t="str">
            <v>Muskmelon Seeds</v>
          </cell>
          <cell r="B2424" t="str">
            <v>RM</v>
          </cell>
          <cell r="C2424" t="str">
            <v>SEEDS</v>
          </cell>
          <cell r="D2424" t="str">
            <v>Melon</v>
          </cell>
        </row>
        <row r="2425">
          <cell r="A2425" t="str">
            <v>NATAPURE Almond 200g</v>
          </cell>
          <cell r="B2425" t="str">
            <v>FG</v>
          </cell>
          <cell r="C2425" t="str">
            <v>ALMOND</v>
          </cell>
          <cell r="D2425" t="str">
            <v>Almond - Kernels</v>
          </cell>
        </row>
        <row r="2426">
          <cell r="A2426" t="str">
            <v>NATAPURE Roasted Almonds 175gms</v>
          </cell>
          <cell r="B2426" t="str">
            <v>FG</v>
          </cell>
          <cell r="C2426" t="str">
            <v>ALMOND</v>
          </cell>
          <cell r="D2426" t="str">
            <v>Almond - Kernels</v>
          </cell>
        </row>
        <row r="2427">
          <cell r="A2427" t="str">
            <v>Natch Glazed Nut Mix Chilli 120gm</v>
          </cell>
          <cell r="B2427" t="str">
            <v>FG</v>
          </cell>
          <cell r="C2427" t="str">
            <v>TRAIL MIX</v>
          </cell>
          <cell r="D2427" t="str">
            <v>Trail Mix</v>
          </cell>
        </row>
        <row r="2428">
          <cell r="A2428" t="str">
            <v>Natch Glazed Nut Mix Cinnamon 120gm</v>
          </cell>
          <cell r="B2428" t="str">
            <v>FG</v>
          </cell>
          <cell r="C2428" t="str">
            <v>TRAIL MIX</v>
          </cell>
          <cell r="D2428" t="str">
            <v>Trail Mix</v>
          </cell>
        </row>
        <row r="2429">
          <cell r="A2429" t="str">
            <v>Natch Glazed Nut Mix Cocoa 120gm</v>
          </cell>
          <cell r="B2429" t="str">
            <v>FG</v>
          </cell>
          <cell r="C2429" t="str">
            <v>TRAIL MIX</v>
          </cell>
          <cell r="D2429" t="str">
            <v>Trail Mix</v>
          </cell>
        </row>
        <row r="2430">
          <cell r="A2430" t="str">
            <v>Nature Dried Kiwi 200 Gm ( 1411658 )</v>
          </cell>
          <cell r="B2430" t="str">
            <v>FG</v>
          </cell>
          <cell r="C2430" t="str">
            <v>DEHYDRATED FRUITS</v>
          </cell>
          <cell r="D2430" t="str">
            <v>DF - Kiwi</v>
          </cell>
        </row>
        <row r="2431">
          <cell r="A2431" t="str">
            <v>Natures Almond Reg 500 Gm ( 1411652 )</v>
          </cell>
          <cell r="B2431" t="str">
            <v>FG</v>
          </cell>
          <cell r="C2431" t="str">
            <v>ALMOND</v>
          </cell>
          <cell r="D2431" t="str">
            <v>Almond - Kernels</v>
          </cell>
        </row>
        <row r="2432">
          <cell r="A2432" t="str">
            <v>Natures Almonds Reg 200 Gm (1411651)</v>
          </cell>
          <cell r="B2432" t="str">
            <v>FG</v>
          </cell>
          <cell r="C2432" t="str">
            <v>ALMOND</v>
          </cell>
          <cell r="D2432" t="str">
            <v>Almond - Kernels</v>
          </cell>
        </row>
        <row r="2433">
          <cell r="A2433" t="str">
            <v>Natures American Almond 100g (1340528)</v>
          </cell>
          <cell r="B2433" t="str">
            <v>FG</v>
          </cell>
          <cell r="C2433" t="str">
            <v>ALMOND</v>
          </cell>
          <cell r="D2433" t="str">
            <v>Almond - Kernels</v>
          </cell>
        </row>
        <row r="2434">
          <cell r="A2434" t="str">
            <v>Natures American Almond 250g (1340524)</v>
          </cell>
          <cell r="B2434" t="str">
            <v>FG</v>
          </cell>
          <cell r="C2434" t="str">
            <v>ALMOND</v>
          </cell>
          <cell r="D2434" t="str">
            <v>Almond - Kernels</v>
          </cell>
        </row>
        <row r="2435">
          <cell r="A2435" t="str">
            <v>Natures American Almond 500g (1350926)</v>
          </cell>
          <cell r="B2435" t="str">
            <v>FG</v>
          </cell>
          <cell r="C2435" t="str">
            <v>ALMOND</v>
          </cell>
          <cell r="D2435" t="str">
            <v>Almond - Kernels</v>
          </cell>
        </row>
        <row r="2436">
          <cell r="A2436" t="str">
            <v>Natures American Almonds 1 KG (1416275)</v>
          </cell>
          <cell r="B2436" t="str">
            <v>FG</v>
          </cell>
          <cell r="C2436" t="str">
            <v>ALMOND</v>
          </cell>
          <cell r="D2436" t="str">
            <v>Almond - Kernels</v>
          </cell>
        </row>
        <row r="2437">
          <cell r="A2437" t="str">
            <v>Natures Black Raisin 200g (1340522)</v>
          </cell>
          <cell r="B2437" t="str">
            <v>FG</v>
          </cell>
          <cell r="C2437" t="str">
            <v>RAISIN</v>
          </cell>
          <cell r="D2437" t="str">
            <v>Raisin - Black</v>
          </cell>
        </row>
        <row r="2438">
          <cell r="A2438" t="str">
            <v>Natures California Pista Reg 200 Gm (1411656)</v>
          </cell>
          <cell r="B2438" t="str">
            <v>FG</v>
          </cell>
          <cell r="C2438" t="str">
            <v>PISTA</v>
          </cell>
          <cell r="D2438" t="str">
            <v>Pista - Inshell</v>
          </cell>
        </row>
        <row r="2439">
          <cell r="A2439" t="str">
            <v>Natures Cashew Reg 200 Gm ( 1411653 )</v>
          </cell>
          <cell r="B2439" t="str">
            <v>FG</v>
          </cell>
          <cell r="C2439" t="str">
            <v>CASHEW</v>
          </cell>
          <cell r="D2439" t="str">
            <v>Cashew - Kernel</v>
          </cell>
        </row>
        <row r="2440">
          <cell r="A2440" t="str">
            <v>Natures Cashew Split 200g (1356008)</v>
          </cell>
          <cell r="B2440" t="str">
            <v>FG</v>
          </cell>
          <cell r="C2440" t="str">
            <v>CASHEW</v>
          </cell>
          <cell r="D2440" t="str">
            <v>Cashew - Broken</v>
          </cell>
        </row>
        <row r="2441">
          <cell r="A2441" t="str">
            <v>Natures Cashew W210 100g (1340520)</v>
          </cell>
          <cell r="B2441" t="str">
            <v>FG</v>
          </cell>
          <cell r="C2441" t="str">
            <v>CASHEW</v>
          </cell>
          <cell r="D2441" t="str">
            <v>Cashew - Kernel</v>
          </cell>
        </row>
        <row r="2442">
          <cell r="A2442" t="str">
            <v>Natures Cashew W210 250g (1340525)</v>
          </cell>
          <cell r="B2442" t="str">
            <v>FG</v>
          </cell>
          <cell r="C2442" t="str">
            <v>CASHEW</v>
          </cell>
          <cell r="D2442" t="str">
            <v>Cashew - Kernel</v>
          </cell>
        </row>
        <row r="2443">
          <cell r="A2443" t="str">
            <v>Natures Cashew W 210 500g (1356007)</v>
          </cell>
          <cell r="B2443" t="str">
            <v>FG</v>
          </cell>
          <cell r="C2443" t="str">
            <v>CASHEW</v>
          </cell>
          <cell r="D2443" t="str">
            <v>Cashew - Kernel</v>
          </cell>
        </row>
        <row r="2444">
          <cell r="A2444" t="str">
            <v>Natures Dried Amla 200 Gm ( 1411660 )</v>
          </cell>
          <cell r="B2444" t="str">
            <v>FG</v>
          </cell>
          <cell r="C2444" t="str">
            <v>DEHYDRATED FRUITS</v>
          </cell>
          <cell r="D2444" t="str">
            <v>DF - Amla</v>
          </cell>
        </row>
        <row r="2445">
          <cell r="A2445" t="str">
            <v>Natures Dried Cherry 200 Gm ( 1411661 )</v>
          </cell>
          <cell r="B2445" t="str">
            <v>FG</v>
          </cell>
          <cell r="C2445" t="str">
            <v>DEHYDRATED FRUITS</v>
          </cell>
          <cell r="D2445" t="str">
            <v>DF - Berries</v>
          </cell>
        </row>
        <row r="2446">
          <cell r="A2446" t="str">
            <v>Natures Dried Pineapple 200 Gm ( 1411659 )</v>
          </cell>
          <cell r="B2446" t="str">
            <v>FG</v>
          </cell>
          <cell r="C2446" t="str">
            <v>DEHYDRATED FRUITS</v>
          </cell>
          <cell r="D2446" t="str">
            <v>DF - Pineapple</v>
          </cell>
        </row>
        <row r="2447">
          <cell r="A2447" t="str">
            <v>Natures Dried Strawberry 200 Gm (1411657)</v>
          </cell>
          <cell r="B2447" t="str">
            <v>FG</v>
          </cell>
          <cell r="C2447" t="str">
            <v>DEHYDRATED FRUITS</v>
          </cell>
          <cell r="D2447" t="str">
            <v>DF - Berries</v>
          </cell>
        </row>
        <row r="2448">
          <cell r="A2448" t="str">
            <v>NATURES FIGS 250GM (1357008)</v>
          </cell>
          <cell r="B2448" t="str">
            <v>FG</v>
          </cell>
          <cell r="C2448" t="str">
            <v>ANJEER</v>
          </cell>
          <cell r="D2448" t="str">
            <v>Dried Figs</v>
          </cell>
        </row>
        <row r="2449">
          <cell r="A2449" t="str">
            <v>NATURES FIGS 500G (1357009)</v>
          </cell>
          <cell r="B2449" t="str">
            <v>FG</v>
          </cell>
          <cell r="C2449" t="str">
            <v>ANJEER</v>
          </cell>
          <cell r="D2449" t="str">
            <v>Dried Figs</v>
          </cell>
        </row>
        <row r="2450">
          <cell r="A2450" t="str">
            <v>Natures Indian Raisin Reg 200 Gm (1411654)</v>
          </cell>
          <cell r="B2450" t="str">
            <v>FG</v>
          </cell>
          <cell r="C2450" t="str">
            <v>RAISIN</v>
          </cell>
          <cell r="D2450" t="str">
            <v>Raisin - Indian</v>
          </cell>
        </row>
        <row r="2451">
          <cell r="A2451" t="str">
            <v>Natures Indian Raisin Reg 500 Gm (1411655)</v>
          </cell>
          <cell r="B2451" t="str">
            <v>FG</v>
          </cell>
          <cell r="C2451" t="str">
            <v>RAISIN</v>
          </cell>
          <cell r="D2451" t="str">
            <v>Raisin - Indian</v>
          </cell>
        </row>
        <row r="2452">
          <cell r="A2452" t="str">
            <v>NATURES MACADAMIA ROASTED&amp;SALTED 100g (1443558)</v>
          </cell>
          <cell r="B2452" t="str">
            <v>FG</v>
          </cell>
          <cell r="C2452" t="str">
            <v>PREMIUM NUTS</v>
          </cell>
          <cell r="D2452" t="str">
            <v>Macadamia Nuts</v>
          </cell>
        </row>
        <row r="2453">
          <cell r="A2453" t="str">
            <v>Natures Pistachia Iranian 500g (1340527)</v>
          </cell>
          <cell r="B2453" t="str">
            <v>FG</v>
          </cell>
          <cell r="C2453" t="str">
            <v>PISTA</v>
          </cell>
          <cell r="D2453" t="str">
            <v>Pista - Irani</v>
          </cell>
        </row>
        <row r="2454">
          <cell r="A2454" t="str">
            <v>Natures Pista Iranian 100g (1340521)</v>
          </cell>
          <cell r="B2454" t="str">
            <v>FG</v>
          </cell>
          <cell r="C2454" t="str">
            <v>PISTA</v>
          </cell>
          <cell r="D2454" t="str">
            <v>Pista - Irani</v>
          </cell>
        </row>
        <row r="2455">
          <cell r="A2455" t="str">
            <v>Natures Pista Iranian 250g (1340529)</v>
          </cell>
          <cell r="B2455" t="str">
            <v>FG</v>
          </cell>
          <cell r="C2455" t="str">
            <v>PISTA</v>
          </cell>
          <cell r="D2455" t="str">
            <v>Pista - Irani</v>
          </cell>
        </row>
        <row r="2456">
          <cell r="A2456" t="str">
            <v>Natures Pisto Unshelled 200g (1340526)</v>
          </cell>
          <cell r="B2456" t="str">
            <v>FG</v>
          </cell>
          <cell r="C2456" t="str">
            <v>PISTA</v>
          </cell>
          <cell r="D2456" t="str">
            <v>Pista - Inshell</v>
          </cell>
        </row>
        <row r="2457">
          <cell r="A2457" t="str">
            <v>Natures Premium Mixed Dry Fruits 250g(1356314)</v>
          </cell>
          <cell r="B2457" t="str">
            <v>FG</v>
          </cell>
          <cell r="C2457" t="str">
            <v>TRAIL MIX</v>
          </cell>
          <cell r="D2457" t="str">
            <v>Trail Mix</v>
          </cell>
        </row>
        <row r="2458">
          <cell r="A2458" t="str">
            <v>Natures Raisin 100g (1340523)</v>
          </cell>
          <cell r="B2458" t="str">
            <v>FG</v>
          </cell>
          <cell r="C2458" t="str">
            <v>RAISIN</v>
          </cell>
          <cell r="D2458" t="str">
            <v>Raisin - Indian</v>
          </cell>
        </row>
        <row r="2459">
          <cell r="A2459" t="str">
            <v>Natures Raisin 250g (1340519)</v>
          </cell>
          <cell r="B2459" t="str">
            <v>FG</v>
          </cell>
          <cell r="C2459" t="str">
            <v>RAISIN</v>
          </cell>
          <cell r="D2459" t="str">
            <v>Raisin - Indian</v>
          </cell>
        </row>
        <row r="2460">
          <cell r="A2460" t="str">
            <v>Natures Raisin 500g (1356006)</v>
          </cell>
          <cell r="B2460" t="str">
            <v>FG</v>
          </cell>
          <cell r="C2460" t="str">
            <v>RAISIN</v>
          </cell>
          <cell r="D2460" t="str">
            <v>Raisin - Indian</v>
          </cell>
        </row>
        <row r="2461">
          <cell r="A2461" t="str">
            <v>NB AMERICAN ALMOND LOOSE</v>
          </cell>
          <cell r="B2461" t="str">
            <v>FG</v>
          </cell>
          <cell r="C2461" t="str">
            <v>ALMOND</v>
          </cell>
          <cell r="D2461" t="str">
            <v>Almond - Kernels</v>
          </cell>
        </row>
        <row r="2462">
          <cell r="A2462" t="str">
            <v>NB AMERICAN ALMOND SELECTED LOOSE</v>
          </cell>
          <cell r="B2462" t="str">
            <v>FG</v>
          </cell>
          <cell r="C2462" t="str">
            <v>ALMOND</v>
          </cell>
          <cell r="D2462" t="str">
            <v>Almond - Kernels</v>
          </cell>
        </row>
        <row r="2463">
          <cell r="A2463" t="str">
            <v>NB ANJEER LARGE (SLW) LOOSE</v>
          </cell>
          <cell r="B2463" t="str">
            <v>FG</v>
          </cell>
          <cell r="C2463" t="str">
            <v>ANJEER</v>
          </cell>
          <cell r="D2463" t="str">
            <v>Dried Figs</v>
          </cell>
        </row>
        <row r="2464">
          <cell r="A2464" t="str">
            <v>NB ANJEER SELECT (WHITE) LOOSE</v>
          </cell>
          <cell r="B2464" t="str">
            <v>FG</v>
          </cell>
          <cell r="C2464" t="str">
            <v>ANJEER</v>
          </cell>
          <cell r="D2464" t="str">
            <v>Dried Figs</v>
          </cell>
        </row>
        <row r="2465">
          <cell r="A2465" t="str">
            <v>NB ANJEER SMALL (1X1W) LOOSE</v>
          </cell>
          <cell r="B2465" t="str">
            <v>FG</v>
          </cell>
          <cell r="C2465" t="str">
            <v>ANJEER</v>
          </cell>
          <cell r="D2465" t="str">
            <v>Dried Figs</v>
          </cell>
        </row>
        <row r="2466">
          <cell r="A2466" t="str">
            <v>NB APRICOT WHOLE DRIED LOOSE</v>
          </cell>
          <cell r="B2466" t="str">
            <v>FG</v>
          </cell>
          <cell r="C2466" t="str">
            <v>APRICOT</v>
          </cell>
          <cell r="D2466" t="str">
            <v>Apricot - Afghan</v>
          </cell>
        </row>
        <row r="2467">
          <cell r="A2467" t="str">
            <v>NB BARBEQUE ALMOND LOOSE</v>
          </cell>
          <cell r="B2467" t="str">
            <v>FG</v>
          </cell>
          <cell r="C2467" t="str">
            <v>ALMOND</v>
          </cell>
          <cell r="D2467" t="str">
            <v>Almond - Kernels</v>
          </cell>
        </row>
        <row r="2468">
          <cell r="A2468" t="str">
            <v>NB BARBEQUE CASHEW LOOSE</v>
          </cell>
          <cell r="B2468" t="str">
            <v>FG</v>
          </cell>
          <cell r="C2468" t="str">
            <v>CASHEW</v>
          </cell>
          <cell r="D2468" t="str">
            <v>Cashew - Kernel</v>
          </cell>
        </row>
        <row r="2469">
          <cell r="A2469" t="str">
            <v>NB BLACKBERRY DRIED LOOSE</v>
          </cell>
          <cell r="B2469" t="str">
            <v>FG</v>
          </cell>
          <cell r="C2469" t="str">
            <v>BLACKBERRY</v>
          </cell>
          <cell r="D2469" t="str">
            <v>Dried Blackberry</v>
          </cell>
        </row>
        <row r="2470">
          <cell r="A2470" t="str">
            <v>NB BLACKCURRANT DRIED LOOSE</v>
          </cell>
          <cell r="B2470" t="str">
            <v>FG</v>
          </cell>
          <cell r="C2470" t="str">
            <v>BLACKCURRANT</v>
          </cell>
          <cell r="D2470" t="str">
            <v>Dried Blackcurrant</v>
          </cell>
        </row>
        <row r="2471">
          <cell r="A2471" t="str">
            <v>NB BLACK PEPPER CASHEW LOOSE</v>
          </cell>
          <cell r="B2471" t="str">
            <v>FG</v>
          </cell>
          <cell r="C2471" t="str">
            <v>CASHEW</v>
          </cell>
          <cell r="D2471" t="str">
            <v>Cashew - Kernel</v>
          </cell>
        </row>
        <row r="2472">
          <cell r="A2472" t="str">
            <v>NB BLACK RAISIN SEEDLESS LOOSE</v>
          </cell>
          <cell r="B2472" t="str">
            <v>FG</v>
          </cell>
          <cell r="C2472" t="str">
            <v>RAISIN</v>
          </cell>
          <cell r="D2472" t="str">
            <v>Raisin - Black</v>
          </cell>
        </row>
        <row r="2473">
          <cell r="A2473" t="str">
            <v>NB BLUEBERRY DRIED LOOSE</v>
          </cell>
          <cell r="B2473" t="str">
            <v>FG</v>
          </cell>
          <cell r="C2473" t="str">
            <v>BLUEBERRY</v>
          </cell>
          <cell r="D2473" t="str">
            <v>Blueberry - Plain</v>
          </cell>
        </row>
        <row r="2474">
          <cell r="A2474" t="str">
            <v>NB BRAZIL NUT LOOSE</v>
          </cell>
          <cell r="B2474" t="str">
            <v>FG</v>
          </cell>
          <cell r="C2474" t="str">
            <v>PREMIUM NUTS</v>
          </cell>
          <cell r="D2474" t="str">
            <v>Brazil Nuts</v>
          </cell>
        </row>
        <row r="2475">
          <cell r="A2475" t="str">
            <v>NB CASHEW W150 LOOSE</v>
          </cell>
          <cell r="B2475" t="str">
            <v>FG</v>
          </cell>
          <cell r="C2475" t="str">
            <v>CASHEW</v>
          </cell>
          <cell r="D2475" t="str">
            <v>Cashew - Kernel</v>
          </cell>
        </row>
        <row r="2476">
          <cell r="A2476" t="str">
            <v>NB CASHEW W180 LOOSE</v>
          </cell>
          <cell r="B2476" t="str">
            <v>FG</v>
          </cell>
          <cell r="C2476" t="str">
            <v>CASHEW</v>
          </cell>
          <cell r="D2476" t="str">
            <v>Cashew - Kernel</v>
          </cell>
        </row>
        <row r="2477">
          <cell r="A2477" t="str">
            <v>NB CASHEW W240 LOOSE</v>
          </cell>
          <cell r="B2477" t="str">
            <v>FG</v>
          </cell>
          <cell r="C2477" t="str">
            <v>CASHEW</v>
          </cell>
          <cell r="D2477" t="str">
            <v>Cashew - Kernel</v>
          </cell>
        </row>
        <row r="2478">
          <cell r="A2478" t="str">
            <v>NB CHARCOAL CASHEW LOOSE</v>
          </cell>
          <cell r="B2478" t="str">
            <v>FG</v>
          </cell>
          <cell r="C2478" t="str">
            <v>CASHEW</v>
          </cell>
          <cell r="D2478" t="str">
            <v>Cashew - Kernel</v>
          </cell>
        </row>
        <row r="2479">
          <cell r="A2479" t="str">
            <v>NB CHEESE CASHEW LOOSE</v>
          </cell>
          <cell r="B2479" t="str">
            <v>FG</v>
          </cell>
          <cell r="C2479" t="str">
            <v>CASHEW</v>
          </cell>
          <cell r="D2479" t="str">
            <v>Cashew - Kernel</v>
          </cell>
        </row>
        <row r="2480">
          <cell r="A2480" t="str">
            <v>NB CHIA SEED LOOSE</v>
          </cell>
          <cell r="B2480" t="str">
            <v>FG</v>
          </cell>
          <cell r="C2480" t="str">
            <v>SEEDS</v>
          </cell>
          <cell r="D2480" t="str">
            <v>Chia</v>
          </cell>
        </row>
        <row r="2481">
          <cell r="A2481" t="str">
            <v>NB CRANBERRY DRIED LOOSE</v>
          </cell>
          <cell r="B2481" t="str">
            <v>FG</v>
          </cell>
          <cell r="C2481" t="str">
            <v>CRANBERRY</v>
          </cell>
          <cell r="D2481" t="str">
            <v>Cranberry - Whole</v>
          </cell>
        </row>
        <row r="2482">
          <cell r="A2482" t="str">
            <v>NB DEHYDRATED BABY ORANGE LOOSE</v>
          </cell>
          <cell r="B2482" t="str">
            <v>FG</v>
          </cell>
          <cell r="C2482" t="str">
            <v>DEHYDRATED FRUITS</v>
          </cell>
          <cell r="D2482" t="str">
            <v>DF - Orange</v>
          </cell>
        </row>
        <row r="2483">
          <cell r="A2483" t="str">
            <v>NB DEHYDRATED CHERRY LOOSE</v>
          </cell>
          <cell r="B2483" t="str">
            <v>FG</v>
          </cell>
          <cell r="C2483" t="str">
            <v>DEHYDRATED FRUITS</v>
          </cell>
          <cell r="D2483" t="str">
            <v>DF - Berries</v>
          </cell>
        </row>
        <row r="2484">
          <cell r="A2484" t="str">
            <v>NB DEHYDRATED GINGER LOOSE</v>
          </cell>
          <cell r="B2484" t="str">
            <v>FG</v>
          </cell>
          <cell r="C2484" t="str">
            <v>DEHYDRATED FRUITS</v>
          </cell>
          <cell r="D2484" t="str">
            <v>DF - Ginger</v>
          </cell>
        </row>
        <row r="2485">
          <cell r="A2485" t="str">
            <v>NB DEHYDRATED GUAVA LOOSE</v>
          </cell>
          <cell r="B2485" t="str">
            <v>FG</v>
          </cell>
          <cell r="C2485" t="str">
            <v>DEHYDRATED FRUITS</v>
          </cell>
          <cell r="D2485" t="str">
            <v>DF - Guava</v>
          </cell>
        </row>
        <row r="2486">
          <cell r="A2486" t="str">
            <v>NB DEHYDRATED KIWI LOOSE</v>
          </cell>
          <cell r="B2486" t="str">
            <v>FG</v>
          </cell>
          <cell r="C2486" t="str">
            <v>DEHYDRATED FRUITS</v>
          </cell>
          <cell r="D2486" t="str">
            <v>DF - Kiwi</v>
          </cell>
        </row>
        <row r="2487">
          <cell r="A2487" t="str">
            <v>NB DEHYDRATED MANGO SLICED LOOSE</v>
          </cell>
          <cell r="B2487" t="str">
            <v>FG</v>
          </cell>
          <cell r="C2487" t="str">
            <v>DEHYDRATED FRUITS</v>
          </cell>
          <cell r="D2487" t="str">
            <v>DF - Mango</v>
          </cell>
        </row>
        <row r="2488">
          <cell r="A2488" t="str">
            <v>NB DEHYDRATED PEACH GREEN LOOSE</v>
          </cell>
          <cell r="B2488" t="str">
            <v>FG</v>
          </cell>
          <cell r="C2488" t="str">
            <v>DEHYDRATED FRUITS</v>
          </cell>
          <cell r="D2488" t="str">
            <v>DF - Peach</v>
          </cell>
        </row>
        <row r="2489">
          <cell r="A2489" t="str">
            <v>NB DEHYDRATED PEACH RED LOOSE</v>
          </cell>
          <cell r="B2489" t="str">
            <v>FG</v>
          </cell>
          <cell r="C2489" t="str">
            <v>DEHYDRATED FRUITS</v>
          </cell>
          <cell r="D2489" t="str">
            <v>DF - Peach</v>
          </cell>
        </row>
        <row r="2490">
          <cell r="A2490" t="str">
            <v>NB DEHYDRATED PEACH YELLOW LOOSE</v>
          </cell>
          <cell r="B2490" t="str">
            <v>FG</v>
          </cell>
          <cell r="C2490" t="str">
            <v>DEHYDRATED FRUITS</v>
          </cell>
          <cell r="D2490" t="str">
            <v>DF - Peach</v>
          </cell>
        </row>
        <row r="2491">
          <cell r="A2491" t="str">
            <v>NB DEHYDRATED PINEAPPLE COIN LOOSE</v>
          </cell>
          <cell r="B2491" t="str">
            <v>FG</v>
          </cell>
          <cell r="C2491" t="str">
            <v>DEHYDRATED FRUITS</v>
          </cell>
          <cell r="D2491" t="str">
            <v>DF - Pineapple</v>
          </cell>
        </row>
        <row r="2492">
          <cell r="A2492" t="str">
            <v>NB DEHYDRATED PINEAPPLE RING LOOSE</v>
          </cell>
          <cell r="B2492" t="str">
            <v>FG</v>
          </cell>
          <cell r="C2492" t="str">
            <v>DEHYDRATED FRUITS</v>
          </cell>
          <cell r="D2492" t="str">
            <v>DF - Pineapple</v>
          </cell>
        </row>
        <row r="2493">
          <cell r="A2493" t="str">
            <v>NB DEHYDRATED STRAWBERRY LOOSE</v>
          </cell>
          <cell r="B2493" t="str">
            <v>FG</v>
          </cell>
          <cell r="C2493" t="str">
            <v>DEHYDRATED FRUITS</v>
          </cell>
          <cell r="D2493" t="str">
            <v>DF - Berries</v>
          </cell>
        </row>
        <row r="2494">
          <cell r="A2494" t="str">
            <v>NB FLAX SEED LOOSE</v>
          </cell>
          <cell r="B2494" t="str">
            <v>FG</v>
          </cell>
          <cell r="C2494" t="str">
            <v>SEEDS</v>
          </cell>
          <cell r="D2494" t="str">
            <v>FLax</v>
          </cell>
        </row>
        <row r="2495">
          <cell r="A2495" t="str">
            <v>NB GOJI BERRY DRIED LOOSE</v>
          </cell>
          <cell r="B2495" t="str">
            <v>FG</v>
          </cell>
          <cell r="C2495" t="str">
            <v>DEHYDRATED FRUITS</v>
          </cell>
          <cell r="D2495" t="str">
            <v>DF - Berries</v>
          </cell>
        </row>
        <row r="2496">
          <cell r="A2496" t="str">
            <v>NB GREEN CHILLY CASHEW LOOSE</v>
          </cell>
          <cell r="B2496" t="str">
            <v>FG</v>
          </cell>
          <cell r="C2496" t="str">
            <v>CASHEW</v>
          </cell>
          <cell r="D2496" t="str">
            <v>Cashew - Kernel</v>
          </cell>
        </row>
        <row r="2497">
          <cell r="A2497" t="str">
            <v>NB HAZELNUT LOOSE</v>
          </cell>
          <cell r="B2497" t="str">
            <v>FG</v>
          </cell>
          <cell r="C2497" t="str">
            <v>PREMIUM NUTS</v>
          </cell>
          <cell r="D2497" t="str">
            <v>Hazelnuts</v>
          </cell>
        </row>
        <row r="2498">
          <cell r="A2498" t="str">
            <v>NB HONEY ROAST ALMOND LOOSE</v>
          </cell>
          <cell r="B2498" t="str">
            <v>FG</v>
          </cell>
          <cell r="C2498" t="str">
            <v>ALMOND</v>
          </cell>
          <cell r="D2498" t="str">
            <v>Almond - Kernels</v>
          </cell>
        </row>
        <row r="2499">
          <cell r="A2499" t="str">
            <v>NB MACADAMIA INSHELL VANILLA LOOSE</v>
          </cell>
          <cell r="B2499" t="str">
            <v>FG</v>
          </cell>
          <cell r="C2499" t="str">
            <v>PREMIUM NUTS</v>
          </cell>
          <cell r="D2499" t="str">
            <v>Macadamia Nuts</v>
          </cell>
        </row>
        <row r="2500">
          <cell r="A2500" t="str">
            <v>NB MACADAMIA LOOSE</v>
          </cell>
          <cell r="B2500" t="str">
            <v>FG</v>
          </cell>
          <cell r="C2500" t="str">
            <v>PREMIUM NUTS</v>
          </cell>
          <cell r="D2500" t="str">
            <v>Macadamia Nuts</v>
          </cell>
        </row>
        <row r="2501">
          <cell r="A2501" t="str">
            <v>NB MAMRA ALMOND CLASSIC LOOSE</v>
          </cell>
          <cell r="B2501" t="str">
            <v>FG</v>
          </cell>
          <cell r="C2501" t="str">
            <v>ALMOND</v>
          </cell>
          <cell r="D2501" t="str">
            <v>Almond - Mamra</v>
          </cell>
        </row>
        <row r="2502">
          <cell r="A2502" t="str">
            <v xml:space="preserve">NB MAMRA ALMOND ROYAL LOOSE_x000D_
</v>
          </cell>
          <cell r="B2502" t="str">
            <v>FG</v>
          </cell>
          <cell r="C2502" t="str">
            <v>ALMOND</v>
          </cell>
          <cell r="D2502" t="str">
            <v>Almond - Mamra</v>
          </cell>
        </row>
        <row r="2503">
          <cell r="A2503" t="str">
            <v>NB MAMRA ALMOND ROYAL LOOSE (Not in Use)</v>
          </cell>
          <cell r="B2503" t="str">
            <v>FG</v>
          </cell>
          <cell r="C2503" t="str">
            <v>ALMOND</v>
          </cell>
          <cell r="D2503" t="str">
            <v>Almond - Mamra</v>
          </cell>
        </row>
        <row r="2504">
          <cell r="A2504" t="str">
            <v>NB MASALA CASHEW LOOSE</v>
          </cell>
          <cell r="B2504" t="str">
            <v>FG</v>
          </cell>
          <cell r="C2504" t="str">
            <v>CASHEW</v>
          </cell>
          <cell r="D2504" t="str">
            <v>Cashew - Kernel</v>
          </cell>
        </row>
        <row r="2505">
          <cell r="A2505" t="str">
            <v>NB MASALA RAISIN LOOSE</v>
          </cell>
          <cell r="B2505" t="str">
            <v>FG</v>
          </cell>
          <cell r="C2505" t="str">
            <v>RAISIN</v>
          </cell>
          <cell r="D2505" t="str">
            <v>Raisin - Indian</v>
          </cell>
        </row>
        <row r="2506">
          <cell r="A2506" t="str">
            <v>NB MILLENNIUM NUT MIX LOOSE</v>
          </cell>
          <cell r="B2506" t="str">
            <v>FG</v>
          </cell>
          <cell r="C2506" t="str">
            <v>TRAIL MIX</v>
          </cell>
          <cell r="D2506" t="str">
            <v>Trail Mix</v>
          </cell>
        </row>
        <row r="2507">
          <cell r="A2507" t="str">
            <v>NB MUNAKKA LOOSE</v>
          </cell>
          <cell r="B2507" t="str">
            <v>FG</v>
          </cell>
          <cell r="C2507" t="str">
            <v>RAISIN</v>
          </cell>
          <cell r="D2507" t="str">
            <v>Raisin - Abjosh</v>
          </cell>
        </row>
        <row r="2508">
          <cell r="A2508" t="str">
            <v>NB PAAN RAISIN LOOSE</v>
          </cell>
          <cell r="B2508" t="str">
            <v>FG</v>
          </cell>
          <cell r="C2508" t="str">
            <v>RAISIN</v>
          </cell>
          <cell r="D2508" t="str">
            <v>Raisin - Indian</v>
          </cell>
        </row>
        <row r="2509">
          <cell r="A2509" t="str">
            <v>NB PECAN NUT LOOSE</v>
          </cell>
          <cell r="B2509" t="str">
            <v>FG</v>
          </cell>
          <cell r="C2509" t="str">
            <v>PREMIUM NUTS</v>
          </cell>
          <cell r="D2509" t="str">
            <v>Pecan Nuts</v>
          </cell>
        </row>
        <row r="2510">
          <cell r="A2510" t="str">
            <v>NB PERI-PERI CASHEW LOOSE</v>
          </cell>
          <cell r="B2510" t="str">
            <v>FG</v>
          </cell>
          <cell r="C2510" t="str">
            <v>CASHEW</v>
          </cell>
          <cell r="D2510" t="str">
            <v>Cashew - Kernel</v>
          </cell>
        </row>
        <row r="2511">
          <cell r="A2511" t="str">
            <v>NB PINENUT LOOSE</v>
          </cell>
          <cell r="B2511" t="str">
            <v>FG</v>
          </cell>
          <cell r="C2511" t="str">
            <v>PREMIUM NUTS</v>
          </cell>
          <cell r="D2511" t="str">
            <v>Pine Nuts</v>
          </cell>
        </row>
        <row r="2512">
          <cell r="A2512" t="str">
            <v>NB PISTACHIO AKBARI LOOSE</v>
          </cell>
          <cell r="B2512" t="str">
            <v>FG</v>
          </cell>
          <cell r="C2512" t="str">
            <v>PISTA</v>
          </cell>
          <cell r="D2512" t="str">
            <v>Pista - Inshell</v>
          </cell>
        </row>
        <row r="2513">
          <cell r="A2513" t="str">
            <v>NB PISTACHIO IRANI LOOSE</v>
          </cell>
          <cell r="B2513" t="str">
            <v>FG</v>
          </cell>
          <cell r="C2513" t="str">
            <v>PISTA</v>
          </cell>
          <cell r="D2513" t="str">
            <v>Pista - Irani</v>
          </cell>
        </row>
        <row r="2514">
          <cell r="A2514" t="str">
            <v>NB PISTACHIO KERNEL 5 STAR LOOSE</v>
          </cell>
          <cell r="B2514" t="str">
            <v>FG</v>
          </cell>
          <cell r="C2514" t="str">
            <v>PISTA</v>
          </cell>
          <cell r="D2514" t="str">
            <v>Pista - Kernel</v>
          </cell>
        </row>
        <row r="2515">
          <cell r="A2515" t="str">
            <v>NB PISTACHIO KERNEL PREMIUM LOOSE</v>
          </cell>
          <cell r="B2515" t="str">
            <v>FG</v>
          </cell>
          <cell r="C2515" t="str">
            <v>PISTA</v>
          </cell>
          <cell r="D2515" t="str">
            <v>Pista - Kernel</v>
          </cell>
        </row>
        <row r="2516">
          <cell r="A2516" t="str">
            <v>NB PRUNES DRIED LOOSE</v>
          </cell>
          <cell r="B2516" t="str">
            <v>FG</v>
          </cell>
          <cell r="C2516" t="str">
            <v>PRUNES</v>
          </cell>
          <cell r="D2516" t="str">
            <v>Prunes - Pitted</v>
          </cell>
        </row>
        <row r="2517">
          <cell r="A2517" t="str">
            <v>NB PUMPKIN SEED LOOSE</v>
          </cell>
          <cell r="B2517" t="str">
            <v>FG</v>
          </cell>
          <cell r="C2517" t="str">
            <v>SEEDS</v>
          </cell>
          <cell r="D2517" t="str">
            <v>Pumpkin</v>
          </cell>
        </row>
        <row r="2518">
          <cell r="A2518" t="str">
            <v>NB RAISIN AFGHAN</v>
          </cell>
          <cell r="B2518" t="str">
            <v>FG</v>
          </cell>
          <cell r="C2518" t="str">
            <v>RAISIN</v>
          </cell>
          <cell r="D2518" t="str">
            <v>Raisin - Afghan</v>
          </cell>
        </row>
        <row r="2519">
          <cell r="A2519" t="str">
            <v>NB RAISIN INDIAN PREMIUM LOOSE</v>
          </cell>
          <cell r="B2519" t="str">
            <v>FG</v>
          </cell>
          <cell r="C2519" t="str">
            <v>RAISIN</v>
          </cell>
          <cell r="D2519" t="str">
            <v>Raisin - Indian</v>
          </cell>
        </row>
        <row r="2520">
          <cell r="A2520" t="str">
            <v>NB RAISIN SANDUKANI LOOSE</v>
          </cell>
          <cell r="B2520" t="str">
            <v>FG</v>
          </cell>
          <cell r="C2520" t="str">
            <v>RAISIN</v>
          </cell>
          <cell r="D2520" t="str">
            <v>Raisin - Shandukhani</v>
          </cell>
        </row>
        <row r="2521">
          <cell r="A2521" t="str">
            <v>NB ROASTED MACADAMIA INSHELL LOOSE</v>
          </cell>
          <cell r="B2521" t="str">
            <v>FG</v>
          </cell>
          <cell r="C2521" t="str">
            <v>PREMIUM NUTS</v>
          </cell>
          <cell r="D2521" t="str">
            <v>Macadamia Nuts</v>
          </cell>
        </row>
        <row r="2522">
          <cell r="A2522" t="str">
            <v>NB ROASTED &amp; SALTED ALMOND LOOSE</v>
          </cell>
          <cell r="B2522" t="str">
            <v>FG</v>
          </cell>
          <cell r="C2522" t="str">
            <v>ALMOND</v>
          </cell>
          <cell r="D2522" t="str">
            <v>Almond - Kernels</v>
          </cell>
        </row>
        <row r="2523">
          <cell r="A2523" t="str">
            <v>NB ROASTED &amp; SALTED CASHEW LOOSE</v>
          </cell>
          <cell r="B2523" t="str">
            <v>FG</v>
          </cell>
          <cell r="C2523" t="str">
            <v>CASHEW</v>
          </cell>
          <cell r="D2523" t="str">
            <v>Cashew - Kernel</v>
          </cell>
        </row>
        <row r="2524">
          <cell r="A2524" t="str">
            <v>NB SMOKED ALMOND LOOSE</v>
          </cell>
          <cell r="B2524" t="str">
            <v>FG</v>
          </cell>
          <cell r="C2524" t="str">
            <v>ALMOND</v>
          </cell>
          <cell r="D2524" t="str">
            <v>Almond - Kernels</v>
          </cell>
        </row>
        <row r="2525">
          <cell r="A2525" t="str">
            <v>NB SRIRACHA CASHEW LOOSE</v>
          </cell>
          <cell r="B2525" t="str">
            <v>FG</v>
          </cell>
          <cell r="C2525" t="str">
            <v>CASHEW</v>
          </cell>
          <cell r="D2525" t="str">
            <v>Cashew - Kernel</v>
          </cell>
        </row>
        <row r="2526">
          <cell r="A2526" t="str">
            <v>NB SUNFLLOWER SEED LOOSE</v>
          </cell>
          <cell r="B2526" t="str">
            <v>FG</v>
          </cell>
          <cell r="C2526" t="str">
            <v>SEEDS</v>
          </cell>
          <cell r="D2526" t="str">
            <v>Sunflower</v>
          </cell>
        </row>
        <row r="2527">
          <cell r="A2527" t="str">
            <v>NB TRAIL MIX- EVERY HEALTH LOOSE</v>
          </cell>
          <cell r="B2527" t="str">
            <v>FG</v>
          </cell>
          <cell r="C2527" t="str">
            <v>TRAIL MIX</v>
          </cell>
          <cell r="D2527" t="str">
            <v>Trail Mix</v>
          </cell>
        </row>
        <row r="2528">
          <cell r="A2528" t="str">
            <v>NB TRAIL MIX - POWER SEED LOOSE</v>
          </cell>
          <cell r="B2528" t="str">
            <v>FG</v>
          </cell>
          <cell r="C2528" t="str">
            <v>TRAIL MIX</v>
          </cell>
          <cell r="D2528" t="str">
            <v>Trail Mix</v>
          </cell>
        </row>
        <row r="2529">
          <cell r="A2529" t="str">
            <v>NB TRAIL MIX - PREMIUM NUT LOOSE</v>
          </cell>
          <cell r="B2529" t="str">
            <v>FG</v>
          </cell>
          <cell r="C2529" t="str">
            <v>TRAIL MIX</v>
          </cell>
          <cell r="D2529" t="str">
            <v>Trail Mix</v>
          </cell>
        </row>
        <row r="2530">
          <cell r="A2530" t="str">
            <v>NB TRAIL MIX SALTED COCKTAIL LOOSE</v>
          </cell>
          <cell r="B2530" t="str">
            <v>FG</v>
          </cell>
          <cell r="C2530" t="str">
            <v>TRAIL MIX</v>
          </cell>
          <cell r="D2530" t="str">
            <v>Trail Mix</v>
          </cell>
        </row>
        <row r="2531">
          <cell r="A2531" t="str">
            <v>NB WALNUTS CHILEAN INSHELL LOOSE /P</v>
          </cell>
          <cell r="B2531" t="str">
            <v>FG</v>
          </cell>
          <cell r="C2531" t="str">
            <v>WALNUT</v>
          </cell>
          <cell r="D2531" t="str">
            <v>Walnut - Inshell</v>
          </cell>
        </row>
        <row r="2532">
          <cell r="A2532" t="str">
            <v>NB WALNUTS CHILEAN LOOSE</v>
          </cell>
          <cell r="B2532" t="str">
            <v>FG</v>
          </cell>
          <cell r="C2532" t="str">
            <v>WALNUT</v>
          </cell>
          <cell r="D2532" t="str">
            <v>Walnut - Kernel</v>
          </cell>
        </row>
        <row r="2533">
          <cell r="A2533" t="str">
            <v>NB WATERMELON SEED LOOSE</v>
          </cell>
          <cell r="B2533" t="str">
            <v>FG</v>
          </cell>
          <cell r="C2533" t="str">
            <v>SEEDS</v>
          </cell>
          <cell r="D2533" t="str">
            <v>Watermelon</v>
          </cell>
        </row>
        <row r="2534">
          <cell r="A2534" t="str">
            <v>NNS Date Syrup 400 Gm</v>
          </cell>
          <cell r="B2534" t="str">
            <v>FG</v>
          </cell>
          <cell r="C2534" t="str">
            <v>DATES</v>
          </cell>
          <cell r="D2534" t="str">
            <v>Syrup</v>
          </cell>
        </row>
        <row r="2535">
          <cell r="A2535" t="str">
            <v>NOICE Choco Health Laddoo (18g*5)</v>
          </cell>
          <cell r="B2535" t="str">
            <v>FG</v>
          </cell>
          <cell r="C2535" t="str">
            <v>BARS &amp; CEREALS</v>
          </cell>
          <cell r="D2535" t="str">
            <v>Bites</v>
          </cell>
        </row>
        <row r="2536">
          <cell r="A2536" t="str">
            <v>Noice Classic Flavour Date Mewa (Semi Finished)</v>
          </cell>
          <cell r="B2536" t="str">
            <v>FG</v>
          </cell>
          <cell r="C2536" t="str">
            <v>BARS &amp; CEREALS</v>
          </cell>
          <cell r="D2536" t="str">
            <v>Bites</v>
          </cell>
        </row>
        <row r="2537">
          <cell r="A2537" t="str">
            <v>NOICE Date Bites (18g*5)</v>
          </cell>
          <cell r="B2537" t="str">
            <v>FG</v>
          </cell>
          <cell r="C2537" t="str">
            <v>BARS &amp; CEREALS</v>
          </cell>
          <cell r="D2537" t="str">
            <v>Bites</v>
          </cell>
        </row>
        <row r="2538">
          <cell r="A2538" t="str">
            <v>NUT BAR ALMOND BUTTER</v>
          </cell>
          <cell r="B2538" t="str">
            <v>FG</v>
          </cell>
          <cell r="C2538" t="str">
            <v>TRAIL MIX</v>
          </cell>
          <cell r="D2538" t="str">
            <v>Trail Mix</v>
          </cell>
        </row>
        <row r="2539">
          <cell r="A2539" t="str">
            <v>NUT BAR PEANUT BUTTER</v>
          </cell>
          <cell r="B2539" t="str">
            <v>FG</v>
          </cell>
          <cell r="C2539" t="str">
            <v>TRAIL MIX</v>
          </cell>
          <cell r="D2539" t="str">
            <v>Trail Mix</v>
          </cell>
        </row>
        <row r="2540">
          <cell r="A2540" t="str">
            <v>Nut Flex - Italian Herbs 33gm</v>
          </cell>
          <cell r="B2540" t="str">
            <v>FG</v>
          </cell>
          <cell r="C2540" t="str">
            <v>TRAIL MIX</v>
          </cell>
          <cell r="D2540" t="str">
            <v>Trail Mix</v>
          </cell>
        </row>
        <row r="2541">
          <cell r="A2541" t="str">
            <v>Nut Flex - Italian Herbs 35gm</v>
          </cell>
          <cell r="B2541" t="str">
            <v>FG</v>
          </cell>
          <cell r="C2541" t="str">
            <v>TRAIL MIX</v>
          </cell>
          <cell r="D2541" t="str">
            <v>Trail Mix</v>
          </cell>
        </row>
        <row r="2542">
          <cell r="A2542" t="str">
            <v>Nutrizoe Fenugreek Cinnamon Bars 45gm</v>
          </cell>
          <cell r="B2542" t="str">
            <v>FG</v>
          </cell>
          <cell r="C2542" t="str">
            <v>BARS &amp; CEREALS</v>
          </cell>
          <cell r="D2542" t="str">
            <v>Energy Bars</v>
          </cell>
        </row>
        <row r="2543">
          <cell r="A2543" t="str">
            <v>Nuts and Cardamom Date Balls 48 gms</v>
          </cell>
          <cell r="B2543" t="str">
            <v>FG</v>
          </cell>
          <cell r="C2543" t="str">
            <v>TRAIL MIX</v>
          </cell>
          <cell r="D2543" t="str">
            <v>Trail Mix</v>
          </cell>
        </row>
        <row r="2544">
          <cell r="A2544" t="str">
            <v>Nuts &amp; Seed Mix</v>
          </cell>
          <cell r="B2544" t="str">
            <v>FG</v>
          </cell>
          <cell r="C2544" t="str">
            <v>TRAIL MIX</v>
          </cell>
          <cell r="D2544" t="str">
            <v>Trail Mix</v>
          </cell>
        </row>
        <row r="2545">
          <cell r="A2545" t="str">
            <v>NUTWORKS FINGER LIME &amp; JALAPENO 75G PCH</v>
          </cell>
          <cell r="B2545" t="str">
            <v>FG</v>
          </cell>
          <cell r="C2545" t="str">
            <v>PREMIUM NUTS</v>
          </cell>
          <cell r="D2545" t="str">
            <v>Macadamia Nuts</v>
          </cell>
        </row>
        <row r="2546">
          <cell r="A2546" t="str">
            <v>NUTWORKS ROAST SALT INSHELL 100G PCH</v>
          </cell>
          <cell r="B2546" t="str">
            <v>FG</v>
          </cell>
          <cell r="C2546" t="str">
            <v>PREMIUM NUTS</v>
          </cell>
          <cell r="D2546" t="str">
            <v>Macadamia Nuts</v>
          </cell>
        </row>
        <row r="2547">
          <cell r="A2547" t="str">
            <v>NUTWORKS ROAST SALT INSHELL 200G PCH</v>
          </cell>
          <cell r="B2547" t="str">
            <v>FG</v>
          </cell>
          <cell r="C2547" t="str">
            <v>PREMIUM NUTS</v>
          </cell>
          <cell r="D2547" t="str">
            <v>Macadamia Nuts</v>
          </cell>
        </row>
        <row r="2548">
          <cell r="A2548" t="str">
            <v>NUTWORKS ROSEMARY &amp; SEASALT 75G PCH</v>
          </cell>
          <cell r="B2548" t="str">
            <v>FG</v>
          </cell>
          <cell r="C2548" t="str">
            <v>PREMIUM NUTS</v>
          </cell>
          <cell r="D2548" t="str">
            <v>Macadamia Nuts</v>
          </cell>
        </row>
        <row r="2549">
          <cell r="A2549" t="str">
            <v>NUTWORKS WASABI 75G PCH</v>
          </cell>
          <cell r="B2549" t="str">
            <v>FG</v>
          </cell>
          <cell r="C2549" t="str">
            <v>PREMIUM NUTS</v>
          </cell>
          <cell r="D2549" t="str">
            <v>Macadamia Nuts</v>
          </cell>
        </row>
        <row r="2550">
          <cell r="A2550" t="str">
            <v>OATS</v>
          </cell>
          <cell r="B2550" t="str">
            <v>RM</v>
          </cell>
          <cell r="C2550" t="str">
            <v>MISCELLANEOUS - RM</v>
          </cell>
          <cell r="D2550" t="str">
            <v>Other Misc</v>
          </cell>
        </row>
        <row r="2551">
          <cell r="A2551" t="str">
            <v>OFF-GRADE ALMOND</v>
          </cell>
          <cell r="B2551" t="str">
            <v>RM</v>
          </cell>
          <cell r="C2551" t="str">
            <v>ALMOND</v>
          </cell>
          <cell r="D2551" t="str">
            <v>OFF-GRADE ALMOND</v>
          </cell>
        </row>
        <row r="2552">
          <cell r="A2552" t="str">
            <v>OFF-GRADE ANJEER</v>
          </cell>
          <cell r="B2552" t="str">
            <v>RM</v>
          </cell>
          <cell r="C2552" t="str">
            <v>ANJEER</v>
          </cell>
          <cell r="D2552" t="str">
            <v>OFF-GRADE ANJEER</v>
          </cell>
        </row>
        <row r="2553">
          <cell r="A2553" t="str">
            <v>OFF-GRADE APRICOT</v>
          </cell>
          <cell r="B2553" t="str">
            <v>RM</v>
          </cell>
          <cell r="C2553" t="str">
            <v>APRICOT</v>
          </cell>
          <cell r="D2553" t="str">
            <v>OFF-GRADE APRICOT</v>
          </cell>
        </row>
        <row r="2554">
          <cell r="A2554" t="str">
            <v>OFF-GRADE CASHEW</v>
          </cell>
          <cell r="B2554" t="str">
            <v>RM</v>
          </cell>
          <cell r="C2554" t="str">
            <v>CASHEW</v>
          </cell>
          <cell r="D2554" t="str">
            <v>OFF-GRADE CASHEW</v>
          </cell>
        </row>
        <row r="2555">
          <cell r="A2555" t="str">
            <v>OFF-GRADE CRANBERRY</v>
          </cell>
          <cell r="B2555" t="str">
            <v>RM</v>
          </cell>
          <cell r="C2555" t="str">
            <v>CRANBERRY</v>
          </cell>
          <cell r="D2555" t="str">
            <v>OFF-GRADE CRANBERRY</v>
          </cell>
        </row>
        <row r="2556">
          <cell r="A2556" t="str">
            <v>OFF-GRADE DATES</v>
          </cell>
          <cell r="B2556" t="str">
            <v>RM</v>
          </cell>
          <cell r="C2556" t="str">
            <v>DATES</v>
          </cell>
          <cell r="D2556" t="str">
            <v>OFF-GRADE DATES</v>
          </cell>
        </row>
        <row r="2557">
          <cell r="A2557" t="str">
            <v>OFF-GRADE MAKHANA</v>
          </cell>
          <cell r="B2557" t="str">
            <v>RM</v>
          </cell>
          <cell r="C2557" t="str">
            <v>MAKHANA</v>
          </cell>
          <cell r="D2557" t="str">
            <v>OFF-GRADE MAKHANA</v>
          </cell>
        </row>
        <row r="2558">
          <cell r="A2558" t="str">
            <v>OFF-GRADE PEANUTS</v>
          </cell>
          <cell r="B2558" t="str">
            <v>RM</v>
          </cell>
          <cell r="C2558" t="str">
            <v>PEANUTS</v>
          </cell>
          <cell r="D2558" t="str">
            <v>OFF-GRADE PEANUTS</v>
          </cell>
        </row>
        <row r="2559">
          <cell r="A2559" t="str">
            <v>OFF-GRADE PISTACHIO</v>
          </cell>
          <cell r="B2559" t="str">
            <v>RM</v>
          </cell>
          <cell r="C2559" t="str">
            <v>PISTA</v>
          </cell>
          <cell r="D2559" t="str">
            <v>OFF-GRADE PISTACHIO</v>
          </cell>
        </row>
        <row r="2560">
          <cell r="A2560" t="str">
            <v>OFF-GRADE PREMIUM NUTS</v>
          </cell>
          <cell r="B2560" t="str">
            <v>RM</v>
          </cell>
          <cell r="C2560" t="str">
            <v>PREMIUM NUTS</v>
          </cell>
          <cell r="D2560" t="str">
            <v>OFF-GRADE PREMIUM NUTS</v>
          </cell>
        </row>
        <row r="2561">
          <cell r="A2561" t="str">
            <v>OFF-GRADE PRUNES</v>
          </cell>
          <cell r="B2561" t="str">
            <v>RM</v>
          </cell>
          <cell r="C2561" t="str">
            <v>PRUNES</v>
          </cell>
          <cell r="D2561" t="str">
            <v>OFF-GRADE PRUNES</v>
          </cell>
        </row>
        <row r="2562">
          <cell r="A2562" t="str">
            <v>OFF-GRADE RAISIN</v>
          </cell>
          <cell r="B2562" t="str">
            <v>RM</v>
          </cell>
          <cell r="C2562" t="str">
            <v>RAISIN</v>
          </cell>
          <cell r="D2562" t="str">
            <v>OFF-GRADE RAISIN</v>
          </cell>
        </row>
        <row r="2563">
          <cell r="A2563" t="str">
            <v>OFF-GRADE SEASONING</v>
          </cell>
          <cell r="B2563" t="str">
            <v>RM</v>
          </cell>
          <cell r="C2563" t="str">
            <v>SEASONING</v>
          </cell>
          <cell r="D2563" t="str">
            <v>OFF-GRADE SEASONING</v>
          </cell>
        </row>
        <row r="2564">
          <cell r="A2564" t="str">
            <v>OFF-GRADE SEEDS</v>
          </cell>
          <cell r="B2564" t="str">
            <v>RM</v>
          </cell>
          <cell r="C2564" t="str">
            <v>SEEDS</v>
          </cell>
          <cell r="D2564" t="str">
            <v>OFF-GRADE SEEDS</v>
          </cell>
        </row>
        <row r="2565">
          <cell r="A2565" t="str">
            <v>OFF-GRADE TRAIL MIX</v>
          </cell>
          <cell r="B2565" t="str">
            <v>RM</v>
          </cell>
          <cell r="C2565" t="str">
            <v>TRAIL MIX</v>
          </cell>
          <cell r="D2565" t="str">
            <v>OFF-GRADE TRAIL MIX</v>
          </cell>
        </row>
        <row r="2566">
          <cell r="A2566" t="str">
            <v>OFF-GRADE WALNUTS</v>
          </cell>
          <cell r="B2566" t="str">
            <v>RM</v>
          </cell>
          <cell r="C2566" t="str">
            <v>WALNUT</v>
          </cell>
          <cell r="D2566" t="str">
            <v>OFF-GRADE WALNUTS</v>
          </cell>
        </row>
        <row r="2567">
          <cell r="A2567" t="str">
            <v>Olive Oil</v>
          </cell>
          <cell r="B2567" t="str">
            <v>RM</v>
          </cell>
          <cell r="C2567" t="str">
            <v>MISCELLANEOUS - RM</v>
          </cell>
          <cell r="D2567" t="str">
            <v>Other Misc</v>
          </cell>
        </row>
        <row r="2568">
          <cell r="A2568" t="str">
            <v>Oman Dates</v>
          </cell>
          <cell r="B2568" t="str">
            <v>RM</v>
          </cell>
          <cell r="C2568" t="str">
            <v>DATES</v>
          </cell>
          <cell r="D2568" t="str">
            <v>Fard</v>
          </cell>
        </row>
        <row r="2569">
          <cell r="A2569" t="str">
            <v>Oman Dates 250g (1356292)</v>
          </cell>
          <cell r="B2569" t="str">
            <v>FG</v>
          </cell>
          <cell r="C2569" t="str">
            <v>DATES</v>
          </cell>
          <cell r="D2569" t="str">
            <v>Oman</v>
          </cell>
        </row>
        <row r="2570">
          <cell r="A2570" t="str">
            <v>Omega Mix- Lemon Pepper 33gm</v>
          </cell>
          <cell r="B2570" t="str">
            <v>FG</v>
          </cell>
          <cell r="C2570" t="str">
            <v>TRAIL MIX</v>
          </cell>
          <cell r="D2570" t="str">
            <v>Trail Mix</v>
          </cell>
        </row>
        <row r="2571">
          <cell r="A2571" t="str">
            <v>Omega Mix- Lemon Pepper 35gm</v>
          </cell>
          <cell r="B2571" t="str">
            <v>FG</v>
          </cell>
          <cell r="C2571" t="str">
            <v>TRAIL MIX</v>
          </cell>
          <cell r="D2571" t="str">
            <v>Trail Mix</v>
          </cell>
        </row>
        <row r="2572">
          <cell r="A2572" t="str">
            <v>Onion garlic seasoning</v>
          </cell>
          <cell r="B2572" t="str">
            <v>RM</v>
          </cell>
          <cell r="C2572" t="str">
            <v>SEASONING</v>
          </cell>
          <cell r="D2572" t="str">
            <v>Seasoning</v>
          </cell>
        </row>
        <row r="2573">
          <cell r="A2573" t="str">
            <v>ON THE RUN 5 Grain Cereal 300g - Original</v>
          </cell>
          <cell r="B2573" t="str">
            <v>FG</v>
          </cell>
          <cell r="C2573" t="str">
            <v>BARS &amp; CEREALS</v>
          </cell>
          <cell r="D2573" t="str">
            <v>Cereal</v>
          </cell>
        </row>
        <row r="2574">
          <cell r="A2574" t="str">
            <v>ON THE RUN Assorted Energy Bars (Pack of 12x30g)</v>
          </cell>
          <cell r="B2574" t="str">
            <v>FG</v>
          </cell>
          <cell r="C2574" t="str">
            <v>BARS &amp; CEREALS</v>
          </cell>
          <cell r="D2574" t="str">
            <v>Energy Bars</v>
          </cell>
        </row>
        <row r="2575">
          <cell r="A2575" t="str">
            <v>ON THE RUN Assorted Energy Bars (Pack of 6x30g)</v>
          </cell>
          <cell r="B2575" t="str">
            <v>FG</v>
          </cell>
          <cell r="C2575" t="str">
            <v>BARS &amp; CEREALS</v>
          </cell>
          <cell r="D2575" t="str">
            <v>Energy Bars</v>
          </cell>
        </row>
        <row r="2576">
          <cell r="A2576" t="str">
            <v>ON THE RUN Choco Crunch Energy Bars 30g</v>
          </cell>
          <cell r="B2576" t="str">
            <v>FG</v>
          </cell>
          <cell r="C2576" t="str">
            <v>BARS &amp; CEREALS</v>
          </cell>
          <cell r="D2576" t="str">
            <v>Energy Bars</v>
          </cell>
        </row>
        <row r="2577">
          <cell r="A2577" t="str">
            <v>ON THE RUN Choco Crunch Energy Bars (Pack of 6x30g)</v>
          </cell>
          <cell r="B2577" t="str">
            <v>FG</v>
          </cell>
          <cell r="C2577" t="str">
            <v>BARS &amp; CEREALS</v>
          </cell>
          <cell r="D2577" t="str">
            <v>Energy Bars</v>
          </cell>
        </row>
        <row r="2578">
          <cell r="A2578" t="str">
            <v>On the Run Coffee Bite 10g</v>
          </cell>
          <cell r="B2578" t="str">
            <v>FG</v>
          </cell>
          <cell r="C2578" t="str">
            <v>BARS &amp; CEREALS</v>
          </cell>
          <cell r="D2578" t="str">
            <v>Bites</v>
          </cell>
        </row>
        <row r="2579">
          <cell r="A2579" t="str">
            <v>Ontherun Coffee Bite (Pack of 15x10g)</v>
          </cell>
          <cell r="B2579" t="str">
            <v>FG</v>
          </cell>
          <cell r="C2579" t="str">
            <v>BARS &amp; CEREALS</v>
          </cell>
          <cell r="D2579" t="str">
            <v>Bites</v>
          </cell>
        </row>
        <row r="2580">
          <cell r="A2580" t="str">
            <v>Ontherun Coffee Bite (Pack of 6*10g)</v>
          </cell>
          <cell r="B2580" t="str">
            <v>FG</v>
          </cell>
          <cell r="C2580" t="str">
            <v>BARS &amp; CEREALS</v>
          </cell>
          <cell r="D2580" t="str">
            <v>Bites</v>
          </cell>
        </row>
        <row r="2581">
          <cell r="A2581" t="str">
            <v>On the Run Coffee Bite (Semi Finished)</v>
          </cell>
          <cell r="B2581" t="str">
            <v>FG</v>
          </cell>
          <cell r="C2581" t="str">
            <v>BARS &amp; CEREALS</v>
          </cell>
          <cell r="D2581" t="str">
            <v>Bites</v>
          </cell>
        </row>
        <row r="2582">
          <cell r="A2582" t="str">
            <v>ON THE RUN Crunchy Granola Single serving Cup 50g</v>
          </cell>
          <cell r="B2582" t="str">
            <v>FG</v>
          </cell>
          <cell r="C2582" t="str">
            <v>BARS &amp; CEREALS</v>
          </cell>
          <cell r="D2582" t="str">
            <v>Granola</v>
          </cell>
        </row>
        <row r="2583">
          <cell r="A2583" t="str">
            <v>ON THE RUN Fig and Date Energy Bar 30g</v>
          </cell>
          <cell r="B2583" t="str">
            <v>FG</v>
          </cell>
          <cell r="C2583" t="str">
            <v>BARS &amp; CEREALS</v>
          </cell>
          <cell r="D2583" t="str">
            <v>Energy Bars</v>
          </cell>
        </row>
        <row r="2584">
          <cell r="A2584" t="str">
            <v>ON THE RUN Fig and Date Energy Bar (Pack of 6x30 g)</v>
          </cell>
          <cell r="B2584" t="str">
            <v>FG</v>
          </cell>
          <cell r="C2584" t="str">
            <v>BARS &amp; CEREALS</v>
          </cell>
          <cell r="D2584" t="str">
            <v>Energy Bars</v>
          </cell>
        </row>
        <row r="2585">
          <cell r="A2585" t="str">
            <v>ON THE RUN Hazelnut Magic Energy Bar 30g</v>
          </cell>
          <cell r="B2585" t="str">
            <v>FG</v>
          </cell>
          <cell r="C2585" t="str">
            <v>BARS &amp; CEREALS</v>
          </cell>
          <cell r="D2585" t="str">
            <v>Energy Bars</v>
          </cell>
        </row>
        <row r="2586">
          <cell r="A2586" t="str">
            <v>ON THE RUN Oats, Apricot &amp; Cranberry Energy Bar 30g</v>
          </cell>
          <cell r="B2586" t="str">
            <v>FG</v>
          </cell>
          <cell r="C2586" t="str">
            <v>BARS &amp; CEREALS</v>
          </cell>
          <cell r="D2586" t="str">
            <v>Energy Bars</v>
          </cell>
        </row>
        <row r="2587">
          <cell r="A2587" t="str">
            <v>ON THE RUN Oats, Apricot &amp; Cranberry Energy Bars (Pack of 6x30g)</v>
          </cell>
          <cell r="B2587" t="str">
            <v>FG</v>
          </cell>
          <cell r="C2587" t="str">
            <v>BARS &amp; CEREALS</v>
          </cell>
          <cell r="D2587" t="str">
            <v>Energy Bars</v>
          </cell>
        </row>
        <row r="2588">
          <cell r="A2588" t="str">
            <v>On The Run Quinoa Cheesy Balls 50gm</v>
          </cell>
          <cell r="B2588" t="str">
            <v>FG</v>
          </cell>
          <cell r="C2588" t="str">
            <v>TRAIL MIX</v>
          </cell>
          <cell r="D2588" t="str">
            <v>Trail Mix</v>
          </cell>
        </row>
        <row r="2589">
          <cell r="A2589" t="str">
            <v>Orange Peel</v>
          </cell>
          <cell r="B2589" t="str">
            <v>RM</v>
          </cell>
          <cell r="C2589" t="str">
            <v>DEHYDRATED FRUITS</v>
          </cell>
          <cell r="D2589" t="str">
            <v>DF - Orange</v>
          </cell>
        </row>
        <row r="2590">
          <cell r="A2590" t="str">
            <v>Orange Slice / Pieces</v>
          </cell>
          <cell r="B2590" t="str">
            <v>RM</v>
          </cell>
          <cell r="C2590" t="str">
            <v>DEHYDRATED FRUITS</v>
          </cell>
          <cell r="D2590" t="str">
            <v>DF - Orange</v>
          </cell>
        </row>
        <row r="2591">
          <cell r="A2591" t="str">
            <v>Organic Ajwa Premium Large</v>
          </cell>
          <cell r="B2591" t="str">
            <v>RM</v>
          </cell>
          <cell r="C2591" t="str">
            <v>DATES</v>
          </cell>
          <cell r="D2591" t="str">
            <v>Ajwa</v>
          </cell>
        </row>
        <row r="2592">
          <cell r="A2592" t="str">
            <v>Organic Khidri Large dates</v>
          </cell>
          <cell r="B2592" t="str">
            <v>RM</v>
          </cell>
          <cell r="C2592" t="str">
            <v>DATES</v>
          </cell>
          <cell r="D2592" t="str">
            <v>Khidri</v>
          </cell>
        </row>
        <row r="2593">
          <cell r="A2593" t="str">
            <v>Organic Khidri Premium Medium</v>
          </cell>
          <cell r="B2593" t="str">
            <v>RM</v>
          </cell>
          <cell r="C2593" t="str">
            <v>DATES</v>
          </cell>
          <cell r="D2593" t="str">
            <v>Khidri</v>
          </cell>
        </row>
        <row r="2594">
          <cell r="A2594" t="str">
            <v>Organic Khidri Special Jumbo</v>
          </cell>
          <cell r="B2594" t="str">
            <v>RM</v>
          </cell>
          <cell r="C2594" t="str">
            <v>DATES</v>
          </cell>
          <cell r="D2594" t="str">
            <v>Khidri</v>
          </cell>
        </row>
        <row r="2595">
          <cell r="A2595" t="str">
            <v>Organic Seqee Premium Large</v>
          </cell>
          <cell r="B2595" t="str">
            <v>RM</v>
          </cell>
          <cell r="C2595" t="str">
            <v>DATES</v>
          </cell>
          <cell r="D2595" t="str">
            <v>Seqee</v>
          </cell>
        </row>
        <row r="2596">
          <cell r="A2596" t="str">
            <v>Organic Wanan Premium Jumbo</v>
          </cell>
          <cell r="B2596" t="str">
            <v>RM</v>
          </cell>
          <cell r="C2596" t="str">
            <v>DATES</v>
          </cell>
          <cell r="D2596" t="str">
            <v>Wanan</v>
          </cell>
        </row>
        <row r="2597">
          <cell r="A2597" t="str">
            <v>Organic Wanan Premium Large</v>
          </cell>
          <cell r="B2597" t="str">
            <v>RM</v>
          </cell>
          <cell r="C2597" t="str">
            <v>DATES</v>
          </cell>
          <cell r="D2597" t="str">
            <v>Wanan</v>
          </cell>
        </row>
        <row r="2598">
          <cell r="A2598" t="str">
            <v>Oriental Dates</v>
          </cell>
          <cell r="B2598" t="str">
            <v>RM</v>
          </cell>
          <cell r="C2598" t="str">
            <v>DATES</v>
          </cell>
          <cell r="D2598" t="str">
            <v>Deri</v>
          </cell>
        </row>
        <row r="2599">
          <cell r="A2599" t="str">
            <v>Oven Cotton Gloves 5%</v>
          </cell>
          <cell r="B2599">
            <v>0</v>
          </cell>
          <cell r="C2599" t="str">
            <v>Others</v>
          </cell>
          <cell r="D2599" t="str">
            <v>Others</v>
          </cell>
        </row>
        <row r="2600">
          <cell r="A2600" t="str">
            <v>Paan Seasoning AB319</v>
          </cell>
          <cell r="B2600" t="str">
            <v>RM</v>
          </cell>
          <cell r="C2600" t="str">
            <v>SEASONING</v>
          </cell>
          <cell r="D2600" t="str">
            <v>Seasoning</v>
          </cell>
        </row>
        <row r="2601">
          <cell r="A2601" t="str">
            <v>Packaged Drinking Water</v>
          </cell>
          <cell r="B2601">
            <v>0</v>
          </cell>
          <cell r="C2601" t="str">
            <v>Others</v>
          </cell>
          <cell r="D2601" t="str">
            <v>Others</v>
          </cell>
        </row>
        <row r="2602">
          <cell r="A2602" t="str">
            <v>Palm Oil</v>
          </cell>
          <cell r="B2602" t="str">
            <v>RM</v>
          </cell>
          <cell r="C2602" t="str">
            <v>MISCELLANEOUS - RM</v>
          </cell>
          <cell r="D2602" t="str">
            <v>Other Misc</v>
          </cell>
        </row>
        <row r="2603">
          <cell r="A2603" t="str">
            <v>Panch Mewa Mix Loose</v>
          </cell>
          <cell r="B2603" t="str">
            <v>FG</v>
          </cell>
          <cell r="C2603" t="str">
            <v>TRAIL MIX</v>
          </cell>
          <cell r="D2603" t="str">
            <v>Trail Mix</v>
          </cell>
        </row>
        <row r="2604">
          <cell r="A2604" t="str">
            <v>Pan Cranberry</v>
          </cell>
          <cell r="B2604" t="str">
            <v>FG</v>
          </cell>
          <cell r="C2604" t="str">
            <v>CRANBERRY</v>
          </cell>
          <cell r="D2604" t="str">
            <v>Cranberry - Whole</v>
          </cell>
        </row>
        <row r="2605">
          <cell r="A2605" t="str">
            <v>Paneer Tikka Cashew</v>
          </cell>
          <cell r="B2605" t="str">
            <v>FG</v>
          </cell>
          <cell r="C2605" t="str">
            <v>CASHEW</v>
          </cell>
          <cell r="D2605" t="str">
            <v>Cashew - Kernel</v>
          </cell>
        </row>
        <row r="2606">
          <cell r="A2606" t="str">
            <v>Paneer Tikka Seasoning</v>
          </cell>
          <cell r="B2606" t="str">
            <v>RM</v>
          </cell>
          <cell r="C2606" t="str">
            <v>SEASONING</v>
          </cell>
          <cell r="D2606" t="str">
            <v>Seasoning</v>
          </cell>
        </row>
        <row r="2607">
          <cell r="A2607" t="str">
            <v>Pani Puri Cashew</v>
          </cell>
          <cell r="B2607" t="str">
            <v>FG</v>
          </cell>
          <cell r="C2607" t="str">
            <v>CASHEW</v>
          </cell>
          <cell r="D2607" t="str">
            <v>Cashew - Kernel</v>
          </cell>
        </row>
        <row r="2608">
          <cell r="A2608" t="str">
            <v>Panipuri Seasoning</v>
          </cell>
          <cell r="B2608" t="str">
            <v>RM</v>
          </cell>
          <cell r="C2608" t="str">
            <v>SEASONING</v>
          </cell>
          <cell r="D2608" t="str">
            <v>Seasoning</v>
          </cell>
        </row>
        <row r="2609">
          <cell r="A2609" t="str">
            <v>Pan Raisin</v>
          </cell>
          <cell r="B2609" t="str">
            <v>FG</v>
          </cell>
          <cell r="C2609" t="str">
            <v>RAISIN</v>
          </cell>
          <cell r="D2609" t="str">
            <v>Raisin - Indian</v>
          </cell>
        </row>
        <row r="2610">
          <cell r="A2610" t="str">
            <v>PEANUT BUTTER</v>
          </cell>
          <cell r="B2610" t="str">
            <v>FG</v>
          </cell>
          <cell r="C2610" t="str">
            <v>TRAIL MIX</v>
          </cell>
          <cell r="D2610" t="str">
            <v>Trail Mix</v>
          </cell>
        </row>
        <row r="2611">
          <cell r="A2611" t="str">
            <v>Peanut Coated Spanish Tomato</v>
          </cell>
          <cell r="B2611" t="str">
            <v>FG</v>
          </cell>
          <cell r="C2611" t="str">
            <v>PEANUTS</v>
          </cell>
          <cell r="D2611" t="str">
            <v>Peanut - Coated</v>
          </cell>
        </row>
        <row r="2612">
          <cell r="A2612" t="str">
            <v>Peanut Crackers Chipotle Honey Bulk</v>
          </cell>
          <cell r="B2612" t="str">
            <v>FG</v>
          </cell>
          <cell r="C2612" t="str">
            <v>PEANUTS</v>
          </cell>
          <cell r="D2612" t="str">
            <v>Peanut - Coated</v>
          </cell>
        </row>
        <row r="2613">
          <cell r="A2613" t="str">
            <v>Peanut Crackers Smokey BBQ Bulk</v>
          </cell>
          <cell r="B2613" t="str">
            <v>FG</v>
          </cell>
          <cell r="C2613" t="str">
            <v>PEANUTS</v>
          </cell>
          <cell r="D2613" t="str">
            <v>Peanut - Coated</v>
          </cell>
        </row>
        <row r="2614">
          <cell r="A2614" t="str">
            <v>Peanuts</v>
          </cell>
          <cell r="B2614" t="str">
            <v>RM</v>
          </cell>
          <cell r="C2614" t="str">
            <v>PEANUTS</v>
          </cell>
          <cell r="D2614" t="str">
            <v>Peanut - Whole</v>
          </cell>
        </row>
        <row r="2615">
          <cell r="A2615" t="str">
            <v>Peanuts Coated Masala Loose</v>
          </cell>
          <cell r="B2615" t="str">
            <v>FG</v>
          </cell>
          <cell r="C2615" t="str">
            <v>PEANUTS</v>
          </cell>
          <cell r="D2615" t="str">
            <v>Peanut - Coated</v>
          </cell>
        </row>
        <row r="2616">
          <cell r="A2616" t="str">
            <v>Peanut Spilit (Groundnut)</v>
          </cell>
          <cell r="B2616" t="str">
            <v>RM</v>
          </cell>
          <cell r="C2616" t="str">
            <v>PEANUTS</v>
          </cell>
          <cell r="D2616" t="str">
            <v>Peanut - Split</v>
          </cell>
        </row>
        <row r="2617">
          <cell r="A2617" t="str">
            <v>Pecan Grain Free Granola</v>
          </cell>
          <cell r="B2617" t="str">
            <v>FG</v>
          </cell>
          <cell r="C2617" t="str">
            <v>PREMIUM NUTS</v>
          </cell>
          <cell r="D2617" t="str">
            <v>Pecan Nuts</v>
          </cell>
        </row>
        <row r="2618">
          <cell r="A2618" t="str">
            <v>Pecan Maple Glazed</v>
          </cell>
          <cell r="B2618" t="str">
            <v>FG</v>
          </cell>
          <cell r="C2618" t="str">
            <v>PREMIUM NUTS</v>
          </cell>
          <cell r="D2618" t="str">
            <v>Pecan Nuts</v>
          </cell>
        </row>
        <row r="2619">
          <cell r="A2619" t="str">
            <v>Pecannut Flavoured Rose Mary Loose</v>
          </cell>
          <cell r="B2619" t="str">
            <v>FG</v>
          </cell>
          <cell r="C2619" t="str">
            <v>PREMIUM NUTS</v>
          </cell>
          <cell r="D2619" t="str">
            <v>Pecan Nuts</v>
          </cell>
        </row>
        <row r="2620">
          <cell r="A2620" t="str">
            <v>Pecan Nuts</v>
          </cell>
          <cell r="B2620" t="str">
            <v>RM</v>
          </cell>
          <cell r="C2620" t="str">
            <v>PREMIUM NUTS</v>
          </cell>
          <cell r="D2620" t="str">
            <v>Pecan Nuts</v>
          </cell>
        </row>
        <row r="2621">
          <cell r="A2621" t="str">
            <v>Pecan Nuts Kernel Split</v>
          </cell>
          <cell r="B2621" t="str">
            <v>RM</v>
          </cell>
          <cell r="C2621" t="str">
            <v>PREMIUM NUTS</v>
          </cell>
          <cell r="D2621" t="str">
            <v>Pecan Nuts</v>
          </cell>
        </row>
        <row r="2622">
          <cell r="A2622" t="str">
            <v>Pecans Nuts Inshell</v>
          </cell>
          <cell r="B2622" t="str">
            <v>RM</v>
          </cell>
          <cell r="C2622" t="str">
            <v>PREMIUM NUTS</v>
          </cell>
          <cell r="D2622" t="str">
            <v>Pecan Nuts</v>
          </cell>
        </row>
        <row r="2623">
          <cell r="A2623" t="str">
            <v>Pecans Roasted and Salted</v>
          </cell>
          <cell r="B2623" t="str">
            <v>FG</v>
          </cell>
          <cell r="C2623" t="str">
            <v>PREMIUM NUTS</v>
          </cell>
          <cell r="D2623" t="str">
            <v>Pecan Nuts</v>
          </cell>
        </row>
        <row r="2624">
          <cell r="A2624" t="str">
            <v>Peper Garlic Cashew</v>
          </cell>
          <cell r="B2624" t="str">
            <v>FG</v>
          </cell>
          <cell r="C2624" t="str">
            <v>CASHEW</v>
          </cell>
          <cell r="D2624" t="str">
            <v>Cashew - Kernel</v>
          </cell>
        </row>
        <row r="2625">
          <cell r="A2625" t="str">
            <v>Pepper Cashew</v>
          </cell>
          <cell r="B2625" t="str">
            <v>FG</v>
          </cell>
          <cell r="C2625" t="str">
            <v>CASHEW</v>
          </cell>
          <cell r="D2625" t="str">
            <v>Cashew - Kernel</v>
          </cell>
        </row>
        <row r="2626">
          <cell r="A2626" t="str">
            <v>Pepper Pista 100g Pet</v>
          </cell>
          <cell r="B2626" t="str">
            <v>FG</v>
          </cell>
          <cell r="C2626" t="str">
            <v>PISTA</v>
          </cell>
          <cell r="D2626" t="str">
            <v>Pista - Inshell</v>
          </cell>
        </row>
        <row r="2627">
          <cell r="A2627" t="str">
            <v>Pepper Pista Inshell</v>
          </cell>
          <cell r="B2627" t="str">
            <v>FG</v>
          </cell>
          <cell r="C2627" t="str">
            <v>PISTA</v>
          </cell>
          <cell r="D2627" t="str">
            <v>Pista - Inshell</v>
          </cell>
        </row>
        <row r="2628">
          <cell r="A2628" t="str">
            <v>PEPPER SNACK MIX</v>
          </cell>
          <cell r="B2628" t="str">
            <v>FG</v>
          </cell>
          <cell r="C2628" t="str">
            <v>TRAIL MIX</v>
          </cell>
          <cell r="D2628" t="str">
            <v>Trail Mix</v>
          </cell>
        </row>
        <row r="2629">
          <cell r="A2629" t="str">
            <v>Peri Peri Cashew</v>
          </cell>
          <cell r="B2629" t="str">
            <v>FG</v>
          </cell>
          <cell r="C2629" t="str">
            <v>CASHEW</v>
          </cell>
          <cell r="D2629" t="str">
            <v>Cashew - Kernel</v>
          </cell>
        </row>
        <row r="2630">
          <cell r="A2630" t="str">
            <v>Peri Peri Cashew Bulk</v>
          </cell>
          <cell r="B2630" t="str">
            <v>FG</v>
          </cell>
          <cell r="C2630" t="str">
            <v>CASHEW</v>
          </cell>
          <cell r="D2630" t="str">
            <v>Cashew - Kernel</v>
          </cell>
        </row>
        <row r="2631">
          <cell r="A2631" t="str">
            <v>Peri Peri Coated Peanuts 60gm</v>
          </cell>
          <cell r="B2631" t="str">
            <v>FG</v>
          </cell>
          <cell r="C2631" t="str">
            <v>PEANUTS</v>
          </cell>
          <cell r="D2631" t="str">
            <v>Peanut - Coated</v>
          </cell>
        </row>
        <row r="2632">
          <cell r="A2632" t="str">
            <v>Peri Peri Marination Seasoning</v>
          </cell>
          <cell r="B2632" t="str">
            <v>RM</v>
          </cell>
          <cell r="C2632" t="str">
            <v>SEASONING</v>
          </cell>
          <cell r="D2632" t="str">
            <v>Seasoning</v>
          </cell>
        </row>
        <row r="2633">
          <cell r="A2633" t="str">
            <v>Peri Peri Masala</v>
          </cell>
          <cell r="B2633" t="str">
            <v>RM</v>
          </cell>
          <cell r="C2633" t="str">
            <v>MISCELLANEOUS - RM</v>
          </cell>
          <cell r="D2633" t="str">
            <v>Other Misc</v>
          </cell>
        </row>
        <row r="2634">
          <cell r="A2634" t="str">
            <v>Peri Peri Pecannut</v>
          </cell>
          <cell r="B2634" t="str">
            <v>FG</v>
          </cell>
          <cell r="C2634" t="str">
            <v>PREMIUM NUTS</v>
          </cell>
          <cell r="D2634" t="str">
            <v>Pecan Nuts</v>
          </cell>
        </row>
        <row r="2635">
          <cell r="A2635" t="str">
            <v>Peri Peri Trail Mix 150g</v>
          </cell>
          <cell r="B2635" t="str">
            <v>FG</v>
          </cell>
          <cell r="C2635" t="str">
            <v>TRAIL MIX</v>
          </cell>
          <cell r="D2635" t="str">
            <v>Trail Mix</v>
          </cell>
        </row>
        <row r="2636">
          <cell r="A2636" t="str">
            <v>Pine Nut Kernel</v>
          </cell>
          <cell r="B2636" t="str">
            <v>RM</v>
          </cell>
          <cell r="C2636" t="str">
            <v>PREMIUM NUTS</v>
          </cell>
          <cell r="D2636" t="str">
            <v>Pine Nuts</v>
          </cell>
        </row>
        <row r="2637">
          <cell r="A2637" t="str">
            <v>PINE NUT KERNELS ROASTED</v>
          </cell>
          <cell r="B2637" t="str">
            <v>RM</v>
          </cell>
          <cell r="C2637" t="str">
            <v>PREMIUM NUTS</v>
          </cell>
          <cell r="D2637" t="str">
            <v>Pine Nuts</v>
          </cell>
        </row>
        <row r="2638">
          <cell r="A2638" t="str">
            <v>Pink Lipstick Pista Magaz Premium</v>
          </cell>
          <cell r="B2638" t="str">
            <v>RM</v>
          </cell>
          <cell r="C2638" t="str">
            <v>PISTA</v>
          </cell>
          <cell r="D2638" t="str">
            <v>Pista - Kernel</v>
          </cell>
        </row>
        <row r="2639">
          <cell r="A2639" t="str">
            <v>Pink Salt Almonds Bulk</v>
          </cell>
          <cell r="B2639" t="str">
            <v>FG</v>
          </cell>
          <cell r="C2639" t="str">
            <v>ALMOND</v>
          </cell>
          <cell r="D2639" t="str">
            <v>Almond - Kernels</v>
          </cell>
        </row>
        <row r="2640">
          <cell r="A2640" t="str">
            <v>Pink Salt Pistachios 90gm</v>
          </cell>
          <cell r="B2640" t="str">
            <v>FG</v>
          </cell>
          <cell r="C2640" t="str">
            <v>PISTA</v>
          </cell>
          <cell r="D2640" t="str">
            <v>Pista - Inshell</v>
          </cell>
        </row>
        <row r="2641">
          <cell r="A2641" t="str">
            <v>Pista Akbari 26-28 Count</v>
          </cell>
          <cell r="B2641" t="str">
            <v>RM</v>
          </cell>
          <cell r="C2641" t="str">
            <v>PISTA</v>
          </cell>
          <cell r="D2641" t="str">
            <v>Pista - Akbari</v>
          </cell>
        </row>
        <row r="2642">
          <cell r="A2642" t="str">
            <v>Pista Akbari Roasted and Salted</v>
          </cell>
          <cell r="B2642" t="str">
            <v>FG</v>
          </cell>
          <cell r="C2642" t="str">
            <v>PISTA</v>
          </cell>
          <cell r="D2642" t="str">
            <v>Pista - Akbari</v>
          </cell>
        </row>
        <row r="2643">
          <cell r="A2643" t="str">
            <v>PISTACHIO KERNEL-PISHORI</v>
          </cell>
          <cell r="B2643" t="str">
            <v>RM</v>
          </cell>
          <cell r="C2643" t="str">
            <v>PISTA</v>
          </cell>
          <cell r="D2643" t="str">
            <v>Pista - Pishori</v>
          </cell>
        </row>
        <row r="2644">
          <cell r="A2644" t="str">
            <v>Pistachio Kernenal-Rozi Salted</v>
          </cell>
          <cell r="B2644" t="str">
            <v>RM</v>
          </cell>
          <cell r="C2644" t="str">
            <v>PISTA</v>
          </cell>
          <cell r="D2644" t="str">
            <v>Pista - Kernel</v>
          </cell>
        </row>
        <row r="2645">
          <cell r="A2645" t="str">
            <v>Pista Inshell Iranian 26-28</v>
          </cell>
          <cell r="B2645" t="str">
            <v>RM</v>
          </cell>
          <cell r="C2645" t="str">
            <v>PISTA</v>
          </cell>
          <cell r="D2645" t="str">
            <v>Pista - Irani</v>
          </cell>
        </row>
        <row r="2646">
          <cell r="A2646" t="str">
            <v>Pista Inshell Iranian Akbari 20-22 Count</v>
          </cell>
          <cell r="B2646" t="str">
            <v>RM</v>
          </cell>
          <cell r="C2646" t="str">
            <v>PISTA</v>
          </cell>
          <cell r="D2646" t="str">
            <v>Pista - Akbari</v>
          </cell>
        </row>
        <row r="2647">
          <cell r="A2647" t="str">
            <v>Pista Irani 101 Inshell</v>
          </cell>
          <cell r="B2647" t="str">
            <v>RM</v>
          </cell>
          <cell r="C2647" t="str">
            <v>PISTA</v>
          </cell>
          <cell r="D2647" t="str">
            <v>Pista - Irani</v>
          </cell>
        </row>
        <row r="2648">
          <cell r="A2648" t="str">
            <v>Pista Irani 101 Inshell Roasted and salted</v>
          </cell>
          <cell r="B2648" t="str">
            <v>FG</v>
          </cell>
          <cell r="C2648" t="str">
            <v>PISTA</v>
          </cell>
          <cell r="D2648" t="str">
            <v>Pista - Irani</v>
          </cell>
        </row>
        <row r="2649">
          <cell r="A2649" t="str">
            <v>Pista Irani 999 Inshell</v>
          </cell>
          <cell r="B2649" t="str">
            <v>RM</v>
          </cell>
          <cell r="C2649" t="str">
            <v>PISTA</v>
          </cell>
          <cell r="D2649" t="str">
            <v>Pista - Irani</v>
          </cell>
        </row>
        <row r="2650">
          <cell r="A2650" t="str">
            <v>Pista Irani Inshell</v>
          </cell>
          <cell r="B2650" t="str">
            <v>RM</v>
          </cell>
          <cell r="C2650" t="str">
            <v>PISTA</v>
          </cell>
          <cell r="D2650" t="str">
            <v>Pista - Irani</v>
          </cell>
        </row>
        <row r="2651">
          <cell r="A2651" t="str">
            <v>Pista Irani Inshell Roasted and Salted</v>
          </cell>
          <cell r="B2651" t="str">
            <v>FG</v>
          </cell>
          <cell r="C2651" t="str">
            <v>PISTA</v>
          </cell>
          <cell r="D2651" t="str">
            <v>Pista - Irani</v>
          </cell>
        </row>
        <row r="2652">
          <cell r="A2652" t="str">
            <v>Pista Irani Super Inshell</v>
          </cell>
          <cell r="B2652" t="str">
            <v>RM</v>
          </cell>
          <cell r="C2652" t="str">
            <v>PISTA</v>
          </cell>
          <cell r="D2652" t="str">
            <v>Pista - Irani</v>
          </cell>
        </row>
        <row r="2653">
          <cell r="A2653" t="str">
            <v>Pista Kernal Roasted and Salted</v>
          </cell>
          <cell r="B2653" t="str">
            <v>FG</v>
          </cell>
          <cell r="C2653" t="str">
            <v>PISTA</v>
          </cell>
          <cell r="D2653" t="str">
            <v>Pista - Kernel</v>
          </cell>
        </row>
        <row r="2654">
          <cell r="A2654" t="str">
            <v>Pista Kernal Tukda</v>
          </cell>
          <cell r="B2654" t="str">
            <v>RM</v>
          </cell>
          <cell r="C2654" t="str">
            <v>PISTA</v>
          </cell>
          <cell r="D2654" t="str">
            <v>Pista - Kernel</v>
          </cell>
        </row>
        <row r="2655">
          <cell r="A2655" t="str">
            <v>Pista Kernel</v>
          </cell>
          <cell r="B2655" t="str">
            <v>RM</v>
          </cell>
          <cell r="C2655" t="str">
            <v>PISTA</v>
          </cell>
          <cell r="D2655" t="str">
            <v>Pista - Kernel</v>
          </cell>
        </row>
        <row r="2656">
          <cell r="A2656" t="str">
            <v>Pista Kernel B</v>
          </cell>
          <cell r="B2656" t="str">
            <v>RM</v>
          </cell>
          <cell r="C2656" t="str">
            <v>PISTA</v>
          </cell>
          <cell r="D2656" t="str">
            <v>Pista - Kernel</v>
          </cell>
        </row>
        <row r="2657">
          <cell r="A2657" t="str">
            <v>Pista Magaz</v>
          </cell>
          <cell r="B2657" t="str">
            <v>RM</v>
          </cell>
          <cell r="C2657" t="str">
            <v>PISTA</v>
          </cell>
          <cell r="D2657" t="str">
            <v>Pista - Kernel</v>
          </cell>
        </row>
        <row r="2658">
          <cell r="A2658" t="str">
            <v>Pista Magaz Split California</v>
          </cell>
          <cell r="B2658" t="str">
            <v>RM</v>
          </cell>
          <cell r="C2658" t="str">
            <v>PISTA</v>
          </cell>
          <cell r="D2658" t="str">
            <v>Pista - Kernel</v>
          </cell>
        </row>
        <row r="2659">
          <cell r="A2659" t="str">
            <v>PISTA PERI PERI</v>
          </cell>
          <cell r="B2659" t="str">
            <v>FG</v>
          </cell>
          <cell r="C2659" t="str">
            <v>PISTA</v>
          </cell>
          <cell r="D2659" t="str">
            <v>Pista - Inshell</v>
          </cell>
        </row>
        <row r="2660">
          <cell r="A2660" t="str">
            <v>Pista sliced</v>
          </cell>
          <cell r="B2660" t="str">
            <v>RM</v>
          </cell>
          <cell r="C2660" t="str">
            <v>PISTA</v>
          </cell>
          <cell r="D2660" t="str">
            <v>Pista - Kernel</v>
          </cell>
        </row>
        <row r="2661">
          <cell r="A2661" t="str">
            <v>Pizza Flavoured Coated Peanuts</v>
          </cell>
          <cell r="B2661" t="str">
            <v>FG</v>
          </cell>
          <cell r="C2661" t="str">
            <v>PEANUTS</v>
          </cell>
          <cell r="D2661" t="str">
            <v>Peanut - Coated</v>
          </cell>
        </row>
        <row r="2662">
          <cell r="A2662" t="str">
            <v>Pizza Flavoured Coated Peanuts 35gm</v>
          </cell>
          <cell r="B2662" t="str">
            <v>FG</v>
          </cell>
          <cell r="C2662" t="str">
            <v>PEANUTS</v>
          </cell>
          <cell r="D2662" t="str">
            <v>Peanut - Coated</v>
          </cell>
        </row>
        <row r="2663">
          <cell r="A2663" t="str">
            <v>Pizza Seasoning</v>
          </cell>
          <cell r="B2663" t="str">
            <v>RM</v>
          </cell>
          <cell r="C2663" t="str">
            <v>SEASONING</v>
          </cell>
          <cell r="D2663" t="str">
            <v>Seasoning</v>
          </cell>
        </row>
        <row r="2664">
          <cell r="A2664" t="str">
            <v>Plain Almonds 75gm</v>
          </cell>
          <cell r="B2664" t="str">
            <v>FG</v>
          </cell>
          <cell r="C2664" t="str">
            <v>ALMOND</v>
          </cell>
          <cell r="D2664" t="str">
            <v>Almond - Kernels</v>
          </cell>
        </row>
        <row r="2665">
          <cell r="A2665" t="str">
            <v>Plain Coated Peanuts</v>
          </cell>
          <cell r="B2665" t="str">
            <v>FG</v>
          </cell>
          <cell r="C2665" t="str">
            <v>PEANUTS</v>
          </cell>
          <cell r="D2665" t="str">
            <v>Peanut - Coated</v>
          </cell>
        </row>
        <row r="2666">
          <cell r="A2666" t="str">
            <v>Planck Foods Multi Millet 5 GC puffs 210g</v>
          </cell>
          <cell r="B2666" t="str">
            <v>FG</v>
          </cell>
          <cell r="C2666" t="str">
            <v>BARS &amp; CEREALS</v>
          </cell>
          <cell r="D2666" t="str">
            <v>Cereal</v>
          </cell>
        </row>
        <row r="2667">
          <cell r="A2667" t="str">
            <v>Planck foods Quinoa puffs sour cream 30gm</v>
          </cell>
          <cell r="B2667" t="str">
            <v>FG</v>
          </cell>
          <cell r="C2667" t="str">
            <v>TRAIL MIX</v>
          </cell>
          <cell r="D2667" t="str">
            <v>Trail Mix</v>
          </cell>
        </row>
        <row r="2668">
          <cell r="A2668" t="str">
            <v>PL CALIFORNIA PRUNES 200G</v>
          </cell>
          <cell r="B2668" t="str">
            <v>FG</v>
          </cell>
          <cell r="C2668" t="str">
            <v>PRUNES</v>
          </cell>
          <cell r="D2668" t="str">
            <v>Prunes - Pitted</v>
          </cell>
        </row>
        <row r="2669">
          <cell r="A2669" t="str">
            <v>PL CLASSIC DATES 500G</v>
          </cell>
          <cell r="B2669" t="str">
            <v>FG</v>
          </cell>
          <cell r="C2669" t="str">
            <v>DATES</v>
          </cell>
          <cell r="D2669" t="str">
            <v>Sayer</v>
          </cell>
        </row>
        <row r="2670">
          <cell r="A2670" t="str">
            <v>PL DRIED BLUEBERRIES 100G</v>
          </cell>
          <cell r="B2670" t="str">
            <v>FG</v>
          </cell>
          <cell r="C2670" t="str">
            <v>BLUEBERRY</v>
          </cell>
          <cell r="D2670" t="str">
            <v>Blueberry - Plain</v>
          </cell>
        </row>
        <row r="2671">
          <cell r="A2671" t="str">
            <v>PL SLICED CRANBERRIES 100G</v>
          </cell>
          <cell r="B2671" t="str">
            <v>FG</v>
          </cell>
          <cell r="C2671" t="str">
            <v>CRANBERRY</v>
          </cell>
          <cell r="D2671" t="str">
            <v>Cranberry - Sliced</v>
          </cell>
        </row>
        <row r="2672">
          <cell r="A2672" t="str">
            <v>PL TURKEY APRICOTS 200G</v>
          </cell>
          <cell r="B2672" t="str">
            <v>FG</v>
          </cell>
          <cell r="C2672" t="str">
            <v>APRICOT</v>
          </cell>
          <cell r="D2672" t="str">
            <v>Apricot - Turkey</v>
          </cell>
        </row>
        <row r="2673">
          <cell r="A2673" t="str">
            <v>PL ZAHIDI DATES 500G</v>
          </cell>
          <cell r="B2673" t="str">
            <v>FG</v>
          </cell>
          <cell r="C2673" t="str">
            <v>DATES</v>
          </cell>
          <cell r="D2673" t="str">
            <v>Zahidi</v>
          </cell>
        </row>
        <row r="2674">
          <cell r="A2674" t="str">
            <v>PM24-350 Pet Top Silver With Lid 150 gm</v>
          </cell>
          <cell r="B2674" t="str">
            <v>PM</v>
          </cell>
          <cell r="C2674" t="str">
            <v>Packaging</v>
          </cell>
          <cell r="D2674" t="str">
            <v>Pet</v>
          </cell>
        </row>
        <row r="2675">
          <cell r="A2675" t="str">
            <v>PM24-3Ply American pecan carton with partition-CF02</v>
          </cell>
          <cell r="B2675" t="str">
            <v>PM</v>
          </cell>
          <cell r="C2675" t="str">
            <v>Packaging</v>
          </cell>
          <cell r="D2675" t="str">
            <v>Carton</v>
          </cell>
        </row>
        <row r="2676">
          <cell r="A2676" t="str">
            <v>PM24-3 Ply Carton Al Barakah Dates for 500 gm Green (420x310x110mm) 10 Kg</v>
          </cell>
          <cell r="B2676" t="str">
            <v>PM</v>
          </cell>
          <cell r="C2676" t="str">
            <v>Packaging</v>
          </cell>
          <cell r="D2676" t="str">
            <v>Carton</v>
          </cell>
        </row>
        <row r="2677">
          <cell r="A2677" t="str">
            <v>PM24-3 Ply Carton Al Barakah for 500 gm pouch</v>
          </cell>
          <cell r="B2677" t="str">
            <v>PM</v>
          </cell>
          <cell r="C2677" t="str">
            <v>Packaging</v>
          </cell>
          <cell r="D2677" t="str">
            <v>Carton</v>
          </cell>
        </row>
        <row r="2678">
          <cell r="A2678" t="str">
            <v>PM24-3 Ply Carton-All Purpose</v>
          </cell>
          <cell r="B2678" t="str">
            <v>PM</v>
          </cell>
          <cell r="C2678" t="str">
            <v>Packaging</v>
          </cell>
          <cell r="D2678" t="str">
            <v>Carton</v>
          </cell>
        </row>
        <row r="2679">
          <cell r="A2679" t="str">
            <v>PM24-3 Ply Carton Arabian Dates Pouch 17 x 14.5 x 9.5 Plain 10 Kg gm</v>
          </cell>
          <cell r="B2679" t="str">
            <v>PM</v>
          </cell>
          <cell r="C2679" t="str">
            <v>Packaging</v>
          </cell>
          <cell r="D2679" t="str">
            <v>Carton</v>
          </cell>
        </row>
        <row r="2680">
          <cell r="A2680" t="str">
            <v>PM24-3 Ply Carton BAPS 5000 gm</v>
          </cell>
          <cell r="B2680" t="str">
            <v>PM</v>
          </cell>
          <cell r="C2680" t="str">
            <v>Packaging</v>
          </cell>
          <cell r="D2680" t="str">
            <v>Carton</v>
          </cell>
        </row>
        <row r="2681">
          <cell r="A2681" t="str">
            <v>PM24-3 Ply Carton Big Basket Tasties Master 12.5 x 6.75 x 8.5 cm 1200 gm</v>
          </cell>
          <cell r="B2681" t="str">
            <v>PM</v>
          </cell>
          <cell r="C2681" t="str">
            <v>Packaging</v>
          </cell>
          <cell r="D2681" t="str">
            <v>Carton</v>
          </cell>
        </row>
        <row r="2682">
          <cell r="A2682" t="str">
            <v>PM24-3 Ply Carton Big Glass Bottle Carton / Partion 14.5 x 10 x 6.75 mm 1500 gm</v>
          </cell>
          <cell r="B2682" t="str">
            <v>PM</v>
          </cell>
          <cell r="C2682" t="str">
            <v>Packaging</v>
          </cell>
          <cell r="D2682" t="str">
            <v>Carton</v>
          </cell>
        </row>
        <row r="2683">
          <cell r="A2683" t="str">
            <v>PM24-3 Ply Carton Black Berry/Cranberry 100 gm (D mart) Unprinted</v>
          </cell>
          <cell r="B2683" t="str">
            <v>PM</v>
          </cell>
          <cell r="C2683" t="str">
            <v>Packaging</v>
          </cell>
          <cell r="D2683" t="str">
            <v>Carton</v>
          </cell>
        </row>
        <row r="2684">
          <cell r="A2684" t="str">
            <v>PM24-3 Ply Carton Carnival Anjeer Carton 10 Kg</v>
          </cell>
          <cell r="B2684" t="str">
            <v>PM</v>
          </cell>
          <cell r="C2684" t="str">
            <v>Packaging</v>
          </cell>
          <cell r="D2684" t="str">
            <v>Carton</v>
          </cell>
        </row>
        <row r="2685">
          <cell r="A2685" t="str">
            <v>PM24-3 Ply Carton CF04 Medju0l 500gm 8 Kg (385X285X230mm)-Printed</v>
          </cell>
          <cell r="B2685" t="str">
            <v>PM</v>
          </cell>
          <cell r="C2685" t="str">
            <v>Packaging</v>
          </cell>
          <cell r="D2685" t="str">
            <v>Carton</v>
          </cell>
        </row>
        <row r="2686">
          <cell r="A2686" t="str">
            <v>PM24-3 Ply Carton CF21 Walnut Carton (445X310X305MM)-Printed</v>
          </cell>
          <cell r="B2686" t="str">
            <v>PM</v>
          </cell>
          <cell r="C2686" t="str">
            <v>Packaging</v>
          </cell>
          <cell r="D2686" t="str">
            <v>Carton</v>
          </cell>
        </row>
        <row r="2687">
          <cell r="A2687" t="str">
            <v>PM24-3 Ply Carton CF21 Walnut Carton (445X310X305MM)-Unprinted</v>
          </cell>
          <cell r="B2687" t="str">
            <v>PM</v>
          </cell>
          <cell r="C2687" t="str">
            <v>Packaging</v>
          </cell>
          <cell r="D2687" t="str">
            <v>Carton</v>
          </cell>
        </row>
        <row r="2688">
          <cell r="A2688" t="str">
            <v>PM24-3 Ply Carton CF24 10 Kg (390x290x220mm) 10000 gm-Printed</v>
          </cell>
          <cell r="B2688" t="str">
            <v>PM</v>
          </cell>
          <cell r="C2688" t="str">
            <v>Packaging</v>
          </cell>
          <cell r="D2688" t="str">
            <v>Carton</v>
          </cell>
        </row>
        <row r="2689">
          <cell r="A2689" t="str">
            <v>PM24-3 Ply Carton CF24 10 Kg (390x290x220mm) 10000 gm -Unprinted</v>
          </cell>
          <cell r="B2689" t="str">
            <v>PM</v>
          </cell>
          <cell r="C2689" t="str">
            <v>Packaging</v>
          </cell>
          <cell r="D2689" t="str">
            <v>Carton</v>
          </cell>
        </row>
        <row r="2690">
          <cell r="A2690" t="str">
            <v>PM24-3 Ply Carton CF26 10 Kg (390x290x235mm) DMART-Unprinted</v>
          </cell>
          <cell r="B2690" t="str">
            <v>PM</v>
          </cell>
          <cell r="C2690" t="str">
            <v>Packaging</v>
          </cell>
          <cell r="D2690" t="str">
            <v>Carton</v>
          </cell>
        </row>
        <row r="2691">
          <cell r="A2691" t="str">
            <v>PM24-3 Ply Carton CF27 (445x278x174mm) Royal Delight -Unprinted</v>
          </cell>
          <cell r="B2691" t="str">
            <v>PM</v>
          </cell>
          <cell r="C2691" t="str">
            <v>Packaging</v>
          </cell>
          <cell r="D2691" t="str">
            <v>Carton</v>
          </cell>
        </row>
        <row r="2692">
          <cell r="A2692" t="str">
            <v>PM24-3 Ply Carton D Mart 5 Case Pack Krack Nut Carton</v>
          </cell>
          <cell r="B2692" t="str">
            <v>PM</v>
          </cell>
          <cell r="C2692" t="str">
            <v>Packaging</v>
          </cell>
          <cell r="D2692" t="str">
            <v>Carton</v>
          </cell>
        </row>
        <row r="2693">
          <cell r="A2693" t="str">
            <v>PM24-3 Ply Carton Flower Hamper Inner</v>
          </cell>
          <cell r="B2693" t="str">
            <v>PM</v>
          </cell>
          <cell r="C2693" t="str">
            <v>Packaging</v>
          </cell>
          <cell r="D2693" t="str">
            <v>Carton</v>
          </cell>
        </row>
        <row r="2694">
          <cell r="A2694" t="str">
            <v>PM24-3 Ply Carton Flower Hamper Outer</v>
          </cell>
          <cell r="B2694" t="str">
            <v>PM</v>
          </cell>
          <cell r="C2694" t="str">
            <v>Packaging</v>
          </cell>
          <cell r="D2694" t="str">
            <v>Carton</v>
          </cell>
        </row>
        <row r="2695">
          <cell r="A2695" t="str">
            <v>PM24-3 Ply Carton for Small Glass Bottle with Partion 12 x 8 x 5 mm 3000 gm</v>
          </cell>
          <cell r="B2695" t="str">
            <v>PM</v>
          </cell>
          <cell r="C2695" t="str">
            <v>Packaging</v>
          </cell>
          <cell r="D2695" t="str">
            <v>Carton</v>
          </cell>
        </row>
        <row r="2696">
          <cell r="A2696" t="str">
            <v>PM24-3 Ply Carton Karmiq Seed Outer Carton 5000 gm</v>
          </cell>
          <cell r="B2696" t="str">
            <v>PM</v>
          </cell>
          <cell r="C2696" t="str">
            <v>Packaging</v>
          </cell>
          <cell r="D2696" t="str">
            <v>Carton</v>
          </cell>
        </row>
        <row r="2697">
          <cell r="A2697" t="str">
            <v>PM24-3 Ply Carton Kracknut 10000 gm</v>
          </cell>
          <cell r="B2697" t="str">
            <v>PM</v>
          </cell>
          <cell r="C2697" t="str">
            <v>Packaging</v>
          </cell>
          <cell r="D2697" t="str">
            <v>Carton</v>
          </cell>
        </row>
        <row r="2698">
          <cell r="A2698" t="str">
            <v>PM24-3 Ply Carton Partition for 100 gm</v>
          </cell>
          <cell r="B2698" t="str">
            <v>PM</v>
          </cell>
          <cell r="C2698" t="str">
            <v>Packaging</v>
          </cell>
          <cell r="D2698" t="str">
            <v>Carton</v>
          </cell>
        </row>
        <row r="2699">
          <cell r="A2699" t="str">
            <v>PM24-3ply Carton Royal Traditions Snack Mix Chapata 2.4kg</v>
          </cell>
          <cell r="B2699" t="str">
            <v>PM</v>
          </cell>
          <cell r="C2699" t="str">
            <v>Packaging</v>
          </cell>
          <cell r="D2699" t="str">
            <v>Carton</v>
          </cell>
        </row>
        <row r="2700">
          <cell r="A2700" t="str">
            <v>PM24-3ply Carton Royal Traditions Snack Mix Masala Magic 2.4kg</v>
          </cell>
          <cell r="B2700" t="str">
            <v>PM</v>
          </cell>
          <cell r="C2700" t="str">
            <v>Packaging</v>
          </cell>
          <cell r="D2700" t="str">
            <v>Carton</v>
          </cell>
        </row>
        <row r="2701">
          <cell r="A2701" t="str">
            <v>PM24-3 Ply Cartons Reliance PGP For 500 gm Glass Jar (366x244x163mm)</v>
          </cell>
          <cell r="B2701" t="str">
            <v>PM</v>
          </cell>
          <cell r="C2701" t="str">
            <v>Packaging</v>
          </cell>
          <cell r="D2701" t="str">
            <v>Carton</v>
          </cell>
        </row>
        <row r="2702">
          <cell r="A2702" t="str">
            <v>PM24-3 ply Carton Tasties 12.5 x 6.75 x 8.5 mm (for monocarton)</v>
          </cell>
          <cell r="B2702" t="str">
            <v>PM</v>
          </cell>
          <cell r="C2702" t="str">
            <v>Packaging</v>
          </cell>
          <cell r="D2702" t="str">
            <v>Carton</v>
          </cell>
        </row>
        <row r="2703">
          <cell r="A2703" t="str">
            <v>PM24-3 Ply Carton Vedaka Yellow Hamper 10000 gm</v>
          </cell>
          <cell r="B2703" t="str">
            <v>PM</v>
          </cell>
          <cell r="C2703" t="str">
            <v>Packaging</v>
          </cell>
          <cell r="D2703" t="str">
            <v>Carton</v>
          </cell>
        </row>
        <row r="2704">
          <cell r="A2704" t="str">
            <v>PM24-3 Ply CF05 Al Barakah Fard Dates Carton 10Kg</v>
          </cell>
          <cell r="B2704" t="str">
            <v>PM</v>
          </cell>
          <cell r="C2704" t="str">
            <v>Packaging</v>
          </cell>
          <cell r="D2704" t="str">
            <v>Carton</v>
          </cell>
        </row>
        <row r="2705">
          <cell r="A2705" t="str">
            <v>PM24-3 Ply CF Carton CF02 Medjoul 1 Kg 390x300x170mm 8Kg</v>
          </cell>
          <cell r="B2705" t="str">
            <v>PM</v>
          </cell>
          <cell r="C2705" t="str">
            <v>Packaging</v>
          </cell>
          <cell r="D2705" t="str">
            <v>Carton</v>
          </cell>
        </row>
        <row r="2706">
          <cell r="A2706" t="str">
            <v>PM24-3 Ply CF Carton CF25 Raisin</v>
          </cell>
          <cell r="B2706" t="str">
            <v>PM</v>
          </cell>
          <cell r="C2706" t="str">
            <v>Packaging</v>
          </cell>
          <cell r="D2706" t="str">
            <v>Carton</v>
          </cell>
        </row>
        <row r="2707">
          <cell r="A2707" t="str">
            <v>PM24-3 Ply Curate Carton 10 Kg (CF24) Printed</v>
          </cell>
          <cell r="B2707" t="str">
            <v>PM</v>
          </cell>
          <cell r="C2707" t="str">
            <v>Packaging</v>
          </cell>
          <cell r="D2707" t="str">
            <v>Carton</v>
          </cell>
        </row>
        <row r="2708">
          <cell r="A2708" t="str">
            <v>PM24-3 ply Curate Carton (C21)Printed 15 Kg</v>
          </cell>
          <cell r="B2708" t="str">
            <v>PM</v>
          </cell>
          <cell r="C2708" t="str">
            <v>Packaging</v>
          </cell>
          <cell r="D2708" t="str">
            <v>Carton</v>
          </cell>
        </row>
        <row r="2709">
          <cell r="A2709" t="str">
            <v>PM24-3 Ply Del Monte Carton Arabian Dates Plain With Partition (for 500 gm) 10000 gm</v>
          </cell>
          <cell r="B2709" t="str">
            <v>PM</v>
          </cell>
          <cell r="C2709" t="str">
            <v>Packaging</v>
          </cell>
          <cell r="D2709" t="str">
            <v>Carton</v>
          </cell>
        </row>
        <row r="2710">
          <cell r="A2710" t="str">
            <v>PM24-3 Ply Del Monte Carton  Arabian Dates Printed With Partition (500 gm) 10000 gm</v>
          </cell>
          <cell r="B2710" t="str">
            <v>PM</v>
          </cell>
          <cell r="C2710" t="str">
            <v>Packaging</v>
          </cell>
          <cell r="D2710" t="str">
            <v>Carton</v>
          </cell>
        </row>
        <row r="2711">
          <cell r="A2711" t="str">
            <v>PM24-3 Ply DelMonte Carton Arabian Dates Printed With Partition (for 500 gm) 10000 gm</v>
          </cell>
          <cell r="B2711" t="str">
            <v>PM</v>
          </cell>
          <cell r="C2711" t="str">
            <v>Packaging</v>
          </cell>
          <cell r="D2711" t="str">
            <v>Carton</v>
          </cell>
        </row>
        <row r="2712">
          <cell r="A2712" t="str">
            <v>PM24-3 Ply D Mart Carton 5 Case Pack Kracknut Carton (432x330x165mm) 15 Kg</v>
          </cell>
          <cell r="B2712" t="str">
            <v>PM</v>
          </cell>
          <cell r="C2712" t="str">
            <v>Packaging</v>
          </cell>
          <cell r="D2712" t="str">
            <v>Carton</v>
          </cell>
        </row>
        <row r="2713">
          <cell r="A2713" t="str">
            <v>PM24-3 Ply D Mart Carton Premia Party Mix 10000 gm</v>
          </cell>
          <cell r="B2713" t="str">
            <v>PM</v>
          </cell>
          <cell r="C2713" t="str">
            <v>Packaging</v>
          </cell>
          <cell r="D2713" t="str">
            <v>Carton</v>
          </cell>
        </row>
        <row r="2714">
          <cell r="A2714" t="str">
            <v>PM24-3 Ply D Mart Carton Premia Pouch 100 gm 10 Kg (482X350X184MM OD)</v>
          </cell>
          <cell r="B2714" t="str">
            <v>PM</v>
          </cell>
          <cell r="C2714" t="str">
            <v>Packaging</v>
          </cell>
          <cell r="D2714" t="str">
            <v>Carton</v>
          </cell>
        </row>
        <row r="2715">
          <cell r="A2715" t="str">
            <v>PM24-3 Ply Ecom Carton 1000 gm</v>
          </cell>
          <cell r="B2715" t="str">
            <v>PM</v>
          </cell>
          <cell r="C2715" t="str">
            <v>Packaging</v>
          </cell>
          <cell r="D2715" t="str">
            <v>Carton</v>
          </cell>
        </row>
        <row r="2716">
          <cell r="A2716" t="str">
            <v>PM24-3 Ply Ecom Carton 18 x 16 x 14 cm</v>
          </cell>
          <cell r="B2716" t="str">
            <v>PM</v>
          </cell>
          <cell r="C2716" t="str">
            <v>Packaging</v>
          </cell>
          <cell r="D2716" t="str">
            <v>Carton</v>
          </cell>
        </row>
        <row r="2717">
          <cell r="A2717" t="str">
            <v>PM24-3 Ply Ecom Carton 3 Ply Date Syrup 18 x 16 x 14 cm</v>
          </cell>
          <cell r="B2717" t="str">
            <v>PM</v>
          </cell>
          <cell r="C2717" t="str">
            <v>Packaging</v>
          </cell>
          <cell r="D2717" t="str">
            <v>Carton</v>
          </cell>
        </row>
        <row r="2718">
          <cell r="A2718" t="str">
            <v>PM24-3 Ply Ecom Carton Khalas 1000 gm</v>
          </cell>
          <cell r="B2718" t="str">
            <v>PM</v>
          </cell>
          <cell r="C2718" t="str">
            <v>Packaging</v>
          </cell>
          <cell r="D2718" t="str">
            <v>Carton</v>
          </cell>
        </row>
        <row r="2719">
          <cell r="A2719" t="str">
            <v>PM24-3 Ply Ecom Carton NC05 Plain 500 gm 9.4 x4.5 x4.5</v>
          </cell>
          <cell r="B2719" t="str">
            <v>PM</v>
          </cell>
          <cell r="C2719" t="str">
            <v>Packaging</v>
          </cell>
          <cell r="D2719" t="str">
            <v>Carton</v>
          </cell>
        </row>
        <row r="2720">
          <cell r="A2720" t="str">
            <v>PM24-3 Ply Ecom Carton Pista 800 gm</v>
          </cell>
          <cell r="B2720" t="str">
            <v>PM</v>
          </cell>
          <cell r="C2720" t="str">
            <v>Packaging</v>
          </cell>
          <cell r="D2720" t="str">
            <v>Carton</v>
          </cell>
        </row>
        <row r="2721">
          <cell r="A2721" t="str">
            <v>PM24-3 Ply Ecom Hamper Carton 11 x 8.25 x 4.5 cm</v>
          </cell>
          <cell r="B2721" t="str">
            <v>PM</v>
          </cell>
          <cell r="C2721" t="str">
            <v>Packaging</v>
          </cell>
          <cell r="D2721" t="str">
            <v>Carton</v>
          </cell>
        </row>
        <row r="2722">
          <cell r="A2722" t="str">
            <v>PM24-3 Ply Ecom Kimia Dates Carton</v>
          </cell>
          <cell r="B2722" t="str">
            <v>PM</v>
          </cell>
          <cell r="C2722" t="str">
            <v>Packaging</v>
          </cell>
          <cell r="D2722" t="str">
            <v>Carton</v>
          </cell>
        </row>
        <row r="2723">
          <cell r="A2723" t="str">
            <v>PM24-3 Ply Habit Carton Printed 10 Kg</v>
          </cell>
          <cell r="B2723" t="str">
            <v>PM</v>
          </cell>
          <cell r="C2723" t="str">
            <v>Packaging</v>
          </cell>
          <cell r="D2723" t="str">
            <v>Carton</v>
          </cell>
        </row>
        <row r="2724">
          <cell r="A2724" t="str">
            <v>PM24-3 Ply Habit Carton Unprinted 10 Kg</v>
          </cell>
          <cell r="B2724" t="str">
            <v>PM</v>
          </cell>
          <cell r="C2724" t="str">
            <v>Packaging</v>
          </cell>
          <cell r="D2724" t="str">
            <v>Carton</v>
          </cell>
        </row>
        <row r="2725">
          <cell r="A2725" t="str">
            <v>PM24-3 Ply Habit Carton Unprinted 15 kg</v>
          </cell>
          <cell r="B2725" t="str">
            <v>PM</v>
          </cell>
          <cell r="C2725" t="str">
            <v>Packaging</v>
          </cell>
          <cell r="D2725" t="str">
            <v>Carton</v>
          </cell>
        </row>
        <row r="2726">
          <cell r="A2726" t="str">
            <v>PM24-3 Ply Kimia Carton Dates</v>
          </cell>
          <cell r="B2726" t="str">
            <v>PM</v>
          </cell>
          <cell r="C2726" t="str">
            <v>Packaging</v>
          </cell>
          <cell r="D2726" t="str">
            <v>Carton</v>
          </cell>
        </row>
        <row r="2727">
          <cell r="A2727" t="str">
            <v>PM24-3 Ply Krack Nut Monocarton Carton 10 Kg</v>
          </cell>
          <cell r="B2727" t="str">
            <v>PM</v>
          </cell>
          <cell r="C2727" t="str">
            <v>Packaging</v>
          </cell>
          <cell r="D2727" t="str">
            <v>Carton</v>
          </cell>
        </row>
        <row r="2728">
          <cell r="A2728" t="str">
            <v>PM24-3 Ply Rajat Carton 20kg</v>
          </cell>
          <cell r="B2728" t="str">
            <v>PM</v>
          </cell>
          <cell r="C2728" t="str">
            <v>Packaging</v>
          </cell>
          <cell r="D2728" t="str">
            <v>Carton</v>
          </cell>
        </row>
        <row r="2729">
          <cell r="A2729" t="str">
            <v>PM24-3 Ply Snactac Carton 10000 gm</v>
          </cell>
          <cell r="B2729" t="str">
            <v>PM</v>
          </cell>
          <cell r="C2729" t="str">
            <v>Packaging</v>
          </cell>
          <cell r="D2729" t="str">
            <v>Carton</v>
          </cell>
        </row>
        <row r="2730">
          <cell r="A2730" t="str">
            <v>PM24-5PLY Cafe Coffe Day Carton</v>
          </cell>
          <cell r="B2730" t="str">
            <v>PM</v>
          </cell>
          <cell r="C2730" t="str">
            <v>Packaging</v>
          </cell>
          <cell r="D2730" t="str">
            <v>Carton</v>
          </cell>
        </row>
        <row r="2731">
          <cell r="A2731" t="str">
            <v>PM24-5 Ply Carnival Carton Ajwa(blister) 5 Kg</v>
          </cell>
          <cell r="B2731" t="str">
            <v>PM</v>
          </cell>
          <cell r="C2731" t="str">
            <v>Packaging</v>
          </cell>
          <cell r="D2731" t="str">
            <v>Carton</v>
          </cell>
        </row>
        <row r="2732">
          <cell r="A2732" t="str">
            <v>PM24-5 Ply Carnival Carton Ajwa(blister) 5kg &amp;Parti</v>
          </cell>
          <cell r="B2732" t="str">
            <v>PM</v>
          </cell>
          <cell r="C2732" t="str">
            <v>Packaging</v>
          </cell>
          <cell r="D2732" t="str">
            <v>Carton</v>
          </cell>
        </row>
        <row r="2733">
          <cell r="A2733" t="str">
            <v>PM24-5 Ply Carton 530 X300 X275ID</v>
          </cell>
          <cell r="B2733" t="str">
            <v>PM</v>
          </cell>
          <cell r="C2733" t="str">
            <v>Packaging</v>
          </cell>
          <cell r="D2733" t="str">
            <v>Carton</v>
          </cell>
        </row>
        <row r="2734">
          <cell r="A2734" t="str">
            <v>PM24-5 Ply Carton Al Barakah Date Powder</v>
          </cell>
          <cell r="B2734" t="str">
            <v>PM</v>
          </cell>
          <cell r="C2734" t="str">
            <v>Packaging</v>
          </cell>
          <cell r="D2734" t="str">
            <v>Carton</v>
          </cell>
        </row>
        <row r="2735">
          <cell r="A2735" t="str">
            <v>PM24-5 Ply Carton Al Barakah Dates (430x283x137mm) Yellow 10 Kg</v>
          </cell>
          <cell r="B2735" t="str">
            <v>PM</v>
          </cell>
          <cell r="C2735" t="str">
            <v>Packaging</v>
          </cell>
          <cell r="D2735" t="str">
            <v>Carton</v>
          </cell>
        </row>
        <row r="2736">
          <cell r="A2736" t="str">
            <v>PM24-5 Ply Carton-All Purpose</v>
          </cell>
          <cell r="B2736" t="str">
            <v>PM</v>
          </cell>
          <cell r="C2736" t="str">
            <v>Packaging</v>
          </cell>
          <cell r="D2736" t="str">
            <v>Carton</v>
          </cell>
        </row>
        <row r="2737">
          <cell r="A2737" t="str">
            <v>PM24-5 Ply Carton Blissful </v>
          </cell>
          <cell r="B2737" t="str">
            <v>PM</v>
          </cell>
          <cell r="C2737" t="str">
            <v>Packaging</v>
          </cell>
          <cell r="D2737" t="str">
            <v>Carton</v>
          </cell>
        </row>
        <row r="2738">
          <cell r="A2738" t="str">
            <v>PM24-5 Ply Carton Blueberry &amp; Cranberry Pouch 5 Kg</v>
          </cell>
          <cell r="B2738" t="str">
            <v>PM</v>
          </cell>
          <cell r="C2738" t="str">
            <v>Packaging</v>
          </cell>
          <cell r="D2738" t="str">
            <v>Carton</v>
          </cell>
        </row>
        <row r="2739">
          <cell r="A2739" t="str">
            <v>PM24-5 Ply Carton CF24 10kg (390X290X220) (D Mart)-Unprinted</v>
          </cell>
          <cell r="B2739" t="str">
            <v>PM</v>
          </cell>
          <cell r="C2739" t="str">
            <v>Packaging</v>
          </cell>
          <cell r="D2739" t="str">
            <v>Carton</v>
          </cell>
        </row>
        <row r="2740">
          <cell r="A2740" t="str">
            <v>PM24-5ply Carton D mart Premia Almond Salted 2.4kg</v>
          </cell>
          <cell r="B2740" t="str">
            <v>PM</v>
          </cell>
          <cell r="C2740" t="str">
            <v>Packaging</v>
          </cell>
          <cell r="D2740" t="str">
            <v>Carton</v>
          </cell>
        </row>
        <row r="2741">
          <cell r="A2741" t="str">
            <v>PM24-5ply Carton D mart Premia Almond Smokes  2.4kg</v>
          </cell>
          <cell r="B2741" t="str">
            <v>PM</v>
          </cell>
          <cell r="C2741" t="str">
            <v>Packaging</v>
          </cell>
          <cell r="D2741" t="str">
            <v>Carton</v>
          </cell>
        </row>
        <row r="2742">
          <cell r="A2742" t="str">
            <v>PM24-5ply Carton D mart Premia Cashew Black Pepper 2.4kg</v>
          </cell>
          <cell r="B2742" t="str">
            <v>PM</v>
          </cell>
          <cell r="C2742" t="str">
            <v>Packaging</v>
          </cell>
          <cell r="D2742" t="str">
            <v>Carton</v>
          </cell>
        </row>
        <row r="2743">
          <cell r="A2743" t="str">
            <v>PM24-5ply Carton D mart Premia Cashew Salted 2.4kg</v>
          </cell>
          <cell r="B2743" t="str">
            <v>PM</v>
          </cell>
          <cell r="C2743" t="str">
            <v>Packaging</v>
          </cell>
          <cell r="D2743" t="str">
            <v>Carton</v>
          </cell>
        </row>
        <row r="2744">
          <cell r="A2744" t="str">
            <v>PM24-5ply Carton D mart Premia Cranberries Chatpata 2.4kg</v>
          </cell>
          <cell r="B2744" t="str">
            <v>PM</v>
          </cell>
          <cell r="C2744" t="str">
            <v>Packaging</v>
          </cell>
          <cell r="D2744" t="str">
            <v>Carton</v>
          </cell>
        </row>
        <row r="2745">
          <cell r="A2745" t="str">
            <v>PM24-5ply Carton D mart Qwik Snack Almonds Cashews Mix</v>
          </cell>
          <cell r="B2745" t="str">
            <v>PM</v>
          </cell>
          <cell r="C2745" t="str">
            <v>Packaging</v>
          </cell>
          <cell r="D2745" t="str">
            <v>Carton</v>
          </cell>
        </row>
        <row r="2746">
          <cell r="A2746" t="str">
            <v>PM24-5ply Carton D mart Qwik Snack Cranberry Chatpata</v>
          </cell>
          <cell r="B2746" t="str">
            <v>PM</v>
          </cell>
          <cell r="C2746" t="str">
            <v>Packaging</v>
          </cell>
          <cell r="D2746" t="str">
            <v>Carton</v>
          </cell>
        </row>
        <row r="2747">
          <cell r="A2747" t="str">
            <v>PM24-5 Ply Carton Golden Carnival (460x295x235mm) 15 Kg</v>
          </cell>
          <cell r="B2747" t="str">
            <v>PM</v>
          </cell>
          <cell r="C2747" t="str">
            <v>Packaging</v>
          </cell>
          <cell r="D2747" t="str">
            <v>Carton</v>
          </cell>
        </row>
        <row r="2748">
          <cell r="A2748" t="str">
            <v>PM24-5 Ply Carton Good Life Chia Seeds 3 Kg</v>
          </cell>
          <cell r="B2748" t="str">
            <v>PM</v>
          </cell>
          <cell r="C2748" t="str">
            <v>Packaging</v>
          </cell>
          <cell r="D2748" t="str">
            <v>Carton</v>
          </cell>
        </row>
        <row r="2749">
          <cell r="A2749" t="str">
            <v>PM24-5 Ply Carton Good Life Dates 15000 gm</v>
          </cell>
          <cell r="B2749" t="str">
            <v>PM</v>
          </cell>
          <cell r="C2749" t="str">
            <v>Packaging</v>
          </cell>
          <cell r="D2749" t="str">
            <v>Carton</v>
          </cell>
        </row>
        <row r="2750">
          <cell r="A2750" t="str">
            <v>PM24-5 Ply Carton Good Life Other Seeds 3 Kg</v>
          </cell>
          <cell r="B2750" t="str">
            <v>PM</v>
          </cell>
          <cell r="C2750" t="str">
            <v>Packaging</v>
          </cell>
          <cell r="D2750" t="str">
            <v>Carton</v>
          </cell>
        </row>
        <row r="2751">
          <cell r="A2751" t="str">
            <v>PM24-5 Ply Carton Nutraj Master Carton (460x360x195MM)</v>
          </cell>
          <cell r="B2751" t="str">
            <v>PM</v>
          </cell>
          <cell r="C2751" t="str">
            <v>Packaging</v>
          </cell>
          <cell r="D2751" t="str">
            <v>Carton</v>
          </cell>
        </row>
        <row r="2752">
          <cell r="A2752" t="str">
            <v>PM24-5 Ply Carton Seeds Pouch 5 Kg</v>
          </cell>
          <cell r="B2752" t="str">
            <v>PM</v>
          </cell>
          <cell r="C2752" t="str">
            <v>Packaging</v>
          </cell>
          <cell r="D2752" t="str">
            <v>Carton</v>
          </cell>
        </row>
        <row r="2753">
          <cell r="A2753" t="str">
            <v>PM24-5 Ply Carton Silver Carnival (460x295x235mm)-15 Kg</v>
          </cell>
          <cell r="B2753" t="str">
            <v>PM</v>
          </cell>
          <cell r="C2753" t="str">
            <v>Packaging</v>
          </cell>
          <cell r="D2753" t="str">
            <v>Carton</v>
          </cell>
        </row>
        <row r="2754">
          <cell r="A2754" t="str">
            <v>PM24- 5 Ply CF21 Walnut Carton unprinted</v>
          </cell>
          <cell r="B2754" t="str">
            <v>PM</v>
          </cell>
          <cell r="C2754" t="str">
            <v>Packaging</v>
          </cell>
          <cell r="D2754" t="str">
            <v>Carton</v>
          </cell>
        </row>
        <row r="2755">
          <cell r="A2755" t="str">
            <v>PM24-5 Ply CF Carton CF29 (455x345x170mm)-White 10 Kg</v>
          </cell>
          <cell r="B2755" t="str">
            <v>PM</v>
          </cell>
          <cell r="C2755" t="str">
            <v>Packaging</v>
          </cell>
          <cell r="D2755" t="str">
            <v>Carton</v>
          </cell>
        </row>
        <row r="2756">
          <cell r="A2756" t="str">
            <v>PM24-5Ply CF Carton CF31 10 Kg</v>
          </cell>
          <cell r="B2756" t="str">
            <v>PM</v>
          </cell>
          <cell r="C2756" t="str">
            <v>Packaging</v>
          </cell>
          <cell r="D2756" t="str">
            <v>Carton</v>
          </cell>
        </row>
        <row r="2757">
          <cell r="A2757" t="str">
            <v>PM24-5 Ply Del Monte Carton  Prunes 380 x 240 x 170mm 10000 gm</v>
          </cell>
          <cell r="B2757" t="str">
            <v>PM</v>
          </cell>
          <cell r="C2757" t="str">
            <v>Packaging</v>
          </cell>
          <cell r="D2757" t="str">
            <v>Carton</v>
          </cell>
        </row>
        <row r="2758">
          <cell r="A2758" t="str">
            <v>PM24-5 Ply Diwali Carton (3P)  Hardik</v>
          </cell>
          <cell r="B2758" t="str">
            <v>PM</v>
          </cell>
          <cell r="C2758" t="str">
            <v>Packaging</v>
          </cell>
          <cell r="D2758" t="str">
            <v>Carton</v>
          </cell>
        </row>
        <row r="2759">
          <cell r="A2759" t="str">
            <v>PM24-5 Ply Diwali Carton (4P)</v>
          </cell>
          <cell r="B2759" t="str">
            <v>PM</v>
          </cell>
          <cell r="C2759" t="str">
            <v>Packaging</v>
          </cell>
          <cell r="D2759" t="str">
            <v>Carton</v>
          </cell>
        </row>
        <row r="2760">
          <cell r="A2760" t="str">
            <v>PM24-5 Ply Diwali Carton 5Pet Hamper</v>
          </cell>
          <cell r="B2760" t="str">
            <v>PM</v>
          </cell>
          <cell r="C2760" t="str">
            <v>Packaging</v>
          </cell>
          <cell r="D2760" t="str">
            <v>Carton</v>
          </cell>
        </row>
        <row r="2761">
          <cell r="A2761" t="str">
            <v>PM24-5 Ply Diwali Carton Celebration</v>
          </cell>
          <cell r="B2761" t="str">
            <v>PM</v>
          </cell>
          <cell r="C2761" t="str">
            <v>Packaging</v>
          </cell>
          <cell r="D2761" t="str">
            <v>Carton</v>
          </cell>
        </row>
        <row r="2762">
          <cell r="A2762" t="str">
            <v>PM24-5 Ply Diwali Carton Mayur Ratna Big</v>
          </cell>
          <cell r="B2762" t="str">
            <v>PM</v>
          </cell>
          <cell r="C2762" t="str">
            <v>Packaging</v>
          </cell>
          <cell r="D2762" t="str">
            <v>Carton</v>
          </cell>
        </row>
        <row r="2763">
          <cell r="A2763" t="str">
            <v>PM24-5 Ply Diwali Carton Mayur Ratna Small</v>
          </cell>
          <cell r="B2763" t="str">
            <v>PM</v>
          </cell>
          <cell r="C2763" t="str">
            <v>Packaging</v>
          </cell>
          <cell r="D2763" t="str">
            <v>Carton</v>
          </cell>
        </row>
        <row r="2764">
          <cell r="A2764" t="str">
            <v>PM24-5 Ply Diwali Carton NWF 4P</v>
          </cell>
          <cell r="B2764" t="str">
            <v>PM</v>
          </cell>
          <cell r="C2764" t="str">
            <v>Packaging</v>
          </cell>
          <cell r="D2764" t="str">
            <v>Carton</v>
          </cell>
        </row>
        <row r="2765">
          <cell r="A2765" t="str">
            <v>PM24-5 Ply Diwali Carton NWF 6P</v>
          </cell>
          <cell r="B2765" t="str">
            <v>PM</v>
          </cell>
          <cell r="C2765" t="str">
            <v>Packaging</v>
          </cell>
          <cell r="D2765" t="str">
            <v>Carton</v>
          </cell>
        </row>
        <row r="2766">
          <cell r="A2766" t="str">
            <v>PM24-5 Ply Diwali Carton Royal Divine</v>
          </cell>
          <cell r="B2766" t="str">
            <v>PM</v>
          </cell>
          <cell r="C2766" t="str">
            <v>Packaging</v>
          </cell>
          <cell r="D2766" t="str">
            <v>Carton</v>
          </cell>
        </row>
        <row r="2767">
          <cell r="A2767" t="str">
            <v>PM24-5 Ply Diwali Carton Sahi Upahar (Walmart)</v>
          </cell>
          <cell r="B2767" t="str">
            <v>PM</v>
          </cell>
          <cell r="C2767" t="str">
            <v>Packaging</v>
          </cell>
          <cell r="D2767" t="str">
            <v>Carton</v>
          </cell>
        </row>
        <row r="2768">
          <cell r="A2768" t="str">
            <v>PM24-5ply Diwali Carton Supreme 579x470x318 (8000gm)</v>
          </cell>
          <cell r="B2768" t="str">
            <v>PM</v>
          </cell>
          <cell r="C2768" t="str">
            <v>Packaging</v>
          </cell>
          <cell r="D2768" t="str">
            <v>Carton</v>
          </cell>
        </row>
        <row r="2769">
          <cell r="A2769" t="str">
            <v>PM24-5 Ply Diwali Carton Utsav (Walmart)</v>
          </cell>
          <cell r="B2769" t="str">
            <v>PM</v>
          </cell>
          <cell r="C2769" t="str">
            <v>Packaging</v>
          </cell>
          <cell r="D2769" t="str">
            <v>Carton</v>
          </cell>
        </row>
        <row r="2770">
          <cell r="A2770" t="str">
            <v>PM24-5 Ply Diwali Carton Vedaka Common</v>
          </cell>
          <cell r="B2770" t="str">
            <v>PM</v>
          </cell>
          <cell r="C2770" t="str">
            <v>Packaging</v>
          </cell>
          <cell r="D2770" t="str">
            <v>Carton</v>
          </cell>
        </row>
        <row r="2771">
          <cell r="A2771" t="str">
            <v>PM24-5 Ply Diwali Carton Vedaka Rangoli</v>
          </cell>
          <cell r="B2771" t="str">
            <v>PM</v>
          </cell>
          <cell r="C2771" t="str">
            <v>Packaging</v>
          </cell>
          <cell r="D2771" t="str">
            <v>Carton</v>
          </cell>
        </row>
        <row r="2772">
          <cell r="A2772" t="str">
            <v>PM24-5ply Diwali Greetings Carton (6P-610x430x275 mm) 6720 gm</v>
          </cell>
          <cell r="B2772" t="str">
            <v>PM</v>
          </cell>
          <cell r="C2772" t="str">
            <v>Packaging</v>
          </cell>
          <cell r="D2772" t="str">
            <v>Carton</v>
          </cell>
        </row>
        <row r="2773">
          <cell r="A2773" t="str">
            <v>PM24-5Ply Diwali Magic Movement HOH (4P)</v>
          </cell>
          <cell r="B2773" t="str">
            <v>PM</v>
          </cell>
          <cell r="C2773" t="str">
            <v>Packaging</v>
          </cell>
          <cell r="D2773" t="str">
            <v>Carton</v>
          </cell>
        </row>
        <row r="2774">
          <cell r="A2774" t="str">
            <v>PM24-5Ply Diwali Mahotsav HOH (4P)</v>
          </cell>
          <cell r="B2774" t="str">
            <v>PM</v>
          </cell>
          <cell r="C2774" t="str">
            <v>Packaging</v>
          </cell>
          <cell r="D2774" t="str">
            <v>Carton</v>
          </cell>
        </row>
        <row r="2775">
          <cell r="A2775" t="str">
            <v>PM24-5ply Diwali Moment Carton (3M-435x365x315 mm) 4800gm</v>
          </cell>
          <cell r="B2775" t="str">
            <v>PM</v>
          </cell>
          <cell r="C2775" t="str">
            <v>Packaging</v>
          </cell>
          <cell r="D2775" t="str">
            <v>Carton</v>
          </cell>
        </row>
        <row r="2776">
          <cell r="A2776" t="str">
            <v>PM24-5Ply Diwali Shubhkamnaye HOH (3P)</v>
          </cell>
          <cell r="B2776" t="str">
            <v>PM</v>
          </cell>
          <cell r="C2776" t="str">
            <v>Packaging</v>
          </cell>
          <cell r="D2776" t="str">
            <v>Carton</v>
          </cell>
        </row>
        <row r="2777">
          <cell r="A2777" t="str">
            <v>PM24-5ply Diwali Shubkamnaye Carton (2P- 370x305x215) 3600 gm</v>
          </cell>
          <cell r="B2777" t="str">
            <v>PM</v>
          </cell>
          <cell r="C2777" t="str">
            <v>Packaging</v>
          </cell>
          <cell r="D2777" t="str">
            <v>Carton</v>
          </cell>
        </row>
        <row r="2778">
          <cell r="A2778" t="str">
            <v>PM24-5ply Diwali Signature Carton M4</v>
          </cell>
          <cell r="B2778" t="str">
            <v>PM</v>
          </cell>
          <cell r="C2778" t="str">
            <v>Packaging</v>
          </cell>
          <cell r="D2778" t="str">
            <v>Carton</v>
          </cell>
        </row>
        <row r="2779">
          <cell r="A2779" t="str">
            <v>PM24-5ply Diwali Signature Carton M4 5PLY (466 x 426 x 294)</v>
          </cell>
          <cell r="B2779" t="str">
            <v>PM</v>
          </cell>
          <cell r="C2779" t="str">
            <v>Packaging</v>
          </cell>
          <cell r="D2779" t="str">
            <v>Carton</v>
          </cell>
        </row>
        <row r="2780">
          <cell r="A2780" t="str">
            <v>PM24-5ply Diwali Uphar Carton</v>
          </cell>
          <cell r="B2780" t="str">
            <v>PM</v>
          </cell>
          <cell r="C2780" t="str">
            <v>Packaging</v>
          </cell>
          <cell r="D2780" t="str">
            <v>Carton</v>
          </cell>
        </row>
        <row r="2781">
          <cell r="A2781" t="str">
            <v>PM24-Al Barakah Ajwa Dates 400 gm</v>
          </cell>
          <cell r="B2781" t="str">
            <v>PM</v>
          </cell>
          <cell r="C2781" t="str">
            <v>Packaging</v>
          </cell>
          <cell r="D2781" t="str">
            <v>Pouch</v>
          </cell>
        </row>
        <row r="2782">
          <cell r="A2782" t="str">
            <v>PM24-Al Barakah Date Delights Classic (Cardamom Flavour) Monocarton 210 gm</v>
          </cell>
          <cell r="B2782" t="str">
            <v>PM</v>
          </cell>
          <cell r="C2782" t="str">
            <v>Packaging</v>
          </cell>
          <cell r="D2782" t="str">
            <v xml:space="preserve">Monocarton </v>
          </cell>
        </row>
        <row r="2783">
          <cell r="A2783" t="str">
            <v>PM24-Al Barakah Dates Bottom Printed 250 gm</v>
          </cell>
          <cell r="B2783" t="str">
            <v>PM</v>
          </cell>
          <cell r="C2783" t="str">
            <v>Packaging</v>
          </cell>
          <cell r="D2783" t="str">
            <v>Bottom</v>
          </cell>
        </row>
        <row r="2784">
          <cell r="A2784" t="str">
            <v>PM24-Al Barakah Dates Bottom Printed 500 gm</v>
          </cell>
          <cell r="B2784" t="str">
            <v>PM</v>
          </cell>
          <cell r="C2784" t="str">
            <v>Packaging</v>
          </cell>
          <cell r="D2784" t="str">
            <v>Bottom</v>
          </cell>
        </row>
        <row r="2785">
          <cell r="A2785" t="str">
            <v>PM24-Al Barakah Mabroom Dates 400 gm</v>
          </cell>
          <cell r="B2785" t="str">
            <v>PM</v>
          </cell>
          <cell r="C2785" t="str">
            <v>Packaging</v>
          </cell>
          <cell r="D2785" t="str">
            <v>Pouch</v>
          </cell>
        </row>
        <row r="2786">
          <cell r="A2786" t="str">
            <v>PM24- Al Barakah Medjoul Date Top 400gm</v>
          </cell>
          <cell r="B2786" t="str">
            <v>PM</v>
          </cell>
          <cell r="C2786" t="str">
            <v>Packaging</v>
          </cell>
          <cell r="D2786" t="str">
            <v>Top</v>
          </cell>
        </row>
        <row r="2787">
          <cell r="A2787" t="str">
            <v>PM24-Al Barakah Seedless Kalmi Dates 400 gm</v>
          </cell>
          <cell r="B2787" t="str">
            <v>PM</v>
          </cell>
          <cell r="C2787" t="str">
            <v>Packaging</v>
          </cell>
          <cell r="D2787" t="str">
            <v>Pouch</v>
          </cell>
        </row>
        <row r="2788">
          <cell r="A2788" t="str">
            <v>PM24-Al Barakah Seedless Mabroom Dates 400 gm</v>
          </cell>
          <cell r="B2788" t="str">
            <v>PM</v>
          </cell>
          <cell r="C2788" t="str">
            <v>Packaging</v>
          </cell>
          <cell r="D2788" t="str">
            <v>Pouch</v>
          </cell>
        </row>
        <row r="2789">
          <cell r="A2789" t="str">
            <v>PM24-Al Barakah Seedless Safawi Dates 400 gm</v>
          </cell>
          <cell r="B2789" t="str">
            <v>PM</v>
          </cell>
          <cell r="C2789" t="str">
            <v>Packaging</v>
          </cell>
          <cell r="D2789" t="str">
            <v>Pouch</v>
          </cell>
        </row>
        <row r="2790">
          <cell r="A2790" t="str">
            <v>PM24-All is Well Choco Crunch 180 gm Monocarton</v>
          </cell>
          <cell r="B2790" t="str">
            <v>PM</v>
          </cell>
          <cell r="C2790" t="str">
            <v>Packaging</v>
          </cell>
          <cell r="D2790" t="str">
            <v xml:space="preserve">Monocarton </v>
          </cell>
        </row>
        <row r="2791">
          <cell r="A2791" t="str">
            <v>PM24-All is Well Fig And Dates 180 gm Monocarton</v>
          </cell>
          <cell r="B2791" t="str">
            <v>PM</v>
          </cell>
          <cell r="C2791" t="str">
            <v>Packaging</v>
          </cell>
          <cell r="D2791" t="str">
            <v xml:space="preserve">Monocarton </v>
          </cell>
        </row>
        <row r="2792">
          <cell r="A2792" t="str">
            <v>PM24-All Is Well Hazelnut 180 gm Monocarton</v>
          </cell>
          <cell r="B2792" t="str">
            <v>PM</v>
          </cell>
          <cell r="C2792" t="str">
            <v>Packaging</v>
          </cell>
          <cell r="D2792" t="str">
            <v xml:space="preserve">Monocarton </v>
          </cell>
        </row>
        <row r="2793">
          <cell r="A2793" t="str">
            <v>PM24-All is Well Oats And Aprictos 180 gm Monocarton</v>
          </cell>
          <cell r="B2793" t="str">
            <v>PM</v>
          </cell>
          <cell r="C2793" t="str">
            <v>Packaging</v>
          </cell>
          <cell r="D2793" t="str">
            <v xml:space="preserve">Monocarton </v>
          </cell>
        </row>
        <row r="2794">
          <cell r="A2794" t="str">
            <v>PM24-Anjeer Monocarton 100 gm</v>
          </cell>
          <cell r="B2794" t="str">
            <v>PM</v>
          </cell>
          <cell r="C2794" t="str">
            <v>Packaging</v>
          </cell>
          <cell r="D2794" t="str">
            <v xml:space="preserve">Monocarton </v>
          </cell>
        </row>
        <row r="2795">
          <cell r="A2795" t="str">
            <v>PM24-Anjeer Monocarton (Cred) 200 gm</v>
          </cell>
          <cell r="B2795" t="str">
            <v>PM</v>
          </cell>
          <cell r="C2795" t="str">
            <v>Packaging</v>
          </cell>
          <cell r="D2795" t="str">
            <v xml:space="preserve">Monocarton </v>
          </cell>
        </row>
        <row r="2796">
          <cell r="A2796" t="str">
            <v>PM24-Bamboo Tongs 5 gm</v>
          </cell>
          <cell r="B2796" t="str">
            <v>PM</v>
          </cell>
          <cell r="C2796" t="str">
            <v>Packaging</v>
          </cell>
          <cell r="D2796" t="str">
            <v>Tong</v>
          </cell>
        </row>
        <row r="2797">
          <cell r="A2797" t="str">
            <v>PM24-Bottom Dates Plain 1 Kg</v>
          </cell>
          <cell r="B2797" t="str">
            <v>PM</v>
          </cell>
          <cell r="C2797" t="str">
            <v>Packaging</v>
          </cell>
          <cell r="D2797" t="str">
            <v>Bottom</v>
          </cell>
        </row>
        <row r="2798">
          <cell r="A2798" t="str">
            <v>PM24-Butter Paper 14970 gm</v>
          </cell>
          <cell r="B2798" t="str">
            <v>PM</v>
          </cell>
          <cell r="C2798" t="str">
            <v>Packaging</v>
          </cell>
          <cell r="D2798" t="str">
            <v>Butter Paper</v>
          </cell>
        </row>
        <row r="2799">
          <cell r="A2799" t="str">
            <v>PM24-Cafe Coffee Day Monocarton 300gm</v>
          </cell>
          <cell r="B2799" t="str">
            <v>PM</v>
          </cell>
          <cell r="C2799" t="str">
            <v>Packaging</v>
          </cell>
          <cell r="D2799" t="str">
            <v xml:space="preserve">Monocarton </v>
          </cell>
        </row>
        <row r="2800">
          <cell r="A2800" t="str">
            <v>PM24-Café Galleria Specially Selected Dry Fruit Delux Pouch 250 gm</v>
          </cell>
          <cell r="B2800" t="str">
            <v>PM</v>
          </cell>
          <cell r="C2800" t="str">
            <v>Packaging</v>
          </cell>
          <cell r="D2800" t="str">
            <v>Pouch</v>
          </cell>
        </row>
        <row r="2801">
          <cell r="A2801" t="str">
            <v>PM24-Café Galleria Specially Selected Dry Fruit Delux Pouch 500 gm Digital</v>
          </cell>
          <cell r="B2801" t="str">
            <v>PM</v>
          </cell>
          <cell r="C2801" t="str">
            <v>Packaging</v>
          </cell>
          <cell r="D2801" t="str">
            <v>Pouch Roll</v>
          </cell>
        </row>
        <row r="2802">
          <cell r="A2802" t="str">
            <v>PM24-Café Galleria Specially Selected Snack Roasted Pouch 500 gm Digital</v>
          </cell>
          <cell r="B2802" t="str">
            <v>PM</v>
          </cell>
          <cell r="C2802" t="str">
            <v>Packaging</v>
          </cell>
          <cell r="D2802" t="str">
            <v>Pouch Roll</v>
          </cell>
        </row>
        <row r="2803">
          <cell r="A2803" t="str">
            <v>PM24-California Pistachio Roasted &amp; Salted Monocarton (Cred) 200 gm</v>
          </cell>
          <cell r="B2803" t="str">
            <v>PM</v>
          </cell>
          <cell r="C2803" t="str">
            <v>Packaging</v>
          </cell>
          <cell r="D2803" t="str">
            <v xml:space="preserve">Monocarton </v>
          </cell>
        </row>
        <row r="2804">
          <cell r="A2804" t="str">
            <v>PM24-Carnival Almond 100 gm</v>
          </cell>
          <cell r="B2804" t="str">
            <v>PM</v>
          </cell>
          <cell r="C2804" t="str">
            <v>Packaging</v>
          </cell>
          <cell r="D2804" t="str">
            <v>Pouch</v>
          </cell>
        </row>
        <row r="2805">
          <cell r="A2805" t="str">
            <v>PM24-Carnival Almond 500 gm Monocarton</v>
          </cell>
          <cell r="B2805" t="str">
            <v>PM</v>
          </cell>
          <cell r="C2805" t="str">
            <v>Packaging</v>
          </cell>
          <cell r="D2805" t="str">
            <v xml:space="preserve">Monocarton </v>
          </cell>
        </row>
        <row r="2806">
          <cell r="A2806" t="str">
            <v>PM24-Carnival Almond Choco Bite 100g (Dark Chocolate)</v>
          </cell>
          <cell r="B2806" t="str">
            <v>PM</v>
          </cell>
          <cell r="C2806" t="str">
            <v>Packaging</v>
          </cell>
          <cell r="D2806" t="str">
            <v xml:space="preserve">Monocarton </v>
          </cell>
        </row>
        <row r="2807">
          <cell r="A2807" t="str">
            <v>PM24-Carnival Almond Choco Bite 100g (Milk Chocolate)</v>
          </cell>
          <cell r="B2807" t="str">
            <v>PM</v>
          </cell>
          <cell r="C2807" t="str">
            <v>Packaging</v>
          </cell>
          <cell r="D2807" t="str">
            <v xml:space="preserve">Monocarton </v>
          </cell>
        </row>
        <row r="2808">
          <cell r="A2808" t="str">
            <v>PM24-Carnival Almond Choco Bite 100g (White Chocolate)</v>
          </cell>
          <cell r="B2808" t="str">
            <v>PM</v>
          </cell>
          <cell r="C2808" t="str">
            <v>Packaging</v>
          </cell>
          <cell r="D2808" t="str">
            <v xml:space="preserve">Monocarton </v>
          </cell>
        </row>
        <row r="2809">
          <cell r="A2809" t="str">
            <v>PM24-Carnival Almond Monocarton 250 gm</v>
          </cell>
          <cell r="B2809" t="str">
            <v>PM</v>
          </cell>
          <cell r="C2809" t="str">
            <v>Packaging</v>
          </cell>
          <cell r="D2809" t="str">
            <v xml:space="preserve">Monocarton </v>
          </cell>
        </row>
        <row r="2810">
          <cell r="A2810" t="str">
            <v>PM24-Carnival Almonds (Cred) Monocarton 1000 gm</v>
          </cell>
          <cell r="B2810" t="str">
            <v>PM</v>
          </cell>
          <cell r="C2810" t="str">
            <v>Packaging</v>
          </cell>
          <cell r="D2810" t="str">
            <v xml:space="preserve">Monocarton </v>
          </cell>
        </row>
        <row r="2811">
          <cell r="A2811" t="str">
            <v>PM24-Carnival Almonds Independence Monocarton (Cred) 200 gm</v>
          </cell>
          <cell r="B2811" t="str">
            <v>PM</v>
          </cell>
          <cell r="C2811" t="str">
            <v>Packaging</v>
          </cell>
          <cell r="D2811" t="str">
            <v xml:space="preserve">Monocarton </v>
          </cell>
        </row>
        <row r="2812">
          <cell r="A2812" t="str">
            <v>PM24-Carnival American Pecan Nut Monocarton (Cred) 200 gm</v>
          </cell>
          <cell r="B2812" t="str">
            <v>PM</v>
          </cell>
          <cell r="C2812" t="str">
            <v>Packaging</v>
          </cell>
          <cell r="D2812" t="str">
            <v xml:space="preserve">Monocarton </v>
          </cell>
        </row>
        <row r="2813">
          <cell r="A2813" t="str">
            <v>PM24-Carnival Anjeer Monocarton 250 gm</v>
          </cell>
          <cell r="B2813" t="str">
            <v>PM</v>
          </cell>
          <cell r="C2813" t="str">
            <v>Packaging</v>
          </cell>
          <cell r="D2813" t="str">
            <v xml:space="preserve">Monocarton </v>
          </cell>
        </row>
        <row r="2814">
          <cell r="A2814" t="str">
            <v>PM24-Carnival Anjeer Small (Dried) (Cred) Monocarton 200 gm</v>
          </cell>
          <cell r="B2814" t="str">
            <v>PM</v>
          </cell>
          <cell r="C2814" t="str">
            <v>Packaging</v>
          </cell>
          <cell r="D2814" t="str">
            <v xml:space="preserve">Monocarton </v>
          </cell>
        </row>
        <row r="2815">
          <cell r="A2815" t="str">
            <v>PM24-Carnival Apricot Monocarton 250 gm</v>
          </cell>
          <cell r="B2815" t="str">
            <v>PM</v>
          </cell>
          <cell r="C2815" t="str">
            <v>Packaging</v>
          </cell>
          <cell r="D2815" t="str">
            <v xml:space="preserve">Monocarton </v>
          </cell>
        </row>
        <row r="2816">
          <cell r="A2816" t="str">
            <v>PM24-Carnival Apricot Monocarton (Cred) 200 gm</v>
          </cell>
          <cell r="B2816" t="str">
            <v>PM</v>
          </cell>
          <cell r="C2816" t="str">
            <v>Packaging</v>
          </cell>
          <cell r="D2816" t="str">
            <v xml:space="preserve">Monocarton </v>
          </cell>
        </row>
        <row r="2817">
          <cell r="A2817" t="str">
            <v>PM24-Carnival Blackcurrant Monocarton 250 gm</v>
          </cell>
          <cell r="B2817" t="str">
            <v>PM</v>
          </cell>
          <cell r="C2817" t="str">
            <v>Packaging</v>
          </cell>
          <cell r="D2817" t="str">
            <v xml:space="preserve">Monocarton </v>
          </cell>
        </row>
        <row r="2818">
          <cell r="A2818" t="str">
            <v>PM24-Carnival Brazil Nuts Monocarton 250 gm</v>
          </cell>
          <cell r="B2818" t="str">
            <v>PM</v>
          </cell>
          <cell r="C2818" t="str">
            <v>Packaging</v>
          </cell>
          <cell r="D2818" t="str">
            <v xml:space="preserve">Monocarton </v>
          </cell>
        </row>
        <row r="2819">
          <cell r="A2819" t="str">
            <v>PM24-Carnival Brazil Nuts Monocarton (Cred) 250 gm</v>
          </cell>
          <cell r="B2819" t="str">
            <v>PM</v>
          </cell>
          <cell r="C2819" t="str">
            <v>Packaging</v>
          </cell>
          <cell r="D2819" t="str">
            <v xml:space="preserve">Monocarton </v>
          </cell>
        </row>
        <row r="2820">
          <cell r="A2820" t="str">
            <v>PM24-Carnival California Pista Monocarton 100 gm</v>
          </cell>
          <cell r="B2820" t="str">
            <v>PM</v>
          </cell>
          <cell r="C2820" t="str">
            <v>Packaging</v>
          </cell>
          <cell r="D2820" t="str">
            <v xml:space="preserve">Monocarton </v>
          </cell>
        </row>
        <row r="2821">
          <cell r="A2821" t="str">
            <v>PM24-Carnival Cashew 400 Monocarton (Cred) 200 gm</v>
          </cell>
          <cell r="B2821" t="str">
            <v>PM</v>
          </cell>
          <cell r="C2821" t="str">
            <v>Packaging</v>
          </cell>
          <cell r="D2821" t="str">
            <v xml:space="preserve">Monocarton </v>
          </cell>
        </row>
        <row r="2822">
          <cell r="A2822" t="str">
            <v>PM24-Carnival Cashewnut Monocarton 250 gm</v>
          </cell>
          <cell r="B2822" t="str">
            <v>PM</v>
          </cell>
          <cell r="C2822" t="str">
            <v>Packaging</v>
          </cell>
          <cell r="D2822" t="str">
            <v xml:space="preserve">Monocarton </v>
          </cell>
        </row>
        <row r="2823">
          <cell r="A2823" t="str">
            <v>PM24-Carnival Cashew (W320) (Cred) Monocarton 200 gm</v>
          </cell>
          <cell r="B2823" t="str">
            <v>PM</v>
          </cell>
          <cell r="C2823" t="str">
            <v>Packaging</v>
          </cell>
          <cell r="D2823" t="str">
            <v xml:space="preserve">Monocarton </v>
          </cell>
        </row>
        <row r="2824">
          <cell r="A2824" t="str">
            <v>PM24-Carnival Chatpata Black Raisin 100 gm</v>
          </cell>
          <cell r="B2824" t="str">
            <v>PM</v>
          </cell>
          <cell r="C2824" t="str">
            <v>Packaging</v>
          </cell>
          <cell r="D2824" t="str">
            <v>Label</v>
          </cell>
        </row>
        <row r="2825">
          <cell r="A2825" t="str">
            <v>PM24-Carnival Choco Almond Delight Monocartons 50 gm</v>
          </cell>
          <cell r="B2825" t="str">
            <v>PM</v>
          </cell>
          <cell r="C2825" t="str">
            <v>Packaging</v>
          </cell>
          <cell r="D2825" t="str">
            <v xml:space="preserve">Monocarton </v>
          </cell>
        </row>
        <row r="2826">
          <cell r="A2826" t="str">
            <v>PM24-Carnival Dates Bite Composite Tin With Tin Lid (127mmx160mm) Cred 200 gm</v>
          </cell>
          <cell r="B2826" t="str">
            <v>PM</v>
          </cell>
          <cell r="C2826" t="str">
            <v>Packaging</v>
          </cell>
          <cell r="D2826" t="str">
            <v>Tin</v>
          </cell>
        </row>
        <row r="2827">
          <cell r="A2827" t="str">
            <v>PM24-Carnival Hazelnut Classic (Cred)Monocarton 200 gm</v>
          </cell>
          <cell r="B2827" t="str">
            <v>PM</v>
          </cell>
          <cell r="C2827" t="str">
            <v>Packaging</v>
          </cell>
          <cell r="D2827" t="str">
            <v xml:space="preserve">Monocarton </v>
          </cell>
        </row>
        <row r="2828">
          <cell r="A2828" t="str">
            <v>PM24-Carnival Hazelnut Monocarton 200 gm</v>
          </cell>
          <cell r="B2828" t="str">
            <v>PM</v>
          </cell>
          <cell r="C2828" t="str">
            <v>Packaging</v>
          </cell>
          <cell r="D2828" t="str">
            <v xml:space="preserve">Monocarton </v>
          </cell>
        </row>
        <row r="2829">
          <cell r="A2829" t="str">
            <v>PM24-Carnival Indian Black Raisin Monocarton 200 gm</v>
          </cell>
          <cell r="B2829" t="str">
            <v>PM</v>
          </cell>
          <cell r="C2829" t="str">
            <v>Packaging</v>
          </cell>
          <cell r="D2829" t="str">
            <v xml:space="preserve">Monocarton </v>
          </cell>
        </row>
        <row r="2830">
          <cell r="A2830" t="str">
            <v>PM24-Carnival Indian Black Raisin Seedless Monocarton (Cred) 250 gm</v>
          </cell>
          <cell r="B2830" t="str">
            <v>PM</v>
          </cell>
          <cell r="C2830" t="str">
            <v>Packaging</v>
          </cell>
          <cell r="D2830" t="str">
            <v xml:space="preserve">Monocarton </v>
          </cell>
        </row>
        <row r="2831">
          <cell r="A2831" t="str">
            <v>PM24-Carnival Indian Green Raisin (Cred) 1000 gm Monocarton</v>
          </cell>
          <cell r="B2831" t="str">
            <v>PM</v>
          </cell>
          <cell r="C2831" t="str">
            <v>Packaging</v>
          </cell>
          <cell r="D2831" t="str">
            <v xml:space="preserve">Monocarton </v>
          </cell>
        </row>
        <row r="2832">
          <cell r="A2832" t="str">
            <v>PM24-Carnival Indian Raisins Green 200 gm Monocarton</v>
          </cell>
          <cell r="B2832" t="str">
            <v>PM</v>
          </cell>
          <cell r="C2832" t="str">
            <v>Packaging</v>
          </cell>
          <cell r="D2832" t="str">
            <v xml:space="preserve">Monocarton </v>
          </cell>
        </row>
        <row r="2833">
          <cell r="A2833" t="str">
            <v>PM24-Carnival Kashmir Kesar Monocarton 2 gm</v>
          </cell>
          <cell r="B2833" t="str">
            <v>PM</v>
          </cell>
          <cell r="C2833" t="str">
            <v>Packaging</v>
          </cell>
          <cell r="D2833" t="str">
            <v xml:space="preserve">Monocarton </v>
          </cell>
        </row>
        <row r="2834">
          <cell r="A2834" t="str">
            <v>PM24-Carnival Kashmir Kesar Monocarton 5 gm</v>
          </cell>
          <cell r="B2834" t="str">
            <v>PM</v>
          </cell>
          <cell r="C2834" t="str">
            <v>Packaging</v>
          </cell>
          <cell r="D2834" t="str">
            <v xml:space="preserve">Monocarton </v>
          </cell>
        </row>
        <row r="2835">
          <cell r="A2835" t="str">
            <v>PM24-Carnival Khalas (Cred) Monocarton</v>
          </cell>
          <cell r="B2835" t="str">
            <v>PM</v>
          </cell>
          <cell r="C2835" t="str">
            <v>Packaging</v>
          </cell>
          <cell r="D2835" t="str">
            <v xml:space="preserve">Monocarton </v>
          </cell>
        </row>
        <row r="2836">
          <cell r="A2836" t="str">
            <v>PM24-Carnival Mamra Almond Monocarton Red (Cred) 250 gm</v>
          </cell>
          <cell r="B2836" t="str">
            <v>PM</v>
          </cell>
          <cell r="C2836" t="str">
            <v>Packaging</v>
          </cell>
          <cell r="D2836" t="str">
            <v xml:space="preserve">Monocarton </v>
          </cell>
        </row>
        <row r="2837">
          <cell r="A2837" t="str">
            <v>PM24-Carnival Omani Dates (Cred) 200 gm Monocarton</v>
          </cell>
          <cell r="B2837" t="str">
            <v>PM</v>
          </cell>
          <cell r="C2837" t="str">
            <v>Packaging</v>
          </cell>
          <cell r="D2837" t="str">
            <v xml:space="preserve">Monocarton </v>
          </cell>
        </row>
        <row r="2838">
          <cell r="A2838" t="str">
            <v>PM24-Carnival Pecanuts Monocarton (Cred) 250 gm</v>
          </cell>
          <cell r="B2838" t="str">
            <v>PM</v>
          </cell>
          <cell r="C2838" t="str">
            <v>Packaging</v>
          </cell>
          <cell r="D2838" t="str">
            <v xml:space="preserve">Monocarton </v>
          </cell>
        </row>
        <row r="2839">
          <cell r="A2839" t="str">
            <v>PM24-Carnival Pitted Prunes Set 250 gm</v>
          </cell>
          <cell r="B2839" t="str">
            <v>PM</v>
          </cell>
          <cell r="C2839" t="str">
            <v>Packaging</v>
          </cell>
          <cell r="D2839" t="str">
            <v>Label</v>
          </cell>
        </row>
        <row r="2840">
          <cell r="A2840" t="str">
            <v>PM24-Carnival Premium Mamra 250 gm Monocarton</v>
          </cell>
          <cell r="B2840" t="str">
            <v>PM</v>
          </cell>
          <cell r="C2840" t="str">
            <v>Packaging</v>
          </cell>
          <cell r="D2840" t="str">
            <v xml:space="preserve">Monocarton </v>
          </cell>
        </row>
        <row r="2841">
          <cell r="A2841" t="str">
            <v>PM24-Carnival Roasted Salted Macadamia Monocarton 250 gm</v>
          </cell>
          <cell r="B2841" t="str">
            <v>PM</v>
          </cell>
          <cell r="C2841" t="str">
            <v>Packaging</v>
          </cell>
          <cell r="D2841" t="str">
            <v xml:space="preserve">Monocarton </v>
          </cell>
        </row>
        <row r="2842">
          <cell r="A2842" t="str">
            <v>PM24-Carnival Roasted Salted Pistachio 100 gm Monocarton</v>
          </cell>
          <cell r="B2842" t="str">
            <v>PM</v>
          </cell>
          <cell r="C2842" t="str">
            <v>Packaging</v>
          </cell>
          <cell r="D2842" t="str">
            <v xml:space="preserve">Monocarton </v>
          </cell>
        </row>
        <row r="2843">
          <cell r="A2843" t="str">
            <v>PM24-Carnival Roasted Salted Pistachio 250 gm Monocarton</v>
          </cell>
          <cell r="B2843" t="str">
            <v>PM</v>
          </cell>
          <cell r="C2843" t="str">
            <v>Packaging</v>
          </cell>
          <cell r="D2843" t="str">
            <v xml:space="preserve">Monocarton </v>
          </cell>
        </row>
        <row r="2844">
          <cell r="A2844" t="str">
            <v>PM24-Carnival Running Almonds (Cred) 200 gm Monocarton</v>
          </cell>
          <cell r="B2844" t="str">
            <v>PM</v>
          </cell>
          <cell r="C2844" t="str">
            <v>Packaging</v>
          </cell>
          <cell r="D2844" t="str">
            <v xml:space="preserve">Monocarton </v>
          </cell>
        </row>
        <row r="2845">
          <cell r="A2845" t="str">
            <v>PM24-Carnival Thandai Monocarton</v>
          </cell>
          <cell r="B2845" t="str">
            <v>PM</v>
          </cell>
          <cell r="C2845" t="str">
            <v>Packaging</v>
          </cell>
          <cell r="D2845" t="str">
            <v xml:space="preserve">Monocarton </v>
          </cell>
        </row>
        <row r="2846">
          <cell r="A2846" t="str">
            <v>PM24-Carnival Walnut Regular Monocarton (Cred) 250 gm</v>
          </cell>
          <cell r="B2846" t="str">
            <v>PM</v>
          </cell>
          <cell r="C2846" t="str">
            <v>Packaging</v>
          </cell>
          <cell r="D2846" t="str">
            <v xml:space="preserve">Monocarton </v>
          </cell>
        </row>
        <row r="2847">
          <cell r="A2847" t="str">
            <v>PM24-Carnival Walnuts Preimum Monocarton 250 gm</v>
          </cell>
          <cell r="B2847" t="str">
            <v>PM</v>
          </cell>
          <cell r="C2847" t="str">
            <v>Packaging</v>
          </cell>
          <cell r="D2847" t="str">
            <v xml:space="preserve">Monocarton </v>
          </cell>
        </row>
        <row r="2848">
          <cell r="A2848" t="str">
            <v>PM24-Carton D Mart  Royal Traditions Mahotsav 500g x 10</v>
          </cell>
          <cell r="B2848" t="str">
            <v>PM</v>
          </cell>
          <cell r="C2848" t="str">
            <v>Packaging</v>
          </cell>
          <cell r="D2848" t="str">
            <v>Carton</v>
          </cell>
        </row>
        <row r="2849">
          <cell r="A2849" t="str">
            <v>PM24-Carton D Mart  Royal Traditions Shubhkamna 300g x 14</v>
          </cell>
          <cell r="B2849" t="str">
            <v>PM</v>
          </cell>
          <cell r="C2849" t="str">
            <v>Packaging</v>
          </cell>
          <cell r="D2849" t="str">
            <v>Carton</v>
          </cell>
        </row>
        <row r="2850">
          <cell r="A2850" t="str">
            <v>PM24-Carton D Mart  Royal Traditions Tyohar 400g x 14</v>
          </cell>
          <cell r="B2850" t="str">
            <v>PM</v>
          </cell>
          <cell r="C2850" t="str">
            <v>Packaging</v>
          </cell>
          <cell r="D2850" t="str">
            <v>Carton</v>
          </cell>
        </row>
        <row r="2851">
          <cell r="A2851" t="str">
            <v>PM24-Carton D Mart  Royal Traditions Utsav 300g x 14</v>
          </cell>
          <cell r="B2851" t="str">
            <v>PM</v>
          </cell>
          <cell r="C2851" t="str">
            <v>Packaging</v>
          </cell>
          <cell r="D2851" t="str">
            <v>Carton</v>
          </cell>
        </row>
        <row r="2852">
          <cell r="A2852" t="str">
            <v>PM24-Chilgoza Giri Pine Nut Kernel 250 gm</v>
          </cell>
          <cell r="B2852" t="str">
            <v>PM</v>
          </cell>
          <cell r="C2852" t="str">
            <v>Packaging</v>
          </cell>
          <cell r="D2852" t="str">
            <v xml:space="preserve">Monocarton </v>
          </cell>
        </row>
        <row r="2853">
          <cell r="A2853" t="str">
            <v>PM24-Choco Berry Bite Monocarton 30 gm</v>
          </cell>
          <cell r="B2853" t="str">
            <v>PM</v>
          </cell>
          <cell r="C2853" t="str">
            <v>Packaging</v>
          </cell>
          <cell r="D2853" t="str">
            <v xml:space="preserve">Monocarton </v>
          </cell>
        </row>
        <row r="2854">
          <cell r="A2854" t="str">
            <v>PM24-Corrugated Box-1Kg Bottom Plain 3Ply</v>
          </cell>
          <cell r="B2854" t="str">
            <v>PM</v>
          </cell>
          <cell r="C2854" t="str">
            <v>Packaging</v>
          </cell>
          <cell r="D2854" t="str">
            <v>Bottom</v>
          </cell>
        </row>
        <row r="2855">
          <cell r="A2855" t="str">
            <v>PM24-Curate Anjeer Monocarton 200 gm</v>
          </cell>
          <cell r="B2855" t="str">
            <v>PM</v>
          </cell>
          <cell r="C2855" t="str">
            <v>Packaging</v>
          </cell>
          <cell r="D2855" t="str">
            <v xml:space="preserve">Monocarton </v>
          </cell>
        </row>
        <row r="2856">
          <cell r="A2856" t="str">
            <v>PM24-Curate Cashew Monocarton 200 gm</v>
          </cell>
          <cell r="B2856" t="str">
            <v>PM</v>
          </cell>
          <cell r="C2856" t="str">
            <v>Packaging</v>
          </cell>
          <cell r="D2856" t="str">
            <v xml:space="preserve">Monocarton </v>
          </cell>
        </row>
        <row r="2857">
          <cell r="A2857" t="str">
            <v>PM24-Curate Cashew Monocarton 500 gm</v>
          </cell>
          <cell r="B2857" t="str">
            <v>PM</v>
          </cell>
          <cell r="C2857" t="str">
            <v>Packaging</v>
          </cell>
          <cell r="D2857" t="str">
            <v xml:space="preserve">Monocarton </v>
          </cell>
        </row>
        <row r="2858">
          <cell r="A2858" t="str">
            <v>PM24- Curate Date Bite Assorted Flavour</v>
          </cell>
          <cell r="B2858" t="str">
            <v>PM</v>
          </cell>
          <cell r="C2858" t="str">
            <v>Packaging</v>
          </cell>
          <cell r="D2858" t="str">
            <v xml:space="preserve">Monocarton </v>
          </cell>
        </row>
        <row r="2859">
          <cell r="A2859" t="str">
            <v>PM24-Curate Date Bite-Assorted Monocarton 2 x 210 gm</v>
          </cell>
          <cell r="B2859" t="str">
            <v>PM</v>
          </cell>
          <cell r="C2859" t="str">
            <v>Packaging</v>
          </cell>
          <cell r="D2859" t="str">
            <v xml:space="preserve">Monocarton </v>
          </cell>
        </row>
        <row r="2860">
          <cell r="A2860" t="str">
            <v>PM24- Curate Date Bite Classic Cardamon</v>
          </cell>
          <cell r="B2860" t="str">
            <v>PM</v>
          </cell>
          <cell r="C2860" t="str">
            <v>Packaging</v>
          </cell>
          <cell r="D2860" t="str">
            <v xml:space="preserve">Monocarton </v>
          </cell>
        </row>
        <row r="2861">
          <cell r="A2861" t="str">
            <v>PM24-Curate Date Bite-Classic Monocarton 210 gm</v>
          </cell>
          <cell r="B2861" t="str">
            <v>PM</v>
          </cell>
          <cell r="C2861" t="str">
            <v>Packaging</v>
          </cell>
          <cell r="D2861" t="str">
            <v xml:space="preserve">Monocarton </v>
          </cell>
        </row>
        <row r="2862">
          <cell r="A2862" t="str">
            <v>PM24-Curate Date Bite-Rose Monocarton 210 gm</v>
          </cell>
          <cell r="B2862" t="str">
            <v>PM</v>
          </cell>
          <cell r="C2862" t="str">
            <v>Packaging</v>
          </cell>
          <cell r="D2862" t="str">
            <v xml:space="preserve">Monocarton </v>
          </cell>
        </row>
        <row r="2863">
          <cell r="A2863" t="str">
            <v>PM24-Curate Dates Bottom Printed 500 gm</v>
          </cell>
          <cell r="B2863" t="str">
            <v>PM</v>
          </cell>
          <cell r="C2863" t="str">
            <v>Packaging</v>
          </cell>
          <cell r="D2863" t="str">
            <v>Bottom</v>
          </cell>
        </row>
        <row r="2864">
          <cell r="A2864" t="str">
            <v>PM24-Curate Hazelnut Monocarton 200 gm</v>
          </cell>
          <cell r="B2864" t="str">
            <v>PM</v>
          </cell>
          <cell r="C2864" t="str">
            <v>Packaging</v>
          </cell>
          <cell r="D2864" t="str">
            <v xml:space="preserve">Monocarton </v>
          </cell>
        </row>
        <row r="2865">
          <cell r="A2865" t="str">
            <v>PM24-Curate Macadamia Nuts Monocarton 200 gm</v>
          </cell>
          <cell r="B2865" t="str">
            <v>PM</v>
          </cell>
          <cell r="C2865" t="str">
            <v>Packaging</v>
          </cell>
          <cell r="D2865" t="str">
            <v xml:space="preserve">Monocarton </v>
          </cell>
        </row>
        <row r="2866">
          <cell r="A2866" t="str">
            <v>PM24-Curate Mamra Almond Monocarton 200 gm</v>
          </cell>
          <cell r="B2866" t="str">
            <v>PM</v>
          </cell>
          <cell r="C2866" t="str">
            <v>Packaging</v>
          </cell>
          <cell r="D2866" t="str">
            <v xml:space="preserve">Monocarton </v>
          </cell>
        </row>
        <row r="2867">
          <cell r="A2867" t="str">
            <v>PM24-Curate Mamra Almond Monocarton 500 gm</v>
          </cell>
          <cell r="B2867" t="str">
            <v>PM</v>
          </cell>
          <cell r="C2867" t="str">
            <v>Packaging</v>
          </cell>
          <cell r="D2867" t="str">
            <v xml:space="preserve">Monocarton </v>
          </cell>
        </row>
        <row r="2868">
          <cell r="A2868" t="str">
            <v>PM24-Curate Medjoul Dates Top 500 gm</v>
          </cell>
          <cell r="B2868" t="str">
            <v>PM</v>
          </cell>
          <cell r="C2868" t="str">
            <v>Packaging</v>
          </cell>
          <cell r="D2868" t="str">
            <v>Top</v>
          </cell>
        </row>
        <row r="2869">
          <cell r="A2869" t="str">
            <v>PM24-Curate Pista Peshawari Monocarton 200 gm</v>
          </cell>
          <cell r="B2869" t="str">
            <v>PM</v>
          </cell>
          <cell r="C2869" t="str">
            <v>Packaging</v>
          </cell>
          <cell r="D2869" t="str">
            <v xml:space="preserve">Monocarton </v>
          </cell>
        </row>
        <row r="2870">
          <cell r="A2870" t="str">
            <v>PM24-Curate Pitted Prunes Monocarton 200 gm</v>
          </cell>
          <cell r="B2870" t="str">
            <v>PM</v>
          </cell>
          <cell r="C2870" t="str">
            <v>Packaging</v>
          </cell>
          <cell r="D2870" t="str">
            <v xml:space="preserve">Monocarton </v>
          </cell>
        </row>
        <row r="2871">
          <cell r="A2871" t="str">
            <v>PM24-Curate Whole Blueberry Monocarton 200 gm</v>
          </cell>
          <cell r="B2871" t="str">
            <v>PM</v>
          </cell>
          <cell r="C2871" t="str">
            <v>Packaging</v>
          </cell>
          <cell r="D2871" t="str">
            <v xml:space="preserve">Monocarton </v>
          </cell>
        </row>
        <row r="2872">
          <cell r="A2872" t="str">
            <v>PM24-Curate Whole Cranberry Monocarton 200 gm</v>
          </cell>
          <cell r="B2872" t="str">
            <v>PM</v>
          </cell>
          <cell r="C2872" t="str">
            <v>Packaging</v>
          </cell>
          <cell r="D2872" t="str">
            <v xml:space="preserve">Monocarton </v>
          </cell>
        </row>
        <row r="2873">
          <cell r="A2873" t="str">
            <v>PM24-Date Delight Classic Monocarton</v>
          </cell>
          <cell r="B2873" t="str">
            <v>PM</v>
          </cell>
          <cell r="C2873" t="str">
            <v>Packaging</v>
          </cell>
          <cell r="D2873" t="str">
            <v xml:space="preserve">Monocarton </v>
          </cell>
        </row>
        <row r="2874">
          <cell r="A2874" t="str">
            <v>PM24-Dates Bottom UnPrinted 250 gm</v>
          </cell>
          <cell r="B2874" t="str">
            <v>PM</v>
          </cell>
          <cell r="C2874" t="str">
            <v>Packaging</v>
          </cell>
          <cell r="D2874" t="str">
            <v>Bottom</v>
          </cell>
        </row>
        <row r="2875">
          <cell r="A2875" t="str">
            <v>PM24-Dates Bottom with Partition UnPrinted 5kg</v>
          </cell>
          <cell r="B2875" t="str">
            <v>PM</v>
          </cell>
          <cell r="C2875" t="str">
            <v>Packaging</v>
          </cell>
          <cell r="D2875" t="str">
            <v>Bottom</v>
          </cell>
        </row>
        <row r="2876">
          <cell r="A2876" t="str">
            <v>PM24 -Deglet Nour Box 908g (Mono Carton)</v>
          </cell>
          <cell r="B2876" t="str">
            <v>PM</v>
          </cell>
          <cell r="C2876" t="str">
            <v>Packaging</v>
          </cell>
          <cell r="D2876" t="str">
            <v xml:space="preserve">Monocarton </v>
          </cell>
        </row>
        <row r="2877">
          <cell r="A2877" t="str">
            <v>PM24-Delmonte Carton With Partition(200Grm)Plain</v>
          </cell>
          <cell r="B2877" t="str">
            <v>PM</v>
          </cell>
          <cell r="C2877" t="str">
            <v>Packaging</v>
          </cell>
          <cell r="D2877" t="str">
            <v>Carton</v>
          </cell>
        </row>
        <row r="2878">
          <cell r="A2878" t="str">
            <v>PM24-Delmonte Prune 380*240*170(Od)5Ply 150Gsm All 22Bf</v>
          </cell>
          <cell r="B2878" t="str">
            <v>PM</v>
          </cell>
          <cell r="C2878" t="str">
            <v>Packaging</v>
          </cell>
          <cell r="D2878" t="str">
            <v>Pouch</v>
          </cell>
        </row>
        <row r="2879">
          <cell r="A2879" t="str">
            <v>PM24-D Mart Carton Celebration Pack 400 g x 15 (pet) (610x425x315mm)</v>
          </cell>
          <cell r="B2879" t="str">
            <v>PM</v>
          </cell>
          <cell r="C2879" t="str">
            <v>Packaging</v>
          </cell>
          <cell r="D2879" t="str">
            <v>Carton</v>
          </cell>
        </row>
        <row r="2880">
          <cell r="A2880" t="str">
            <v>PM24-D Mart Qwik Snax Monocarton</v>
          </cell>
          <cell r="B2880" t="str">
            <v>PM</v>
          </cell>
          <cell r="C2880" t="str">
            <v>Packaging</v>
          </cell>
          <cell r="D2880" t="str">
            <v xml:space="preserve">Monocarton </v>
          </cell>
        </row>
        <row r="2881">
          <cell r="A2881" t="str">
            <v>PM24-Dr Batra Protein Hair Health Bar Monocarton</v>
          </cell>
          <cell r="B2881" t="str">
            <v>PM</v>
          </cell>
          <cell r="C2881" t="str">
            <v>Packaging</v>
          </cell>
          <cell r="D2881" t="str">
            <v xml:space="preserve">Monocarton </v>
          </cell>
        </row>
        <row r="2882">
          <cell r="A2882" t="str">
            <v>PM24-Dry Fruit Instant Monocarton</v>
          </cell>
          <cell r="B2882" t="str">
            <v>PM</v>
          </cell>
          <cell r="C2882" t="str">
            <v>Packaging</v>
          </cell>
          <cell r="D2882" t="str">
            <v xml:space="preserve">Monocarton </v>
          </cell>
        </row>
        <row r="2883">
          <cell r="A2883" t="str">
            <v>PM24-Dub-10/ / 15 Carton 200 gm</v>
          </cell>
          <cell r="B2883" t="str">
            <v>PM</v>
          </cell>
          <cell r="C2883" t="str">
            <v>Packaging</v>
          </cell>
          <cell r="D2883" t="str">
            <v xml:space="preserve">Monocarton </v>
          </cell>
        </row>
        <row r="2884">
          <cell r="A2884" t="str">
            <v>PM24-Empl-Dryfruits Instant Monocarton175 gm</v>
          </cell>
          <cell r="B2884" t="str">
            <v>PM</v>
          </cell>
          <cell r="C2884" t="str">
            <v>Packaging</v>
          </cell>
          <cell r="D2884" t="str">
            <v xml:space="preserve">Monocarton </v>
          </cell>
        </row>
        <row r="2885">
          <cell r="A2885" t="str">
            <v>PM24-Empl-Dryfruits Instant Monocarton 270 gm</v>
          </cell>
          <cell r="B2885" t="str">
            <v>PM</v>
          </cell>
          <cell r="C2885" t="str">
            <v>Packaging</v>
          </cell>
          <cell r="D2885" t="str">
            <v xml:space="preserve">Monocarton </v>
          </cell>
        </row>
        <row r="2886">
          <cell r="A2886" t="str">
            <v>PM24-Empl-Gondh mono carton</v>
          </cell>
          <cell r="B2886" t="str">
            <v>PM</v>
          </cell>
          <cell r="C2886" t="str">
            <v>Packaging</v>
          </cell>
          <cell r="D2886" t="str">
            <v xml:space="preserve">Monocarton </v>
          </cell>
        </row>
        <row r="2887">
          <cell r="A2887" t="str">
            <v>PM24-Empl-Kamarkas mono carton</v>
          </cell>
          <cell r="B2887" t="str">
            <v>PM</v>
          </cell>
          <cell r="C2887" t="str">
            <v>Packaging</v>
          </cell>
          <cell r="D2887" t="str">
            <v xml:space="preserve">Monocarton </v>
          </cell>
        </row>
        <row r="2888">
          <cell r="A2888" t="str">
            <v>PM24-Empl-Methi mono carton</v>
          </cell>
          <cell r="B2888" t="str">
            <v>PM</v>
          </cell>
          <cell r="C2888" t="str">
            <v>Packaging</v>
          </cell>
          <cell r="D2888" t="str">
            <v xml:space="preserve">Monocarton </v>
          </cell>
        </row>
        <row r="2889">
          <cell r="A2889" t="str">
            <v>PM24-Empl-Wholesome Millet mono carton</v>
          </cell>
          <cell r="B2889" t="str">
            <v>PM</v>
          </cell>
          <cell r="C2889" t="str">
            <v>Packaging</v>
          </cell>
          <cell r="D2889" t="str">
            <v xml:space="preserve">Monocarton </v>
          </cell>
        </row>
        <row r="2890">
          <cell r="A2890" t="str">
            <v>PM24-Fit Bar Assorted Pack Of 12 Monocarton</v>
          </cell>
          <cell r="B2890" t="str">
            <v>PM</v>
          </cell>
          <cell r="C2890" t="str">
            <v>Packaging</v>
          </cell>
          <cell r="D2890" t="str">
            <v xml:space="preserve">Monocarton </v>
          </cell>
        </row>
        <row r="2891">
          <cell r="A2891" t="str">
            <v>PM24-FNP Choco Almond Monocartons 50 gm</v>
          </cell>
          <cell r="B2891" t="str">
            <v>PM</v>
          </cell>
          <cell r="C2891" t="str">
            <v>Packaging</v>
          </cell>
          <cell r="D2891" t="str">
            <v xml:space="preserve">Monocarton </v>
          </cell>
        </row>
        <row r="2892">
          <cell r="A2892" t="str">
            <v>PM24-FNP Monocartons Choco Berry Bite</v>
          </cell>
          <cell r="B2892" t="str">
            <v>PM</v>
          </cell>
          <cell r="C2892" t="str">
            <v>Packaging</v>
          </cell>
          <cell r="D2892" t="str">
            <v xml:space="preserve">Monocarton </v>
          </cell>
        </row>
        <row r="2893">
          <cell r="A2893" t="str">
            <v>PM24-Golden Tray 200 Small 200 gm</v>
          </cell>
          <cell r="B2893" t="str">
            <v>PM</v>
          </cell>
          <cell r="C2893" t="str">
            <v>Packaging</v>
          </cell>
          <cell r="D2893" t="str">
            <v>Bottom</v>
          </cell>
        </row>
        <row r="2894">
          <cell r="A2894" t="str">
            <v>PM24-Goodlife Dates Carton</v>
          </cell>
          <cell r="B2894" t="str">
            <v>PM</v>
          </cell>
          <cell r="C2894" t="str">
            <v>Packaging</v>
          </cell>
          <cell r="D2894" t="str">
            <v>Carton</v>
          </cell>
        </row>
        <row r="2895">
          <cell r="A2895" t="str">
            <v>PM24-Hamper-5 Pet Diwali Carton 500 x 315 x 310 ID 5 PLY</v>
          </cell>
          <cell r="B2895" t="str">
            <v>PM</v>
          </cell>
          <cell r="C2895" t="str">
            <v>Packaging</v>
          </cell>
          <cell r="D2895" t="str">
            <v>Carton</v>
          </cell>
        </row>
        <row r="2896">
          <cell r="A2896" t="str">
            <v>PM24-Hamper-8 Dates Box</v>
          </cell>
          <cell r="B2896" t="str">
            <v>PM</v>
          </cell>
          <cell r="C2896" t="str">
            <v>Packaging</v>
          </cell>
          <cell r="D2896" t="str">
            <v>Hamper-Box</v>
          </cell>
        </row>
        <row r="2897">
          <cell r="A2897" t="str">
            <v>PM24-Hamper-9 Dates Box</v>
          </cell>
          <cell r="B2897" t="str">
            <v>PM</v>
          </cell>
          <cell r="C2897" t="str">
            <v>Packaging</v>
          </cell>
          <cell r="D2897" t="str">
            <v>Hamper-Box</v>
          </cell>
        </row>
        <row r="2898">
          <cell r="A2898" t="str">
            <v>PM24-Hamper-Almond 100 Gm (Monocarton) Non Printed</v>
          </cell>
          <cell r="B2898" t="str">
            <v>PM</v>
          </cell>
          <cell r="C2898" t="str">
            <v>Packaging</v>
          </cell>
          <cell r="D2898" t="str">
            <v xml:space="preserve">Monocarton </v>
          </cell>
        </row>
        <row r="2899">
          <cell r="A2899" t="str">
            <v>PM24-Hamper-Almond 100 Gm (Monocarton) Printed</v>
          </cell>
          <cell r="B2899" t="str">
            <v>PM</v>
          </cell>
          <cell r="C2899" t="str">
            <v>Packaging</v>
          </cell>
          <cell r="D2899" t="str">
            <v xml:space="preserve">Monocarton </v>
          </cell>
        </row>
        <row r="2900">
          <cell r="A2900" t="str">
            <v>PM24-Hamper-Almond 150 gm (Monocarton) Printed</v>
          </cell>
          <cell r="B2900" t="str">
            <v>PM</v>
          </cell>
          <cell r="C2900" t="str">
            <v>Packaging</v>
          </cell>
          <cell r="D2900" t="str">
            <v xml:space="preserve">Monocarton </v>
          </cell>
        </row>
        <row r="2901">
          <cell r="A2901" t="str">
            <v>PM24-Hamper-Cashew 100 Gm (Monocarton) Printed</v>
          </cell>
          <cell r="B2901" t="str">
            <v>PM</v>
          </cell>
          <cell r="C2901" t="str">
            <v>Packaging</v>
          </cell>
          <cell r="D2901" t="str">
            <v xml:space="preserve">Monocarton </v>
          </cell>
        </row>
        <row r="2902">
          <cell r="A2902" t="str">
            <v>PM24-Hamper-Cashew 125 gm (Monocarton) Printed</v>
          </cell>
          <cell r="B2902" t="str">
            <v>PM</v>
          </cell>
          <cell r="C2902" t="str">
            <v>Packaging</v>
          </cell>
          <cell r="D2902" t="str">
            <v xml:space="preserve">Monocarton </v>
          </cell>
        </row>
        <row r="2903">
          <cell r="A2903" t="str">
            <v>PM24-Hamper-Cashew 150 gm (Monocarton) Printed</v>
          </cell>
          <cell r="B2903" t="str">
            <v>PM</v>
          </cell>
          <cell r="C2903" t="str">
            <v>Packaging</v>
          </cell>
          <cell r="D2903" t="str">
            <v xml:space="preserve">Monocarton </v>
          </cell>
        </row>
        <row r="2904">
          <cell r="A2904" t="str">
            <v>PM24-Hamper-Celebrating Moment 300 Gm Red Printed</v>
          </cell>
          <cell r="B2904" t="str">
            <v>PM</v>
          </cell>
          <cell r="C2904" t="str">
            <v>Packaging</v>
          </cell>
          <cell r="D2904" t="str">
            <v>Hamper-Box</v>
          </cell>
        </row>
        <row r="2905">
          <cell r="A2905" t="str">
            <v>PM24-Hamper-Celebrating Moment 300 Gm Red Printed Blue</v>
          </cell>
          <cell r="B2905" t="str">
            <v>PM</v>
          </cell>
          <cell r="C2905" t="str">
            <v>Packaging</v>
          </cell>
          <cell r="D2905" t="str">
            <v>Hamper-Box</v>
          </cell>
        </row>
        <row r="2906">
          <cell r="A2906" t="str">
            <v>PM24-Hamper-Celebrating Moment 300 Gm Tray</v>
          </cell>
          <cell r="B2906" t="str">
            <v>PM</v>
          </cell>
          <cell r="C2906" t="str">
            <v>Packaging</v>
          </cell>
          <cell r="D2906" t="str">
            <v>Hamper-Tray</v>
          </cell>
        </row>
        <row r="2907">
          <cell r="A2907" t="str">
            <v>PM24-Hamper-Celebration 4P Exclusive 550 Gm Orange Printed</v>
          </cell>
          <cell r="B2907" t="str">
            <v>PM</v>
          </cell>
          <cell r="C2907" t="str">
            <v>Packaging</v>
          </cell>
          <cell r="D2907" t="str">
            <v>Hamper-Box</v>
          </cell>
        </row>
        <row r="2908">
          <cell r="A2908" t="str">
            <v>PM24-Hamper-Celebration 4P Exclusive 550 Gm Tray</v>
          </cell>
          <cell r="B2908" t="str">
            <v>PM</v>
          </cell>
          <cell r="C2908" t="str">
            <v>Packaging</v>
          </cell>
          <cell r="D2908" t="str">
            <v>Hamper-Tray</v>
          </cell>
        </row>
        <row r="2909">
          <cell r="A2909" t="str">
            <v>PM24-Hamper-Classic Diya Partition</v>
          </cell>
          <cell r="B2909" t="str">
            <v>PM</v>
          </cell>
          <cell r="C2909" t="str">
            <v>Packaging</v>
          </cell>
          <cell r="D2909" t="str">
            <v xml:space="preserve">Partition </v>
          </cell>
        </row>
        <row r="2910">
          <cell r="A2910" t="str">
            <v>PM24-Hamper-Diya With Dimond</v>
          </cell>
          <cell r="B2910" t="str">
            <v>PM</v>
          </cell>
          <cell r="C2910" t="str">
            <v>Packaging</v>
          </cell>
          <cell r="D2910" t="str">
            <v>Hamper-Diya</v>
          </cell>
        </row>
        <row r="2911">
          <cell r="A2911" t="str">
            <v>PM24-Hamper-D Mart Festive Pack Dry Fruit 400g Sleeve (pouch)</v>
          </cell>
          <cell r="B2911" t="str">
            <v>PM</v>
          </cell>
          <cell r="C2911" t="str">
            <v>Packaging</v>
          </cell>
          <cell r="D2911" t="str">
            <v>Pouch</v>
          </cell>
        </row>
        <row r="2912">
          <cell r="A2912" t="str">
            <v>PM24-Hamper-D Mart Festive Pack Dry Fruit Box 300g (for Pouch)</v>
          </cell>
          <cell r="B2912" t="str">
            <v>PM</v>
          </cell>
          <cell r="C2912" t="str">
            <v>Packaging</v>
          </cell>
          <cell r="D2912" t="str">
            <v>Hamper-Box</v>
          </cell>
        </row>
        <row r="2913">
          <cell r="A2913" t="str">
            <v>PM24-Hamper-D Mart Festive Pack Dry Fruits 500g</v>
          </cell>
          <cell r="B2913" t="str">
            <v>PM</v>
          </cell>
          <cell r="C2913" t="str">
            <v>Packaging</v>
          </cell>
          <cell r="D2913" t="str">
            <v>Hamper-Box</v>
          </cell>
        </row>
        <row r="2914">
          <cell r="A2914" t="str">
            <v>PM24-Hamper-D Mart Premia 400 gm Tray</v>
          </cell>
          <cell r="B2914" t="str">
            <v>PM</v>
          </cell>
          <cell r="C2914" t="str">
            <v>Packaging</v>
          </cell>
          <cell r="D2914" t="str">
            <v>Hamper-Tray</v>
          </cell>
        </row>
        <row r="2915">
          <cell r="A2915" t="str">
            <v>PM24-Hamper-Dmart Premia Celebration Pack 400g (pet) &amp; Tray</v>
          </cell>
          <cell r="B2915" t="str">
            <v>PM</v>
          </cell>
          <cell r="C2915" t="str">
            <v>Packaging</v>
          </cell>
          <cell r="D2915" t="str">
            <v>Hamper-Tray</v>
          </cell>
        </row>
        <row r="2916">
          <cell r="A2916" t="str">
            <v>PM24-Hamper-Festive Greeting 560 Gm Tray</v>
          </cell>
          <cell r="B2916" t="str">
            <v>PM</v>
          </cell>
          <cell r="C2916" t="str">
            <v>Packaging</v>
          </cell>
          <cell r="D2916" t="str">
            <v>Hamper-Tray</v>
          </cell>
        </row>
        <row r="2917">
          <cell r="A2917" t="str">
            <v>PM24-Hamper-Festive Greeting 560 Gm Yellow Printed</v>
          </cell>
          <cell r="B2917" t="str">
            <v>PM</v>
          </cell>
          <cell r="C2917" t="str">
            <v>Packaging</v>
          </cell>
          <cell r="D2917" t="str">
            <v>Hamper-Box</v>
          </cell>
        </row>
        <row r="2918">
          <cell r="A2918" t="str">
            <v>PM24-Hamper Gift Box Mayur Ratna Big 520g</v>
          </cell>
          <cell r="B2918" t="str">
            <v>PM</v>
          </cell>
          <cell r="C2918" t="str">
            <v>Packaging</v>
          </cell>
          <cell r="D2918" t="str">
            <v>Hamper-Box</v>
          </cell>
        </row>
        <row r="2919">
          <cell r="A2919" t="str">
            <v>PM24-Hamper Gift Box Mayur Ratna Small 360g</v>
          </cell>
          <cell r="B2919" t="str">
            <v>PM</v>
          </cell>
          <cell r="C2919" t="str">
            <v>Packaging</v>
          </cell>
          <cell r="D2919" t="str">
            <v>Hamper-Box</v>
          </cell>
        </row>
        <row r="2920">
          <cell r="A2920" t="str">
            <v>PM24-Hamper Gift Box Royal Divine 550g</v>
          </cell>
          <cell r="B2920" t="str">
            <v>PM</v>
          </cell>
          <cell r="C2920" t="str">
            <v>Packaging</v>
          </cell>
          <cell r="D2920" t="str">
            <v>Hamper-Box</v>
          </cell>
        </row>
        <row r="2921">
          <cell r="A2921" t="str">
            <v>PM24-Hamper Gift Box Utsav 700g</v>
          </cell>
          <cell r="B2921" t="str">
            <v>PM</v>
          </cell>
          <cell r="C2921" t="str">
            <v>Packaging</v>
          </cell>
          <cell r="D2921" t="str">
            <v>Hamper-Box</v>
          </cell>
        </row>
        <row r="2922">
          <cell r="A2922" t="str">
            <v>PM24-Hamper-Golden Partition For Mdf Celebration Box ( 4 Pet)</v>
          </cell>
          <cell r="B2922" t="str">
            <v>PM</v>
          </cell>
          <cell r="C2922" t="str">
            <v>Packaging</v>
          </cell>
          <cell r="D2922" t="str">
            <v xml:space="preserve">Partition </v>
          </cell>
        </row>
        <row r="2923">
          <cell r="A2923" t="str">
            <v>PM24-Hamper-Golden Partition For Mdf Classic Box ( 3 Pet )</v>
          </cell>
          <cell r="B2923" t="str">
            <v>PM</v>
          </cell>
          <cell r="C2923" t="str">
            <v>Packaging</v>
          </cell>
          <cell r="D2923" t="str">
            <v xml:space="preserve">Partition </v>
          </cell>
        </row>
        <row r="2924">
          <cell r="A2924" t="str">
            <v>PM24-Hamper-Hardik Shubh 280 Gm Blue Printed</v>
          </cell>
          <cell r="B2924" t="str">
            <v>PM</v>
          </cell>
          <cell r="C2924" t="str">
            <v>Packaging</v>
          </cell>
          <cell r="D2924" t="str">
            <v>Hamper-Box</v>
          </cell>
        </row>
        <row r="2925">
          <cell r="A2925" t="str">
            <v>PM24-Hamper-Hardik Shubh 280 Gm(Set)</v>
          </cell>
          <cell r="B2925" t="str">
            <v>PM</v>
          </cell>
          <cell r="C2925" t="str">
            <v>Packaging</v>
          </cell>
          <cell r="D2925" t="str">
            <v>Hamper-Box</v>
          </cell>
        </row>
        <row r="2926">
          <cell r="A2926" t="str">
            <v>PM24-Hamper-Hardik Shubh 280 Gm Tray</v>
          </cell>
          <cell r="B2926" t="str">
            <v>PM</v>
          </cell>
          <cell r="C2926" t="str">
            <v>Packaging</v>
          </cell>
          <cell r="D2926" t="str">
            <v>Hamper-Tray</v>
          </cell>
        </row>
        <row r="2927">
          <cell r="A2927" t="str">
            <v>PM24-Hamper-Hat Box Big</v>
          </cell>
          <cell r="B2927" t="str">
            <v>PM</v>
          </cell>
          <cell r="C2927" t="str">
            <v>Packaging</v>
          </cell>
          <cell r="D2927" t="str">
            <v>Hamper-Box</v>
          </cell>
        </row>
        <row r="2928">
          <cell r="A2928" t="str">
            <v>PM24-Hamper-Hat Box Small</v>
          </cell>
          <cell r="B2928" t="str">
            <v>PM</v>
          </cell>
          <cell r="C2928" t="str">
            <v>Packaging</v>
          </cell>
          <cell r="D2928" t="str">
            <v>Hamper-Box</v>
          </cell>
        </row>
        <row r="2929">
          <cell r="A2929" t="str">
            <v>PM24-Hamper-HOH Chocolate Dates</v>
          </cell>
          <cell r="B2929" t="str">
            <v>PM</v>
          </cell>
          <cell r="C2929" t="str">
            <v>Packaging</v>
          </cell>
          <cell r="D2929" t="str">
            <v>Hamper-Box</v>
          </cell>
        </row>
        <row r="2930">
          <cell r="A2930" t="str">
            <v>PM24-Hamper-HOH Ribbons Narrow Woven Fabrics Polyster Strip Printed</v>
          </cell>
          <cell r="B2930" t="str">
            <v>PM</v>
          </cell>
          <cell r="C2930" t="str">
            <v>Packaging</v>
          </cell>
          <cell r="D2930" t="str">
            <v>Ribbon</v>
          </cell>
        </row>
        <row r="2931">
          <cell r="A2931" t="str">
            <v>PM24-Hamper-Mdf Printed Box 11 x 11-Radha Krishan, Gateway Of India N Elephant ( Premium Dates Box)</v>
          </cell>
          <cell r="B2931" t="str">
            <v>PM</v>
          </cell>
          <cell r="C2931" t="str">
            <v>Packaging</v>
          </cell>
          <cell r="D2931" t="str">
            <v>Hamper-MDF Box</v>
          </cell>
        </row>
        <row r="2932">
          <cell r="A2932" t="str">
            <v>PM24-Hamper-Mdf Vakratund Partition (Paper)</v>
          </cell>
          <cell r="B2932" t="str">
            <v>PM</v>
          </cell>
          <cell r="C2932" t="str">
            <v>Packaging</v>
          </cell>
          <cell r="D2932" t="str">
            <v xml:space="preserve">Partition </v>
          </cell>
        </row>
        <row r="2933">
          <cell r="A2933" t="str">
            <v>PM24-Hamper-Metal Dry Fruit Stand (250 Gm x3)</v>
          </cell>
          <cell r="B2933" t="str">
            <v>PM</v>
          </cell>
          <cell r="C2933" t="str">
            <v>Packaging</v>
          </cell>
          <cell r="D2933" t="str">
            <v>Hamper Metal</v>
          </cell>
        </row>
        <row r="2934">
          <cell r="A2934" t="str">
            <v>PM24-Hamper Modak Printed Box</v>
          </cell>
          <cell r="B2934" t="str">
            <v>PM</v>
          </cell>
          <cell r="C2934" t="str">
            <v>Packaging</v>
          </cell>
          <cell r="D2934" t="str">
            <v>Hamper-Box</v>
          </cell>
        </row>
        <row r="2935">
          <cell r="A2935" t="str">
            <v>PM24-Hamper-Net Potli Basket</v>
          </cell>
          <cell r="B2935" t="str">
            <v>PM</v>
          </cell>
          <cell r="C2935" t="str">
            <v>Packaging</v>
          </cell>
          <cell r="D2935" t="str">
            <v>Hamper-Basket</v>
          </cell>
        </row>
        <row r="2936">
          <cell r="A2936" t="str">
            <v>PM24-Hamper-Octagon Box</v>
          </cell>
          <cell r="B2936" t="str">
            <v>PM</v>
          </cell>
          <cell r="C2936" t="str">
            <v>Packaging</v>
          </cell>
          <cell r="D2936" t="str">
            <v>Hamper-Box</v>
          </cell>
        </row>
        <row r="2937">
          <cell r="A2937" t="str">
            <v>PM24-Hamper-Open Tray</v>
          </cell>
          <cell r="B2937" t="str">
            <v>PM</v>
          </cell>
          <cell r="C2937" t="str">
            <v>Packaging</v>
          </cell>
          <cell r="D2937" t="str">
            <v>Hamper-Tray</v>
          </cell>
        </row>
        <row r="2938">
          <cell r="A2938" t="str">
            <v>PM24-Hamper-Open Tray Hamper Small (Cardboard)(14 x 8)</v>
          </cell>
          <cell r="B2938" t="str">
            <v>PM</v>
          </cell>
          <cell r="C2938" t="str">
            <v>Packaging</v>
          </cell>
          <cell r="D2938" t="str">
            <v>Hamper-Tray</v>
          </cell>
        </row>
        <row r="2939">
          <cell r="A2939" t="str">
            <v>PM24-Hamper-Orange Open Basket</v>
          </cell>
          <cell r="B2939" t="str">
            <v>PM</v>
          </cell>
          <cell r="C2939" t="str">
            <v>Packaging</v>
          </cell>
          <cell r="D2939" t="str">
            <v>Hamper-Tray</v>
          </cell>
        </row>
        <row r="2940">
          <cell r="A2940" t="str">
            <v>PM24-Hamper-Organic Carry Bag HOH (Orange)</v>
          </cell>
          <cell r="B2940" t="str">
            <v>PM</v>
          </cell>
          <cell r="C2940" t="str">
            <v>Packaging</v>
          </cell>
          <cell r="D2940" t="str">
            <v>Bag</v>
          </cell>
        </row>
        <row r="2941">
          <cell r="A2941" t="str">
            <v>PM24-Hamper Paper Bag</v>
          </cell>
          <cell r="B2941" t="str">
            <v>PM</v>
          </cell>
          <cell r="C2941" t="str">
            <v>Packaging</v>
          </cell>
          <cell r="D2941" t="str">
            <v>Hamper-Bag</v>
          </cell>
        </row>
        <row r="2942">
          <cell r="A2942" t="str">
            <v>PM24-Hamper-Pista 150 gm (Monocarton) Printed</v>
          </cell>
          <cell r="B2942" t="str">
            <v>PM</v>
          </cell>
          <cell r="C2942" t="str">
            <v>Packaging</v>
          </cell>
          <cell r="D2942" t="str">
            <v xml:space="preserve">Monocarton </v>
          </cell>
        </row>
        <row r="2943">
          <cell r="A2943" t="str">
            <v>PM24-Hamper Printed Carry Bag Blue</v>
          </cell>
          <cell r="B2943" t="str">
            <v>PM</v>
          </cell>
          <cell r="C2943" t="str">
            <v>Packaging</v>
          </cell>
          <cell r="D2943" t="str">
            <v>Hamper-Bag</v>
          </cell>
        </row>
        <row r="2944">
          <cell r="A2944" t="str">
            <v>PM24-Hamper Printed Carry Bag Green</v>
          </cell>
          <cell r="B2944" t="str">
            <v>PM</v>
          </cell>
          <cell r="C2944" t="str">
            <v>Packaging</v>
          </cell>
          <cell r="D2944" t="str">
            <v>Hamper-Bag</v>
          </cell>
        </row>
        <row r="2945">
          <cell r="A2945" t="str">
            <v>PM24-Hamper Printed Carry Bag Orange</v>
          </cell>
          <cell r="B2945" t="str">
            <v>PM</v>
          </cell>
          <cell r="C2945" t="str">
            <v>Packaging</v>
          </cell>
          <cell r="D2945" t="str">
            <v>Hamper-Bag</v>
          </cell>
        </row>
        <row r="2946">
          <cell r="A2946" t="str">
            <v>PM24-Hamper Printed Carry Bag Yellow</v>
          </cell>
          <cell r="B2946" t="str">
            <v>PM</v>
          </cell>
          <cell r="C2946" t="str">
            <v>Packaging</v>
          </cell>
          <cell r="D2946" t="str">
            <v>Hamper-Bag</v>
          </cell>
        </row>
        <row r="2947">
          <cell r="A2947" t="str">
            <v>PM24-Hamper-Raisin 100 G (Monocarton) Printed</v>
          </cell>
          <cell r="B2947" t="str">
            <v>PM</v>
          </cell>
          <cell r="C2947" t="str">
            <v>Packaging</v>
          </cell>
          <cell r="D2947" t="str">
            <v xml:space="preserve">Monocarton </v>
          </cell>
        </row>
        <row r="2948">
          <cell r="A2948" t="str">
            <v>PM24-Hamper-Raisin 200 gm (Monocarton) Printed</v>
          </cell>
          <cell r="B2948" t="str">
            <v>PM</v>
          </cell>
          <cell r="C2948" t="str">
            <v>Packaging</v>
          </cell>
          <cell r="D2948" t="str">
            <v xml:space="preserve">Monocarton </v>
          </cell>
        </row>
        <row r="2949">
          <cell r="A2949" t="str">
            <v>PM24-Hamper Rakhi Gift Box</v>
          </cell>
          <cell r="B2949" t="str">
            <v>PM</v>
          </cell>
          <cell r="C2949" t="str">
            <v>Packaging</v>
          </cell>
          <cell r="D2949" t="str">
            <v>Hamper-Box</v>
          </cell>
        </row>
        <row r="2950">
          <cell r="A2950" t="str">
            <v>PM24-Hamper-Red/Pink Generic Box</v>
          </cell>
          <cell r="B2950" t="str">
            <v>PM</v>
          </cell>
          <cell r="C2950" t="str">
            <v>Packaging</v>
          </cell>
          <cell r="D2950" t="str">
            <v>Box</v>
          </cell>
        </row>
        <row r="2951">
          <cell r="A2951" t="str">
            <v>PM24-Hamper-Sahi Uphaar 300 Gm Chocolaty Printed</v>
          </cell>
          <cell r="B2951" t="str">
            <v>PM</v>
          </cell>
          <cell r="C2951" t="str">
            <v>Packaging</v>
          </cell>
          <cell r="D2951" t="str">
            <v>Hamper-Box</v>
          </cell>
        </row>
        <row r="2952">
          <cell r="A2952" t="str">
            <v>PM24-Hamper-Sahi Uphaar 300 Gm Tray</v>
          </cell>
          <cell r="B2952" t="str">
            <v>PM</v>
          </cell>
          <cell r="C2952" t="str">
            <v>Packaging</v>
          </cell>
          <cell r="D2952" t="str">
            <v>Hamper-Box</v>
          </cell>
        </row>
        <row r="2953">
          <cell r="A2953" t="str">
            <v>PM24-Hamper-Sahi Uphar R/S Almond 100G (Monocarton) Printed</v>
          </cell>
          <cell r="B2953" t="str">
            <v>PM</v>
          </cell>
          <cell r="C2953" t="str">
            <v>Packaging</v>
          </cell>
          <cell r="D2953" t="str">
            <v xml:space="preserve">Monocarton </v>
          </cell>
        </row>
        <row r="2954">
          <cell r="A2954" t="str">
            <v>PM24-Hamper-Sahi Uphar R/S Cashew 100G (Monocarton) Printed</v>
          </cell>
          <cell r="B2954" t="str">
            <v>PM</v>
          </cell>
          <cell r="C2954" t="str">
            <v>Packaging</v>
          </cell>
          <cell r="D2954" t="str">
            <v xml:space="preserve">Monocarton </v>
          </cell>
        </row>
        <row r="2955">
          <cell r="A2955" t="str">
            <v>PM24-Hamper-Sahi Uphar R/S Pista 100G (Monocarton) Printed</v>
          </cell>
          <cell r="B2955" t="str">
            <v>PM</v>
          </cell>
          <cell r="C2955" t="str">
            <v>Packaging</v>
          </cell>
          <cell r="D2955" t="str">
            <v xml:space="preserve">Monocarton </v>
          </cell>
        </row>
        <row r="2956">
          <cell r="A2956" t="str">
            <v>PM24-Hamper-Shubkamnayein 180 Gm Yellow</v>
          </cell>
          <cell r="B2956" t="str">
            <v>PM</v>
          </cell>
          <cell r="C2956" t="str">
            <v>Packaging</v>
          </cell>
          <cell r="D2956" t="str">
            <v>Hamper-Box</v>
          </cell>
        </row>
        <row r="2957">
          <cell r="A2957" t="str">
            <v>PM24-Hamper-Signature Collection 600 Gm Blue Non Printed / Printed</v>
          </cell>
          <cell r="B2957" t="str">
            <v>PM</v>
          </cell>
          <cell r="C2957" t="str">
            <v>Packaging</v>
          </cell>
          <cell r="D2957" t="str">
            <v>Hamper-Box</v>
          </cell>
        </row>
        <row r="2958">
          <cell r="A2958" t="str">
            <v>PM24-Hamper-Signature Collection 600 Gm Chocolaty Printed</v>
          </cell>
          <cell r="B2958" t="str">
            <v>PM</v>
          </cell>
          <cell r="C2958" t="str">
            <v>Packaging</v>
          </cell>
          <cell r="D2958" t="str">
            <v>Hamper-Box</v>
          </cell>
        </row>
        <row r="2959">
          <cell r="A2959" t="str">
            <v>PM24-Hamper Triangle Printed Carry Bag</v>
          </cell>
          <cell r="B2959" t="str">
            <v>PM</v>
          </cell>
          <cell r="C2959" t="str">
            <v>Packaging</v>
          </cell>
          <cell r="D2959" t="str">
            <v>Hamper-Bag</v>
          </cell>
        </row>
        <row r="2960">
          <cell r="A2960" t="str">
            <v>PM24-Hamper-Urban Platter-6 Pcs Energy Bar Magnetic HB Box</v>
          </cell>
          <cell r="B2960" t="str">
            <v>PM</v>
          </cell>
          <cell r="C2960" t="str">
            <v>Packaging</v>
          </cell>
          <cell r="D2960" t="str">
            <v>Hamper-Box</v>
          </cell>
        </row>
        <row r="2961">
          <cell r="A2961" t="str">
            <v>PM24-Hamper-Velvet Potli-Yellow Small</v>
          </cell>
          <cell r="B2961" t="str">
            <v>PM</v>
          </cell>
          <cell r="C2961" t="str">
            <v>Packaging</v>
          </cell>
          <cell r="D2961" t="str">
            <v>Hamper-Potli</v>
          </cell>
        </row>
        <row r="2962">
          <cell r="A2962" t="str">
            <v>PM24-Hamper-Wellness TGOW Bento Blue Box</v>
          </cell>
          <cell r="B2962" t="str">
            <v>PM</v>
          </cell>
          <cell r="C2962" t="str">
            <v>Packaging</v>
          </cell>
          <cell r="D2962" t="str">
            <v>Box</v>
          </cell>
        </row>
        <row r="2963">
          <cell r="A2963" t="str">
            <v>PM24-Hamper-Wellness TGOW Bento Golden Tray</v>
          </cell>
          <cell r="B2963" t="str">
            <v>PM</v>
          </cell>
          <cell r="C2963" t="str">
            <v>Packaging</v>
          </cell>
          <cell r="D2963" t="str">
            <v>Tray</v>
          </cell>
        </row>
        <row r="2964">
          <cell r="A2964" t="str">
            <v>PM24-Hamper-Wooden Diwali Box-4 P-12 x 12</v>
          </cell>
          <cell r="B2964" t="str">
            <v>PM</v>
          </cell>
          <cell r="C2964" t="str">
            <v>Packaging</v>
          </cell>
          <cell r="D2964" t="str">
            <v>Hamper-MDF Box</v>
          </cell>
        </row>
        <row r="2965">
          <cell r="A2965" t="str">
            <v>PM24-Hamper-Wooden Diwali Box-6P-10 x 15"</v>
          </cell>
          <cell r="B2965" t="str">
            <v>PM</v>
          </cell>
          <cell r="C2965" t="str">
            <v>Packaging</v>
          </cell>
          <cell r="D2965" t="str">
            <v>Hamper-MDF Box</v>
          </cell>
        </row>
        <row r="2966">
          <cell r="A2966" t="str">
            <v>PM24-Hamper-Wooden Diwali Box-P-12 x 14</v>
          </cell>
          <cell r="B2966" t="str">
            <v>PM</v>
          </cell>
          <cell r="C2966" t="str">
            <v>Packaging</v>
          </cell>
          <cell r="D2966" t="str">
            <v>Hamper-MDF Box</v>
          </cell>
        </row>
        <row r="2967">
          <cell r="A2967" t="str">
            <v>PM24-Hamper-Wooden Diwali Box-P-14 x 18"</v>
          </cell>
          <cell r="B2967" t="str">
            <v>PM</v>
          </cell>
          <cell r="C2967" t="str">
            <v>Packaging</v>
          </cell>
          <cell r="D2967" t="str">
            <v>Hamper-MDF Box</v>
          </cell>
        </row>
        <row r="2968">
          <cell r="A2968" t="str">
            <v>PM24-Healing Hand Bar Monocarton 210 gm</v>
          </cell>
          <cell r="B2968" t="str">
            <v>PM</v>
          </cell>
          <cell r="C2968" t="str">
            <v>Packaging</v>
          </cell>
          <cell r="D2968" t="str">
            <v xml:space="preserve">Monocarton </v>
          </cell>
        </row>
        <row r="2969">
          <cell r="A2969" t="str">
            <v>PM24-Healing Hand Bar Ots And Dates Monocarton 210gm</v>
          </cell>
          <cell r="B2969" t="str">
            <v>PM</v>
          </cell>
          <cell r="C2969" t="str">
            <v>Packaging</v>
          </cell>
          <cell r="D2969" t="str">
            <v xml:space="preserve">Monocarton </v>
          </cell>
        </row>
        <row r="2970">
          <cell r="A2970" t="str">
            <v>PM24-Healthy Bite Monocarton</v>
          </cell>
          <cell r="B2970" t="str">
            <v>PM</v>
          </cell>
          <cell r="C2970" t="str">
            <v>Packaging</v>
          </cell>
          <cell r="D2970" t="str">
            <v xml:space="preserve">Monocarton </v>
          </cell>
        </row>
        <row r="2971">
          <cell r="A2971" t="str">
            <v>PM24-HOH 7 Cavity Printed Box</v>
          </cell>
          <cell r="B2971" t="str">
            <v>PM</v>
          </cell>
          <cell r="C2971" t="str">
            <v>Packaging</v>
          </cell>
          <cell r="D2971" t="str">
            <v>Box</v>
          </cell>
        </row>
        <row r="2972">
          <cell r="A2972" t="str">
            <v>PM24-HOH Diwali Fudge Box(Chikki Box)</v>
          </cell>
          <cell r="B2972" t="str">
            <v>PM</v>
          </cell>
          <cell r="C2972" t="str">
            <v>Packaging</v>
          </cell>
          <cell r="D2972" t="str">
            <v>Hamper-Box</v>
          </cell>
        </row>
        <row r="2973">
          <cell r="A2973" t="str">
            <v>PM24-HOH Diwali Gift Box Madhur Mahotsav 400gm(4P)Bag</v>
          </cell>
          <cell r="B2973" t="str">
            <v>PM</v>
          </cell>
          <cell r="C2973" t="str">
            <v>Packaging</v>
          </cell>
          <cell r="D2973" t="str">
            <v>Hamper-Bag</v>
          </cell>
        </row>
        <row r="2974">
          <cell r="A2974" t="str">
            <v>PM24-HOH Diwali Gift Box Madhur Mahotsav 400gm(4P)Sleeve</v>
          </cell>
          <cell r="B2974" t="str">
            <v>PM</v>
          </cell>
          <cell r="C2974" t="str">
            <v>Packaging</v>
          </cell>
          <cell r="D2974" t="str">
            <v>Sleeve</v>
          </cell>
        </row>
        <row r="2975">
          <cell r="A2975" t="str">
            <v>PM24-HOH Diwali Gift Box Madhur Mahotsav 400gm(4P) Tray</v>
          </cell>
          <cell r="B2975" t="str">
            <v>PM</v>
          </cell>
          <cell r="C2975" t="str">
            <v>Packaging</v>
          </cell>
          <cell r="D2975" t="str">
            <v>Tray</v>
          </cell>
        </row>
        <row r="2976">
          <cell r="A2976" t="str">
            <v>PM24-HOH Diwali Gift Box  Magic Movement 600gm(4P) Set</v>
          </cell>
          <cell r="B2976" t="str">
            <v>PM</v>
          </cell>
          <cell r="C2976" t="str">
            <v>Packaging</v>
          </cell>
          <cell r="D2976" t="str">
            <v>Hamper-Box</v>
          </cell>
        </row>
        <row r="2977">
          <cell r="A2977" t="str">
            <v>PM24-HOH Diwali Gift Box  Mangalmay Mahotsav 600gm(6P)Bag</v>
          </cell>
          <cell r="B2977" t="str">
            <v>PM</v>
          </cell>
          <cell r="C2977" t="str">
            <v>Packaging</v>
          </cell>
          <cell r="D2977" t="str">
            <v>Hamper-Bag</v>
          </cell>
        </row>
        <row r="2978">
          <cell r="A2978" t="str">
            <v>PM24-HOH Diwali Gift Box Mangalmay Mahotsav 600gm(6P)Sleeve</v>
          </cell>
          <cell r="B2978" t="str">
            <v>PM</v>
          </cell>
          <cell r="C2978" t="str">
            <v>Packaging</v>
          </cell>
          <cell r="D2978" t="str">
            <v>Sleeve</v>
          </cell>
        </row>
        <row r="2979">
          <cell r="A2979" t="str">
            <v>PM24-HOH Diwali Gift Box Mangalmay Mahotsav 600gm(6P) Tray</v>
          </cell>
          <cell r="B2979" t="str">
            <v>PM</v>
          </cell>
          <cell r="C2979" t="str">
            <v>Packaging</v>
          </cell>
          <cell r="D2979" t="str">
            <v>Tray</v>
          </cell>
        </row>
        <row r="2980">
          <cell r="A2980" t="str">
            <v>PM24-HOH Diwali Gift Box Monocarton Madhur Mahotsav 400gm(4P)</v>
          </cell>
          <cell r="B2980" t="str">
            <v>PM</v>
          </cell>
          <cell r="C2980" t="str">
            <v>Packaging</v>
          </cell>
          <cell r="D2980" t="str">
            <v xml:space="preserve">Monocarton </v>
          </cell>
        </row>
        <row r="2981">
          <cell r="A2981" t="str">
            <v>PM24-HOH Diwali Gift Box Monocarton Magic Movement 600gm(4P)</v>
          </cell>
          <cell r="B2981" t="str">
            <v>PM</v>
          </cell>
          <cell r="C2981" t="str">
            <v>Packaging</v>
          </cell>
          <cell r="D2981" t="str">
            <v xml:space="preserve">Monocarton </v>
          </cell>
        </row>
        <row r="2982">
          <cell r="A2982" t="str">
            <v>PM24-HOH Diwali Gift Box Monocarton Mangalmay Mahotsav 600gm(6P)</v>
          </cell>
          <cell r="B2982" t="str">
            <v>PM</v>
          </cell>
          <cell r="C2982" t="str">
            <v>Packaging</v>
          </cell>
          <cell r="D2982" t="str">
            <v xml:space="preserve">Monocarton </v>
          </cell>
        </row>
        <row r="2983">
          <cell r="A2983" t="str">
            <v>PM24-HOH Diwali Gift Box Monocraton Shubhkamnaye 300gm(3P)</v>
          </cell>
          <cell r="B2983" t="str">
            <v>PM</v>
          </cell>
          <cell r="C2983" t="str">
            <v>Packaging</v>
          </cell>
          <cell r="D2983" t="str">
            <v xml:space="preserve">Monocarton </v>
          </cell>
        </row>
        <row r="2984">
          <cell r="A2984" t="str">
            <v>PM24-HOH Diwali Gift Box Shubhkamnaye 300gm(3P) Bag</v>
          </cell>
          <cell r="B2984" t="str">
            <v>PM</v>
          </cell>
          <cell r="C2984" t="str">
            <v>Packaging</v>
          </cell>
          <cell r="D2984" t="str">
            <v>Hamper-Bag</v>
          </cell>
        </row>
        <row r="2985">
          <cell r="A2985" t="str">
            <v>PM24-HOH Diwali Gift Box Shubhkamnaye 300gm(3P) Sleeve</v>
          </cell>
          <cell r="B2985" t="str">
            <v>PM</v>
          </cell>
          <cell r="C2985" t="str">
            <v>Packaging</v>
          </cell>
          <cell r="D2985" t="str">
            <v>Sleeve</v>
          </cell>
        </row>
        <row r="2986">
          <cell r="A2986" t="str">
            <v>PM24-HOH Diwali Gift Box Shubhkamnaye 300gm(3P) Tray</v>
          </cell>
          <cell r="B2986" t="str">
            <v>PM</v>
          </cell>
          <cell r="C2986" t="str">
            <v>Packaging</v>
          </cell>
          <cell r="D2986" t="str">
            <v>Tray</v>
          </cell>
        </row>
        <row r="2987">
          <cell r="A2987" t="str">
            <v>PM24-HOH-Monocarton 200 gm</v>
          </cell>
          <cell r="B2987" t="str">
            <v>PM</v>
          </cell>
          <cell r="C2987" t="str">
            <v>Packaging</v>
          </cell>
          <cell r="D2987" t="str">
            <v xml:space="preserve">Monocarton </v>
          </cell>
        </row>
        <row r="2988">
          <cell r="A2988" t="str">
            <v>PM24-Inside Golden Tray 22x16 Duplex Board 230gsm</v>
          </cell>
          <cell r="B2988" t="str">
            <v>PM</v>
          </cell>
          <cell r="C2988" t="str">
            <v>Packaging</v>
          </cell>
          <cell r="D2988" t="str">
            <v>Tray</v>
          </cell>
        </row>
        <row r="2989">
          <cell r="A2989" t="str">
            <v>PM24-Inside Golden Tray 22x18 Duplex Board 230gsm</v>
          </cell>
          <cell r="B2989" t="str">
            <v>PM</v>
          </cell>
          <cell r="C2989" t="str">
            <v>Packaging</v>
          </cell>
          <cell r="D2989" t="str">
            <v>Tray</v>
          </cell>
        </row>
        <row r="2990">
          <cell r="A2990" t="str">
            <v>PM24-Inside Golden Tray  24x15.25 Duplex Board 230gsm</v>
          </cell>
          <cell r="B2990" t="str">
            <v>PM</v>
          </cell>
          <cell r="C2990" t="str">
            <v>Packaging</v>
          </cell>
          <cell r="D2990" t="str">
            <v>Tray</v>
          </cell>
        </row>
        <row r="2991">
          <cell r="A2991" t="str">
            <v>PM24-Inside Golden Tray  26x16.5 Duplex Board 230gsm</v>
          </cell>
          <cell r="B2991" t="str">
            <v>PM</v>
          </cell>
          <cell r="C2991" t="str">
            <v>Packaging</v>
          </cell>
          <cell r="D2991" t="str">
            <v>Tray</v>
          </cell>
        </row>
        <row r="2992">
          <cell r="A2992" t="str">
            <v>PM24-Kingdom Of Dates Golden Tray Medjoul Dates 500 gm</v>
          </cell>
          <cell r="B2992" t="str">
            <v>PM</v>
          </cell>
          <cell r="C2992" t="str">
            <v>Packaging</v>
          </cell>
          <cell r="D2992" t="str">
            <v>Bottom</v>
          </cell>
        </row>
        <row r="2993">
          <cell r="A2993" t="str">
            <v>PM24-Kingdom of Dates Medjoul Dates 1Kg Bottom Printed 1000 gm</v>
          </cell>
          <cell r="B2993" t="str">
            <v>PM</v>
          </cell>
          <cell r="C2993" t="str">
            <v>Packaging</v>
          </cell>
          <cell r="D2993" t="str">
            <v>Bottom</v>
          </cell>
        </row>
        <row r="2994">
          <cell r="A2994" t="str">
            <v>PM24-Kingdom Of Dates Top 5000 gm</v>
          </cell>
          <cell r="B2994" t="str">
            <v>PM</v>
          </cell>
          <cell r="C2994" t="str">
            <v>Packaging</v>
          </cell>
          <cell r="D2994" t="str">
            <v>Top</v>
          </cell>
        </row>
        <row r="2995">
          <cell r="A2995" t="str">
            <v>PM24-King Solomon-Blue Medjoul Dates Top Junior 500 gm</v>
          </cell>
          <cell r="B2995" t="str">
            <v>PM</v>
          </cell>
          <cell r="C2995" t="str">
            <v>Packaging</v>
          </cell>
          <cell r="D2995" t="str">
            <v>Top</v>
          </cell>
        </row>
        <row r="2996">
          <cell r="A2996" t="str">
            <v>PM24-King Solomon-Bon Bon Bottom Plain 320 gm</v>
          </cell>
          <cell r="B2996" t="str">
            <v>PM</v>
          </cell>
          <cell r="C2996" t="str">
            <v>Packaging</v>
          </cell>
          <cell r="D2996" t="str">
            <v>Bottom</v>
          </cell>
        </row>
        <row r="2997">
          <cell r="A2997" t="str">
            <v>PM24-King Solomon-Bon Bon Bottom Plain 750 gm_Carto</v>
          </cell>
          <cell r="B2997" t="str">
            <v>PM</v>
          </cell>
          <cell r="C2997" t="str">
            <v>Packaging</v>
          </cell>
          <cell r="D2997" t="str">
            <v>Bottom</v>
          </cell>
        </row>
        <row r="2998">
          <cell r="A2998" t="str">
            <v>PM24-King Solomon-Bon Bon Bottom Printed 320 gm</v>
          </cell>
          <cell r="B2998" t="str">
            <v>PM</v>
          </cell>
          <cell r="C2998" t="str">
            <v>Packaging</v>
          </cell>
          <cell r="D2998" t="str">
            <v>Bottom</v>
          </cell>
        </row>
        <row r="2999">
          <cell r="A2999" t="str">
            <v>PM24-King Solomon-Bon Bon Bottom Printed 750 gm</v>
          </cell>
          <cell r="B2999" t="str">
            <v>PM</v>
          </cell>
          <cell r="C2999" t="str">
            <v>Packaging</v>
          </cell>
          <cell r="D2999" t="str">
            <v>Bottom</v>
          </cell>
        </row>
        <row r="3000">
          <cell r="A3000" t="str">
            <v>PM24-King Solomon-Bon Bon Top 320 gm_Mono Carton</v>
          </cell>
          <cell r="B3000" t="str">
            <v>PM</v>
          </cell>
          <cell r="C3000" t="str">
            <v>Packaging</v>
          </cell>
          <cell r="D3000" t="str">
            <v>Top</v>
          </cell>
        </row>
        <row r="3001">
          <cell r="A3001" t="str">
            <v>PM24-King Solomon-Bon Bon Top 750 gm_Mono Carton</v>
          </cell>
          <cell r="B3001" t="str">
            <v>PM</v>
          </cell>
          <cell r="C3001" t="str">
            <v>Packaging</v>
          </cell>
          <cell r="D3001" t="str">
            <v>Top</v>
          </cell>
        </row>
        <row r="3002">
          <cell r="A3002" t="str">
            <v>PM24-King Solomon Medjoul Dates 1Kg Bottom Unprinted 1000 gm</v>
          </cell>
          <cell r="B3002" t="str">
            <v>PM</v>
          </cell>
          <cell r="C3002" t="str">
            <v>Packaging</v>
          </cell>
          <cell r="D3002" t="str">
            <v>Bottom</v>
          </cell>
        </row>
        <row r="3003">
          <cell r="A3003" t="str">
            <v>PM24-King Solomon Medjoul Dates 250 gm-Bottom</v>
          </cell>
          <cell r="B3003" t="str">
            <v>PM</v>
          </cell>
          <cell r="C3003" t="str">
            <v>Packaging</v>
          </cell>
          <cell r="D3003" t="str">
            <v>Bottom</v>
          </cell>
        </row>
        <row r="3004">
          <cell r="A3004" t="str">
            <v>PM24-King Solomon Medjoul Dates Bottom Printed 1kg</v>
          </cell>
          <cell r="B3004" t="str">
            <v>PM</v>
          </cell>
          <cell r="C3004" t="str">
            <v>Packaging</v>
          </cell>
          <cell r="D3004" t="str">
            <v>Bottom</v>
          </cell>
        </row>
        <row r="3005">
          <cell r="A3005" t="str">
            <v>PM24-King Solomon Medjoul Dates Bottom Printed 500 gm</v>
          </cell>
          <cell r="B3005" t="str">
            <v>PM</v>
          </cell>
          <cell r="C3005" t="str">
            <v>Packaging</v>
          </cell>
          <cell r="D3005" t="str">
            <v>Bottom</v>
          </cell>
        </row>
        <row r="3006">
          <cell r="A3006" t="str">
            <v>PM24-(King Solomon) Medjoul Dates Bottom UnPrinted 1kg</v>
          </cell>
          <cell r="B3006" t="str">
            <v>PM</v>
          </cell>
          <cell r="C3006" t="str">
            <v>Packaging</v>
          </cell>
          <cell r="D3006" t="str">
            <v>Bottom</v>
          </cell>
        </row>
        <row r="3007">
          <cell r="A3007" t="str">
            <v>PM24-(King Solomon) Medjoul Dates Bottom Unprinted 500 gm</v>
          </cell>
          <cell r="B3007" t="str">
            <v>PM</v>
          </cell>
          <cell r="C3007" t="str">
            <v>Packaging</v>
          </cell>
          <cell r="D3007" t="str">
            <v>Bottom</v>
          </cell>
        </row>
        <row r="3008">
          <cell r="A3008" t="str">
            <v>PM24-Krack Nut 100Gm Pack Of 3 Monocarton 300 gm</v>
          </cell>
          <cell r="B3008" t="str">
            <v>PM</v>
          </cell>
          <cell r="C3008" t="str">
            <v>Packaging</v>
          </cell>
          <cell r="D3008" t="str">
            <v xml:space="preserve">Monocarton </v>
          </cell>
        </row>
        <row r="3009">
          <cell r="A3009" t="str">
            <v>PM24-Krack Nut Assorted (Black) Monocarton 300 gm</v>
          </cell>
          <cell r="B3009" t="str">
            <v>PM</v>
          </cell>
          <cell r="C3009" t="str">
            <v>Packaging</v>
          </cell>
          <cell r="D3009" t="str">
            <v xml:space="preserve">Monocarton </v>
          </cell>
        </row>
        <row r="3010">
          <cell r="A3010" t="str">
            <v>PM24-Krack Nut Pudina Pathaka (green) Monocarton 300 gm</v>
          </cell>
          <cell r="B3010" t="str">
            <v>PM</v>
          </cell>
          <cell r="C3010" t="str">
            <v>Packaging</v>
          </cell>
          <cell r="D3010" t="str">
            <v xml:space="preserve">Monocarton </v>
          </cell>
        </row>
        <row r="3011">
          <cell r="A3011" t="str">
            <v>PM24-Mama Nourish Gondh Monocarton</v>
          </cell>
          <cell r="B3011" t="str">
            <v>PM</v>
          </cell>
          <cell r="C3011" t="str">
            <v>Packaging</v>
          </cell>
          <cell r="D3011" t="str">
            <v xml:space="preserve">Monocarton </v>
          </cell>
        </row>
        <row r="3012">
          <cell r="A3012" t="str">
            <v>PM24-Mukhwas Pet Cap 150 gm</v>
          </cell>
          <cell r="B3012" t="str">
            <v>PM</v>
          </cell>
          <cell r="C3012" t="str">
            <v>Packaging</v>
          </cell>
          <cell r="D3012" t="str">
            <v>Pet</v>
          </cell>
        </row>
        <row r="3013">
          <cell r="A3013" t="str">
            <v>PM24-Natraj Roasted Salted Pistachio 250gm</v>
          </cell>
          <cell r="B3013" t="str">
            <v>PM</v>
          </cell>
          <cell r="C3013" t="str">
            <v>Packaging</v>
          </cell>
          <cell r="D3013" t="str">
            <v>Pouch</v>
          </cell>
        </row>
        <row r="3014">
          <cell r="A3014" t="str">
            <v>PM24-Nutraj Wishes Almond Monocarton 100 Gm</v>
          </cell>
          <cell r="B3014" t="str">
            <v>PM</v>
          </cell>
          <cell r="C3014" t="str">
            <v>Packaging</v>
          </cell>
          <cell r="D3014" t="str">
            <v xml:space="preserve">Monocarton </v>
          </cell>
        </row>
        <row r="3015">
          <cell r="A3015" t="str">
            <v>PM24-Nutraj Wishes Cashew Monocarton 100 Gm</v>
          </cell>
          <cell r="B3015" t="str">
            <v>PM</v>
          </cell>
          <cell r="C3015" t="str">
            <v>Packaging</v>
          </cell>
          <cell r="D3015" t="str">
            <v xml:space="preserve">Monocarton </v>
          </cell>
        </row>
        <row r="3016">
          <cell r="A3016" t="str">
            <v>PM24-Nutraj Wishes Gift Box 4 x 150 Gm</v>
          </cell>
          <cell r="B3016" t="str">
            <v>PM</v>
          </cell>
          <cell r="C3016" t="str">
            <v>Packaging</v>
          </cell>
          <cell r="D3016" t="str">
            <v>Box</v>
          </cell>
        </row>
        <row r="3017">
          <cell r="A3017" t="str">
            <v>PM24-On The Run Choco Almond 40g Monocarton 240 gm</v>
          </cell>
          <cell r="B3017" t="str">
            <v>PM</v>
          </cell>
          <cell r="C3017" t="str">
            <v>Packaging</v>
          </cell>
          <cell r="D3017" t="str">
            <v xml:space="preserve">Monocarton </v>
          </cell>
        </row>
        <row r="3018">
          <cell r="A3018" t="str">
            <v>PM24-On The Run Choco Almond 80g Monocarton 480 gm</v>
          </cell>
          <cell r="B3018" t="str">
            <v>PM</v>
          </cell>
          <cell r="C3018" t="str">
            <v>Packaging</v>
          </cell>
          <cell r="D3018" t="str">
            <v xml:space="preserve">Monocarton </v>
          </cell>
        </row>
        <row r="3019">
          <cell r="A3019" t="str">
            <v>PM24-Paper Cup Big 30 gm</v>
          </cell>
          <cell r="B3019" t="str">
            <v>PM</v>
          </cell>
          <cell r="C3019" t="str">
            <v>Packaging</v>
          </cell>
          <cell r="D3019" t="str">
            <v>Cup</v>
          </cell>
        </row>
        <row r="3020">
          <cell r="A3020" t="str">
            <v>PM24-Paper Cup Small 30 gm</v>
          </cell>
          <cell r="B3020" t="str">
            <v>PM</v>
          </cell>
          <cell r="C3020" t="str">
            <v>Packaging</v>
          </cell>
          <cell r="D3020" t="str">
            <v>Cup</v>
          </cell>
        </row>
        <row r="3021">
          <cell r="A3021" t="str">
            <v>PM24-PLAIN TOP 1 Kg</v>
          </cell>
          <cell r="B3021" t="str">
            <v>PM</v>
          </cell>
          <cell r="C3021" t="str">
            <v>Packaging</v>
          </cell>
          <cell r="D3021" t="str">
            <v>Top</v>
          </cell>
        </row>
        <row r="3022">
          <cell r="A3022" t="str">
            <v>PM24-Rahshabandhan Box Without Logo / Sticker 100 gm</v>
          </cell>
          <cell r="B3022" t="str">
            <v>PM</v>
          </cell>
          <cell r="C3022" t="str">
            <v>Packaging</v>
          </cell>
          <cell r="D3022" t="str">
            <v>Hamper-Box</v>
          </cell>
        </row>
        <row r="3023">
          <cell r="A3023" t="str">
            <v>PM24-Royal Delight Ajwa Dates 3Ply 5 Kg-Top 385 x 290 x 80mm 5000 gm</v>
          </cell>
          <cell r="B3023" t="str">
            <v>PM</v>
          </cell>
          <cell r="C3023" t="str">
            <v>Packaging</v>
          </cell>
          <cell r="D3023" t="str">
            <v>Top</v>
          </cell>
        </row>
        <row r="3024">
          <cell r="A3024" t="str">
            <v>PM24-Royal Delight Bottom Printed 250 gm</v>
          </cell>
          <cell r="B3024" t="str">
            <v>PM</v>
          </cell>
          <cell r="C3024" t="str">
            <v>Packaging</v>
          </cell>
          <cell r="D3024" t="str">
            <v>Bottom</v>
          </cell>
        </row>
        <row r="3025">
          <cell r="A3025" t="str">
            <v>PM24-Royal Delight Bottom Printed 500 gm</v>
          </cell>
          <cell r="B3025" t="str">
            <v>PM</v>
          </cell>
          <cell r="C3025" t="str">
            <v>Packaging</v>
          </cell>
          <cell r="D3025" t="str">
            <v>Bottom</v>
          </cell>
        </row>
        <row r="3026">
          <cell r="A3026" t="str">
            <v>PM24-Royal Delight Bottom Unprinted 500 gm</v>
          </cell>
          <cell r="B3026" t="str">
            <v>PM</v>
          </cell>
          <cell r="C3026" t="str">
            <v>Packaging</v>
          </cell>
          <cell r="D3026" t="str">
            <v>Bottom</v>
          </cell>
        </row>
        <row r="3027">
          <cell r="A3027" t="str">
            <v>PM24-Royal Delight Deri Dates 3Ply 5 Kg-Top 385 x 290 x 80mm 5000 gm</v>
          </cell>
          <cell r="B3027" t="str">
            <v>PM</v>
          </cell>
          <cell r="C3027" t="str">
            <v>Packaging</v>
          </cell>
          <cell r="D3027" t="str">
            <v>Top</v>
          </cell>
        </row>
        <row r="3028">
          <cell r="A3028" t="str">
            <v>PM24-Royal Delight Fard Dates 3Ply 5 Kg-Top 385 x 290 x 80mm 5000 gm</v>
          </cell>
          <cell r="B3028" t="str">
            <v>PM</v>
          </cell>
          <cell r="C3028" t="str">
            <v>Packaging</v>
          </cell>
          <cell r="D3028" t="str">
            <v>Top</v>
          </cell>
        </row>
        <row r="3029">
          <cell r="A3029" t="str">
            <v>PM24-Royal Delight Kalmi Dates Seeded 400 gm</v>
          </cell>
          <cell r="B3029" t="str">
            <v>PM</v>
          </cell>
          <cell r="C3029" t="str">
            <v>Packaging</v>
          </cell>
          <cell r="D3029" t="str">
            <v>Top</v>
          </cell>
        </row>
        <row r="3030">
          <cell r="A3030" t="str">
            <v>PM24-Royal Delight Mabroom 3Ply 5 Kg Top 385 x 290 x 80mm 5000 gm</v>
          </cell>
          <cell r="B3030" t="str">
            <v>PM</v>
          </cell>
          <cell r="C3030" t="str">
            <v>Packaging</v>
          </cell>
          <cell r="D3030" t="str">
            <v>Top</v>
          </cell>
        </row>
        <row r="3031">
          <cell r="A3031" t="str">
            <v>PM24-Royal Delight Mabroom Dates Seedless Albarkh (Cred) 400 gm</v>
          </cell>
          <cell r="B3031" t="str">
            <v>PM</v>
          </cell>
          <cell r="C3031" t="str">
            <v>Packaging</v>
          </cell>
          <cell r="D3031" t="str">
            <v>Top</v>
          </cell>
        </row>
        <row r="3032">
          <cell r="A3032" t="str">
            <v>PM24-Royal Delight Maryam Dates Top (Cred) 350 gm</v>
          </cell>
          <cell r="B3032" t="str">
            <v>PM</v>
          </cell>
          <cell r="C3032" t="str">
            <v>Packaging</v>
          </cell>
          <cell r="D3032" t="str">
            <v>Top</v>
          </cell>
        </row>
        <row r="3033">
          <cell r="A3033" t="str">
            <v>PM24-Royal Delight Mazafati Dates 3Ply 5 Kg-Top 385 x 290 x 80mm 5000 gm</v>
          </cell>
          <cell r="B3033" t="str">
            <v>PM</v>
          </cell>
          <cell r="C3033" t="str">
            <v>Packaging</v>
          </cell>
          <cell r="D3033" t="str">
            <v>Top</v>
          </cell>
        </row>
        <row r="3034">
          <cell r="A3034" t="str">
            <v>PM24-Royal Delight Medjool Dates Top (Brown) (Cred) 400 gm</v>
          </cell>
          <cell r="B3034" t="str">
            <v>PM</v>
          </cell>
          <cell r="C3034" t="str">
            <v>Packaging</v>
          </cell>
          <cell r="D3034" t="str">
            <v>Top</v>
          </cell>
        </row>
        <row r="3035">
          <cell r="A3035" t="str">
            <v>PM24-Royal Delight Medjoul Dates 3Ply 5 Kg-Top 385 x 290 x 80mm 5000 gm</v>
          </cell>
          <cell r="B3035" t="str">
            <v>PM</v>
          </cell>
          <cell r="C3035" t="str">
            <v>Packaging</v>
          </cell>
          <cell r="D3035" t="str">
            <v>Top</v>
          </cell>
        </row>
        <row r="3036">
          <cell r="A3036" t="str">
            <v>PM24-Royal Delight Medjoul Top 1kg</v>
          </cell>
          <cell r="B3036" t="str">
            <v>PM</v>
          </cell>
          <cell r="C3036" t="str">
            <v>Packaging</v>
          </cell>
          <cell r="D3036" t="str">
            <v>Top</v>
          </cell>
        </row>
        <row r="3037">
          <cell r="A3037" t="str">
            <v>PM24-Royal Delight Mejool Junior Dates Top Blue (Cred) 400 gm</v>
          </cell>
          <cell r="B3037" t="str">
            <v>PM</v>
          </cell>
          <cell r="C3037" t="str">
            <v>Packaging</v>
          </cell>
          <cell r="D3037" t="str">
            <v>Top</v>
          </cell>
        </row>
        <row r="3038">
          <cell r="A3038" t="str">
            <v>PM24-Royal Delight Mejool Junior Dates Top (Dark Blue) (Cred) 400 gm</v>
          </cell>
          <cell r="B3038" t="str">
            <v>PM</v>
          </cell>
          <cell r="C3038" t="str">
            <v>Packaging</v>
          </cell>
          <cell r="D3038" t="str">
            <v>Top</v>
          </cell>
        </row>
        <row r="3039">
          <cell r="A3039" t="str">
            <v>PM24-Royal Delight Mejool Medium Dates Top (Purple) (Cred) 400 gm</v>
          </cell>
          <cell r="B3039" t="str">
            <v>PM</v>
          </cell>
          <cell r="C3039" t="str">
            <v>Packaging</v>
          </cell>
          <cell r="D3039" t="str">
            <v>Top</v>
          </cell>
        </row>
        <row r="3040">
          <cell r="A3040" t="str">
            <v>PM24-Royal Delight Oman Dates 3Ply 5 Kg-Top 385 x 290 x 80mm 5000 gm</v>
          </cell>
          <cell r="B3040" t="str">
            <v>PM</v>
          </cell>
          <cell r="C3040" t="str">
            <v>Packaging</v>
          </cell>
          <cell r="D3040" t="str">
            <v>Top</v>
          </cell>
        </row>
        <row r="3041">
          <cell r="A3041" t="str">
            <v>PM24-Royal Delight Safavi Dates 3Ply 5 Kg-Top 385 x 290 x 80mm 5000 gm</v>
          </cell>
          <cell r="B3041" t="str">
            <v>PM</v>
          </cell>
          <cell r="C3041" t="str">
            <v>Packaging</v>
          </cell>
          <cell r="D3041" t="str">
            <v>Top</v>
          </cell>
        </row>
        <row r="3042">
          <cell r="A3042" t="str">
            <v>PM24-Royal Delight Safavi Dates Seeded 400 gm</v>
          </cell>
          <cell r="B3042" t="str">
            <v>PM</v>
          </cell>
          <cell r="C3042" t="str">
            <v>Packaging</v>
          </cell>
          <cell r="D3042" t="str">
            <v>Top</v>
          </cell>
        </row>
        <row r="3043">
          <cell r="A3043" t="str">
            <v>PM24-Royal Delight Uae Dates 3Ply 5 Kg-Top 385 x 290 x 80mm 5000 gm</v>
          </cell>
          <cell r="B3043" t="str">
            <v>PM</v>
          </cell>
          <cell r="C3043" t="str">
            <v>Packaging</v>
          </cell>
          <cell r="D3043" t="str">
            <v>Top</v>
          </cell>
        </row>
        <row r="3044">
          <cell r="A3044" t="str">
            <v>PM24-Royal Delight Zahidi dates Pouch 1kg</v>
          </cell>
          <cell r="B3044" t="str">
            <v>PM</v>
          </cell>
          <cell r="C3044" t="str">
            <v>Packaging</v>
          </cell>
          <cell r="D3044" t="str">
            <v>Pouch</v>
          </cell>
        </row>
        <row r="3045">
          <cell r="A3045" t="str">
            <v>PM24-Royal Tradition Mahotsav 500g</v>
          </cell>
          <cell r="B3045" t="str">
            <v>PM</v>
          </cell>
          <cell r="C3045" t="str">
            <v>Packaging</v>
          </cell>
          <cell r="D3045" t="str">
            <v>Hamper-Box</v>
          </cell>
        </row>
        <row r="3046">
          <cell r="A3046" t="str">
            <v>PM24-Royal Traditions Shubhkamna 300 g laptop pack</v>
          </cell>
          <cell r="B3046" t="str">
            <v>PM</v>
          </cell>
          <cell r="C3046" t="str">
            <v>Packaging</v>
          </cell>
          <cell r="D3046" t="str">
            <v>Hamper-Box</v>
          </cell>
        </row>
        <row r="3047">
          <cell r="A3047" t="str">
            <v>PM24-Royal Tradition Tyohaar 400g Laptop 400 Gm</v>
          </cell>
          <cell r="B3047" t="str">
            <v>PM</v>
          </cell>
          <cell r="C3047" t="str">
            <v>Packaging</v>
          </cell>
          <cell r="D3047" t="str">
            <v>Hamper-Box</v>
          </cell>
        </row>
        <row r="3048">
          <cell r="A3048" t="str">
            <v>PM24-Royal Tradition Utsav 300g (with Bag)  300 Gm</v>
          </cell>
          <cell r="B3048" t="str">
            <v>PM</v>
          </cell>
          <cell r="C3048" t="str">
            <v>Packaging</v>
          </cell>
          <cell r="D3048" t="str">
            <v>Hamper-Box</v>
          </cell>
        </row>
        <row r="3049">
          <cell r="A3049" t="str">
            <v>PM24-Solimo Dried Fig Anjeer Monocarton 500 gm</v>
          </cell>
          <cell r="B3049" t="str">
            <v>PM</v>
          </cell>
          <cell r="C3049" t="str">
            <v>Packaging</v>
          </cell>
          <cell r="D3049" t="str">
            <v xml:space="preserve">Monocarton </v>
          </cell>
        </row>
        <row r="3050">
          <cell r="A3050" t="str">
            <v>PM24-Solimo Premium Cashew Monocarton 500 gm</v>
          </cell>
          <cell r="B3050" t="str">
            <v>PM</v>
          </cell>
          <cell r="C3050" t="str">
            <v>Packaging</v>
          </cell>
          <cell r="D3050" t="str">
            <v xml:space="preserve">Monocarton </v>
          </cell>
        </row>
        <row r="3051">
          <cell r="A3051" t="str">
            <v>PM24-Tasties Brazil Nuts Monocarton 50 gm</v>
          </cell>
          <cell r="B3051" t="str">
            <v>PM</v>
          </cell>
          <cell r="C3051" t="str">
            <v>Packaging</v>
          </cell>
          <cell r="D3051" t="str">
            <v xml:space="preserve">Monocarton </v>
          </cell>
        </row>
        <row r="3052">
          <cell r="A3052" t="str">
            <v>PM24 - Tasties Chat Masala Makhana Pouch Roll 25 gm</v>
          </cell>
          <cell r="B3052" t="str">
            <v>PM</v>
          </cell>
          <cell r="C3052" t="str">
            <v>Packaging</v>
          </cell>
          <cell r="D3052" t="str">
            <v>Pouch Roll</v>
          </cell>
        </row>
        <row r="3053">
          <cell r="A3053" t="str">
            <v>PM24-Tasties Chilli Almonds Monocarton 75 gm</v>
          </cell>
          <cell r="B3053" t="str">
            <v>PM</v>
          </cell>
          <cell r="C3053" t="str">
            <v>Packaging</v>
          </cell>
          <cell r="D3053" t="str">
            <v xml:space="preserve">Monocarton </v>
          </cell>
        </row>
        <row r="3054">
          <cell r="A3054" t="str">
            <v>PM24-Tasties Chilli Garlic Cashew-Flavourful &amp; Crunchy 75 G</v>
          </cell>
          <cell r="B3054" t="str">
            <v>PM</v>
          </cell>
          <cell r="C3054" t="str">
            <v>Packaging</v>
          </cell>
          <cell r="D3054" t="str">
            <v xml:space="preserve">Monocarton </v>
          </cell>
        </row>
        <row r="3055">
          <cell r="A3055" t="str">
            <v>PM24-Tasties Hazelnut-A Turkish Indulgence 50 G</v>
          </cell>
          <cell r="B3055" t="str">
            <v>PM</v>
          </cell>
          <cell r="C3055" t="str">
            <v>Packaging</v>
          </cell>
          <cell r="D3055" t="str">
            <v xml:space="preserve">Monocarton </v>
          </cell>
        </row>
        <row r="3056">
          <cell r="A3056" t="str">
            <v>PM24-Tasties Lemon Pepper Cashew-Flavourful &amp; Crunchy 75 G</v>
          </cell>
          <cell r="B3056" t="str">
            <v>PM</v>
          </cell>
          <cell r="C3056" t="str">
            <v>Packaging</v>
          </cell>
          <cell r="D3056" t="str">
            <v xml:space="preserve">Monocarton </v>
          </cell>
        </row>
        <row r="3057">
          <cell r="A3057" t="str">
            <v>PM24-Tasties Macadamianuts Monocarton 50 gm</v>
          </cell>
          <cell r="B3057" t="str">
            <v>PM</v>
          </cell>
          <cell r="C3057" t="str">
            <v>Packaging</v>
          </cell>
          <cell r="D3057" t="str">
            <v xml:space="preserve">Monocarton </v>
          </cell>
        </row>
        <row r="3058">
          <cell r="A3058" t="str">
            <v>PM24-Tasties Mixed Berries Trail Mix 75 G</v>
          </cell>
          <cell r="B3058" t="str">
            <v>PM</v>
          </cell>
          <cell r="C3058" t="str">
            <v>Packaging</v>
          </cell>
          <cell r="D3058" t="str">
            <v xml:space="preserve">Monocarton </v>
          </cell>
        </row>
        <row r="3059">
          <cell r="A3059" t="str">
            <v>PM24-Tasties Mixed Dry Fruits Trail Mix 75 G</v>
          </cell>
          <cell r="B3059" t="str">
            <v>PM</v>
          </cell>
          <cell r="C3059" t="str">
            <v>Packaging</v>
          </cell>
          <cell r="D3059" t="str">
            <v xml:space="preserve">Monocarton </v>
          </cell>
        </row>
        <row r="3060">
          <cell r="A3060" t="str">
            <v>PM24-Tasties Pecan Nuts-Iconic American Nut 50 G</v>
          </cell>
          <cell r="B3060" t="str">
            <v>PM</v>
          </cell>
          <cell r="C3060" t="str">
            <v>Packaging</v>
          </cell>
          <cell r="D3060" t="str">
            <v xml:space="preserve">Monocarton </v>
          </cell>
        </row>
        <row r="3061">
          <cell r="A3061" t="str">
            <v>PM24-Tasties Peri-Peri Cashew-Flavourful &amp; Crunchy 75 G</v>
          </cell>
          <cell r="B3061" t="str">
            <v>PM</v>
          </cell>
          <cell r="C3061" t="str">
            <v>Packaging</v>
          </cell>
          <cell r="D3061" t="str">
            <v xml:space="preserve">Monocarton </v>
          </cell>
        </row>
        <row r="3062">
          <cell r="A3062" t="str">
            <v>PM24-Tasties Roasted Almonds With Pink Salt-Flavourful &amp; Crunchy 75 G</v>
          </cell>
          <cell r="B3062" t="str">
            <v>PM</v>
          </cell>
          <cell r="C3062" t="str">
            <v>Packaging</v>
          </cell>
          <cell r="D3062" t="str">
            <v xml:space="preserve">Monocarton </v>
          </cell>
        </row>
        <row r="3063">
          <cell r="A3063" t="str">
            <v>PM24-Tasties Smoked Almonds-Flavourful &amp; Crunchy 75 G</v>
          </cell>
          <cell r="B3063" t="str">
            <v>PM</v>
          </cell>
          <cell r="C3063" t="str">
            <v>Packaging</v>
          </cell>
          <cell r="D3063" t="str">
            <v xml:space="preserve">Monocarton </v>
          </cell>
        </row>
        <row r="3064">
          <cell r="A3064" t="str">
            <v>PM24-Tasties Trail Mix-Wholesome Monocarton 75 gm</v>
          </cell>
          <cell r="B3064" t="str">
            <v>PM</v>
          </cell>
          <cell r="C3064" t="str">
            <v>Packaging</v>
          </cell>
          <cell r="D3064" t="str">
            <v xml:space="preserve">Monocarton </v>
          </cell>
        </row>
        <row r="3065">
          <cell r="A3065" t="str">
            <v>PM24-Tasties Trail Mix-Wholesome Nut Mix 75 G</v>
          </cell>
          <cell r="B3065" t="str">
            <v>PM</v>
          </cell>
          <cell r="C3065" t="str">
            <v>Packaging</v>
          </cell>
          <cell r="D3065" t="str">
            <v xml:space="preserve">Monocarton </v>
          </cell>
        </row>
        <row r="3066">
          <cell r="A3066" t="str">
            <v>PM24-Tray 22x16 Duplex Board 230gsm</v>
          </cell>
          <cell r="B3066" t="str">
            <v>PM</v>
          </cell>
          <cell r="C3066" t="str">
            <v>Packaging</v>
          </cell>
          <cell r="D3066" t="str">
            <v>Tray</v>
          </cell>
        </row>
        <row r="3067">
          <cell r="A3067" t="str">
            <v>PM24-Tray 24x15.25 Duplex Board 230gsm</v>
          </cell>
          <cell r="B3067" t="str">
            <v>PM</v>
          </cell>
          <cell r="C3067" t="str">
            <v>Packaging</v>
          </cell>
          <cell r="D3067" t="str">
            <v>Tray</v>
          </cell>
        </row>
        <row r="3068">
          <cell r="A3068" t="str">
            <v>PM24-Tray 26x16.5 Duplex Board 230gsm</v>
          </cell>
          <cell r="B3068" t="str">
            <v>PM</v>
          </cell>
          <cell r="C3068" t="str">
            <v>Packaging</v>
          </cell>
          <cell r="D3068" t="str">
            <v>Tray</v>
          </cell>
        </row>
        <row r="3069">
          <cell r="A3069" t="str">
            <v>PM24-Tray Cranival Festive Greetings Box</v>
          </cell>
          <cell r="B3069" t="str">
            <v>PM</v>
          </cell>
          <cell r="C3069" t="str">
            <v>Packaging</v>
          </cell>
          <cell r="D3069" t="str">
            <v>Tray</v>
          </cell>
        </row>
        <row r="3070">
          <cell r="A3070" t="str">
            <v>PM24-Tub Rectangle Blister Top, Lid Pl-200Gm 200 gm</v>
          </cell>
          <cell r="B3070" t="str">
            <v>PM</v>
          </cell>
          <cell r="C3070" t="str">
            <v>Packaging</v>
          </cell>
          <cell r="D3070" t="str">
            <v>Blister Lid</v>
          </cell>
        </row>
        <row r="3071">
          <cell r="A3071" t="str">
            <v>PM24-Vedaka Season Greeting Blue 5p Folding 800gm</v>
          </cell>
          <cell r="B3071" t="str">
            <v>PM</v>
          </cell>
          <cell r="C3071" t="str">
            <v>Packaging</v>
          </cell>
          <cell r="D3071" t="str">
            <v>Pouch</v>
          </cell>
        </row>
        <row r="3072">
          <cell r="A3072" t="str">
            <v>PM24-Vedaka Seasons Green Corrogated Box 400 gm</v>
          </cell>
          <cell r="B3072" t="str">
            <v>PM</v>
          </cell>
          <cell r="C3072" t="str">
            <v>Packaging</v>
          </cell>
          <cell r="D3072" t="str">
            <v>Pouch</v>
          </cell>
        </row>
        <row r="3073">
          <cell r="A3073" t="str">
            <v>PM24-Wholesome Millets Monocarton</v>
          </cell>
          <cell r="B3073" t="str">
            <v>PM</v>
          </cell>
          <cell r="C3073" t="str">
            <v>Packaging</v>
          </cell>
          <cell r="D3073" t="str">
            <v xml:space="preserve">Monocarton </v>
          </cell>
        </row>
        <row r="3074">
          <cell r="A3074" t="str">
            <v>PM24-Zesque TM  Salt &amp; Pepper Roasted 200 gm</v>
          </cell>
          <cell r="B3074" t="str">
            <v>PM</v>
          </cell>
          <cell r="C3074" t="str">
            <v>Packaging</v>
          </cell>
          <cell r="D3074" t="str">
            <v>Pouch</v>
          </cell>
        </row>
        <row r="3075">
          <cell r="A3075" t="str">
            <v>PM24 – Apollo Arabian Dates _3-Ply Printed Carton,</v>
          </cell>
          <cell r="B3075" t="str">
            <v>PM</v>
          </cell>
          <cell r="C3075" t="str">
            <v>Packaging</v>
          </cell>
          <cell r="D3075" t="str">
            <v>Carton</v>
          </cell>
        </row>
        <row r="3076">
          <cell r="A3076" t="str">
            <v>Popular Raisins, 500 g (B07GR3S1RR)</v>
          </cell>
          <cell r="B3076" t="str">
            <v>FG</v>
          </cell>
          <cell r="C3076" t="str">
            <v>RAISIN</v>
          </cell>
          <cell r="D3076" t="str">
            <v>Raisin - Indian</v>
          </cell>
        </row>
        <row r="3077">
          <cell r="A3077" t="str">
            <v>Powder Black Pepper spices</v>
          </cell>
          <cell r="B3077" t="str">
            <v>RM</v>
          </cell>
          <cell r="C3077" t="str">
            <v>SEASONING</v>
          </cell>
          <cell r="D3077" t="str">
            <v>Seasoning</v>
          </cell>
        </row>
        <row r="3078">
          <cell r="A3078" t="str">
            <v>PREGEFLO C100</v>
          </cell>
          <cell r="B3078" t="str">
            <v>RM</v>
          </cell>
          <cell r="C3078" t="str">
            <v>MISCELLANEOUS - RM</v>
          </cell>
          <cell r="D3078" t="str">
            <v>Other Misc</v>
          </cell>
        </row>
        <row r="3079">
          <cell r="A3079" t="str">
            <v>Premia Almond Salted 100 Gm</v>
          </cell>
          <cell r="B3079" t="str">
            <v>FG</v>
          </cell>
          <cell r="C3079" t="str">
            <v>ALMOND</v>
          </cell>
          <cell r="D3079" t="str">
            <v>Almond - Kernels</v>
          </cell>
        </row>
        <row r="3080">
          <cell r="A3080" t="str">
            <v>PREMIA ALMONDS SMOKD-100G</v>
          </cell>
          <cell r="B3080" t="str">
            <v>FG</v>
          </cell>
          <cell r="C3080" t="str">
            <v>ALMOND</v>
          </cell>
          <cell r="D3080" t="str">
            <v>Almond - Kernels</v>
          </cell>
        </row>
        <row r="3081">
          <cell r="A3081" t="str">
            <v>Premia Breakfast Mix 100g (100005226)</v>
          </cell>
          <cell r="B3081" t="str">
            <v>FG</v>
          </cell>
          <cell r="C3081" t="str">
            <v>TRAIL MIX</v>
          </cell>
          <cell r="D3081" t="str">
            <v>Trail Mix</v>
          </cell>
        </row>
        <row r="3082">
          <cell r="A3082" t="str">
            <v>Premia Breakfast Mix Bulk</v>
          </cell>
          <cell r="B3082" t="str">
            <v>FG</v>
          </cell>
          <cell r="C3082" t="str">
            <v>TRAIL MIX</v>
          </cell>
          <cell r="D3082" t="str">
            <v>Trail Mix</v>
          </cell>
        </row>
        <row r="3083">
          <cell r="A3083" t="str">
            <v>Premia Cashew Black Pepper 100 Gm</v>
          </cell>
          <cell r="B3083" t="str">
            <v>FG</v>
          </cell>
          <cell r="C3083" t="str">
            <v>CASHEW</v>
          </cell>
          <cell r="D3083" t="str">
            <v>Cashew - Kernel</v>
          </cell>
        </row>
        <row r="3084">
          <cell r="A3084" t="str">
            <v>Premia Cashew Salted 100 Gm</v>
          </cell>
          <cell r="B3084" t="str">
            <v>FG</v>
          </cell>
          <cell r="C3084" t="str">
            <v>CASHEW</v>
          </cell>
          <cell r="D3084" t="str">
            <v>Cashew - Kernel</v>
          </cell>
        </row>
        <row r="3085">
          <cell r="A3085" t="str">
            <v>Premia Chatpata Cranberry 100gm</v>
          </cell>
          <cell r="B3085" t="str">
            <v>FG</v>
          </cell>
          <cell r="C3085" t="str">
            <v>CRANBERRY</v>
          </cell>
          <cell r="D3085" t="str">
            <v>Cranberry - Whole</v>
          </cell>
        </row>
        <row r="3086">
          <cell r="A3086" t="str">
            <v>Premia Indian Raisin 100gm</v>
          </cell>
          <cell r="B3086" t="str">
            <v>FG</v>
          </cell>
          <cell r="C3086" t="str">
            <v>RAISIN</v>
          </cell>
          <cell r="D3086" t="str">
            <v>Raisin - Indian</v>
          </cell>
        </row>
        <row r="3087">
          <cell r="A3087" t="str">
            <v>Premia Nuts &amp; Seeds Mix 100g (100005422)</v>
          </cell>
          <cell r="B3087" t="str">
            <v>FG</v>
          </cell>
          <cell r="C3087" t="str">
            <v>TRAIL MIX</v>
          </cell>
          <cell r="D3087" t="str">
            <v>Trail Mix</v>
          </cell>
        </row>
        <row r="3088">
          <cell r="A3088" t="str">
            <v>Premia Nuts &amp; Seeds Mix Bulk</v>
          </cell>
          <cell r="B3088" t="str">
            <v>FG</v>
          </cell>
          <cell r="C3088" t="str">
            <v>TRAIL MIX</v>
          </cell>
          <cell r="D3088" t="str">
            <v>Trail Mix</v>
          </cell>
        </row>
        <row r="3089">
          <cell r="A3089" t="str">
            <v>Premia Prunes 100gm</v>
          </cell>
          <cell r="B3089" t="str">
            <v>FG</v>
          </cell>
          <cell r="C3089" t="str">
            <v>PRUNES</v>
          </cell>
          <cell r="D3089" t="str">
            <v>Prunes - Pitted</v>
          </cell>
        </row>
        <row r="3090">
          <cell r="A3090" t="str">
            <v>Premia Trail Mix 100g (100005227)</v>
          </cell>
          <cell r="B3090" t="str">
            <v>FG</v>
          </cell>
          <cell r="C3090" t="str">
            <v>TRAIL MIX</v>
          </cell>
          <cell r="D3090" t="str">
            <v>Trail Mix</v>
          </cell>
        </row>
        <row r="3091">
          <cell r="A3091" t="str">
            <v>Premia Trail Mix Bulk</v>
          </cell>
          <cell r="B3091" t="str">
            <v>FG</v>
          </cell>
          <cell r="C3091" t="str">
            <v>TRAIL MIX</v>
          </cell>
          <cell r="D3091" t="str">
            <v>Trail Mix</v>
          </cell>
        </row>
        <row r="3092">
          <cell r="A3092" t="str">
            <v>Premium Shandukhani Green Raisins</v>
          </cell>
          <cell r="B3092" t="str">
            <v>RM</v>
          </cell>
          <cell r="C3092" t="str">
            <v>RAISIN</v>
          </cell>
          <cell r="D3092" t="str">
            <v>Raisin - Shandukhani</v>
          </cell>
        </row>
        <row r="3093">
          <cell r="A3093" t="str">
            <v>Premium Trail Mix 100gm</v>
          </cell>
          <cell r="B3093" t="str">
            <v>FG</v>
          </cell>
          <cell r="C3093" t="str">
            <v>TRAIL MIX</v>
          </cell>
          <cell r="D3093" t="str">
            <v>Trail Mix</v>
          </cell>
        </row>
        <row r="3094">
          <cell r="A3094" t="str">
            <v>Premix-Cofee Nutribite</v>
          </cell>
          <cell r="B3094" t="str">
            <v>RM</v>
          </cell>
          <cell r="C3094" t="str">
            <v>MISCELLANEOUS - RM</v>
          </cell>
          <cell r="D3094" t="str">
            <v>Chocolate</v>
          </cell>
        </row>
        <row r="3095">
          <cell r="A3095" t="str">
            <v>Premix-Salted Caramel Nutribites</v>
          </cell>
          <cell r="B3095" t="str">
            <v>RM</v>
          </cell>
          <cell r="C3095" t="str">
            <v>MISCELLANEOUS - RM</v>
          </cell>
          <cell r="D3095" t="str">
            <v>Chocolate</v>
          </cell>
        </row>
        <row r="3096">
          <cell r="A3096" t="str">
            <v>Processing  &amp; Packaging 5%</v>
          </cell>
          <cell r="B3096">
            <v>0</v>
          </cell>
          <cell r="C3096" t="str">
            <v>Service</v>
          </cell>
          <cell r="D3096" t="str">
            <v>Packing</v>
          </cell>
        </row>
        <row r="3097">
          <cell r="A3097" t="str">
            <v>Prunes 1KG (B07GR24VN1)</v>
          </cell>
          <cell r="B3097" t="str">
            <v>FG</v>
          </cell>
          <cell r="C3097" t="str">
            <v>PRUNES</v>
          </cell>
          <cell r="D3097" t="str">
            <v>Prunes - Pitted</v>
          </cell>
        </row>
        <row r="3098">
          <cell r="A3098" t="str">
            <v>Prunes 200G (B07GQWRZKN)</v>
          </cell>
          <cell r="B3098" t="str">
            <v>FG</v>
          </cell>
          <cell r="C3098" t="str">
            <v>PRUNES</v>
          </cell>
          <cell r="D3098" t="str">
            <v>Prunes - Pitted</v>
          </cell>
        </row>
        <row r="3099">
          <cell r="A3099" t="str">
            <v>Prunes 500G (B07GQZSS53)</v>
          </cell>
          <cell r="B3099" t="str">
            <v>FG</v>
          </cell>
          <cell r="C3099" t="str">
            <v>PRUNES</v>
          </cell>
          <cell r="D3099" t="str">
            <v>Prunes - Pitted</v>
          </cell>
        </row>
        <row r="3100">
          <cell r="A3100" t="str">
            <v>PSYLLIUM HUSK POWDER</v>
          </cell>
          <cell r="B3100" t="str">
            <v>RM</v>
          </cell>
          <cell r="C3100" t="str">
            <v>MISCELLANEOUS - RM</v>
          </cell>
          <cell r="D3100" t="str">
            <v>Other Misc</v>
          </cell>
        </row>
        <row r="3101">
          <cell r="A3101" t="str">
            <v>Pudina Cashew</v>
          </cell>
          <cell r="B3101" t="str">
            <v>FG</v>
          </cell>
          <cell r="C3101" t="str">
            <v>CASHEW</v>
          </cell>
          <cell r="D3101" t="str">
            <v>Cashew - Kernel</v>
          </cell>
        </row>
        <row r="3102">
          <cell r="A3102" t="str">
            <v>Pudina Makhana</v>
          </cell>
          <cell r="B3102" t="str">
            <v>FG</v>
          </cell>
          <cell r="C3102" t="str">
            <v>MAKHANA</v>
          </cell>
          <cell r="D3102" t="str">
            <v>Makhana - Suta</v>
          </cell>
        </row>
        <row r="3103">
          <cell r="A3103" t="str">
            <v>Pudina Makhana 50gm</v>
          </cell>
          <cell r="B3103" t="str">
            <v>FG</v>
          </cell>
          <cell r="C3103" t="str">
            <v>MAKHANA</v>
          </cell>
          <cell r="D3103" t="str">
            <v>Makhana - Suta</v>
          </cell>
        </row>
        <row r="3104">
          <cell r="A3104" t="str">
            <v>Pudina seasoning</v>
          </cell>
          <cell r="B3104" t="str">
            <v>RM</v>
          </cell>
          <cell r="C3104" t="str">
            <v>SEASONING</v>
          </cell>
          <cell r="D3104" t="str">
            <v>Seasoning</v>
          </cell>
        </row>
        <row r="3105">
          <cell r="A3105" t="str">
            <v>Pumpkin Seed 12%</v>
          </cell>
          <cell r="B3105" t="str">
            <v>RM</v>
          </cell>
          <cell r="C3105" t="str">
            <v>SEEDS</v>
          </cell>
          <cell r="D3105" t="str">
            <v>Pumpkin</v>
          </cell>
        </row>
        <row r="3106">
          <cell r="A3106" t="str">
            <v>Pumpkin Seed 200g (B07GQW1HJC)</v>
          </cell>
          <cell r="B3106" t="str">
            <v>FG</v>
          </cell>
          <cell r="C3106" t="str">
            <v>SEEDS</v>
          </cell>
          <cell r="D3106" t="str">
            <v>Pumpkin</v>
          </cell>
        </row>
        <row r="3107">
          <cell r="A3107" t="str">
            <v>Pumpkin Seed ( 5% )</v>
          </cell>
          <cell r="B3107" t="str">
            <v>RM</v>
          </cell>
          <cell r="C3107" t="str">
            <v>SEEDS</v>
          </cell>
          <cell r="D3107" t="str">
            <v>Pumpkin</v>
          </cell>
        </row>
        <row r="3108">
          <cell r="A3108" t="str">
            <v>Pumpkin Seeds 100g (B07GQRWYNP)</v>
          </cell>
          <cell r="B3108" t="str">
            <v>FG</v>
          </cell>
          <cell r="C3108" t="str">
            <v>SEEDS</v>
          </cell>
          <cell r="D3108" t="str">
            <v>Pumpkin</v>
          </cell>
        </row>
        <row r="3109">
          <cell r="A3109" t="str">
            <v>Pumpkin Seeds 500G (B07GQWST7Y) FBA</v>
          </cell>
          <cell r="B3109" t="str">
            <v>FG</v>
          </cell>
          <cell r="C3109" t="str">
            <v>SEEDS</v>
          </cell>
          <cell r="D3109" t="str">
            <v>Pumpkin</v>
          </cell>
        </row>
        <row r="3110">
          <cell r="A3110" t="str">
            <v>Pumpkin Seeds Roasted</v>
          </cell>
          <cell r="B3110" t="str">
            <v>FG</v>
          </cell>
          <cell r="C3110" t="str">
            <v>SEEDS</v>
          </cell>
          <cell r="D3110" t="str">
            <v>Pumpkin</v>
          </cell>
        </row>
        <row r="3111">
          <cell r="A3111" t="str">
            <v>Pumpkin Seeds Roasted and Salted</v>
          </cell>
          <cell r="B3111" t="str">
            <v>FG</v>
          </cell>
          <cell r="C3111" t="str">
            <v>SEEDS</v>
          </cell>
          <cell r="D3111" t="str">
            <v>Pumpkin</v>
          </cell>
        </row>
        <row r="3112">
          <cell r="A3112" t="str">
            <v>Quinoa Flakes</v>
          </cell>
          <cell r="B3112" t="str">
            <v>RM</v>
          </cell>
          <cell r="C3112" t="str">
            <v>MISCELLANEOUS - RM</v>
          </cell>
          <cell r="D3112" t="str">
            <v>Other Misc</v>
          </cell>
        </row>
        <row r="3113">
          <cell r="A3113" t="str">
            <v>Quinoa Puff Base</v>
          </cell>
          <cell r="B3113" t="str">
            <v>RM</v>
          </cell>
          <cell r="C3113" t="str">
            <v>MISCELLANEOUS - RM</v>
          </cell>
          <cell r="D3113" t="str">
            <v>Other Misc</v>
          </cell>
        </row>
        <row r="3114">
          <cell r="A3114" t="str">
            <v>QWIKSNAX ALMONDS &amp; CASHEWS MIX-25G</v>
          </cell>
          <cell r="B3114" t="str">
            <v>FG</v>
          </cell>
          <cell r="C3114" t="str">
            <v>TRAIL MIX</v>
          </cell>
          <cell r="D3114" t="str">
            <v>Trail Mix</v>
          </cell>
        </row>
        <row r="3115">
          <cell r="A3115" t="str">
            <v>QWIKSNAX CRANBERRIES CHTPTA MIX-30G</v>
          </cell>
          <cell r="B3115" t="str">
            <v>FG</v>
          </cell>
          <cell r="C3115" t="str">
            <v>CRANBERRY</v>
          </cell>
          <cell r="D3115" t="str">
            <v>Cranberry - Sliced</v>
          </cell>
        </row>
        <row r="3116">
          <cell r="A3116" t="str">
            <v>RAGI</v>
          </cell>
          <cell r="B3116" t="str">
            <v>RM</v>
          </cell>
          <cell r="C3116" t="str">
            <v>MISCELLANEOUS - RM</v>
          </cell>
          <cell r="D3116" t="str">
            <v>Other Misc</v>
          </cell>
        </row>
        <row r="3117">
          <cell r="A3117" t="str">
            <v>Ragi Flakes</v>
          </cell>
          <cell r="B3117" t="str">
            <v>RM</v>
          </cell>
          <cell r="C3117" t="str">
            <v>MISCELLANEOUS - RM</v>
          </cell>
          <cell r="D3117" t="str">
            <v>Other Misc</v>
          </cell>
        </row>
        <row r="3118">
          <cell r="A3118" t="str">
            <v>Ragi Puff</v>
          </cell>
          <cell r="B3118" t="str">
            <v>RM</v>
          </cell>
          <cell r="C3118" t="str">
            <v>MISCELLANEOUS - RM</v>
          </cell>
          <cell r="D3118" t="str">
            <v>Other Misc</v>
          </cell>
        </row>
        <row r="3119">
          <cell r="A3119" t="str">
            <v>Raisin Green</v>
          </cell>
          <cell r="B3119" t="str">
            <v>RM</v>
          </cell>
          <cell r="C3119" t="str">
            <v>RAISIN</v>
          </cell>
          <cell r="D3119" t="str">
            <v>Raisin - Indian</v>
          </cell>
        </row>
        <row r="3120">
          <cell r="A3120" t="str">
            <v>Raisins 200G (B07GRBFFMR) FBA</v>
          </cell>
          <cell r="B3120" t="str">
            <v>FG</v>
          </cell>
          <cell r="C3120" t="str">
            <v>RAISIN</v>
          </cell>
          <cell r="D3120" t="str">
            <v>Raisin - Indian</v>
          </cell>
        </row>
        <row r="3121">
          <cell r="A3121" t="str">
            <v>Rajgira Puff (Lahi)</v>
          </cell>
          <cell r="B3121" t="str">
            <v>RM</v>
          </cell>
          <cell r="C3121" t="str">
            <v>MISCELLANEOUS - RM</v>
          </cell>
          <cell r="D3121" t="str">
            <v>Other Misc</v>
          </cell>
        </row>
        <row r="3122">
          <cell r="A3122" t="str">
            <v>Red Dates Seedless 500 Gm</v>
          </cell>
          <cell r="B3122" t="str">
            <v>FG</v>
          </cell>
          <cell r="C3122" t="str">
            <v>DATES</v>
          </cell>
          <cell r="D3122" t="str">
            <v>Seedless</v>
          </cell>
        </row>
        <row r="3123">
          <cell r="A3123" t="str">
            <v>Red Kharik Dry Dates</v>
          </cell>
          <cell r="B3123" t="str">
            <v>RM</v>
          </cell>
          <cell r="C3123" t="str">
            <v>DATES</v>
          </cell>
          <cell r="D3123" t="str">
            <v>Dry Dates</v>
          </cell>
        </row>
        <row r="3124">
          <cell r="A3124" t="str">
            <v>Rhine Valley Almond &amp; Coffee Date Bar 50gm</v>
          </cell>
          <cell r="B3124" t="str">
            <v>FG</v>
          </cell>
          <cell r="C3124" t="str">
            <v>BARS &amp; CEREALS</v>
          </cell>
          <cell r="D3124" t="str">
            <v>Energy Bars</v>
          </cell>
        </row>
        <row r="3125">
          <cell r="A3125" t="str">
            <v>Rhine Valley Almond &amp; Cranberry Date Bar 50gm</v>
          </cell>
          <cell r="B3125" t="str">
            <v>FG</v>
          </cell>
          <cell r="C3125" t="str">
            <v>BARS &amp; CEREALS</v>
          </cell>
          <cell r="D3125" t="str">
            <v>Energy Bars</v>
          </cell>
        </row>
        <row r="3126">
          <cell r="A3126" t="str">
            <v>Rhine Valley Almond &amp; Orange Dark Chocolate Date Bar 50gm</v>
          </cell>
          <cell r="B3126" t="str">
            <v>FG</v>
          </cell>
          <cell r="C3126" t="str">
            <v>BARS &amp; CEREALS</v>
          </cell>
          <cell r="D3126" t="str">
            <v>Energy Bars</v>
          </cell>
        </row>
        <row r="3127">
          <cell r="A3127" t="str">
            <v>Rhine Valley Barbeque Trail Mix 100gm</v>
          </cell>
          <cell r="B3127" t="str">
            <v>FG</v>
          </cell>
          <cell r="C3127" t="str">
            <v>TRAIL MIX</v>
          </cell>
          <cell r="D3127" t="str">
            <v>Trail Mix</v>
          </cell>
        </row>
        <row r="3128">
          <cell r="A3128" t="str">
            <v>Rhine Valley Black Pepper Trail Mix 100gm</v>
          </cell>
          <cell r="B3128" t="str">
            <v>FG</v>
          </cell>
          <cell r="C3128" t="str">
            <v>TRAIL MIX</v>
          </cell>
          <cell r="D3128" t="str">
            <v>Trail Mix</v>
          </cell>
        </row>
        <row r="3129">
          <cell r="A3129" t="str">
            <v>Rhine Valley Fruit &amp; Nut Date Bar 50gm</v>
          </cell>
          <cell r="B3129" t="str">
            <v>FG</v>
          </cell>
          <cell r="C3129" t="str">
            <v>BARS &amp; CEREALS</v>
          </cell>
          <cell r="D3129" t="str">
            <v>Energy Bars</v>
          </cell>
        </row>
        <row r="3130">
          <cell r="A3130" t="str">
            <v>Rhine Valley Himalayan Pink Salt Trail Mix 100gm</v>
          </cell>
          <cell r="B3130" t="str">
            <v>FG</v>
          </cell>
          <cell r="C3130" t="str">
            <v>TRAIL MIX</v>
          </cell>
          <cell r="D3130" t="str">
            <v>Trail Mix</v>
          </cell>
        </row>
        <row r="3131">
          <cell r="A3131" t="str">
            <v>Rhine Valley Masala Trail mix 100g</v>
          </cell>
          <cell r="B3131" t="str">
            <v>FG</v>
          </cell>
          <cell r="C3131" t="str">
            <v>TRAIL MIX</v>
          </cell>
          <cell r="D3131" t="str">
            <v>Trail Mix</v>
          </cell>
        </row>
        <row r="3132">
          <cell r="A3132" t="str">
            <v>Rhine Valley Peri Peri Trail Mix 100gm</v>
          </cell>
          <cell r="B3132" t="str">
            <v>FG</v>
          </cell>
          <cell r="C3132" t="str">
            <v>TRAIL MIX</v>
          </cell>
          <cell r="D3132" t="str">
            <v>Trail Mix</v>
          </cell>
        </row>
        <row r="3133">
          <cell r="A3133" t="str">
            <v>Rhine Valley Raspberry, Almond &amp; Dark Chocolate Date Bar 50gm</v>
          </cell>
          <cell r="B3133" t="str">
            <v>FG</v>
          </cell>
          <cell r="C3133" t="str">
            <v>BARS &amp; CEREALS</v>
          </cell>
          <cell r="D3133" t="str">
            <v>Energy Bars</v>
          </cell>
        </row>
        <row r="3134">
          <cell r="A3134" t="str">
            <v>Rhine Valley Rose &amp; Pistachio Date Bar 50gm</v>
          </cell>
          <cell r="B3134" t="str">
            <v>FG</v>
          </cell>
          <cell r="C3134" t="str">
            <v>BARS &amp; CEREALS</v>
          </cell>
          <cell r="D3134" t="str">
            <v>Energy Bars</v>
          </cell>
        </row>
        <row r="3135">
          <cell r="A3135" t="str">
            <v>Rice Bran Oil</v>
          </cell>
          <cell r="B3135" t="str">
            <v>RM</v>
          </cell>
          <cell r="C3135" t="str">
            <v>MISCELLANEOUS - RM</v>
          </cell>
          <cell r="D3135" t="str">
            <v>Other Misc</v>
          </cell>
        </row>
        <row r="3136">
          <cell r="A3136" t="str">
            <v>Rice Crispy</v>
          </cell>
          <cell r="B3136" t="str">
            <v>RM</v>
          </cell>
          <cell r="C3136" t="str">
            <v>MISCELLANEOUS - RM</v>
          </cell>
          <cell r="D3136" t="str">
            <v>Other Misc</v>
          </cell>
        </row>
        <row r="3137">
          <cell r="A3137" t="str">
            <v>Rice Crispy - 18%</v>
          </cell>
          <cell r="B3137" t="str">
            <v>RM</v>
          </cell>
          <cell r="C3137" t="str">
            <v>MISCELLANEOUS - RM</v>
          </cell>
          <cell r="D3137" t="str">
            <v>Other Misc</v>
          </cell>
        </row>
        <row r="3138">
          <cell r="A3138" t="str">
            <v>Rice Lahi</v>
          </cell>
          <cell r="B3138" t="str">
            <v>RM</v>
          </cell>
          <cell r="C3138" t="str">
            <v>MISCELLANEOUS - RM</v>
          </cell>
          <cell r="D3138" t="str">
            <v>Other Misc</v>
          </cell>
        </row>
        <row r="3139">
          <cell r="A3139" t="str">
            <v>Roasted Black Sesame (Kale Til) Seeds</v>
          </cell>
          <cell r="B3139" t="str">
            <v>FG</v>
          </cell>
          <cell r="C3139" t="str">
            <v>SEEDS</v>
          </cell>
          <cell r="D3139" t="str">
            <v>Other Seeds</v>
          </cell>
        </row>
        <row r="3140">
          <cell r="A3140" t="str">
            <v>ROASTED BLANCHED PEANUT WHOLE</v>
          </cell>
          <cell r="B3140" t="str">
            <v>RM</v>
          </cell>
          <cell r="C3140" t="str">
            <v>PEANUTS</v>
          </cell>
          <cell r="D3140" t="str">
            <v>Peanut - Whole</v>
          </cell>
        </row>
        <row r="3141">
          <cell r="A3141" t="str">
            <v>Roasted Cashew Bulk</v>
          </cell>
          <cell r="B3141" t="str">
            <v>FG</v>
          </cell>
          <cell r="C3141" t="str">
            <v>CASHEW</v>
          </cell>
          <cell r="D3141" t="str">
            <v>Cashew - Kernel</v>
          </cell>
        </row>
        <row r="3142">
          <cell r="A3142" t="str">
            <v>ROASTED CORN</v>
          </cell>
          <cell r="B3142" t="str">
            <v>RM</v>
          </cell>
          <cell r="C3142" t="str">
            <v>MISCELLANEOUS - RM</v>
          </cell>
          <cell r="D3142" t="str">
            <v>Other Misc</v>
          </cell>
        </row>
        <row r="3143">
          <cell r="A3143" t="str">
            <v>Roasted Flax Seeds</v>
          </cell>
          <cell r="B3143" t="str">
            <v>FG</v>
          </cell>
          <cell r="C3143" t="str">
            <v>SEEDS</v>
          </cell>
          <cell r="D3143" t="str">
            <v>Flax</v>
          </cell>
        </row>
        <row r="3144">
          <cell r="A3144" t="str">
            <v>Roasted Independence Almonds Bulk</v>
          </cell>
          <cell r="B3144" t="str">
            <v>FG</v>
          </cell>
          <cell r="C3144" t="str">
            <v>ALMOND</v>
          </cell>
          <cell r="D3144" t="str">
            <v>Almond - Kernels</v>
          </cell>
        </row>
        <row r="3145">
          <cell r="A3145" t="str">
            <v>Roasted Makhana</v>
          </cell>
          <cell r="B3145" t="str">
            <v>FG</v>
          </cell>
          <cell r="C3145" t="str">
            <v>MAKHANA</v>
          </cell>
          <cell r="D3145" t="str">
            <v>Makhana - Suta</v>
          </cell>
        </row>
        <row r="3146">
          <cell r="A3146" t="str">
            <v>Roasted Papad Ball 5%</v>
          </cell>
          <cell r="B3146" t="str">
            <v>RM</v>
          </cell>
          <cell r="C3146" t="str">
            <v>MISCELLANEOUS - RM</v>
          </cell>
          <cell r="D3146" t="str">
            <v>Other Misc</v>
          </cell>
        </row>
        <row r="3147">
          <cell r="A3147" t="str">
            <v>Roasted Peanuts</v>
          </cell>
          <cell r="B3147" t="str">
            <v>RM</v>
          </cell>
          <cell r="C3147" t="str">
            <v>PEANUTS</v>
          </cell>
          <cell r="D3147" t="str">
            <v>Peanut - Whole</v>
          </cell>
        </row>
        <row r="3148">
          <cell r="A3148" t="str">
            <v>Roasted Peanuts Split</v>
          </cell>
          <cell r="B3148" t="str">
            <v>FG</v>
          </cell>
          <cell r="C3148" t="str">
            <v>PEANUTS</v>
          </cell>
          <cell r="D3148" t="str">
            <v>Peanut - Split</v>
          </cell>
        </row>
        <row r="3149">
          <cell r="A3149" t="str">
            <v>Roasted Poppy Seed</v>
          </cell>
          <cell r="B3149" t="str">
            <v>FG</v>
          </cell>
          <cell r="C3149" t="str">
            <v>SEEDS</v>
          </cell>
          <cell r="D3149" t="str">
            <v>Other Seeds</v>
          </cell>
        </row>
        <row r="3150">
          <cell r="A3150" t="str">
            <v>Roasted &amp; Salted Almonds</v>
          </cell>
          <cell r="B3150" t="str">
            <v>FG</v>
          </cell>
          <cell r="C3150" t="str">
            <v>ALMOND</v>
          </cell>
          <cell r="D3150" t="str">
            <v>Almond - Kernels</v>
          </cell>
        </row>
        <row r="3151">
          <cell r="A3151" t="str">
            <v>Roasted &amp; Salted Almonds 140g</v>
          </cell>
          <cell r="B3151" t="str">
            <v>FG</v>
          </cell>
          <cell r="C3151" t="str">
            <v>ALMOND</v>
          </cell>
          <cell r="D3151" t="str">
            <v>Almond - Kernels</v>
          </cell>
        </row>
        <row r="3152">
          <cell r="A3152" t="str">
            <v>Roasted &amp; Salted Almonds 75g</v>
          </cell>
          <cell r="B3152" t="str">
            <v>FG</v>
          </cell>
          <cell r="C3152" t="str">
            <v>ALMOND</v>
          </cell>
          <cell r="D3152" t="str">
            <v>Almond - Kernels</v>
          </cell>
        </row>
        <row r="3153">
          <cell r="A3153" t="str">
            <v>Roasted &amp; Salted Almonds 90g</v>
          </cell>
          <cell r="B3153" t="str">
            <v>FG</v>
          </cell>
          <cell r="C3153" t="str">
            <v>ALMOND</v>
          </cell>
          <cell r="D3153" t="str">
            <v>Almond - Kernels</v>
          </cell>
        </row>
        <row r="3154">
          <cell r="A3154" t="str">
            <v>Roasted &amp; Salted Almonds Bulk</v>
          </cell>
          <cell r="B3154" t="str">
            <v>FG</v>
          </cell>
          <cell r="C3154" t="str">
            <v>ALMOND</v>
          </cell>
          <cell r="D3154" t="str">
            <v>Almond - Kernels</v>
          </cell>
        </row>
        <row r="3155">
          <cell r="A3155" t="str">
            <v>Roasted &amp; Salted Cashew</v>
          </cell>
          <cell r="B3155" t="str">
            <v>FG</v>
          </cell>
          <cell r="C3155" t="str">
            <v>CASHEW</v>
          </cell>
          <cell r="D3155" t="str">
            <v>Cashew - Kernel</v>
          </cell>
        </row>
        <row r="3156">
          <cell r="A3156" t="str">
            <v>Roasted &amp; Salted Cashew  140g</v>
          </cell>
          <cell r="B3156" t="str">
            <v>FG</v>
          </cell>
          <cell r="C3156" t="str">
            <v>CASHEW</v>
          </cell>
          <cell r="D3156" t="str">
            <v>Cashew - Kernel</v>
          </cell>
        </row>
        <row r="3157">
          <cell r="A3157" t="str">
            <v>Roasted &amp; Salted Cashew 75gm</v>
          </cell>
          <cell r="B3157" t="str">
            <v>FG</v>
          </cell>
          <cell r="C3157" t="str">
            <v>CASHEW</v>
          </cell>
          <cell r="D3157" t="str">
            <v>Cashew - Kernel</v>
          </cell>
        </row>
        <row r="3158">
          <cell r="A3158" t="str">
            <v>Roasted &amp; Salted Cashew 90gm</v>
          </cell>
          <cell r="B3158" t="str">
            <v>FG</v>
          </cell>
          <cell r="C3158" t="str">
            <v>CASHEW</v>
          </cell>
          <cell r="D3158" t="str">
            <v>Cashew - Kernel</v>
          </cell>
        </row>
        <row r="3159">
          <cell r="A3159" t="str">
            <v>Roasted &amp; Salted Cashew Bulk</v>
          </cell>
          <cell r="B3159" t="str">
            <v>FG</v>
          </cell>
          <cell r="C3159" t="str">
            <v>CASHEW</v>
          </cell>
          <cell r="D3159" t="str">
            <v>Cashew - Kernel</v>
          </cell>
        </row>
        <row r="3160">
          <cell r="A3160" t="str">
            <v>Roasted Salted Flax Seeds</v>
          </cell>
          <cell r="B3160" t="str">
            <v>FG</v>
          </cell>
          <cell r="C3160" t="str">
            <v>SEEDS</v>
          </cell>
          <cell r="D3160" t="str">
            <v>FLax</v>
          </cell>
        </row>
        <row r="3161">
          <cell r="A3161" t="str">
            <v>Roasted &amp; Salted Pecan Nuts 75gm</v>
          </cell>
          <cell r="B3161" t="str">
            <v>FG</v>
          </cell>
          <cell r="C3161" t="str">
            <v>PREMIUM NUTS</v>
          </cell>
          <cell r="D3161" t="str">
            <v>Pecan Nuts</v>
          </cell>
        </row>
        <row r="3162">
          <cell r="A3162" t="str">
            <v>Roasted &amp; Salted Pista 230g</v>
          </cell>
          <cell r="B3162" t="str">
            <v>FG</v>
          </cell>
          <cell r="C3162" t="str">
            <v>PISTA</v>
          </cell>
          <cell r="D3162" t="str">
            <v>Pista - Inshell</v>
          </cell>
        </row>
        <row r="3163">
          <cell r="A3163" t="str">
            <v>Roasted &amp; Salted Pista 75gm</v>
          </cell>
          <cell r="B3163" t="str">
            <v>FG</v>
          </cell>
          <cell r="C3163" t="str">
            <v>PISTA</v>
          </cell>
          <cell r="D3163" t="str">
            <v>Pista - Inshell</v>
          </cell>
        </row>
        <row r="3164">
          <cell r="A3164" t="str">
            <v>Roasted White Sesame (Safed Til) Seeds</v>
          </cell>
          <cell r="B3164" t="str">
            <v>FG</v>
          </cell>
          <cell r="C3164" t="str">
            <v>SEEDS</v>
          </cell>
          <cell r="D3164" t="str">
            <v>Other Seeds</v>
          </cell>
        </row>
        <row r="3165">
          <cell r="A3165" t="str">
            <v>Rose Petals</v>
          </cell>
          <cell r="B3165" t="str">
            <v>RM</v>
          </cell>
          <cell r="C3165" t="str">
            <v>MISCELLANEOUS - RM</v>
          </cell>
          <cell r="D3165" t="str">
            <v>Other Misc</v>
          </cell>
        </row>
        <row r="3166">
          <cell r="A3166" t="str">
            <v>Royal Delight Ajwa Dates 250 Gms</v>
          </cell>
          <cell r="B3166" t="str">
            <v>FG</v>
          </cell>
          <cell r="C3166" t="str">
            <v>DATES</v>
          </cell>
          <cell r="D3166" t="str">
            <v>Ajwa</v>
          </cell>
        </row>
        <row r="3167">
          <cell r="A3167" t="str">
            <v>Royal Delight Arabian Dates 200gm</v>
          </cell>
          <cell r="B3167" t="str">
            <v>FG</v>
          </cell>
          <cell r="C3167" t="str">
            <v>DATES</v>
          </cell>
          <cell r="D3167" t="str">
            <v>Khalas</v>
          </cell>
        </row>
        <row r="3168">
          <cell r="A3168" t="str">
            <v>Royal Delight Arabian Dates 250g</v>
          </cell>
          <cell r="B3168" t="str">
            <v>FG</v>
          </cell>
          <cell r="C3168" t="str">
            <v>DATES</v>
          </cell>
          <cell r="D3168" t="str">
            <v>Khalas</v>
          </cell>
        </row>
        <row r="3169">
          <cell r="A3169" t="str">
            <v>Royal Delight Arabian Dates 300gm</v>
          </cell>
          <cell r="B3169" t="str">
            <v>FG</v>
          </cell>
          <cell r="C3169" t="str">
            <v>DATES</v>
          </cell>
          <cell r="D3169" t="str">
            <v>Khalas</v>
          </cell>
        </row>
        <row r="3170">
          <cell r="A3170" t="str">
            <v>Royal Delight Arabian Dates 500gm</v>
          </cell>
          <cell r="B3170" t="str">
            <v>FG</v>
          </cell>
          <cell r="C3170" t="str">
            <v>DATES</v>
          </cell>
          <cell r="D3170" t="str">
            <v>Khalas</v>
          </cell>
        </row>
        <row r="3171">
          <cell r="A3171" t="str">
            <v>Royal Delight Assorted Dates 500gm</v>
          </cell>
          <cell r="B3171" t="str">
            <v>FG</v>
          </cell>
          <cell r="C3171" t="str">
            <v>DATES</v>
          </cell>
          <cell r="D3171" t="str">
            <v>Assorted</v>
          </cell>
        </row>
        <row r="3172">
          <cell r="A3172" t="str">
            <v>Royal Delight Dates Ajwa 800g</v>
          </cell>
          <cell r="B3172" t="str">
            <v>FG</v>
          </cell>
          <cell r="C3172" t="str">
            <v>DATES</v>
          </cell>
          <cell r="D3172" t="str">
            <v>Ajwa</v>
          </cell>
        </row>
        <row r="3173">
          <cell r="A3173" t="str">
            <v>Royal Delight Dates Medjool Medium 250g</v>
          </cell>
          <cell r="B3173" t="str">
            <v>FG</v>
          </cell>
          <cell r="C3173" t="str">
            <v>DATES</v>
          </cell>
          <cell r="D3173" t="str">
            <v>Medjoul-Medium</v>
          </cell>
        </row>
        <row r="3174">
          <cell r="A3174" t="str">
            <v>Royal Delight Dates Stuffed Deri Acrylic Box 27 Pcs</v>
          </cell>
          <cell r="B3174" t="str">
            <v>FG</v>
          </cell>
          <cell r="C3174" t="str">
            <v>DATES</v>
          </cell>
          <cell r="D3174" t="str">
            <v>Deri</v>
          </cell>
        </row>
        <row r="3175">
          <cell r="A3175" t="str">
            <v>Royal Delight Kimia Dates 1kg</v>
          </cell>
          <cell r="B3175" t="str">
            <v>FG</v>
          </cell>
          <cell r="C3175" t="str">
            <v>DATES</v>
          </cell>
          <cell r="D3175" t="str">
            <v>Kimia</v>
          </cell>
        </row>
        <row r="3176">
          <cell r="A3176" t="str">
            <v>Royal Delight Kimia Dates 350gm</v>
          </cell>
          <cell r="B3176" t="str">
            <v>FG</v>
          </cell>
          <cell r="C3176" t="str">
            <v>DATES</v>
          </cell>
          <cell r="D3176" t="str">
            <v>Kimia</v>
          </cell>
        </row>
        <row r="3177">
          <cell r="A3177" t="str">
            <v>Royal Delight Mabroom Dates 250 Gms</v>
          </cell>
          <cell r="B3177" t="str">
            <v>FG</v>
          </cell>
          <cell r="C3177" t="str">
            <v>DATES</v>
          </cell>
          <cell r="D3177" t="str">
            <v>Mabroom</v>
          </cell>
        </row>
        <row r="3178">
          <cell r="A3178" t="str">
            <v>Royal Delight Medjool Dates 800g</v>
          </cell>
          <cell r="B3178" t="str">
            <v>FG</v>
          </cell>
          <cell r="C3178" t="str">
            <v>DATES</v>
          </cell>
          <cell r="D3178" t="str">
            <v>Medjoul-General</v>
          </cell>
        </row>
        <row r="3179">
          <cell r="A3179" t="str">
            <v>Royal Delight Medjoul Dates 250 Gms</v>
          </cell>
          <cell r="B3179" t="str">
            <v>FG</v>
          </cell>
          <cell r="C3179" t="str">
            <v>DATES</v>
          </cell>
          <cell r="D3179" t="str">
            <v>Medjoul-General</v>
          </cell>
        </row>
        <row r="3180">
          <cell r="A3180" t="str">
            <v>Royal delight Medjoul Dates 400gm</v>
          </cell>
          <cell r="B3180" t="str">
            <v>FG</v>
          </cell>
          <cell r="C3180" t="str">
            <v>DATES</v>
          </cell>
          <cell r="D3180" t="str">
            <v>Medjoul-General</v>
          </cell>
        </row>
        <row r="3181">
          <cell r="A3181" t="str">
            <v>Royal Delight Oman Dates 1 Kgs</v>
          </cell>
          <cell r="B3181" t="str">
            <v>FG</v>
          </cell>
          <cell r="C3181" t="str">
            <v>DATES</v>
          </cell>
          <cell r="D3181" t="str">
            <v>Oman</v>
          </cell>
        </row>
        <row r="3182">
          <cell r="A3182" t="str">
            <v>Royal Delight Oman Dates 400 Gms</v>
          </cell>
          <cell r="B3182" t="str">
            <v>FG</v>
          </cell>
          <cell r="C3182" t="str">
            <v>DATES</v>
          </cell>
          <cell r="D3182" t="str">
            <v>Fard</v>
          </cell>
        </row>
        <row r="3183">
          <cell r="A3183" t="str">
            <v>Royal Delight Safavi Dates 250 Gms</v>
          </cell>
          <cell r="B3183" t="str">
            <v>FG</v>
          </cell>
          <cell r="C3183" t="str">
            <v>DATES</v>
          </cell>
          <cell r="D3183" t="str">
            <v>Safavi</v>
          </cell>
        </row>
        <row r="3184">
          <cell r="A3184" t="str">
            <v>Royal Delight Safavi Dates 5kg</v>
          </cell>
          <cell r="B3184" t="str">
            <v>FG</v>
          </cell>
          <cell r="C3184" t="str">
            <v>DATES</v>
          </cell>
          <cell r="D3184" t="str">
            <v>Safavi</v>
          </cell>
        </row>
        <row r="3185">
          <cell r="A3185" t="str">
            <v>Royal Delight Stuffed Medjoul Dates 12 Pcs</v>
          </cell>
          <cell r="B3185" t="str">
            <v>FG</v>
          </cell>
          <cell r="C3185" t="str">
            <v>DATES</v>
          </cell>
          <cell r="D3185" t="str">
            <v>Medjoul-General</v>
          </cell>
        </row>
        <row r="3186">
          <cell r="A3186" t="str">
            <v>Royal Delight Stuffed Medjul Large Dates 12 Pieces</v>
          </cell>
          <cell r="B3186" t="str">
            <v>FG</v>
          </cell>
          <cell r="C3186" t="str">
            <v>DATES</v>
          </cell>
          <cell r="D3186" t="str">
            <v>Medjoul-Large</v>
          </cell>
        </row>
        <row r="3187">
          <cell r="A3187" t="str">
            <v>Royal Delight Stuff Medjoul Dates 21 Pcs</v>
          </cell>
          <cell r="B3187" t="str">
            <v>FG</v>
          </cell>
          <cell r="C3187" t="str">
            <v>DATES</v>
          </cell>
          <cell r="D3187" t="str">
            <v>Medjoul-General</v>
          </cell>
        </row>
        <row r="3188">
          <cell r="A3188" t="str">
            <v>Royal Delight Zahidi Dates 1 Kg</v>
          </cell>
          <cell r="B3188" t="str">
            <v>FG</v>
          </cell>
          <cell r="C3188" t="str">
            <v>DATES</v>
          </cell>
          <cell r="D3188" t="str">
            <v>Zahidi</v>
          </cell>
        </row>
        <row r="3189">
          <cell r="A3189" t="str">
            <v>Royal Delight Zahidi Dates 900g</v>
          </cell>
          <cell r="B3189" t="str">
            <v>FG</v>
          </cell>
          <cell r="C3189" t="str">
            <v>DATES</v>
          </cell>
          <cell r="D3189" t="str">
            <v>Zahidi</v>
          </cell>
        </row>
        <row r="3190">
          <cell r="A3190" t="str">
            <v>Royal Traditions Almond 100g</v>
          </cell>
          <cell r="B3190" t="str">
            <v>FG</v>
          </cell>
          <cell r="C3190" t="str">
            <v>ALMOND</v>
          </cell>
          <cell r="D3190" t="str">
            <v>Almond - Kernels</v>
          </cell>
        </row>
        <row r="3191">
          <cell r="A3191" t="str">
            <v>Royal Traditions Almonds Salted 100g</v>
          </cell>
          <cell r="B3191" t="str">
            <v>FG</v>
          </cell>
          <cell r="C3191" t="str">
            <v>ALMOND</v>
          </cell>
          <cell r="D3191" t="str">
            <v>Almond - Kernels</v>
          </cell>
        </row>
        <row r="3192">
          <cell r="A3192" t="str">
            <v>Royal Traditions Cashew 100g</v>
          </cell>
          <cell r="B3192" t="str">
            <v>FG</v>
          </cell>
          <cell r="C3192" t="str">
            <v>CASHEW</v>
          </cell>
          <cell r="D3192" t="str">
            <v>Cashew - Kernel</v>
          </cell>
        </row>
        <row r="3193">
          <cell r="A3193" t="str">
            <v>Royal Traditions Cashew Black Pepper 100g</v>
          </cell>
          <cell r="B3193" t="str">
            <v>FG</v>
          </cell>
          <cell r="C3193" t="str">
            <v>CASHEW</v>
          </cell>
          <cell r="D3193" t="str">
            <v>Cashew - Kernel</v>
          </cell>
        </row>
        <row r="3194">
          <cell r="A3194" t="str">
            <v>Royal Traditions Cashew Salted 100g</v>
          </cell>
          <cell r="B3194" t="str">
            <v>FG</v>
          </cell>
          <cell r="C3194" t="str">
            <v>CASHEW</v>
          </cell>
          <cell r="D3194" t="str">
            <v>Cashew - Kernel</v>
          </cell>
        </row>
        <row r="3195">
          <cell r="A3195" t="str">
            <v>Royal Traditions Cranberries Chatpata 100g</v>
          </cell>
          <cell r="B3195" t="str">
            <v>FG</v>
          </cell>
          <cell r="C3195" t="str">
            <v>CRANBERRY</v>
          </cell>
          <cell r="D3195" t="str">
            <v>Cranberry - Whole</v>
          </cell>
        </row>
        <row r="3196">
          <cell r="A3196" t="str">
            <v>Royal Traditions Mahotsav Dry Fruits 500gm</v>
          </cell>
          <cell r="B3196" t="str">
            <v>FG</v>
          </cell>
          <cell r="C3196" t="str">
            <v>FESTIVE HAMPERS</v>
          </cell>
          <cell r="D3196" t="str">
            <v>Gifting</v>
          </cell>
        </row>
        <row r="3197">
          <cell r="A3197" t="str">
            <v>Royal Traditions Plain Raisins 100g</v>
          </cell>
          <cell r="B3197" t="str">
            <v>FG</v>
          </cell>
          <cell r="C3197" t="str">
            <v>RAISIN</v>
          </cell>
          <cell r="D3197" t="str">
            <v>Raisin - Indian</v>
          </cell>
        </row>
        <row r="3198">
          <cell r="A3198" t="str">
            <v>ROYAL TRADITIONS SHUBHKAMNA-300G (14179)</v>
          </cell>
          <cell r="B3198" t="str">
            <v>FG</v>
          </cell>
          <cell r="C3198" t="str">
            <v>FESTIVE HAMPERS</v>
          </cell>
          <cell r="D3198" t="str">
            <v>Gifting</v>
          </cell>
        </row>
        <row r="3199">
          <cell r="A3199" t="str">
            <v>Royal Traditions Tyohar 400gm</v>
          </cell>
          <cell r="B3199" t="str">
            <v>FG</v>
          </cell>
          <cell r="C3199" t="str">
            <v>FESTIVE HAMPERS</v>
          </cell>
          <cell r="D3199" t="str">
            <v>Gifting</v>
          </cell>
        </row>
        <row r="3200">
          <cell r="A3200" t="str">
            <v>Royal Traditions Utsav 300g</v>
          </cell>
          <cell r="B3200" t="str">
            <v>FG</v>
          </cell>
          <cell r="C3200" t="str">
            <v>FESTIVE HAMPERS</v>
          </cell>
          <cell r="D3200" t="str">
            <v>Gifting</v>
          </cell>
        </row>
        <row r="3201">
          <cell r="A3201" t="str">
            <v>ROYAL TRADITON SNACK MASALA MIX 100G</v>
          </cell>
          <cell r="B3201" t="str">
            <v>FG</v>
          </cell>
          <cell r="C3201" t="str">
            <v>TRAIL MIX</v>
          </cell>
          <cell r="D3201" t="str">
            <v>Trail Mix</v>
          </cell>
        </row>
        <row r="3202">
          <cell r="A3202" t="str">
            <v>ROYAL TRADITON SNACK MIX CHATPATA-100G</v>
          </cell>
          <cell r="B3202" t="str">
            <v>FG</v>
          </cell>
          <cell r="C3202" t="str">
            <v>TRAIL MIX</v>
          </cell>
          <cell r="D3202" t="str">
            <v>Trail Mix</v>
          </cell>
        </row>
        <row r="3203">
          <cell r="A3203" t="str">
            <v>Safavi Dates Almond Praline Single Pc</v>
          </cell>
          <cell r="B3203" t="str">
            <v>FG</v>
          </cell>
          <cell r="C3203" t="str">
            <v>TRAIL MIX</v>
          </cell>
          <cell r="D3203" t="str">
            <v>Trail Mix</v>
          </cell>
        </row>
        <row r="3204">
          <cell r="A3204" t="str">
            <v>Safavi Dates Pistachio Praline Single Pc</v>
          </cell>
          <cell r="B3204" t="str">
            <v>FG</v>
          </cell>
          <cell r="C3204" t="str">
            <v>TRAIL MIX</v>
          </cell>
          <cell r="D3204" t="str">
            <v>Trail Mix</v>
          </cell>
        </row>
        <row r="3205">
          <cell r="A3205" t="str">
            <v>Safavi Grade B</v>
          </cell>
          <cell r="B3205" t="str">
            <v>RM</v>
          </cell>
          <cell r="C3205" t="str">
            <v>DATES</v>
          </cell>
          <cell r="D3205" t="str">
            <v>Safavi</v>
          </cell>
        </row>
        <row r="3206">
          <cell r="A3206" t="str">
            <v>Saffron (Kesar) - Irani</v>
          </cell>
          <cell r="B3206" t="str">
            <v>RM</v>
          </cell>
          <cell r="C3206" t="str">
            <v>MISCELLANEOUS - RM</v>
          </cell>
          <cell r="D3206" t="str">
            <v>Other Misc</v>
          </cell>
        </row>
        <row r="3207">
          <cell r="A3207" t="str">
            <v>Salt and Pepper Cashew Bulk</v>
          </cell>
          <cell r="B3207" t="str">
            <v>FG</v>
          </cell>
          <cell r="C3207" t="str">
            <v>CASHEW</v>
          </cell>
          <cell r="D3207" t="str">
            <v>Cashew - Kernel</v>
          </cell>
        </row>
        <row r="3208">
          <cell r="A3208" t="str">
            <v>Salted Peanuts Split</v>
          </cell>
          <cell r="B3208" t="str">
            <v>FG</v>
          </cell>
          <cell r="C3208" t="str">
            <v>PEANUTS</v>
          </cell>
          <cell r="D3208" t="str">
            <v>Peanut - Split</v>
          </cell>
        </row>
        <row r="3209">
          <cell r="A3209" t="str">
            <v>Salted Premium Nut Mix</v>
          </cell>
          <cell r="B3209" t="str">
            <v>FG</v>
          </cell>
          <cell r="C3209" t="str">
            <v>TRAIL MIX</v>
          </cell>
          <cell r="D3209" t="str">
            <v>Trail Mix</v>
          </cell>
        </row>
        <row r="3210">
          <cell r="A3210" t="str">
            <v>Salt &amp; Pepper Seasoning</v>
          </cell>
          <cell r="B3210" t="str">
            <v>RM</v>
          </cell>
          <cell r="C3210" t="str">
            <v>SEASONING</v>
          </cell>
          <cell r="D3210" t="str">
            <v>Seasoning</v>
          </cell>
        </row>
        <row r="3211">
          <cell r="A3211" t="str">
            <v>Sayer Dates</v>
          </cell>
          <cell r="B3211" t="str">
            <v>RM</v>
          </cell>
          <cell r="C3211" t="str">
            <v>DATES</v>
          </cell>
          <cell r="D3211" t="str">
            <v>Sayer</v>
          </cell>
        </row>
        <row r="3212">
          <cell r="A3212" t="str">
            <v>Sayer Grade B</v>
          </cell>
          <cell r="B3212" t="str">
            <v>RM</v>
          </cell>
          <cell r="C3212" t="str">
            <v>DATES</v>
          </cell>
          <cell r="D3212" t="str">
            <v>Sayer</v>
          </cell>
        </row>
        <row r="3213">
          <cell r="A3213" t="str">
            <v>Schezwan Seasoning</v>
          </cell>
          <cell r="B3213" t="str">
            <v>RM</v>
          </cell>
          <cell r="C3213" t="str">
            <v>SEASONING</v>
          </cell>
          <cell r="D3213" t="str">
            <v>Seasoning</v>
          </cell>
        </row>
        <row r="3214">
          <cell r="A3214" t="str">
            <v>Sea Salt Dry - Roasted Macadamia Nuts- Size 1</v>
          </cell>
          <cell r="B3214" t="str">
            <v>FG</v>
          </cell>
          <cell r="C3214" t="str">
            <v>PREMIUM NUTS</v>
          </cell>
          <cell r="D3214" t="str">
            <v>Macadamia Nuts</v>
          </cell>
        </row>
        <row r="3215">
          <cell r="A3215" t="str">
            <v>Seedless Chopped Dry Yellow Kharik Dates</v>
          </cell>
          <cell r="B3215" t="str">
            <v>RM</v>
          </cell>
          <cell r="C3215" t="str">
            <v>DATES</v>
          </cell>
          <cell r="D3215" t="str">
            <v>Dry Dates</v>
          </cell>
        </row>
        <row r="3216">
          <cell r="A3216" t="str">
            <v>Seed Mix</v>
          </cell>
          <cell r="B3216" t="str">
            <v>FG</v>
          </cell>
          <cell r="C3216" t="str">
            <v>TRAIL MIX</v>
          </cell>
          <cell r="D3216" t="str">
            <v>Trail Mix</v>
          </cell>
        </row>
        <row r="3217">
          <cell r="A3217" t="str">
            <v>Seed Trail Mix</v>
          </cell>
          <cell r="B3217" t="str">
            <v>FG</v>
          </cell>
          <cell r="C3217" t="str">
            <v>TRAIL MIX</v>
          </cell>
          <cell r="D3217" t="str">
            <v>Trail Mix</v>
          </cell>
        </row>
        <row r="3218">
          <cell r="A3218" t="str">
            <v>Seedy Sheid- Lime Chilly 33gm</v>
          </cell>
          <cell r="B3218" t="str">
            <v>FG</v>
          </cell>
          <cell r="C3218" t="str">
            <v>TRAIL MIX</v>
          </cell>
          <cell r="D3218" t="str">
            <v>Trail Mix</v>
          </cell>
        </row>
        <row r="3219">
          <cell r="A3219" t="str">
            <v>Seedy Sheid- Lime Chilly 35gm</v>
          </cell>
          <cell r="B3219" t="str">
            <v>FG</v>
          </cell>
          <cell r="C3219" t="str">
            <v>TRAIL MIX</v>
          </cell>
          <cell r="D3219" t="str">
            <v>Trail Mix</v>
          </cell>
        </row>
        <row r="3220">
          <cell r="A3220" t="str">
            <v>Sesame Seeds (White Til)</v>
          </cell>
          <cell r="B3220" t="str">
            <v>RM</v>
          </cell>
          <cell r="C3220" t="str">
            <v>SEASONING</v>
          </cell>
          <cell r="D3220" t="str">
            <v>Seasoning</v>
          </cell>
        </row>
        <row r="3221">
          <cell r="A3221" t="str">
            <v>SHAHI JEERA (CUMIN SEEDS)</v>
          </cell>
          <cell r="B3221" t="str">
            <v>RM</v>
          </cell>
          <cell r="C3221" t="str">
            <v>SPICES</v>
          </cell>
          <cell r="D3221" t="str">
            <v>Whole Spices</v>
          </cell>
        </row>
        <row r="3222">
          <cell r="A3222" t="str">
            <v>SHAHI UPHAR 300gm</v>
          </cell>
          <cell r="B3222" t="str">
            <v>FG</v>
          </cell>
          <cell r="C3222" t="str">
            <v>FESTIVE HAMPERS</v>
          </cell>
          <cell r="D3222" t="str">
            <v>Gifting</v>
          </cell>
        </row>
        <row r="3223">
          <cell r="A3223" t="str">
            <v>SHUBHKAMANYEN 180gm</v>
          </cell>
          <cell r="B3223" t="str">
            <v>FG</v>
          </cell>
          <cell r="C3223" t="str">
            <v>FESTIVE HAMPERS</v>
          </cell>
          <cell r="D3223" t="str">
            <v>Gifting</v>
          </cell>
        </row>
        <row r="3224">
          <cell r="A3224" t="str">
            <v>SIDCOT STARCH</v>
          </cell>
          <cell r="B3224" t="str">
            <v>RM</v>
          </cell>
          <cell r="C3224" t="str">
            <v>MISCELLANEOUS - RM</v>
          </cell>
          <cell r="D3224" t="str">
            <v>Other Misc</v>
          </cell>
        </row>
        <row r="3225">
          <cell r="A3225" t="str">
            <v>SIGNATURE COLLECTIONS 600gm</v>
          </cell>
          <cell r="B3225" t="str">
            <v>FG</v>
          </cell>
          <cell r="C3225" t="str">
            <v>FESTIVE HAMPERS</v>
          </cell>
          <cell r="D3225" t="str">
            <v>Gifting</v>
          </cell>
        </row>
        <row r="3226">
          <cell r="A3226" t="str">
            <v>Simply Thandai 1 kg</v>
          </cell>
          <cell r="B3226" t="str">
            <v>FG</v>
          </cell>
          <cell r="C3226" t="str">
            <v>TRAIL MIX</v>
          </cell>
          <cell r="D3226" t="str">
            <v>Trail Mix</v>
          </cell>
        </row>
        <row r="3227">
          <cell r="A3227" t="str">
            <v>Single Safavi Stuffed Dates</v>
          </cell>
          <cell r="B3227" t="str">
            <v>FG</v>
          </cell>
          <cell r="C3227" t="str">
            <v>DATES</v>
          </cell>
          <cell r="D3227" t="str">
            <v>Safavi</v>
          </cell>
        </row>
        <row r="3228">
          <cell r="A3228" t="str">
            <v>Slivered Almonds</v>
          </cell>
          <cell r="B3228" t="str">
            <v>RM</v>
          </cell>
          <cell r="C3228" t="str">
            <v>ALMOND</v>
          </cell>
          <cell r="D3228" t="str">
            <v>Almond - Broken</v>
          </cell>
        </row>
        <row r="3229">
          <cell r="A3229" t="str">
            <v>Small Diya</v>
          </cell>
          <cell r="B3229" t="str">
            <v>PM</v>
          </cell>
          <cell r="C3229" t="str">
            <v>Packaging</v>
          </cell>
          <cell r="D3229" t="str">
            <v>PM</v>
          </cell>
        </row>
        <row r="3230">
          <cell r="A3230" t="str">
            <v>Smoked Almonds</v>
          </cell>
          <cell r="B3230" t="str">
            <v>FG</v>
          </cell>
          <cell r="C3230" t="str">
            <v>ALMOND</v>
          </cell>
          <cell r="D3230" t="str">
            <v>Almond - Kernels</v>
          </cell>
        </row>
        <row r="3231">
          <cell r="A3231" t="str">
            <v>Smoked Almonds Bulk</v>
          </cell>
          <cell r="B3231" t="str">
            <v>FG</v>
          </cell>
          <cell r="C3231" t="str">
            <v>ALMOND</v>
          </cell>
          <cell r="D3231" t="str">
            <v>Almond - Kernels</v>
          </cell>
        </row>
        <row r="3232">
          <cell r="A3232" t="str">
            <v>Smoked Paprika Pecan Nuts Loose</v>
          </cell>
          <cell r="B3232" t="str">
            <v>FG</v>
          </cell>
          <cell r="C3232" t="str">
            <v>PREMIUM NUTS</v>
          </cell>
          <cell r="D3232" t="str">
            <v>Pecan Nuts</v>
          </cell>
        </row>
        <row r="3233">
          <cell r="A3233" t="str">
            <v>Smoke Seasoning</v>
          </cell>
          <cell r="B3233" t="str">
            <v>RM</v>
          </cell>
          <cell r="C3233" t="str">
            <v>SEASONING</v>
          </cell>
          <cell r="D3233" t="str">
            <v>Seasoning</v>
          </cell>
        </row>
        <row r="3234">
          <cell r="A3234" t="str">
            <v>Smokey BBQ Cashew Bulk</v>
          </cell>
          <cell r="B3234" t="str">
            <v>FG</v>
          </cell>
          <cell r="C3234" t="str">
            <v>CASHEW</v>
          </cell>
          <cell r="D3234" t="str">
            <v>Cashew - Kernel</v>
          </cell>
        </row>
        <row r="3235">
          <cell r="A3235" t="str">
            <v>Smokey BBQ Coated Peanuts 200g</v>
          </cell>
          <cell r="B3235" t="str">
            <v>FG</v>
          </cell>
          <cell r="C3235" t="str">
            <v>PEANUTS</v>
          </cell>
          <cell r="D3235" t="str">
            <v>Peanut - Coated</v>
          </cell>
        </row>
        <row r="3236">
          <cell r="A3236" t="str">
            <v>Smokey BBQ Coated Peanuts 70gm</v>
          </cell>
          <cell r="B3236" t="str">
            <v>FG</v>
          </cell>
          <cell r="C3236" t="str">
            <v>PEANUTS</v>
          </cell>
          <cell r="D3236" t="str">
            <v>Peanut - Coated</v>
          </cell>
        </row>
        <row r="3237">
          <cell r="A3237" t="str">
            <v>Smokey BBQ seasoning</v>
          </cell>
          <cell r="B3237" t="str">
            <v>RM</v>
          </cell>
          <cell r="C3237" t="str">
            <v>SEASONING</v>
          </cell>
          <cell r="D3237" t="str">
            <v>Seasoning</v>
          </cell>
        </row>
        <row r="3238">
          <cell r="A3238" t="str">
            <v>Snack Amor Black Pepper Cashew 170g</v>
          </cell>
          <cell r="B3238" t="str">
            <v>FG</v>
          </cell>
          <cell r="C3238" t="str">
            <v>CASHEW</v>
          </cell>
          <cell r="D3238" t="str">
            <v>Cashew - Kernel</v>
          </cell>
        </row>
        <row r="3239">
          <cell r="A3239" t="str">
            <v>snack amor Coated Peanuts Pudina Patakha 100g</v>
          </cell>
          <cell r="B3239" t="str">
            <v>FG</v>
          </cell>
          <cell r="C3239" t="str">
            <v>PEANUTS</v>
          </cell>
          <cell r="D3239" t="str">
            <v>Peanut - Coated</v>
          </cell>
        </row>
        <row r="3240">
          <cell r="A3240" t="str">
            <v>Snack Amor coated peanuts Tangy Thai 100g</v>
          </cell>
          <cell r="B3240" t="str">
            <v>FG</v>
          </cell>
          <cell r="C3240" t="str">
            <v>PEANUTS</v>
          </cell>
          <cell r="D3240" t="str">
            <v>Peanut - Coated</v>
          </cell>
        </row>
        <row r="3241">
          <cell r="A3241" t="str">
            <v>Snack Amor Cranberry Slice 100 Gm</v>
          </cell>
          <cell r="B3241" t="str">
            <v>FG</v>
          </cell>
          <cell r="C3241" t="str">
            <v>CRANBERRY</v>
          </cell>
          <cell r="D3241" t="str">
            <v>Cranberry - Sliced</v>
          </cell>
        </row>
        <row r="3242">
          <cell r="A3242" t="str">
            <v>Snack Amor Diwali Gift Box 400gm</v>
          </cell>
          <cell r="B3242" t="str">
            <v>FG</v>
          </cell>
          <cell r="C3242" t="str">
            <v>FESTIVE HAMPERS</v>
          </cell>
          <cell r="D3242" t="str">
            <v>Gifting</v>
          </cell>
        </row>
        <row r="3243">
          <cell r="A3243" t="str">
            <v>Snack Amor Dried Apricot 200g</v>
          </cell>
          <cell r="B3243" t="str">
            <v>FG</v>
          </cell>
          <cell r="C3243" t="str">
            <v>APRICOT</v>
          </cell>
          <cell r="D3243" t="str">
            <v>Apricot - Afghan</v>
          </cell>
        </row>
        <row r="3244">
          <cell r="A3244" t="str">
            <v>SnackAmor Dried Blackcurrant 100g</v>
          </cell>
          <cell r="B3244" t="str">
            <v>FG</v>
          </cell>
          <cell r="C3244" t="str">
            <v>BLACKCURRANT</v>
          </cell>
          <cell r="D3244" t="str">
            <v>Dried Blackcurrant</v>
          </cell>
        </row>
        <row r="3245">
          <cell r="A3245" t="str">
            <v>Snack Amor Dried Blueberry 100g</v>
          </cell>
          <cell r="B3245" t="str">
            <v>FG</v>
          </cell>
          <cell r="C3245" t="str">
            <v>BLUEBERRY</v>
          </cell>
          <cell r="D3245" t="str">
            <v>Blueberry - Plain</v>
          </cell>
        </row>
        <row r="3246">
          <cell r="A3246" t="str">
            <v>Snack Amor Dried Prunes 200g</v>
          </cell>
          <cell r="B3246" t="str">
            <v>FG</v>
          </cell>
          <cell r="C3246" t="str">
            <v>PRUNES</v>
          </cell>
          <cell r="D3246" t="str">
            <v>Prunes - Pitted</v>
          </cell>
        </row>
        <row r="3247">
          <cell r="A3247" t="str">
            <v>Snack Amor Fruit N Nut Mix 200g</v>
          </cell>
          <cell r="B3247" t="str">
            <v>FG</v>
          </cell>
          <cell r="C3247" t="str">
            <v>TRAIL MIX</v>
          </cell>
          <cell r="D3247" t="str">
            <v>Trail Mix</v>
          </cell>
        </row>
        <row r="3248">
          <cell r="A3248" t="str">
            <v>Snack Amor Kalmi Dates 250g</v>
          </cell>
          <cell r="B3248" t="str">
            <v>FG</v>
          </cell>
          <cell r="C3248" t="str">
            <v>DATES</v>
          </cell>
          <cell r="D3248" t="str">
            <v>Safavi</v>
          </cell>
        </row>
        <row r="3249">
          <cell r="A3249" t="str">
            <v>Snack Amor Macadamia Nuts 50g</v>
          </cell>
          <cell r="B3249" t="str">
            <v>FG</v>
          </cell>
          <cell r="C3249" t="str">
            <v>PREMIUM NUTS</v>
          </cell>
          <cell r="D3249" t="str">
            <v>Macadamia Nuts</v>
          </cell>
        </row>
        <row r="3250">
          <cell r="A3250" t="str">
            <v>SnackAmor Masala Cranberry 150g</v>
          </cell>
          <cell r="B3250" t="str">
            <v>FG</v>
          </cell>
          <cell r="C3250" t="str">
            <v>CRANBERRY</v>
          </cell>
          <cell r="D3250" t="str">
            <v>Cranberry - Sliced</v>
          </cell>
        </row>
        <row r="3251">
          <cell r="A3251" t="str">
            <v>Snack Amor Omani Dates 250 Gm</v>
          </cell>
          <cell r="B3251" t="str">
            <v>FG</v>
          </cell>
          <cell r="C3251" t="str">
            <v>DATES</v>
          </cell>
          <cell r="D3251" t="str">
            <v>Fard</v>
          </cell>
        </row>
        <row r="3252">
          <cell r="A3252" t="str">
            <v>SnackAmor Paan Raisins 100g</v>
          </cell>
          <cell r="B3252" t="str">
            <v>FG</v>
          </cell>
          <cell r="C3252" t="str">
            <v>RAISIN</v>
          </cell>
          <cell r="D3252" t="str">
            <v>Raisin - Indian</v>
          </cell>
        </row>
        <row r="3253">
          <cell r="A3253" t="str">
            <v>Snack Amor Popcorn Makhana 55 Gm</v>
          </cell>
          <cell r="B3253" t="str">
            <v>FG</v>
          </cell>
          <cell r="C3253" t="str">
            <v>MAKHANA</v>
          </cell>
          <cell r="D3253" t="str">
            <v>Makhana - Suta</v>
          </cell>
        </row>
        <row r="3254">
          <cell r="A3254" t="str">
            <v>Snack Amor Roasted Cashew 170 Gm</v>
          </cell>
          <cell r="B3254" t="str">
            <v>FG</v>
          </cell>
          <cell r="C3254" t="str">
            <v>CASHEW</v>
          </cell>
          <cell r="D3254" t="str">
            <v>Cashew - Kernel</v>
          </cell>
        </row>
        <row r="3255">
          <cell r="A3255" t="str">
            <v>SnackAmor Roasted Chia Seeds 200g</v>
          </cell>
          <cell r="B3255" t="str">
            <v>FG</v>
          </cell>
          <cell r="C3255" t="str">
            <v>SEEDS</v>
          </cell>
          <cell r="D3255" t="str">
            <v>Chia</v>
          </cell>
        </row>
        <row r="3256">
          <cell r="A3256" t="str">
            <v>SnackAmor Roasted Pumpkin Seeds 200g</v>
          </cell>
          <cell r="B3256" t="str">
            <v>FG</v>
          </cell>
          <cell r="C3256" t="str">
            <v>SEEDS</v>
          </cell>
          <cell r="D3256" t="str">
            <v>Pumpkin</v>
          </cell>
        </row>
        <row r="3257">
          <cell r="A3257" t="str">
            <v>SnackAmor Roasted Salted Almonds 170g</v>
          </cell>
          <cell r="B3257" t="str">
            <v>FG</v>
          </cell>
          <cell r="C3257" t="str">
            <v>ALMOND</v>
          </cell>
          <cell r="D3257" t="str">
            <v>Almond - Kernels</v>
          </cell>
        </row>
        <row r="3258">
          <cell r="A3258" t="str">
            <v>SnackAmor Roasted Salted Pistachio 170g</v>
          </cell>
          <cell r="B3258" t="str">
            <v>FG</v>
          </cell>
          <cell r="C3258" t="str">
            <v>PISTA</v>
          </cell>
          <cell r="D3258" t="str">
            <v>Pista - Inshell</v>
          </cell>
        </row>
        <row r="3259">
          <cell r="A3259" t="str">
            <v>SnackAmor Seed Mix 175g</v>
          </cell>
          <cell r="B3259" t="str">
            <v>FG</v>
          </cell>
          <cell r="C3259" t="str">
            <v>TRAIL MIX</v>
          </cell>
          <cell r="D3259" t="str">
            <v>Trail Mix</v>
          </cell>
        </row>
        <row r="3260">
          <cell r="A3260" t="str">
            <v>Snack Amor Seed Mix (Unroasted), 175g</v>
          </cell>
          <cell r="B3260" t="str">
            <v>FG</v>
          </cell>
          <cell r="C3260" t="str">
            <v>TRAIL MIX</v>
          </cell>
          <cell r="D3260" t="str">
            <v>Trail Mix</v>
          </cell>
        </row>
        <row r="3261">
          <cell r="A3261" t="str">
            <v>Snack Amor Trail Mix 175g</v>
          </cell>
          <cell r="B3261" t="str">
            <v>FG</v>
          </cell>
          <cell r="C3261" t="str">
            <v>TRAIL MIX</v>
          </cell>
          <cell r="D3261" t="str">
            <v>Trail Mix</v>
          </cell>
        </row>
        <row r="3262">
          <cell r="A3262" t="str">
            <v>Snackania Afghan Black Raisins 230g</v>
          </cell>
          <cell r="B3262" t="str">
            <v>FG</v>
          </cell>
          <cell r="C3262" t="str">
            <v>RAISIN</v>
          </cell>
          <cell r="D3262" t="str">
            <v>Raisin - Black</v>
          </cell>
        </row>
        <row r="3263">
          <cell r="A3263" t="str">
            <v>Snackania Afghan Green Raisins 230g</v>
          </cell>
          <cell r="B3263" t="str">
            <v>FG</v>
          </cell>
          <cell r="C3263" t="str">
            <v>RAISIN</v>
          </cell>
          <cell r="D3263" t="str">
            <v>Raisin - Afghan</v>
          </cell>
        </row>
        <row r="3264">
          <cell r="A3264" t="str">
            <v>Snackania Ajwa Dates 480g</v>
          </cell>
          <cell r="B3264" t="str">
            <v>FG</v>
          </cell>
          <cell r="C3264" t="str">
            <v>DATES</v>
          </cell>
          <cell r="D3264" t="str">
            <v>Ajwa</v>
          </cell>
        </row>
        <row r="3265">
          <cell r="A3265" t="str">
            <v>Snackania American Almonds 480g</v>
          </cell>
          <cell r="B3265" t="str">
            <v>FG</v>
          </cell>
          <cell r="C3265" t="str">
            <v>ALMOND</v>
          </cell>
          <cell r="D3265" t="str">
            <v>Almond - Kernels</v>
          </cell>
        </row>
        <row r="3266">
          <cell r="A3266" t="str">
            <v>Snackania Blueberry 230g</v>
          </cell>
          <cell r="B3266" t="str">
            <v>FG</v>
          </cell>
          <cell r="C3266" t="str">
            <v>BLUEBERRY</v>
          </cell>
          <cell r="D3266" t="str">
            <v>Blueberry - Plain</v>
          </cell>
        </row>
        <row r="3267">
          <cell r="A3267" t="str">
            <v>Snackania California Pistachio Roasted &amp; Salted 230g</v>
          </cell>
          <cell r="B3267" t="str">
            <v>FG</v>
          </cell>
          <cell r="C3267" t="str">
            <v>PISTA</v>
          </cell>
          <cell r="D3267" t="str">
            <v>Pista - Inshell</v>
          </cell>
        </row>
        <row r="3268">
          <cell r="A3268" t="str">
            <v>Snackania California Walnut Kernel 800g</v>
          </cell>
          <cell r="B3268" t="str">
            <v>FG</v>
          </cell>
          <cell r="C3268" t="str">
            <v>WALNUT</v>
          </cell>
          <cell r="D3268" t="str">
            <v>Walnut - Kernel</v>
          </cell>
        </row>
        <row r="3269">
          <cell r="A3269" t="str">
            <v>Snackania Cashew 480g</v>
          </cell>
          <cell r="B3269" t="str">
            <v>FG</v>
          </cell>
          <cell r="C3269" t="str">
            <v>CASHEW</v>
          </cell>
          <cell r="D3269" t="str">
            <v>Cashew - Kernel</v>
          </cell>
        </row>
        <row r="3270">
          <cell r="A3270" t="str">
            <v>Snackania Chile Walnut Kernel 230g</v>
          </cell>
          <cell r="B3270" t="str">
            <v>FG</v>
          </cell>
          <cell r="C3270" t="str">
            <v>WALNUT</v>
          </cell>
          <cell r="D3270" t="str">
            <v>Walnut - Kernel</v>
          </cell>
        </row>
        <row r="3271">
          <cell r="A3271" t="str">
            <v>Snackania Chile Walnut Kernel 800g</v>
          </cell>
          <cell r="B3271" t="str">
            <v>FG</v>
          </cell>
          <cell r="C3271" t="str">
            <v>WALNUT</v>
          </cell>
          <cell r="D3271" t="str">
            <v>Walnut - Kernel</v>
          </cell>
        </row>
        <row r="3272">
          <cell r="A3272" t="str">
            <v>Snackania Cocktail Mix 480g</v>
          </cell>
          <cell r="B3272" t="str">
            <v>FG</v>
          </cell>
          <cell r="C3272" t="str">
            <v>TRAIL MIX</v>
          </cell>
          <cell r="D3272" t="str">
            <v>Trail Mix</v>
          </cell>
        </row>
        <row r="3273">
          <cell r="A3273" t="str">
            <v>Snackania Cranberry 230g</v>
          </cell>
          <cell r="B3273" t="str">
            <v>FG</v>
          </cell>
          <cell r="C3273" t="str">
            <v>CRANBERRY</v>
          </cell>
          <cell r="D3273" t="str">
            <v>Cranberry - Whole</v>
          </cell>
        </row>
        <row r="3274">
          <cell r="A3274" t="str">
            <v>Snackania Fard Dates Premium 480g</v>
          </cell>
          <cell r="B3274" t="str">
            <v>FG</v>
          </cell>
          <cell r="C3274" t="str">
            <v>DATES</v>
          </cell>
          <cell r="D3274" t="str">
            <v>Fard</v>
          </cell>
        </row>
        <row r="3275">
          <cell r="A3275" t="str">
            <v>Snackania Green Chilli Cashew 230g</v>
          </cell>
          <cell r="B3275" t="str">
            <v>FG</v>
          </cell>
          <cell r="C3275" t="str">
            <v>CASHEW</v>
          </cell>
          <cell r="D3275" t="str">
            <v>Cashew - Kernel</v>
          </cell>
        </row>
        <row r="3276">
          <cell r="A3276" t="str">
            <v>Snackania Irani Pistachio Roasted &amp; Salted 230g</v>
          </cell>
          <cell r="B3276" t="str">
            <v>FG</v>
          </cell>
          <cell r="C3276" t="str">
            <v>PISTA</v>
          </cell>
          <cell r="D3276" t="str">
            <v>Pista - Inshell</v>
          </cell>
        </row>
        <row r="3277">
          <cell r="A3277" t="str">
            <v>Snackania Khalas Dates 480g</v>
          </cell>
          <cell r="B3277" t="str">
            <v>FG</v>
          </cell>
          <cell r="C3277" t="str">
            <v>DATES</v>
          </cell>
          <cell r="D3277" t="str">
            <v>Khalas</v>
          </cell>
        </row>
        <row r="3278">
          <cell r="A3278" t="str">
            <v>Snackania Safavi Dates 480g</v>
          </cell>
          <cell r="B3278" t="str">
            <v>FG</v>
          </cell>
          <cell r="C3278" t="str">
            <v>DATES</v>
          </cell>
          <cell r="D3278" t="str">
            <v>Safavi</v>
          </cell>
        </row>
        <row r="3279">
          <cell r="A3279" t="str">
            <v>Snacktive Green Chilli Cashew 250 gm</v>
          </cell>
          <cell r="B3279" t="str">
            <v>FG</v>
          </cell>
          <cell r="C3279" t="str">
            <v>CASHEW</v>
          </cell>
          <cell r="D3279" t="str">
            <v>Cashew - Kernel</v>
          </cell>
        </row>
        <row r="3280">
          <cell r="A3280" t="str">
            <v>Solimo Cashew 250g (B01LPY9PHI)-FBA</v>
          </cell>
          <cell r="B3280" t="str">
            <v>FG</v>
          </cell>
          <cell r="C3280" t="str">
            <v>CASHEW</v>
          </cell>
          <cell r="D3280" t="str">
            <v>Cashew - Kernel</v>
          </cell>
        </row>
        <row r="3281">
          <cell r="A3281" t="str">
            <v>Solimo Cashew 500g (B01LPY9UG4) FBA</v>
          </cell>
          <cell r="B3281" t="str">
            <v>FG</v>
          </cell>
          <cell r="C3281" t="str">
            <v>CASHEW</v>
          </cell>
          <cell r="D3281" t="str">
            <v>Cashew - Kernel</v>
          </cell>
        </row>
        <row r="3282">
          <cell r="A3282" t="str">
            <v>Solimo Dates 500g (B085NTZMVR)</v>
          </cell>
          <cell r="B3282" t="str">
            <v>FG</v>
          </cell>
          <cell r="C3282" t="str">
            <v>DATES</v>
          </cell>
          <cell r="D3282" t="str">
            <v>Khaneizi</v>
          </cell>
        </row>
        <row r="3283">
          <cell r="A3283" t="str">
            <v>Solimo Fard Dates 500gm (B0CZ9MC4B3)</v>
          </cell>
          <cell r="B3283" t="str">
            <v>FG</v>
          </cell>
          <cell r="C3283" t="str">
            <v>DATES</v>
          </cell>
          <cell r="D3283" t="str">
            <v>Fard</v>
          </cell>
        </row>
        <row r="3284">
          <cell r="A3284" t="str">
            <v>Solimo Figs 500g (B084429DVD) FBA</v>
          </cell>
          <cell r="B3284" t="str">
            <v>FG</v>
          </cell>
          <cell r="C3284" t="str">
            <v>ANJEER</v>
          </cell>
          <cell r="D3284" t="str">
            <v>Dried Figs</v>
          </cell>
        </row>
        <row r="3285">
          <cell r="A3285" t="str">
            <v>Solimo Preimum Almonds 1kg (B01LPY9P2I) - FBA</v>
          </cell>
          <cell r="B3285" t="str">
            <v>FG</v>
          </cell>
          <cell r="C3285" t="str">
            <v>ALMOND</v>
          </cell>
          <cell r="D3285" t="str">
            <v>Almond - Kernels</v>
          </cell>
        </row>
        <row r="3286">
          <cell r="A3286" t="str">
            <v>Solimo Premium Almonds 250g ( B01LPY9XY8 )</v>
          </cell>
          <cell r="B3286" t="str">
            <v>FG</v>
          </cell>
          <cell r="C3286" t="str">
            <v>ALMOND</v>
          </cell>
          <cell r="D3286" t="str">
            <v>Almond - Kernels</v>
          </cell>
        </row>
        <row r="3287">
          <cell r="A3287" t="str">
            <v>Solimo Premium Dried Apricots 500g 9B07PZWP8Z1</v>
          </cell>
          <cell r="B3287" t="str">
            <v>FG</v>
          </cell>
          <cell r="C3287" t="str">
            <v>APRICOT</v>
          </cell>
          <cell r="D3287" t="str">
            <v>Apricot - Afghan</v>
          </cell>
        </row>
        <row r="3288">
          <cell r="A3288" t="str">
            <v>Solimo Premium Hazelnuts 250g (B07MLDJKTP) FBA</v>
          </cell>
          <cell r="B3288" t="str">
            <v>FG</v>
          </cell>
          <cell r="C3288" t="str">
            <v>PREMIUM NUTS</v>
          </cell>
          <cell r="D3288" t="str">
            <v>Hazelnuts</v>
          </cell>
        </row>
        <row r="3289">
          <cell r="A3289" t="str">
            <v>Solimo Premium Macadamia Nuts 250g (B07MLD6WFQ)</v>
          </cell>
          <cell r="B3289" t="str">
            <v>FG</v>
          </cell>
          <cell r="C3289" t="str">
            <v>PREMIUM NUTS</v>
          </cell>
          <cell r="D3289" t="str">
            <v>Macadamia Nuts</v>
          </cell>
        </row>
        <row r="3290">
          <cell r="A3290" t="str">
            <v>Solimo Premium Pecan Nuts, 250g (B07MF7K9HD)</v>
          </cell>
          <cell r="B3290" t="str">
            <v>FG</v>
          </cell>
          <cell r="C3290" t="str">
            <v>PREMIUM NUTS</v>
          </cell>
          <cell r="D3290" t="str">
            <v>Pecan Nuts</v>
          </cell>
        </row>
        <row r="3291">
          <cell r="A3291" t="str">
            <v>Solimo Premium Pine Nuts, 250g (B07MF7FRRG)</v>
          </cell>
          <cell r="B3291" t="str">
            <v>FG</v>
          </cell>
          <cell r="C3291" t="str">
            <v>PREMIUM NUTS</v>
          </cell>
          <cell r="D3291" t="str">
            <v>Pine Nuts</v>
          </cell>
        </row>
        <row r="3292">
          <cell r="A3292" t="str">
            <v>Solimo Premium Pista Kernels - Plain 250g (B07Q1Z293G)</v>
          </cell>
          <cell r="B3292" t="str">
            <v>FG</v>
          </cell>
          <cell r="C3292" t="str">
            <v>PISTA</v>
          </cell>
          <cell r="D3292" t="str">
            <v>Pista - Kernel</v>
          </cell>
        </row>
        <row r="3293">
          <cell r="A3293" t="str">
            <v>Solimo Premium Raisin 250g (B01LPYAB9O)</v>
          </cell>
          <cell r="B3293" t="str">
            <v>FG</v>
          </cell>
          <cell r="C3293" t="str">
            <v>RAISIN</v>
          </cell>
          <cell r="D3293" t="str">
            <v>Raisin - Indian</v>
          </cell>
        </row>
        <row r="3294">
          <cell r="A3294" t="str">
            <v>Solimo Premium Raisins, 500 g (B07RJXW87Z)</v>
          </cell>
          <cell r="B3294" t="str">
            <v>FG</v>
          </cell>
          <cell r="C3294" t="str">
            <v>RAISIN</v>
          </cell>
          <cell r="D3294" t="str">
            <v>Raisin - Indian</v>
          </cell>
        </row>
        <row r="3295">
          <cell r="A3295" t="str">
            <v>Solimo Premium Walnut Kernal 250g (B0754LKDJ4)</v>
          </cell>
          <cell r="B3295" t="str">
            <v>FG</v>
          </cell>
          <cell r="C3295" t="str">
            <v>WALNUT</v>
          </cell>
          <cell r="D3295" t="str">
            <v>Walnut - Kernel</v>
          </cell>
        </row>
        <row r="3296">
          <cell r="A3296" t="str">
            <v>Solimo Premium Walnut Kernels 500g (B07LFH2JNR)</v>
          </cell>
          <cell r="B3296" t="str">
            <v>FG</v>
          </cell>
          <cell r="C3296" t="str">
            <v>WALNUT</v>
          </cell>
          <cell r="D3296" t="str">
            <v>Walnut - Kernel</v>
          </cell>
        </row>
        <row r="3297">
          <cell r="A3297" t="str">
            <v>Solimo Premium Walnut Kernels 500g (Pack of 2) B07LF8HGDB</v>
          </cell>
          <cell r="B3297" t="str">
            <v>FG</v>
          </cell>
          <cell r="C3297" t="str">
            <v>WALNUT</v>
          </cell>
          <cell r="D3297" t="str">
            <v>Walnut - Kernel</v>
          </cell>
        </row>
        <row r="3298">
          <cell r="A3298" t="str">
            <v>Solimo Premium Walnut Kernels - Broken 500g B07LF8HCLL</v>
          </cell>
          <cell r="B3298" t="str">
            <v>FG</v>
          </cell>
          <cell r="C3298" t="str">
            <v>WALNUT</v>
          </cell>
          <cell r="D3298" t="str">
            <v>Walnut - Broken</v>
          </cell>
        </row>
        <row r="3299">
          <cell r="A3299" t="str">
            <v>Solimo Walnut Kernels – Broken 500g (Pack of 2) B07LFJZR4G</v>
          </cell>
          <cell r="B3299" t="str">
            <v>FG</v>
          </cell>
          <cell r="C3299" t="str">
            <v>WALNUT</v>
          </cell>
          <cell r="D3299" t="str">
            <v>Walnut - Broken</v>
          </cell>
        </row>
        <row r="3300">
          <cell r="A3300" t="str">
            <v>Sour Cream And Onion Seasoning</v>
          </cell>
          <cell r="B3300" t="str">
            <v>RM</v>
          </cell>
          <cell r="C3300" t="str">
            <v>MISCELLANEOUS - RM</v>
          </cell>
          <cell r="D3300" t="str">
            <v>Other Misc</v>
          </cell>
        </row>
        <row r="3301">
          <cell r="A3301" t="str">
            <v>Sour Cream And Seasoning</v>
          </cell>
          <cell r="B3301" t="str">
            <v>RM</v>
          </cell>
          <cell r="C3301" t="str">
            <v>SEASONING</v>
          </cell>
          <cell r="D3301" t="str">
            <v>Seasoning</v>
          </cell>
        </row>
        <row r="3302">
          <cell r="A3302" t="str">
            <v>Sour &amp; Cream Cashew Bulk</v>
          </cell>
          <cell r="B3302" t="str">
            <v>FG</v>
          </cell>
          <cell r="C3302" t="str">
            <v>CASHEW</v>
          </cell>
          <cell r="D3302" t="str">
            <v>Cashew - Kernel</v>
          </cell>
        </row>
        <row r="3303">
          <cell r="A3303" t="str">
            <v>SOYA NUGGETS 570</v>
          </cell>
          <cell r="B3303" t="str">
            <v>RM</v>
          </cell>
          <cell r="C3303" t="str">
            <v>MISCELLANEOUS - RM</v>
          </cell>
          <cell r="D3303" t="str">
            <v>Other Misc</v>
          </cell>
        </row>
        <row r="3304">
          <cell r="A3304" t="str">
            <v>Spanish Tomato Seasoning</v>
          </cell>
          <cell r="B3304" t="str">
            <v>RM</v>
          </cell>
          <cell r="C3304" t="str">
            <v>SEASONING</v>
          </cell>
          <cell r="D3304" t="str">
            <v>Seasoning</v>
          </cell>
        </row>
        <row r="3305">
          <cell r="A3305" t="str">
            <v>SPAR BANDHAN FESTIVE DRY FRUIT BOX 800G</v>
          </cell>
          <cell r="B3305" t="str">
            <v>FG</v>
          </cell>
          <cell r="C3305" t="str">
            <v>FESTIVE HAMPERS</v>
          </cell>
          <cell r="D3305" t="str">
            <v>Gifting</v>
          </cell>
        </row>
        <row r="3306">
          <cell r="A3306" t="str">
            <v>SPAR SELECT ALMONDS 500G</v>
          </cell>
          <cell r="B3306" t="str">
            <v>FG</v>
          </cell>
          <cell r="C3306" t="str">
            <v>ALMOND</v>
          </cell>
          <cell r="D3306" t="str">
            <v>Almond - Kernels</v>
          </cell>
        </row>
        <row r="3307">
          <cell r="A3307" t="str">
            <v>Store, Spare and Consumable (5%)</v>
          </cell>
          <cell r="B3307">
            <v>0</v>
          </cell>
          <cell r="C3307" t="str">
            <v>Consumables</v>
          </cell>
          <cell r="D3307" t="str">
            <v>Consumables</v>
          </cell>
        </row>
        <row r="3308">
          <cell r="A3308" t="str">
            <v>Strawberry Powder</v>
          </cell>
          <cell r="B3308" t="str">
            <v>RM</v>
          </cell>
          <cell r="C3308" t="str">
            <v>MISCELLANEOUS - RM</v>
          </cell>
          <cell r="D3308" t="str">
            <v>Other Misc</v>
          </cell>
        </row>
        <row r="3309">
          <cell r="A3309" t="str">
            <v>Stuffed Dates 1kg</v>
          </cell>
          <cell r="B3309" t="str">
            <v>FG</v>
          </cell>
          <cell r="C3309" t="str">
            <v>TRAIL MIX</v>
          </cell>
          <cell r="D3309" t="str">
            <v>Trail Mix</v>
          </cell>
        </row>
        <row r="3310">
          <cell r="A3310" t="str">
            <v>STUFFED DERI DATES WITH ALMOND SINGLE</v>
          </cell>
          <cell r="B3310" t="str">
            <v>FG</v>
          </cell>
          <cell r="C3310" t="str">
            <v>TRAIL MIX</v>
          </cell>
          <cell r="D3310" t="str">
            <v>Trail Mix</v>
          </cell>
        </row>
        <row r="3311">
          <cell r="A3311" t="str">
            <v>STUFFED FARD DATES WITH ALMOND SINGLE</v>
          </cell>
          <cell r="B3311" t="str">
            <v>FG</v>
          </cell>
          <cell r="C3311" t="str">
            <v>TRAIL MIX</v>
          </cell>
          <cell r="D3311" t="str">
            <v>Trail Mix</v>
          </cell>
        </row>
        <row r="3312">
          <cell r="A3312" t="str">
            <v>Stuffed Medjoul Dates Large Single Pc</v>
          </cell>
          <cell r="B3312" t="str">
            <v>FG</v>
          </cell>
          <cell r="C3312" t="str">
            <v>DATES</v>
          </cell>
          <cell r="D3312" t="str">
            <v>Medjoul-Large</v>
          </cell>
        </row>
        <row r="3313">
          <cell r="A3313" t="str">
            <v>Stuffed Medjoul Large Pc</v>
          </cell>
          <cell r="B3313" t="str">
            <v>FG</v>
          </cell>
          <cell r="C3313" t="str">
            <v>DATES</v>
          </cell>
          <cell r="D3313" t="str">
            <v>Medjoul-Large</v>
          </cell>
        </row>
        <row r="3314">
          <cell r="A3314" t="str">
            <v>Stuffed Medjoul Large Pc with Almond</v>
          </cell>
          <cell r="B3314" t="str">
            <v>FG</v>
          </cell>
          <cell r="C3314" t="str">
            <v>DATES</v>
          </cell>
          <cell r="D3314" t="str">
            <v>Medjoul-Large</v>
          </cell>
        </row>
        <row r="3315">
          <cell r="A3315" t="str">
            <v>Stuffed Medjoul Large Pc with Cashew</v>
          </cell>
          <cell r="B3315" t="str">
            <v>FG</v>
          </cell>
          <cell r="C3315" t="str">
            <v>DATES</v>
          </cell>
          <cell r="D3315" t="str">
            <v>Medjoul-Large</v>
          </cell>
        </row>
        <row r="3316">
          <cell r="A3316" t="str">
            <v>Stuffed Medjoul Large Pc with Dried Pomelo</v>
          </cell>
          <cell r="B3316" t="str">
            <v>FG</v>
          </cell>
          <cell r="C3316" t="str">
            <v>DATES</v>
          </cell>
          <cell r="D3316" t="str">
            <v>Medjoul-Large</v>
          </cell>
        </row>
        <row r="3317">
          <cell r="A3317" t="str">
            <v>Stuffed Medjoul Large Pc with Hazel Nut</v>
          </cell>
          <cell r="B3317" t="str">
            <v>FG</v>
          </cell>
          <cell r="C3317" t="str">
            <v>DATES</v>
          </cell>
          <cell r="D3317" t="str">
            <v>Medjoul-Large</v>
          </cell>
        </row>
        <row r="3318">
          <cell r="A3318" t="str">
            <v>Stuffed Medjoul Large Pc with Macadamia</v>
          </cell>
          <cell r="B3318" t="str">
            <v>FG</v>
          </cell>
          <cell r="C3318" t="str">
            <v>DATES</v>
          </cell>
          <cell r="D3318" t="str">
            <v>Medjoul-Large</v>
          </cell>
        </row>
        <row r="3319">
          <cell r="A3319" t="str">
            <v>Stuffed Medjoul Large Pc with Orange Peel</v>
          </cell>
          <cell r="B3319" t="str">
            <v>FG</v>
          </cell>
          <cell r="C3319" t="str">
            <v>DATES</v>
          </cell>
          <cell r="D3319" t="str">
            <v>Medjoul-Large</v>
          </cell>
        </row>
        <row r="3320">
          <cell r="A3320" t="str">
            <v>Stuffed Medjoul Large Pc with Pecan Nut</v>
          </cell>
          <cell r="B3320" t="str">
            <v>FG</v>
          </cell>
          <cell r="C3320" t="str">
            <v>DATES</v>
          </cell>
          <cell r="D3320" t="str">
            <v>Medjoul-Large</v>
          </cell>
        </row>
        <row r="3321">
          <cell r="A3321" t="str">
            <v>Stuffed Medjoul Large Pc with Pista</v>
          </cell>
          <cell r="B3321" t="str">
            <v>FG</v>
          </cell>
          <cell r="C3321" t="str">
            <v>DATES</v>
          </cell>
          <cell r="D3321" t="str">
            <v>Medjoul-Large</v>
          </cell>
        </row>
        <row r="3322">
          <cell r="A3322" t="str">
            <v>Stuffed Medjoul Large with Ginger Single Pc</v>
          </cell>
          <cell r="B3322" t="str">
            <v>FG</v>
          </cell>
          <cell r="C3322" t="str">
            <v>TRAIL MIX</v>
          </cell>
          <cell r="D3322" t="str">
            <v>Trail Mix</v>
          </cell>
        </row>
        <row r="3323">
          <cell r="A3323" t="str">
            <v>Sufri Wet Dates</v>
          </cell>
          <cell r="B3323" t="str">
            <v>RM</v>
          </cell>
          <cell r="C3323" t="str">
            <v>DATES</v>
          </cell>
          <cell r="D3323" t="str">
            <v>Sufri</v>
          </cell>
        </row>
        <row r="3324">
          <cell r="A3324" t="str">
            <v>Sugar</v>
          </cell>
          <cell r="B3324" t="str">
            <v>RM</v>
          </cell>
          <cell r="C3324" t="str">
            <v>MISCELLANEOUS - RM</v>
          </cell>
          <cell r="D3324" t="str">
            <v>Other Misc</v>
          </cell>
        </row>
        <row r="3325">
          <cell r="A3325" t="str">
            <v>Sugar - Office</v>
          </cell>
          <cell r="B3325" t="str">
            <v>RM</v>
          </cell>
          <cell r="C3325" t="str">
            <v>MISCELLANEOUS - RM</v>
          </cell>
          <cell r="D3325" t="str">
            <v>Other Misc</v>
          </cell>
        </row>
        <row r="3326">
          <cell r="A3326" t="str">
            <v>Sugar Powder</v>
          </cell>
          <cell r="B3326" t="str">
            <v>RM</v>
          </cell>
          <cell r="C3326" t="str">
            <v>MISCELLANEOUS - RM</v>
          </cell>
          <cell r="D3326" t="str">
            <v>Other Misc</v>
          </cell>
        </row>
        <row r="3327">
          <cell r="A3327" t="str">
            <v>Sugar Powder -TPL</v>
          </cell>
          <cell r="B3327" t="str">
            <v>RM</v>
          </cell>
          <cell r="C3327" t="str">
            <v>TAJIR</v>
          </cell>
          <cell r="D3327" t="str">
            <v>Tajir - Other</v>
          </cell>
        </row>
        <row r="3328">
          <cell r="A3328" t="str">
            <v>Sugar Sachets</v>
          </cell>
          <cell r="B3328">
            <v>0</v>
          </cell>
          <cell r="C3328" t="str">
            <v>Others</v>
          </cell>
          <cell r="D3328" t="str">
            <v>Others</v>
          </cell>
        </row>
        <row r="3329">
          <cell r="A3329" t="str">
            <v>Sukkary Dates</v>
          </cell>
          <cell r="B3329" t="str">
            <v>RM</v>
          </cell>
          <cell r="C3329" t="str">
            <v>DATES</v>
          </cell>
          <cell r="D3329" t="str">
            <v>Sukhary</v>
          </cell>
        </row>
        <row r="3330">
          <cell r="A3330" t="str">
            <v>SUNFLOWER OIL</v>
          </cell>
          <cell r="B3330" t="str">
            <v>RM</v>
          </cell>
          <cell r="C3330" t="str">
            <v>MISCELLANEOUS - RM</v>
          </cell>
          <cell r="D3330" t="str">
            <v>Other Misc</v>
          </cell>
        </row>
        <row r="3331">
          <cell r="A3331" t="str">
            <v>Sunflower Oil in KG</v>
          </cell>
          <cell r="B3331" t="str">
            <v>RM</v>
          </cell>
          <cell r="C3331" t="str">
            <v>MISCELLANEOUS - RM</v>
          </cell>
          <cell r="D3331" t="str">
            <v>Other Misc</v>
          </cell>
        </row>
        <row r="3332">
          <cell r="A3332" t="str">
            <v>Sunflower Seed 100g (B07GR6G24J) FBA</v>
          </cell>
          <cell r="B3332" t="str">
            <v>FG</v>
          </cell>
          <cell r="C3332" t="str">
            <v>SEEDS</v>
          </cell>
          <cell r="D3332" t="str">
            <v>Sunflower</v>
          </cell>
        </row>
        <row r="3333">
          <cell r="A3333" t="str">
            <v>Sunflower Seeds</v>
          </cell>
          <cell r="B3333" t="str">
            <v>RM</v>
          </cell>
          <cell r="C3333" t="str">
            <v>SEEDS</v>
          </cell>
          <cell r="D3333" t="str">
            <v>Sunflower</v>
          </cell>
        </row>
        <row r="3334">
          <cell r="A3334" t="str">
            <v>Sunflower Seeds 200g (B07GQNLN8S) FBA</v>
          </cell>
          <cell r="B3334" t="str">
            <v>FG</v>
          </cell>
          <cell r="C3334" t="str">
            <v>SEEDS</v>
          </cell>
          <cell r="D3334" t="str">
            <v>Sunflower</v>
          </cell>
        </row>
        <row r="3335">
          <cell r="A3335" t="str">
            <v>Sunflower Seeds Roasted</v>
          </cell>
          <cell r="B3335" t="str">
            <v>FG</v>
          </cell>
          <cell r="C3335" t="str">
            <v>SEEDS</v>
          </cell>
          <cell r="D3335" t="str">
            <v>Sunflower</v>
          </cell>
        </row>
        <row r="3336">
          <cell r="A3336" t="str">
            <v>Sunflower Seeds Roasted and Salted</v>
          </cell>
          <cell r="B3336" t="str">
            <v>RM</v>
          </cell>
          <cell r="C3336" t="str">
            <v>SEEDS</v>
          </cell>
          <cell r="D3336" t="str">
            <v>Sunflower</v>
          </cell>
        </row>
        <row r="3337">
          <cell r="A3337" t="str">
            <v>SUPREME 800gm</v>
          </cell>
          <cell r="B3337" t="str">
            <v>FG</v>
          </cell>
          <cell r="C3337" t="str">
            <v>FESTIVE HAMPERS</v>
          </cell>
          <cell r="D3337" t="str">
            <v>Gifting</v>
          </cell>
        </row>
        <row r="3338">
          <cell r="A3338" t="str">
            <v>Sweet Amala Candy</v>
          </cell>
          <cell r="B3338" t="str">
            <v>RM</v>
          </cell>
          <cell r="C3338" t="str">
            <v>DEHYDRATED FRUITS</v>
          </cell>
          <cell r="D3338" t="str">
            <v>DF - Amla</v>
          </cell>
        </row>
        <row r="3339">
          <cell r="A3339" t="str">
            <v>Sweet Amala Candy 5%</v>
          </cell>
          <cell r="B3339" t="str">
            <v>RM</v>
          </cell>
          <cell r="C3339" t="str">
            <v>DEHYDRATED FRUITS</v>
          </cell>
          <cell r="D3339" t="str">
            <v>DF - Amla</v>
          </cell>
        </row>
        <row r="3340">
          <cell r="A3340" t="str">
            <v>Sweet and Spicy Pecan</v>
          </cell>
          <cell r="B3340" t="str">
            <v>FG</v>
          </cell>
          <cell r="C3340" t="str">
            <v>PREMIUM NUTS</v>
          </cell>
          <cell r="D3340" t="str">
            <v>Pecan Nuts</v>
          </cell>
        </row>
        <row r="3341">
          <cell r="A3341" t="str">
            <v>Sweet Chilli Macadamia Nut</v>
          </cell>
          <cell r="B3341" t="str">
            <v>FG</v>
          </cell>
          <cell r="C3341" t="str">
            <v>PREMIUM NUTS</v>
          </cell>
          <cell r="D3341" t="str">
            <v>Macadamia Nuts</v>
          </cell>
        </row>
        <row r="3342">
          <cell r="A3342" t="str">
            <v>Sweet Chilli Macadamias 100gm</v>
          </cell>
          <cell r="B3342" t="str">
            <v>FG</v>
          </cell>
          <cell r="C3342" t="str">
            <v>PREMIUM NUTS</v>
          </cell>
          <cell r="D3342" t="str">
            <v>Macadamia Nuts</v>
          </cell>
        </row>
        <row r="3343">
          <cell r="A3343" t="str">
            <v>SWEET PAPRIKA POWDER</v>
          </cell>
          <cell r="B3343" t="str">
            <v>RM</v>
          </cell>
          <cell r="C3343" t="str">
            <v>SEASONING</v>
          </cell>
          <cell r="D3343" t="str">
            <v>Seasoning</v>
          </cell>
        </row>
        <row r="3344">
          <cell r="A3344" t="str">
            <v>SWEET THAI CHILLI SEASONING</v>
          </cell>
          <cell r="B3344" t="str">
            <v>RM</v>
          </cell>
          <cell r="C3344" t="str">
            <v>SEASONING</v>
          </cell>
          <cell r="D3344" t="str">
            <v>Seasoning</v>
          </cell>
        </row>
        <row r="3345">
          <cell r="A3345" t="str">
            <v>Tandoori Masala</v>
          </cell>
          <cell r="B3345" t="str">
            <v>RM</v>
          </cell>
          <cell r="C3345" t="str">
            <v>SEASONING</v>
          </cell>
          <cell r="D3345" t="str">
            <v>Seasoning</v>
          </cell>
        </row>
        <row r="3346">
          <cell r="A3346" t="str">
            <v>Tandoori Seasoning</v>
          </cell>
          <cell r="B3346" t="str">
            <v>RM</v>
          </cell>
          <cell r="C3346" t="str">
            <v>SEASONING</v>
          </cell>
          <cell r="D3346" t="str">
            <v>Seasoning</v>
          </cell>
        </row>
        <row r="3347">
          <cell r="A3347" t="str">
            <v>TANGY TOMATO SEASONING</v>
          </cell>
          <cell r="B3347" t="str">
            <v>RM</v>
          </cell>
          <cell r="C3347" t="str">
            <v>SEASONING</v>
          </cell>
          <cell r="D3347" t="str">
            <v>Seasoning</v>
          </cell>
        </row>
        <row r="3348">
          <cell r="A3348" t="str">
            <v>Tapioca Starch</v>
          </cell>
          <cell r="B3348" t="str">
            <v>RM</v>
          </cell>
          <cell r="C3348" t="str">
            <v>MISCELLANEOUS - RM</v>
          </cell>
          <cell r="D3348" t="str">
            <v>Other Misc</v>
          </cell>
        </row>
        <row r="3349">
          <cell r="A3349" t="str">
            <v>Tasties Brazil Nut - Gems Of South Africa 50 g</v>
          </cell>
          <cell r="B3349" t="str">
            <v>FG</v>
          </cell>
          <cell r="C3349" t="str">
            <v>PREMIUM NUTS</v>
          </cell>
          <cell r="D3349" t="str">
            <v>Brazil Nuts</v>
          </cell>
        </row>
        <row r="3350">
          <cell r="A3350" t="str">
            <v>Tasties Chilli Almonds - Flavourful &amp; Crunchy 75 g</v>
          </cell>
          <cell r="B3350" t="str">
            <v>FG</v>
          </cell>
          <cell r="C3350" t="str">
            <v>ALMOND</v>
          </cell>
          <cell r="D3350" t="str">
            <v>Almond - Kernels</v>
          </cell>
        </row>
        <row r="3351">
          <cell r="A3351" t="str">
            <v>Tasties Chilli Garlic Cashew - Flavourful &amp; Crunchy 75 g</v>
          </cell>
          <cell r="B3351" t="str">
            <v>FG</v>
          </cell>
          <cell r="C3351" t="str">
            <v>CASHEW</v>
          </cell>
          <cell r="D3351" t="str">
            <v>Cashew - Kernel</v>
          </cell>
        </row>
        <row r="3352">
          <cell r="A3352" t="str">
            <v>Tasties Coated Peanuts - Pudina Patakha, Flavourful &amp; Crispy 25 g</v>
          </cell>
          <cell r="B3352" t="str">
            <v>FG</v>
          </cell>
          <cell r="C3352" t="str">
            <v>PEANUTS</v>
          </cell>
          <cell r="D3352" t="str">
            <v>Peanut - Coated</v>
          </cell>
        </row>
        <row r="3353">
          <cell r="A3353" t="str">
            <v>Tasties Coated Peanuts - Tandoori Masala, Flavourful &amp; Crispy 25 g</v>
          </cell>
          <cell r="B3353" t="str">
            <v>FG</v>
          </cell>
          <cell r="C3353" t="str">
            <v>PEANUTS</v>
          </cell>
          <cell r="D3353" t="str">
            <v>Peanut - Coated</v>
          </cell>
        </row>
        <row r="3354">
          <cell r="A3354" t="str">
            <v>Tasties Coated Peanuts - Thai Spice, Flavourful &amp; Crispy 25 g</v>
          </cell>
          <cell r="B3354" t="str">
            <v>FG</v>
          </cell>
          <cell r="C3354" t="str">
            <v>PEANUTS</v>
          </cell>
          <cell r="D3354" t="str">
            <v>Peanut - Coated</v>
          </cell>
        </row>
        <row r="3355">
          <cell r="A3355" t="str">
            <v>Tasties Hazelnut - A Turkish Indulgence 50 g</v>
          </cell>
          <cell r="B3355" t="str">
            <v>FG</v>
          </cell>
          <cell r="C3355" t="str">
            <v>PREMIUM NUTS</v>
          </cell>
          <cell r="D3355" t="str">
            <v>Hazelnuts</v>
          </cell>
        </row>
        <row r="3356">
          <cell r="A3356" t="str">
            <v>Tasties Lemon Pepper Cashew - Flavourful &amp; Crunchy 75 g</v>
          </cell>
          <cell r="B3356" t="str">
            <v>FG</v>
          </cell>
          <cell r="C3356" t="str">
            <v>CASHEW</v>
          </cell>
          <cell r="D3356" t="str">
            <v>Cashew - Kernel</v>
          </cell>
        </row>
        <row r="3357">
          <cell r="A3357" t="str">
            <v>Tasties Macadamia Nuts - From South Africa 50 g</v>
          </cell>
          <cell r="B3357" t="str">
            <v>FG</v>
          </cell>
          <cell r="C3357" t="str">
            <v>PREMIUM NUTS</v>
          </cell>
          <cell r="D3357" t="str">
            <v>Macadamia Nuts</v>
          </cell>
        </row>
        <row r="3358">
          <cell r="A3358" t="str">
            <v>Tasties Makhanas - Barbeque, Roasted, Vegan &amp; Gluten Free, 25 g</v>
          </cell>
          <cell r="B3358" t="str">
            <v>FG</v>
          </cell>
          <cell r="C3358" t="str">
            <v>MAKHANA</v>
          </cell>
          <cell r="D3358" t="str">
            <v>Makhana - Suta</v>
          </cell>
        </row>
        <row r="3359">
          <cell r="A3359" t="str">
            <v>Tasties Makhanas - Cheese, Roasted, Vegan &amp; Gluten Free 25 g</v>
          </cell>
          <cell r="B3359" t="str">
            <v>FG</v>
          </cell>
          <cell r="C3359" t="str">
            <v>MAKHANA</v>
          </cell>
          <cell r="D3359" t="str">
            <v>Makhana - Suta</v>
          </cell>
        </row>
        <row r="3360">
          <cell r="A3360" t="str">
            <v>Tasties Makhanas - Peri Peri, Roasted, Vegan &amp; Gluten Free 25 g</v>
          </cell>
          <cell r="B3360" t="str">
            <v>FG</v>
          </cell>
          <cell r="C3360" t="str">
            <v>MAKHANA</v>
          </cell>
          <cell r="D3360" t="str">
            <v>Makhana - Suta</v>
          </cell>
        </row>
        <row r="3361">
          <cell r="A3361" t="str">
            <v>Tasties Makhanas - Tandoori, Roasted, Vegan &amp; Gluten Free 25 g</v>
          </cell>
          <cell r="B3361" t="str">
            <v>FG</v>
          </cell>
          <cell r="C3361" t="str">
            <v>MAKHANA</v>
          </cell>
          <cell r="D3361" t="str">
            <v>Makhana - Suta</v>
          </cell>
        </row>
        <row r="3362">
          <cell r="A3362" t="str">
            <v>Tasties Pecan Nuts - Iconic American Nut 50 g</v>
          </cell>
          <cell r="B3362" t="str">
            <v>FG</v>
          </cell>
          <cell r="C3362" t="str">
            <v>PREMIUM NUTS</v>
          </cell>
          <cell r="D3362" t="str">
            <v>Pecan Nuts</v>
          </cell>
        </row>
        <row r="3363">
          <cell r="A3363" t="str">
            <v>Tasties Peri Peri Cashew - Flavourful &amp; Crunchy 75 g</v>
          </cell>
          <cell r="B3363" t="str">
            <v>FG</v>
          </cell>
          <cell r="C3363" t="str">
            <v>CASHEW</v>
          </cell>
          <cell r="D3363" t="str">
            <v>Cashew - Kernel</v>
          </cell>
        </row>
        <row r="3364">
          <cell r="A3364" t="str">
            <v>Tasties Pink Salted Pistachio - Flavourful &amp; Crunchy 75 g</v>
          </cell>
          <cell r="B3364" t="str">
            <v>FG</v>
          </cell>
          <cell r="C3364" t="str">
            <v>PISTA</v>
          </cell>
          <cell r="D3364" t="str">
            <v>Pista - Inshell</v>
          </cell>
        </row>
        <row r="3365">
          <cell r="A3365" t="str">
            <v>Tasties Roasted Almonds With Pink Salt - Flavourful &amp; Crunchy 75 g</v>
          </cell>
          <cell r="B3365" t="str">
            <v>FG</v>
          </cell>
          <cell r="C3365" t="str">
            <v>ALMOND</v>
          </cell>
          <cell r="D3365" t="str">
            <v>Almond - Kernels</v>
          </cell>
        </row>
        <row r="3366">
          <cell r="A3366" t="str">
            <v>Tasties Smoked Almonds - Flavourful &amp; Crunchy 75 g</v>
          </cell>
          <cell r="B3366" t="str">
            <v>FG</v>
          </cell>
          <cell r="C3366" t="str">
            <v>ALMOND</v>
          </cell>
          <cell r="D3366" t="str">
            <v>Almond - Kernels</v>
          </cell>
        </row>
        <row r="3367">
          <cell r="A3367" t="str">
            <v>Tasties Trail Mix - Mixed Berries 75 g</v>
          </cell>
          <cell r="B3367" t="str">
            <v>FG</v>
          </cell>
          <cell r="C3367" t="str">
            <v>TRAIL MIX</v>
          </cell>
          <cell r="D3367" t="str">
            <v>Trail Mix</v>
          </cell>
        </row>
        <row r="3368">
          <cell r="A3368" t="str">
            <v>Tasties Trail Mix - Mixed Dry Fruits 75 g</v>
          </cell>
          <cell r="B3368" t="str">
            <v>FG</v>
          </cell>
          <cell r="C3368" t="str">
            <v>TRAIL MIX</v>
          </cell>
          <cell r="D3368" t="str">
            <v>Trail Mix</v>
          </cell>
        </row>
        <row r="3369">
          <cell r="A3369" t="str">
            <v>Tasties Trail Mix - Wholesome Nut Mix 75 g</v>
          </cell>
          <cell r="B3369" t="str">
            <v>FG</v>
          </cell>
          <cell r="C3369" t="str">
            <v>TRAIL MIX</v>
          </cell>
          <cell r="D3369" t="str">
            <v>Trail Mix</v>
          </cell>
        </row>
        <row r="3370">
          <cell r="A3370" t="str">
            <v>Thai Chilly Coated Peanuts 60gm</v>
          </cell>
          <cell r="B3370" t="str">
            <v>FG</v>
          </cell>
          <cell r="C3370" t="str">
            <v>PEANUTS</v>
          </cell>
          <cell r="D3370" t="str">
            <v>Peanut - Coated</v>
          </cell>
        </row>
        <row r="3371">
          <cell r="A3371" t="str">
            <v>Trail Mix</v>
          </cell>
          <cell r="B3371" t="str">
            <v>FG</v>
          </cell>
          <cell r="C3371" t="str">
            <v>TRAIL MIX</v>
          </cell>
          <cell r="D3371" t="str">
            <v>Trail Mix</v>
          </cell>
        </row>
        <row r="3372">
          <cell r="A3372" t="str">
            <v>Trail Mix Bulk</v>
          </cell>
          <cell r="B3372" t="str">
            <v>FG</v>
          </cell>
          <cell r="C3372" t="str">
            <v>TRAIL MIX</v>
          </cell>
          <cell r="D3372" t="str">
            <v>Trail Mix</v>
          </cell>
        </row>
        <row r="3373">
          <cell r="A3373" t="str">
            <v>Trail Mix - Every Health</v>
          </cell>
          <cell r="B3373" t="str">
            <v>FG</v>
          </cell>
          <cell r="C3373" t="str">
            <v>TRAIL MIX</v>
          </cell>
          <cell r="D3373" t="str">
            <v>Trail Mix</v>
          </cell>
        </row>
        <row r="3374">
          <cell r="A3374" t="str">
            <v>Truffle Oil</v>
          </cell>
          <cell r="B3374" t="str">
            <v>RM</v>
          </cell>
          <cell r="C3374" t="str">
            <v>MISCELLANEOUS - RM</v>
          </cell>
          <cell r="D3374" t="str">
            <v>Other Misc</v>
          </cell>
        </row>
        <row r="3375">
          <cell r="A3375" t="str">
            <v>Turkey Apricot No. 0</v>
          </cell>
          <cell r="B3375" t="str">
            <v>RM</v>
          </cell>
          <cell r="C3375" t="str">
            <v>APRICOT</v>
          </cell>
          <cell r="D3375" t="str">
            <v>Apricot - Turkey</v>
          </cell>
        </row>
        <row r="3376">
          <cell r="A3376" t="str">
            <v>Turkey Apricot No 1</v>
          </cell>
          <cell r="B3376" t="str">
            <v>RM</v>
          </cell>
          <cell r="C3376" t="str">
            <v>APRICOT</v>
          </cell>
          <cell r="D3376" t="str">
            <v>Apricot - Turkey</v>
          </cell>
        </row>
        <row r="3377">
          <cell r="A3377" t="str">
            <v>Turkey Apricot No 2</v>
          </cell>
          <cell r="B3377" t="str">
            <v>RM</v>
          </cell>
          <cell r="C3377" t="str">
            <v>APRICOT</v>
          </cell>
          <cell r="D3377" t="str">
            <v>Apricot - Turkey</v>
          </cell>
        </row>
        <row r="3378">
          <cell r="A3378" t="str">
            <v>Turkey Apricot No 3</v>
          </cell>
          <cell r="B3378" t="str">
            <v>RM</v>
          </cell>
          <cell r="C3378" t="str">
            <v>APRICOT</v>
          </cell>
          <cell r="D3378" t="str">
            <v>Apricot - Turkey</v>
          </cell>
        </row>
        <row r="3379">
          <cell r="A3379" t="str">
            <v>Turmeric (Haldi) Powder</v>
          </cell>
          <cell r="B3379" t="str">
            <v>RM</v>
          </cell>
          <cell r="C3379" t="str">
            <v>SPICES</v>
          </cell>
          <cell r="D3379" t="str">
            <v>Ground Spices</v>
          </cell>
        </row>
        <row r="3380">
          <cell r="A3380" t="str">
            <v>UAE SEEDLESS BLACK DATES</v>
          </cell>
          <cell r="B3380" t="str">
            <v>RM</v>
          </cell>
          <cell r="C3380" t="str">
            <v>DATES</v>
          </cell>
          <cell r="D3380" t="str">
            <v>Seedless</v>
          </cell>
        </row>
        <row r="3381">
          <cell r="A3381" t="str">
            <v>UAE Seedless Red dates</v>
          </cell>
          <cell r="B3381" t="str">
            <v>RM</v>
          </cell>
          <cell r="C3381" t="str">
            <v>DATES</v>
          </cell>
          <cell r="D3381" t="str">
            <v>Seedless</v>
          </cell>
        </row>
        <row r="3382">
          <cell r="A3382" t="str">
            <v>UP Berry Mix</v>
          </cell>
          <cell r="B3382" t="str">
            <v>FG</v>
          </cell>
          <cell r="C3382" t="str">
            <v>TRAIL MIX</v>
          </cell>
          <cell r="D3382" t="str">
            <v>Trail Mix</v>
          </cell>
        </row>
        <row r="3383">
          <cell r="A3383" t="str">
            <v>UP Trail Mix Brazil Nut Based</v>
          </cell>
          <cell r="B3383" t="str">
            <v>FG</v>
          </cell>
          <cell r="C3383" t="str">
            <v>TRAIL MIX</v>
          </cell>
          <cell r="D3383" t="str">
            <v>Trail Mix</v>
          </cell>
        </row>
        <row r="3384">
          <cell r="A3384" t="str">
            <v>UP Trail Mix Edamame Babsed</v>
          </cell>
          <cell r="B3384" t="str">
            <v>FG</v>
          </cell>
          <cell r="C3384" t="str">
            <v>TRAIL MIX</v>
          </cell>
          <cell r="D3384" t="str">
            <v>Trail Mix</v>
          </cell>
        </row>
        <row r="3385">
          <cell r="A3385" t="str">
            <v>UP Trail Mix Tandoori Tikka</v>
          </cell>
          <cell r="B3385" t="str">
            <v>FG</v>
          </cell>
          <cell r="C3385" t="str">
            <v>TRAIL MIX</v>
          </cell>
          <cell r="D3385" t="str">
            <v>Trail Mix</v>
          </cell>
        </row>
        <row r="3386">
          <cell r="A3386" t="str">
            <v>URBAN PLATTAR JAGGERY POWDER 1KG</v>
          </cell>
          <cell r="B3386" t="str">
            <v>RM</v>
          </cell>
          <cell r="C3386" t="str">
            <v>MISCELLANEOUS - RM</v>
          </cell>
          <cell r="D3386" t="str">
            <v>Other Misc</v>
          </cell>
        </row>
        <row r="3387">
          <cell r="A3387" t="str">
            <v>Urban Platter Almond Blueberry Bar 45g</v>
          </cell>
          <cell r="B3387" t="str">
            <v>FG</v>
          </cell>
          <cell r="C3387" t="str">
            <v>BARS &amp; CEREALS</v>
          </cell>
          <cell r="D3387" t="str">
            <v>Energy Bars</v>
          </cell>
        </row>
        <row r="3388">
          <cell r="A3388" t="str">
            <v>URBAN PLATTER ARABIC GUM POWDER</v>
          </cell>
          <cell r="B3388" t="str">
            <v>RM</v>
          </cell>
          <cell r="C3388" t="str">
            <v>SEASONING</v>
          </cell>
          <cell r="D3388" t="str">
            <v>Seasoning</v>
          </cell>
        </row>
        <row r="3389">
          <cell r="A3389" t="str">
            <v>Urban Platter Castor Sugar, 1kg</v>
          </cell>
          <cell r="B3389" t="str">
            <v>RM</v>
          </cell>
          <cell r="C3389" t="str">
            <v>MISCELLANEOUS - RM</v>
          </cell>
          <cell r="D3389" t="str">
            <v>Other Misc</v>
          </cell>
        </row>
        <row r="3390">
          <cell r="A3390" t="str">
            <v>Urban Platter Chipotle Seasoning</v>
          </cell>
          <cell r="B3390" t="str">
            <v>RM</v>
          </cell>
          <cell r="C3390" t="str">
            <v>SEASONING</v>
          </cell>
          <cell r="D3390" t="str">
            <v>Seasoning</v>
          </cell>
        </row>
        <row r="3391">
          <cell r="A3391" t="str">
            <v>Urban Platter Chocolate Vanilla Bar 45g</v>
          </cell>
          <cell r="B3391" t="str">
            <v>FG</v>
          </cell>
          <cell r="C3391" t="str">
            <v>BARS &amp; CEREALS</v>
          </cell>
          <cell r="D3391" t="str">
            <v>Energy Bars</v>
          </cell>
        </row>
        <row r="3392">
          <cell r="A3392" t="str">
            <v>Urban Platter Cranberry Orange Bar 45g</v>
          </cell>
          <cell r="B3392" t="str">
            <v>FG</v>
          </cell>
          <cell r="C3392" t="str">
            <v>BARS &amp; CEREALS</v>
          </cell>
          <cell r="D3392" t="str">
            <v>Energy Bars</v>
          </cell>
        </row>
        <row r="3393">
          <cell r="A3393" t="str">
            <v>Urban Platter Lemon Pepper Seasoning</v>
          </cell>
          <cell r="B3393" t="str">
            <v>RM</v>
          </cell>
          <cell r="C3393" t="str">
            <v>SEASONING</v>
          </cell>
          <cell r="D3393" t="str">
            <v>Seasoning</v>
          </cell>
        </row>
        <row r="3394">
          <cell r="A3394" t="str">
            <v>Urban Platter Mocha Bar 45g</v>
          </cell>
          <cell r="B3394" t="str">
            <v>FG</v>
          </cell>
          <cell r="C3394" t="str">
            <v>BARS &amp; CEREALS</v>
          </cell>
          <cell r="D3394" t="str">
            <v>Energy Bars</v>
          </cell>
        </row>
        <row r="3395">
          <cell r="A3395" t="str">
            <v>Urban Platter Organic Coconut Jaggery Sugar Powder 1 kg</v>
          </cell>
          <cell r="B3395" t="str">
            <v>RM</v>
          </cell>
          <cell r="C3395" t="str">
            <v>MISCELLANEOUS - RM</v>
          </cell>
          <cell r="D3395" t="str">
            <v>Other Misc</v>
          </cell>
        </row>
        <row r="3396">
          <cell r="A3396" t="str">
            <v>Urban Platter Panchmewa</v>
          </cell>
          <cell r="B3396" t="str">
            <v>FG</v>
          </cell>
          <cell r="C3396" t="str">
            <v>TRAIL MIX</v>
          </cell>
          <cell r="D3396" t="str">
            <v>Trail Mix</v>
          </cell>
        </row>
        <row r="3397">
          <cell r="A3397" t="str">
            <v>Urban Platter Soya Chaap Seasoning</v>
          </cell>
          <cell r="B3397" t="str">
            <v>RM</v>
          </cell>
          <cell r="C3397" t="str">
            <v>SEASONING</v>
          </cell>
          <cell r="D3397" t="str">
            <v>Seasoning</v>
          </cell>
        </row>
        <row r="3398">
          <cell r="A3398" t="str">
            <v>Vedaka Almonds 100g (B07GQZ7ZTZ) FBA</v>
          </cell>
          <cell r="B3398" t="str">
            <v>FG</v>
          </cell>
          <cell r="C3398" t="str">
            <v>ALMOND</v>
          </cell>
          <cell r="D3398" t="str">
            <v>Almond - Kernels</v>
          </cell>
        </row>
        <row r="3399">
          <cell r="A3399" t="str">
            <v>Vedaka Almonds 1kg (B07GQNM6N2)</v>
          </cell>
          <cell r="B3399" t="str">
            <v>FG</v>
          </cell>
          <cell r="C3399" t="str">
            <v>ALMOND</v>
          </cell>
          <cell r="D3399" t="str">
            <v>Almond - Kernels</v>
          </cell>
        </row>
        <row r="3400">
          <cell r="A3400" t="str">
            <v>Vedaka Almonds 500g (B07GQNQNJG)</v>
          </cell>
          <cell r="B3400" t="str">
            <v>FG</v>
          </cell>
          <cell r="C3400" t="str">
            <v>ALMOND</v>
          </cell>
          <cell r="D3400" t="str">
            <v>Almond - Kernels</v>
          </cell>
        </row>
        <row r="3401">
          <cell r="A3401" t="str">
            <v>Vedaka Almonds, Raisins, Cashews, and Pista (4 X 200 gm)B0BVVV1SMF</v>
          </cell>
          <cell r="B3401" t="str">
            <v>FG</v>
          </cell>
          <cell r="C3401" t="str">
            <v>TRAIL MIX</v>
          </cell>
          <cell r="D3401" t="str">
            <v>Trail Mix</v>
          </cell>
        </row>
        <row r="3402">
          <cell r="A3402" t="str">
            <v>Vedaka Black pepper Cashew 200g (B0BTHWW69R)</v>
          </cell>
          <cell r="B3402" t="str">
            <v>FG</v>
          </cell>
          <cell r="C3402" t="str">
            <v>CASHEW</v>
          </cell>
          <cell r="D3402" t="str">
            <v>Cashew - Kernel</v>
          </cell>
        </row>
        <row r="3403">
          <cell r="A3403" t="str">
            <v>Vedaka Black Raisins - 500g (B0D9P37XTT)</v>
          </cell>
          <cell r="B3403" t="str">
            <v>FG</v>
          </cell>
          <cell r="C3403" t="str">
            <v>RAISIN</v>
          </cell>
          <cell r="D3403" t="str">
            <v>Raisin - Black</v>
          </cell>
        </row>
        <row r="3404">
          <cell r="A3404" t="str">
            <v>Vedaka Broken Cashew 1kg (B0D9NZYHDC)</v>
          </cell>
          <cell r="B3404" t="str">
            <v>FG</v>
          </cell>
          <cell r="C3404" t="str">
            <v>CASHEW</v>
          </cell>
          <cell r="D3404" t="str">
            <v>Cashew - Broken</v>
          </cell>
        </row>
        <row r="3405">
          <cell r="A3405" t="str">
            <v>Vedaka Cashew 200g (B07GQZSS48)</v>
          </cell>
          <cell r="B3405" t="str">
            <v>FG</v>
          </cell>
          <cell r="C3405" t="str">
            <v>CASHEW</v>
          </cell>
          <cell r="D3405" t="str">
            <v>Cashew - Kernel</v>
          </cell>
        </row>
        <row r="3406">
          <cell r="A3406" t="str">
            <v>Vedaka Cashews - Broken 500g (B0D9NYHTG1)</v>
          </cell>
          <cell r="B3406" t="str">
            <v>FG</v>
          </cell>
          <cell r="C3406" t="str">
            <v>CASHEW</v>
          </cell>
          <cell r="D3406" t="str">
            <v>Cashew - Kernel</v>
          </cell>
        </row>
        <row r="3407">
          <cell r="A3407" t="str">
            <v>Vedaka Chia Seeds 1kg ( B0D9P16WZQ )</v>
          </cell>
          <cell r="B3407" t="str">
            <v>FG</v>
          </cell>
          <cell r="C3407" t="str">
            <v>SEEDS</v>
          </cell>
          <cell r="D3407" t="str">
            <v>Chia</v>
          </cell>
        </row>
        <row r="3408">
          <cell r="A3408" t="str">
            <v>Vedaka Dried Figs - 250g (B0D9NZ5GFV)</v>
          </cell>
          <cell r="B3408" t="str">
            <v>FG</v>
          </cell>
          <cell r="C3408" t="str">
            <v>ANJEER</v>
          </cell>
          <cell r="D3408" t="str">
            <v>Dried Figs</v>
          </cell>
        </row>
        <row r="3409">
          <cell r="A3409" t="str">
            <v>Vedaka Dried Sweetened Blueberries 100gm (B07GR24VMZ)</v>
          </cell>
          <cell r="B3409" t="str">
            <v>FG</v>
          </cell>
          <cell r="C3409" t="str">
            <v>BLUEBERRY</v>
          </cell>
          <cell r="D3409" t="str">
            <v>Blueberry - Plain</v>
          </cell>
        </row>
        <row r="3410">
          <cell r="A3410" t="str">
            <v>Vedaka Dry Dates powder 250gm (B0DRDCLY1Q)</v>
          </cell>
          <cell r="B3410" t="str">
            <v>FG</v>
          </cell>
          <cell r="C3410" t="str">
            <v>DATES</v>
          </cell>
          <cell r="D3410" t="str">
            <v>Powder</v>
          </cell>
        </row>
        <row r="3411">
          <cell r="A3411" t="str">
            <v>Vedaka Dry Dates powder 500g (B0DRD9F8G2)</v>
          </cell>
          <cell r="B3411" t="str">
            <v>FG</v>
          </cell>
          <cell r="C3411" t="str">
            <v>DATES</v>
          </cell>
          <cell r="D3411" t="str">
            <v>Powder</v>
          </cell>
        </row>
        <row r="3412">
          <cell r="A3412" t="str">
            <v>Vedaka Dry Fruit Combo - Almonds and Cashews (2 X 200 gm) (B0BVVRS2N7)</v>
          </cell>
          <cell r="B3412" t="str">
            <v>FG</v>
          </cell>
          <cell r="C3412" t="str">
            <v>TRAIL MIX</v>
          </cell>
          <cell r="D3412" t="str">
            <v>Trail Mix</v>
          </cell>
        </row>
        <row r="3413">
          <cell r="A3413" t="str">
            <v>Vedaka Dry Fruit Combo - Almonds and Raisins (2 X 200 gm) (B0BTHYWT53)</v>
          </cell>
          <cell r="B3413" t="str">
            <v>FG</v>
          </cell>
          <cell r="C3413" t="str">
            <v>TRAIL MIX</v>
          </cell>
          <cell r="D3413" t="str">
            <v>Trail Mix</v>
          </cell>
        </row>
        <row r="3414">
          <cell r="A3414" t="str">
            <v>Vedaka Dry Fruit Combo - Raisins and Cashews (2 X 200 gm) (B0BVVVGN99)</v>
          </cell>
          <cell r="B3414" t="str">
            <v>FG</v>
          </cell>
          <cell r="C3414" t="str">
            <v>TRAIL MIX</v>
          </cell>
          <cell r="D3414" t="str">
            <v>Trail Mix</v>
          </cell>
        </row>
        <row r="3415">
          <cell r="A3415" t="str">
            <v>Vedaka Fard Dates (Omani) - (500gm x 2) (B0D9NZY7RK)</v>
          </cell>
          <cell r="B3415" t="str">
            <v>FG</v>
          </cell>
          <cell r="C3415" t="str">
            <v>DATES</v>
          </cell>
          <cell r="D3415" t="str">
            <v>Fard</v>
          </cell>
        </row>
        <row r="3416">
          <cell r="A3416" t="str">
            <v>Vedaka Fresh Dates 500g (102219254)</v>
          </cell>
          <cell r="B3416" t="str">
            <v>FG</v>
          </cell>
          <cell r="C3416" t="str">
            <v>DATES</v>
          </cell>
          <cell r="D3416" t="str">
            <v>Barhi</v>
          </cell>
        </row>
        <row r="3417">
          <cell r="A3417" t="str">
            <v>Vedaka Fresh Dates 500gm (Pack of 2) [B0D9P11T76]</v>
          </cell>
          <cell r="B3417" t="str">
            <v>FG</v>
          </cell>
          <cell r="C3417" t="str">
            <v>DATES</v>
          </cell>
          <cell r="D3417" t="str">
            <v>Khalas</v>
          </cell>
        </row>
        <row r="3418">
          <cell r="A3418" t="str">
            <v>Vedaka Healthy Seed Mix 200gm(B0B69L57PV)</v>
          </cell>
          <cell r="B3418" t="str">
            <v>FG</v>
          </cell>
          <cell r="C3418" t="str">
            <v>TRAIL MIX</v>
          </cell>
          <cell r="D3418" t="str">
            <v>Trail Mix</v>
          </cell>
        </row>
        <row r="3419">
          <cell r="A3419" t="str">
            <v>Vedaka Peri Peri Cashew 200g (B0BVVRRYVC)</v>
          </cell>
          <cell r="B3419" t="str">
            <v>FG</v>
          </cell>
          <cell r="C3419" t="str">
            <v>CASHEW</v>
          </cell>
          <cell r="D3419" t="str">
            <v>Cashew - Kernel</v>
          </cell>
        </row>
        <row r="3420">
          <cell r="A3420" t="str">
            <v>Vedaka Popular Cashew Broken 100g FBA(B07GR3S1RL)</v>
          </cell>
          <cell r="B3420" t="str">
            <v>FG</v>
          </cell>
          <cell r="C3420" t="str">
            <v>CASHEW</v>
          </cell>
          <cell r="D3420" t="str">
            <v>Cashew - Kernel</v>
          </cell>
        </row>
        <row r="3421">
          <cell r="A3421" t="str">
            <v>Vedaka Popular Cashew Broken 200g FBA(B07GQWS1BS)</v>
          </cell>
          <cell r="B3421" t="str">
            <v>FG</v>
          </cell>
          <cell r="C3421" t="str">
            <v>CASHEW</v>
          </cell>
          <cell r="D3421" t="str">
            <v>Cashew - Kernel</v>
          </cell>
        </row>
        <row r="3422">
          <cell r="A3422" t="str">
            <v>Vedaka Popular Raisins, 100 g (B07GRBFFMS)</v>
          </cell>
          <cell r="B3422" t="str">
            <v>FG</v>
          </cell>
          <cell r="C3422" t="str">
            <v>RAISIN</v>
          </cell>
          <cell r="D3422" t="str">
            <v>Raisin - Indian</v>
          </cell>
        </row>
        <row r="3423">
          <cell r="A3423" t="str">
            <v>Vedaka Popular Raisins, 1 kg (B07GR82XJR)</v>
          </cell>
          <cell r="B3423" t="str">
            <v>FG</v>
          </cell>
          <cell r="C3423" t="str">
            <v>RAISIN</v>
          </cell>
          <cell r="D3423" t="str">
            <v>Raisin - Indian</v>
          </cell>
        </row>
        <row r="3424">
          <cell r="A3424" t="str">
            <v>Vedaka Premium Black Raisins 100g B07GQVNVV8</v>
          </cell>
          <cell r="B3424" t="str">
            <v>FG</v>
          </cell>
          <cell r="C3424" t="str">
            <v>RAISIN</v>
          </cell>
          <cell r="D3424" t="str">
            <v>Raisin - Black</v>
          </cell>
        </row>
        <row r="3425">
          <cell r="A3425" t="str">
            <v>Vedaka Premium Black Raisins 200g (B07GR346FX)</v>
          </cell>
          <cell r="B3425" t="str">
            <v>FG</v>
          </cell>
          <cell r="C3425" t="str">
            <v>RAISIN</v>
          </cell>
          <cell r="D3425" t="str">
            <v>Raisin - Black</v>
          </cell>
        </row>
        <row r="3426">
          <cell r="A3426" t="str">
            <v>Vedaka Premium Blueberries 1kg (B07GR82XK8)</v>
          </cell>
          <cell r="B3426" t="str">
            <v>FG</v>
          </cell>
          <cell r="C3426" t="str">
            <v>BLUEBERRY</v>
          </cell>
          <cell r="D3426" t="str">
            <v>Blueberry - Plain</v>
          </cell>
        </row>
        <row r="3427">
          <cell r="A3427" t="str">
            <v>Vedaka Premium Blueberries 200g (B07GQWST7K)</v>
          </cell>
          <cell r="B3427" t="str">
            <v>FG</v>
          </cell>
          <cell r="C3427" t="str">
            <v>BLUEBERRY</v>
          </cell>
          <cell r="D3427" t="str">
            <v>Blueberry - Plain</v>
          </cell>
        </row>
        <row r="3428">
          <cell r="A3428" t="str">
            <v>Vedaka Premium Blueberries 500g (B07GR8MCNZ)</v>
          </cell>
          <cell r="B3428" t="str">
            <v>FG</v>
          </cell>
          <cell r="C3428" t="str">
            <v>BLUEBERRY</v>
          </cell>
          <cell r="D3428" t="str">
            <v>Blueberry - Plain</v>
          </cell>
        </row>
        <row r="3429">
          <cell r="A3429" t="str">
            <v>Vedaka Premium Dry Fruits Combo 1000 gm Gift Box ( B0BBDP8GR2 )</v>
          </cell>
          <cell r="B3429" t="str">
            <v>FG</v>
          </cell>
          <cell r="C3429" t="str">
            <v>FESTIVE HAMPERS</v>
          </cell>
          <cell r="D3429" t="str">
            <v>Gifting</v>
          </cell>
        </row>
        <row r="3430">
          <cell r="A3430" t="str">
            <v>Vedaka Premium Flavored Dry Fruits 500 gm Gift Box (B0CGVC7DF2)</v>
          </cell>
          <cell r="B3430" t="str">
            <v>FG</v>
          </cell>
          <cell r="C3430" t="str">
            <v>FESTIVE HAMPERS</v>
          </cell>
          <cell r="D3430" t="str">
            <v>Gifting</v>
          </cell>
        </row>
        <row r="3431">
          <cell r="A3431" t="str">
            <v>Vedaka Premium Inshell Walnuts 500g(B07LFJZR46)</v>
          </cell>
          <cell r="B3431" t="str">
            <v>FG</v>
          </cell>
          <cell r="C3431" t="str">
            <v>WALNUT</v>
          </cell>
          <cell r="D3431" t="str">
            <v>Walnut - Inshell</v>
          </cell>
        </row>
        <row r="3432">
          <cell r="A3432" t="str">
            <v>Vedaka Premium Inshell Walnuts 500g (Pack of 2)B07MSXKDNQ</v>
          </cell>
          <cell r="B3432" t="str">
            <v>FG</v>
          </cell>
          <cell r="C3432" t="str">
            <v>WALNUT</v>
          </cell>
          <cell r="D3432" t="str">
            <v>Walnut - Inshell</v>
          </cell>
        </row>
        <row r="3433">
          <cell r="A3433" t="str">
            <v>Vedaka Premium Raw Pumpkin Seeds (B0D9NZ6BHJ)</v>
          </cell>
          <cell r="B3433" t="str">
            <v>FG</v>
          </cell>
          <cell r="C3433" t="str">
            <v>SEEDS</v>
          </cell>
          <cell r="D3433" t="str">
            <v>Pumpkin</v>
          </cell>
        </row>
        <row r="3434">
          <cell r="A3434" t="str">
            <v>Vedaka Premium Roasted and Salted Almonds100g B07GQQJP1N</v>
          </cell>
          <cell r="B3434" t="str">
            <v>FG</v>
          </cell>
          <cell r="C3434" t="str">
            <v>ALMOND</v>
          </cell>
          <cell r="D3434" t="str">
            <v>Almond - Kernels</v>
          </cell>
        </row>
        <row r="3435">
          <cell r="A3435" t="str">
            <v>Vedaka Premium Roasted and Salted Almonds 200g B07GR346FM</v>
          </cell>
          <cell r="B3435" t="str">
            <v>FG</v>
          </cell>
          <cell r="C3435" t="str">
            <v>ALMOND</v>
          </cell>
          <cell r="D3435" t="str">
            <v>Almond - Kernels</v>
          </cell>
        </row>
        <row r="3436">
          <cell r="A3436" t="str">
            <v>Vedaka Premium Sunflower Seeds 500g (B07GR2G67L)</v>
          </cell>
          <cell r="B3436" t="str">
            <v>FG</v>
          </cell>
          <cell r="C3436" t="str">
            <v>SEEDS</v>
          </cell>
          <cell r="D3436" t="str">
            <v>Sunflower</v>
          </cell>
        </row>
        <row r="3437">
          <cell r="A3437" t="str">
            <v>Vedaka Premium Whole Cranberries 100g B07GR24VMV</v>
          </cell>
          <cell r="B3437" t="str">
            <v>FG</v>
          </cell>
          <cell r="C3437" t="str">
            <v>CRANBERRY</v>
          </cell>
          <cell r="D3437" t="str">
            <v>Cranberry - Whole</v>
          </cell>
        </row>
        <row r="3438">
          <cell r="A3438" t="str">
            <v>Vedaka Premium Whole Cranberries 1kg (B07GR8351K)</v>
          </cell>
          <cell r="B3438" t="str">
            <v>FG</v>
          </cell>
          <cell r="C3438" t="str">
            <v>CRANBERRY</v>
          </cell>
          <cell r="D3438" t="str">
            <v>Cranberry - Whole</v>
          </cell>
        </row>
        <row r="3439">
          <cell r="A3439" t="str">
            <v>Vedaka Premium Whole Cranberries 200g (B07GR2G678)</v>
          </cell>
          <cell r="B3439" t="str">
            <v>FG</v>
          </cell>
          <cell r="C3439" t="str">
            <v>CRANBERRY</v>
          </cell>
          <cell r="D3439" t="str">
            <v>Cranberry - Whole</v>
          </cell>
        </row>
        <row r="3440">
          <cell r="A3440" t="str">
            <v>Vedaka Premium Whole Cranberries 500g (B07GQS1669)</v>
          </cell>
          <cell r="B3440" t="str">
            <v>FG</v>
          </cell>
          <cell r="C3440" t="str">
            <v>CRANBERRY</v>
          </cell>
          <cell r="D3440" t="str">
            <v>Cranberry - Whole</v>
          </cell>
        </row>
        <row r="3441">
          <cell r="A3441" t="str">
            <v>Vedaka Raw Flaxseed 1kg (B0D9NZS3JT)</v>
          </cell>
          <cell r="B3441" t="str">
            <v>FG</v>
          </cell>
          <cell r="C3441" t="str">
            <v>SEEDS</v>
          </cell>
          <cell r="D3441" t="str">
            <v>FLax</v>
          </cell>
        </row>
        <row r="3442">
          <cell r="A3442" t="str">
            <v>Vedaka Roasted and Salted California Pistachios 500g (B0D9NY8F36)</v>
          </cell>
          <cell r="B3442" t="str">
            <v>FG</v>
          </cell>
          <cell r="C3442" t="str">
            <v>PISTA</v>
          </cell>
          <cell r="D3442" t="str">
            <v>Pista - Inshell</v>
          </cell>
        </row>
        <row r="3443">
          <cell r="A3443" t="str">
            <v>Vedaka Salted Peanuts - 200g (B0CZ9GZ9F2)</v>
          </cell>
          <cell r="B3443" t="str">
            <v>FG</v>
          </cell>
          <cell r="C3443" t="str">
            <v>PEANUTS</v>
          </cell>
          <cell r="D3443" t="str">
            <v>Peanut - Whole</v>
          </cell>
        </row>
        <row r="3444">
          <cell r="A3444" t="str">
            <v>Vedaka Salted Peanuts 200 gm (102219262)</v>
          </cell>
          <cell r="B3444" t="str">
            <v>FG</v>
          </cell>
          <cell r="C3444" t="str">
            <v>PEANUTS</v>
          </cell>
          <cell r="D3444" t="str">
            <v>Peanut - Whole</v>
          </cell>
        </row>
        <row r="3445">
          <cell r="A3445" t="str">
            <v>Vedaka Turkish Dried Apricots (500gm x 2) (B0D9P1DS9Q)</v>
          </cell>
          <cell r="B3445" t="str">
            <v>FG</v>
          </cell>
          <cell r="C3445" t="str">
            <v>APRICOT</v>
          </cell>
          <cell r="D3445" t="str">
            <v>Apricot - Turkey</v>
          </cell>
        </row>
        <row r="3446">
          <cell r="A3446" t="str">
            <v>Vedaka Whole California Pista Kernels 500gm [B0D9NY1V9X]</v>
          </cell>
          <cell r="B3446" t="str">
            <v>FG</v>
          </cell>
          <cell r="C3446" t="str">
            <v>PISTA</v>
          </cell>
          <cell r="D3446" t="str">
            <v>Pista - Kernel</v>
          </cell>
        </row>
        <row r="3447">
          <cell r="A3447" t="str">
            <v>Vedaka Whole Cashews (Grade W320) 1kg (B0D9NY9M32)</v>
          </cell>
          <cell r="B3447" t="str">
            <v>FG</v>
          </cell>
          <cell r="C3447" t="str">
            <v>CASHEW</v>
          </cell>
          <cell r="D3447" t="str">
            <v>Cashew - Kernel</v>
          </cell>
        </row>
        <row r="3448">
          <cell r="A3448" t="str">
            <v>Vitamins and Minerals Premix</v>
          </cell>
          <cell r="B3448" t="str">
            <v>RM</v>
          </cell>
          <cell r="C3448" t="str">
            <v>MISCELLANEOUS - RM</v>
          </cell>
          <cell r="D3448" t="str">
            <v>Other Misc</v>
          </cell>
        </row>
        <row r="3449">
          <cell r="A3449" t="str">
            <v>Walnut Flavoured Salt &amp; Pepper (Quarters) Loose</v>
          </cell>
          <cell r="B3449" t="str">
            <v>FG</v>
          </cell>
          <cell r="C3449" t="str">
            <v>WALNUT</v>
          </cell>
          <cell r="D3449" t="str">
            <v>Walnut - Broken</v>
          </cell>
        </row>
        <row r="3450">
          <cell r="A3450" t="str">
            <v>Walnut Tukda</v>
          </cell>
          <cell r="B3450" t="str">
            <v>RM</v>
          </cell>
          <cell r="C3450" t="str">
            <v>WALNUT</v>
          </cell>
          <cell r="D3450" t="str">
            <v>Walnut - Broken</v>
          </cell>
        </row>
        <row r="3451">
          <cell r="A3451" t="str">
            <v>WASABI MACADAMIA STYLE 4</v>
          </cell>
          <cell r="B3451" t="str">
            <v>FG</v>
          </cell>
          <cell r="C3451" t="str">
            <v>PREMIUM NUTS</v>
          </cell>
          <cell r="D3451" t="str">
            <v>Macadamia Nuts</v>
          </cell>
        </row>
        <row r="3452">
          <cell r="A3452" t="str">
            <v>Wasabi Makhana</v>
          </cell>
          <cell r="B3452" t="str">
            <v>FG</v>
          </cell>
          <cell r="C3452" t="str">
            <v>MAKHANA</v>
          </cell>
          <cell r="D3452" t="str">
            <v>Makhana - Suta</v>
          </cell>
        </row>
        <row r="3453">
          <cell r="A3453" t="str">
            <v>Wasabi Seasoning  AB343</v>
          </cell>
          <cell r="B3453" t="str">
            <v>RM</v>
          </cell>
          <cell r="C3453" t="str">
            <v>SEASONING</v>
          </cell>
          <cell r="D3453" t="str">
            <v>Seasoning</v>
          </cell>
        </row>
        <row r="3454">
          <cell r="A3454" t="str">
            <v>WATER CHESNUT LOOSE</v>
          </cell>
          <cell r="B3454" t="str">
            <v>RM</v>
          </cell>
          <cell r="C3454" t="str">
            <v>DEHYDRATED FRUITS</v>
          </cell>
          <cell r="D3454" t="str">
            <v>DF - Other</v>
          </cell>
        </row>
        <row r="3455">
          <cell r="A3455" t="str">
            <v>Water Melon Seed</v>
          </cell>
          <cell r="B3455" t="str">
            <v>RM</v>
          </cell>
          <cell r="C3455" t="str">
            <v>SEEDS</v>
          </cell>
          <cell r="D3455" t="str">
            <v>Watermelon</v>
          </cell>
        </row>
        <row r="3456">
          <cell r="A3456" t="str">
            <v>Watermelon Seeds Roasted</v>
          </cell>
          <cell r="B3456" t="str">
            <v>RM</v>
          </cell>
          <cell r="C3456" t="str">
            <v>SEEDS</v>
          </cell>
          <cell r="D3456" t="str">
            <v>Watermelon</v>
          </cell>
        </row>
        <row r="3457">
          <cell r="A3457" t="str">
            <v>Wet Dates Khalas</v>
          </cell>
          <cell r="B3457" t="str">
            <v>RM</v>
          </cell>
          <cell r="C3457" t="str">
            <v>DATES</v>
          </cell>
          <cell r="D3457" t="str">
            <v>Khalas</v>
          </cell>
        </row>
        <row r="3458">
          <cell r="A3458" t="str">
            <v>Wet Dates Safavi</v>
          </cell>
          <cell r="B3458" t="str">
            <v>RM</v>
          </cell>
          <cell r="C3458" t="str">
            <v>DATES</v>
          </cell>
          <cell r="D3458" t="str">
            <v>Safavi</v>
          </cell>
        </row>
        <row r="3459">
          <cell r="A3459" t="str">
            <v>Wet Dates Seedless Khalas</v>
          </cell>
          <cell r="B3459" t="str">
            <v>RM</v>
          </cell>
          <cell r="C3459" t="str">
            <v>DATES</v>
          </cell>
          <cell r="D3459" t="str">
            <v>Seedless</v>
          </cell>
        </row>
        <row r="3460">
          <cell r="A3460" t="str">
            <v>Wet Dates Seedless Safavi</v>
          </cell>
          <cell r="B3460" t="str">
            <v>RM</v>
          </cell>
          <cell r="C3460" t="str">
            <v>DATES</v>
          </cell>
          <cell r="D3460" t="str">
            <v>Safavi</v>
          </cell>
        </row>
        <row r="3461">
          <cell r="A3461" t="str">
            <v>Wet Dates Seggai</v>
          </cell>
          <cell r="B3461" t="str">
            <v>RM</v>
          </cell>
          <cell r="C3461" t="str">
            <v>DATES</v>
          </cell>
          <cell r="D3461" t="str">
            <v>Seggai</v>
          </cell>
        </row>
        <row r="3462">
          <cell r="A3462" t="str">
            <v>Wheat Aata (Wheat Flour)- TPL - 5%</v>
          </cell>
          <cell r="B3462" t="str">
            <v>RM</v>
          </cell>
          <cell r="C3462" t="str">
            <v>TAJIR</v>
          </cell>
          <cell r="D3462" t="str">
            <v>Tajir - Other</v>
          </cell>
        </row>
        <row r="3463">
          <cell r="A3463" t="str">
            <v>Wheat Atta</v>
          </cell>
          <cell r="B3463" t="str">
            <v>RM</v>
          </cell>
          <cell r="C3463" t="str">
            <v>TAJIR</v>
          </cell>
          <cell r="D3463" t="str">
            <v>Tajir - Other</v>
          </cell>
        </row>
        <row r="3464">
          <cell r="A3464" t="str">
            <v>Wheat Puff</v>
          </cell>
          <cell r="B3464" t="str">
            <v>RM</v>
          </cell>
          <cell r="C3464" t="str">
            <v>MISCELLANEOUS - RM</v>
          </cell>
          <cell r="D3464" t="str">
            <v>Other Misc</v>
          </cell>
        </row>
        <row r="3465">
          <cell r="A3465" t="str">
            <v>Wheat Starch - TPL</v>
          </cell>
          <cell r="B3465" t="str">
            <v>RM</v>
          </cell>
          <cell r="C3465" t="str">
            <v>TAJIR</v>
          </cell>
          <cell r="D3465" t="str">
            <v>Tajir - Other</v>
          </cell>
        </row>
        <row r="3466">
          <cell r="A3466" t="str">
            <v>White Almond Draggies</v>
          </cell>
          <cell r="B3466" t="str">
            <v>FG</v>
          </cell>
          <cell r="C3466" t="str">
            <v>ALMOND</v>
          </cell>
          <cell r="D3466" t="str">
            <v>Almond - Kernels</v>
          </cell>
        </row>
        <row r="3467">
          <cell r="A3467" t="str">
            <v>WHITE CHOCOLATE W2</v>
          </cell>
          <cell r="B3467" t="str">
            <v>RM</v>
          </cell>
          <cell r="C3467" t="str">
            <v>MISCELLANEOUS - RM</v>
          </cell>
          <cell r="D3467" t="str">
            <v>Chocolate</v>
          </cell>
        </row>
        <row r="3468">
          <cell r="A3468" t="str">
            <v>White Pepper (White Miri)</v>
          </cell>
          <cell r="B3468" t="str">
            <v>RM</v>
          </cell>
          <cell r="C3468" t="str">
            <v>SEASONING</v>
          </cell>
          <cell r="D3468" t="str">
            <v>Seasoning</v>
          </cell>
        </row>
        <row r="3469">
          <cell r="A3469" t="str">
            <v>Wholesome millet laddu bar 35gm</v>
          </cell>
          <cell r="B3469" t="str">
            <v>FG</v>
          </cell>
          <cell r="C3469" t="str">
            <v>BARS &amp; CEREALS</v>
          </cell>
          <cell r="D3469" t="str">
            <v>Energy Bars</v>
          </cell>
        </row>
        <row r="3470">
          <cell r="A3470" t="str">
            <v>Wholesome Millet LadduBar Pack of 6</v>
          </cell>
          <cell r="B3470" t="str">
            <v>FG</v>
          </cell>
          <cell r="C3470" t="str">
            <v>BARS &amp; CEREALS</v>
          </cell>
          <cell r="D3470" t="str">
            <v>Energy Bars</v>
          </cell>
        </row>
        <row r="3471">
          <cell r="A3471" t="str">
            <v>Wholesome millet laddu bar (semi finished)</v>
          </cell>
          <cell r="B3471" t="str">
            <v>FG</v>
          </cell>
          <cell r="C3471" t="str">
            <v>BARS &amp; CEREALS</v>
          </cell>
          <cell r="D3471" t="str">
            <v>Energy Bars</v>
          </cell>
        </row>
        <row r="3472">
          <cell r="A3472" t="str">
            <v>Yoghurt Powder</v>
          </cell>
          <cell r="B3472" t="str">
            <v>RM</v>
          </cell>
          <cell r="C3472" t="str">
            <v>MISCELLANEOUS - RM</v>
          </cell>
          <cell r="D3472" t="str">
            <v>Other Misc</v>
          </cell>
        </row>
        <row r="3473">
          <cell r="A3473" t="str">
            <v>YUMASANA CASHEWS- BARBEQUE 150g</v>
          </cell>
          <cell r="B3473" t="str">
            <v>FG</v>
          </cell>
          <cell r="C3473" t="str">
            <v>CASHEW</v>
          </cell>
          <cell r="D3473" t="str">
            <v>Cashew - Kernel</v>
          </cell>
        </row>
        <row r="3474">
          <cell r="A3474" t="str">
            <v>YUMASANA CASHEWS- PEPPER 150g</v>
          </cell>
          <cell r="B3474" t="str">
            <v>FG</v>
          </cell>
          <cell r="C3474" t="str">
            <v>CASHEW</v>
          </cell>
          <cell r="D3474" t="str">
            <v>Cashew - Kernel</v>
          </cell>
        </row>
        <row r="3475">
          <cell r="A3475" t="str">
            <v>YUMASANA CASHEWS- SALTED 150g</v>
          </cell>
          <cell r="B3475" t="str">
            <v>FG</v>
          </cell>
          <cell r="C3475" t="str">
            <v>CASHEW</v>
          </cell>
          <cell r="D3475" t="str">
            <v>Cashew - Kernel</v>
          </cell>
        </row>
        <row r="3476">
          <cell r="A3476" t="str">
            <v>YUMASANA CASHEWS- SOUR CREAM 150g</v>
          </cell>
          <cell r="B3476" t="str">
            <v>FG</v>
          </cell>
          <cell r="C3476" t="str">
            <v>CASHEW</v>
          </cell>
          <cell r="D3476" t="str">
            <v>Cashew - Kernel</v>
          </cell>
        </row>
        <row r="3477">
          <cell r="A3477" t="str">
            <v>YUMASANA COATED PEANUTS - BARB EQUE 150g</v>
          </cell>
          <cell r="B3477" t="str">
            <v>FG</v>
          </cell>
          <cell r="C3477" t="str">
            <v>PEANUTS</v>
          </cell>
          <cell r="D3477" t="str">
            <v>Peanut - Coated</v>
          </cell>
        </row>
        <row r="3478">
          <cell r="A3478" t="str">
            <v>YUMASANA COATED PEANUTS - CHILLI GARLIC 150g</v>
          </cell>
          <cell r="B3478" t="str">
            <v>FG</v>
          </cell>
          <cell r="C3478" t="str">
            <v>PEANUTS</v>
          </cell>
          <cell r="D3478" t="str">
            <v>Peanut - Coated</v>
          </cell>
        </row>
        <row r="3479">
          <cell r="A3479" t="str">
            <v>YUMASANA COATED PEANUTS - PERI PERI 150g</v>
          </cell>
          <cell r="B3479" t="str">
            <v>FG</v>
          </cell>
          <cell r="C3479" t="str">
            <v>PEANUTS</v>
          </cell>
          <cell r="D3479" t="str">
            <v>Peanut - Coated</v>
          </cell>
        </row>
        <row r="3480">
          <cell r="A3480" t="str">
            <v>YUMASANA COATED PEANUTS - THAI CHILLI 150g</v>
          </cell>
          <cell r="B3480" t="str">
            <v>FG</v>
          </cell>
          <cell r="C3480" t="str">
            <v>PEANUTS</v>
          </cell>
          <cell r="D3480" t="str">
            <v>Peanut - Coated</v>
          </cell>
        </row>
        <row r="3481">
          <cell r="A3481" t="str">
            <v>YUMSANA CHOCO HAZELNUT SPREAD 340GM</v>
          </cell>
          <cell r="B3481" t="str">
            <v>FG</v>
          </cell>
          <cell r="C3481" t="str">
            <v>TRAIL MIX</v>
          </cell>
          <cell r="D3481" t="str">
            <v>Trail Mix</v>
          </cell>
        </row>
        <row r="3482">
          <cell r="A3482" t="str">
            <v>Zahidi Dates</v>
          </cell>
          <cell r="B3482" t="str">
            <v>RM</v>
          </cell>
          <cell r="C3482" t="str">
            <v>DATES</v>
          </cell>
          <cell r="D3482" t="str">
            <v>Zahidi</v>
          </cell>
        </row>
        <row r="3483">
          <cell r="A3483" t="str">
            <v>Zahidi Grade B</v>
          </cell>
          <cell r="B3483" t="str">
            <v>RM</v>
          </cell>
          <cell r="C3483" t="str">
            <v>DATES</v>
          </cell>
          <cell r="D3483" t="str">
            <v>Zahidi</v>
          </cell>
        </row>
        <row r="3484">
          <cell r="A3484" t="str">
            <v>Zorro Maple Glazed Pecans 100g</v>
          </cell>
          <cell r="B3484" t="str">
            <v>FG</v>
          </cell>
          <cell r="C3484" t="str">
            <v>PREMIUM NUTS</v>
          </cell>
          <cell r="D3484" t="str">
            <v>Pecan Nuts</v>
          </cell>
        </row>
        <row r="3485">
          <cell r="A3485" t="str">
            <v>Zorro Pecan 100g</v>
          </cell>
          <cell r="B3485" t="str">
            <v>FG</v>
          </cell>
          <cell r="C3485" t="str">
            <v>PREMIUM NUTS</v>
          </cell>
          <cell r="D3485" t="str">
            <v>Pecan Nuts</v>
          </cell>
        </row>
        <row r="3486">
          <cell r="A3486" t="str">
            <v>Zorro Pecan Grain Free Granola 100g</v>
          </cell>
          <cell r="B3486" t="str">
            <v>FG</v>
          </cell>
          <cell r="C3486" t="str">
            <v>PREMIUM NUTS</v>
          </cell>
          <cell r="D3486" t="str">
            <v>Pecan Nuts</v>
          </cell>
        </row>
        <row r="3487">
          <cell r="A3487" t="str">
            <v>Zorro Roasted &amp; Lightly Salted Pecans 100g</v>
          </cell>
          <cell r="B3487" t="str">
            <v>FG</v>
          </cell>
          <cell r="C3487" t="str">
            <v>PREMIUM NUTS</v>
          </cell>
          <cell r="D3487" t="str">
            <v>Pecan Nuts</v>
          </cell>
        </row>
        <row r="3488">
          <cell r="A3488" t="str">
            <v>Zorro Sweet &amp; Spicy Pecan 100g</v>
          </cell>
          <cell r="B3488" t="str">
            <v>FG</v>
          </cell>
          <cell r="C3488" t="str">
            <v>PREMIUM NUTS</v>
          </cell>
          <cell r="D3488" t="str">
            <v>Pecan Nuts</v>
          </cell>
        </row>
        <row r="3489">
          <cell r="A3489" t="str">
            <v>Date Bites Rose (Semi Finished)</v>
          </cell>
          <cell r="B3489" t="str">
            <v>FG</v>
          </cell>
          <cell r="C3489" t="str">
            <v>BARS &amp; CEREALS</v>
          </cell>
          <cell r="D3489" t="str">
            <v>Bites</v>
          </cell>
        </row>
        <row r="3490">
          <cell r="A3490" t="str">
            <v>GARLIC POWDER - SPICES</v>
          </cell>
          <cell r="B3490" t="str">
            <v>RM</v>
          </cell>
          <cell r="C3490" t="str">
            <v>SEASONING</v>
          </cell>
          <cell r="D3490" t="str">
            <v>Seasoning</v>
          </cell>
        </row>
        <row r="3491">
          <cell r="A3491" t="str">
            <v>Nachni Atta</v>
          </cell>
          <cell r="B3491" t="str">
            <v>RM</v>
          </cell>
          <cell r="C3491" t="str">
            <v>MISCELLANEOUS - RM</v>
          </cell>
          <cell r="D3491" t="str">
            <v>Flour</v>
          </cell>
        </row>
        <row r="3492">
          <cell r="A3492" t="str">
            <v>Onion Powder-spices</v>
          </cell>
          <cell r="B3492" t="str">
            <v>RM</v>
          </cell>
          <cell r="C3492" t="str">
            <v>SEASONING</v>
          </cell>
          <cell r="D3492" t="str">
            <v>Seasoning</v>
          </cell>
        </row>
        <row r="3493">
          <cell r="A3493" t="str">
            <v>Quinoa Seeds</v>
          </cell>
          <cell r="B3493" t="str">
            <v>RM</v>
          </cell>
          <cell r="C3493" t="str">
            <v>SEEDS</v>
          </cell>
          <cell r="D3493" t="str">
            <v>Other Seeds</v>
          </cell>
        </row>
        <row r="3494">
          <cell r="A3494" t="str">
            <v>Rice Atta</v>
          </cell>
          <cell r="B3494" t="str">
            <v>RM</v>
          </cell>
          <cell r="C3494" t="str">
            <v>MISCELLANEOUS - RM</v>
          </cell>
          <cell r="D3494" t="str">
            <v>Flour</v>
          </cell>
        </row>
        <row r="3495">
          <cell r="A3495" t="str">
            <v>Rock Salt -Sendha Namak Powder</v>
          </cell>
          <cell r="B3495" t="str">
            <v>RM</v>
          </cell>
          <cell r="C3495" t="str">
            <v>SALT</v>
          </cell>
          <cell r="D3495" t="str">
            <v>Salt</v>
          </cell>
        </row>
        <row r="3496">
          <cell r="A3496" t="str">
            <v>NB APRICOT SEEDLESS (TURKEY) DRIED LOOSE</v>
          </cell>
          <cell r="B3496" t="str">
            <v>FG</v>
          </cell>
          <cell r="C3496" t="str">
            <v>APRICOT</v>
          </cell>
          <cell r="D3496" t="str">
            <v>Apricot - Turkey</v>
          </cell>
        </row>
        <row r="3497">
          <cell r="A3497" t="str">
            <v>PM24-40 Mic Preformed Heat Shrinkable Pvc Seal For Square Boxes (6"x6") 3000 gm</v>
          </cell>
          <cell r="B3497" t="str">
            <v>PM</v>
          </cell>
          <cell r="C3497" t="str">
            <v>Packaging</v>
          </cell>
          <cell r="D3497" t="str">
            <v>Roll</v>
          </cell>
        </row>
        <row r="3498">
          <cell r="A3498" t="str">
            <v>Printing and Stationery 12%</v>
          </cell>
          <cell r="B3498">
            <v>0</v>
          </cell>
          <cell r="C3498" t="str">
            <v>Others</v>
          </cell>
          <cell r="D3498" t="str">
            <v>Others</v>
          </cell>
        </row>
        <row r="3499">
          <cell r="A3499" t="str">
            <v>Re Engraving of Cylinders_Design Plates</v>
          </cell>
          <cell r="B3499" t="str">
            <v>PM</v>
          </cell>
          <cell r="C3499" t="str">
            <v>Packaging</v>
          </cell>
          <cell r="D3499" t="str">
            <v>PM</v>
          </cell>
        </row>
        <row r="3500">
          <cell r="A3500" t="str">
            <v>Store, Spare and Consumable (12%)</v>
          </cell>
          <cell r="B3500">
            <v>0</v>
          </cell>
          <cell r="C3500" t="str">
            <v>Consumables</v>
          </cell>
          <cell r="D3500" t="str">
            <v>Consumables</v>
          </cell>
        </row>
        <row r="3501">
          <cell r="A3501" t="str">
            <v>PM24-Habit Coconut Cream Pouch 100 gm</v>
          </cell>
          <cell r="B3501" t="str">
            <v>PM</v>
          </cell>
          <cell r="C3501" t="str">
            <v>Packaging</v>
          </cell>
          <cell r="D3501" t="str">
            <v>Pouch</v>
          </cell>
        </row>
        <row r="3502">
          <cell r="A3502" t="str">
            <v>PM24-Habit Coconut Cream Powder Pouch 1000 gm</v>
          </cell>
          <cell r="B3502" t="str">
            <v>PM</v>
          </cell>
          <cell r="C3502" t="str">
            <v>Packaging</v>
          </cell>
          <cell r="D3502" t="str">
            <v>Pouch</v>
          </cell>
        </row>
        <row r="3503">
          <cell r="A3503" t="str">
            <v>PM24-Hamper-Net Potli Basket 10 x 10 x 3 Limited Edition</v>
          </cell>
          <cell r="B3503" t="str">
            <v>PM</v>
          </cell>
          <cell r="C3503" t="str">
            <v>Packaging</v>
          </cell>
          <cell r="D3503" t="str">
            <v>Hamper-Basket</v>
          </cell>
        </row>
        <row r="3504">
          <cell r="A3504" t="str">
            <v>PM24-Pet 100 gm</v>
          </cell>
          <cell r="B3504" t="str">
            <v>PM</v>
          </cell>
          <cell r="C3504" t="str">
            <v>Packaging</v>
          </cell>
          <cell r="D3504" t="str">
            <v>Pet</v>
          </cell>
        </row>
        <row r="3505">
          <cell r="A3505" t="str">
            <v>PM24-Pet Jar 250 gm</v>
          </cell>
          <cell r="B3505" t="str">
            <v>PM</v>
          </cell>
          <cell r="C3505" t="str">
            <v>Packaging</v>
          </cell>
          <cell r="D3505" t="str">
            <v>Pet</v>
          </cell>
        </row>
        <row r="3506">
          <cell r="A3506" t="str">
            <v>PM24-Royal Delight Date Mewa Classic Sleeve 210 gm</v>
          </cell>
          <cell r="B3506" t="str">
            <v>PM</v>
          </cell>
          <cell r="C3506" t="str">
            <v>Packaging</v>
          </cell>
          <cell r="D3506" t="str">
            <v xml:space="preserve">Monocarton </v>
          </cell>
        </row>
        <row r="3507">
          <cell r="A3507" t="str">
            <v>SCORPIO CAR</v>
          </cell>
          <cell r="B3507" t="str">
            <v>FA</v>
          </cell>
          <cell r="C3507" t="str">
            <v>Fixed Asset</v>
          </cell>
          <cell r="D3507" t="str">
            <v>Car</v>
          </cell>
        </row>
        <row r="3508">
          <cell r="A3508" t="str">
            <v>Store, Spare and Consumable (28%)</v>
          </cell>
          <cell r="B3508">
            <v>0</v>
          </cell>
          <cell r="C3508" t="str">
            <v>Consumables</v>
          </cell>
          <cell r="D3508" t="str">
            <v>Consumables</v>
          </cell>
        </row>
        <row r="3509">
          <cell r="A3509" t="str">
            <v>BAJRI AATA</v>
          </cell>
          <cell r="B3509" t="str">
            <v>RM</v>
          </cell>
          <cell r="C3509" t="str">
            <v>MISCELLANEOUS - RM</v>
          </cell>
          <cell r="D3509" t="str">
            <v>Flour</v>
          </cell>
        </row>
        <row r="3510">
          <cell r="A3510" t="str">
            <v>Black Salt, Kala Namak - Crystal</v>
          </cell>
          <cell r="B3510" t="str">
            <v>RM</v>
          </cell>
          <cell r="C3510" t="str">
            <v>SALT</v>
          </cell>
          <cell r="D3510" t="str">
            <v>Salt</v>
          </cell>
        </row>
        <row r="3511">
          <cell r="A3511" t="str">
            <v>Milk</v>
          </cell>
          <cell r="B3511">
            <v>0</v>
          </cell>
          <cell r="C3511" t="str">
            <v>Others</v>
          </cell>
          <cell r="D3511" t="str">
            <v>Others</v>
          </cell>
        </row>
        <row r="3512">
          <cell r="A3512" t="str">
            <v>MOONG</v>
          </cell>
          <cell r="B3512" t="str">
            <v>RM</v>
          </cell>
          <cell r="C3512" t="str">
            <v>MISCELLANEOUS - RM</v>
          </cell>
          <cell r="D3512" t="str">
            <v>Other Misc</v>
          </cell>
        </row>
        <row r="3513">
          <cell r="A3513" t="str">
            <v>OREGANO</v>
          </cell>
          <cell r="B3513" t="str">
            <v>RM</v>
          </cell>
          <cell r="C3513" t="str">
            <v>SEASONING</v>
          </cell>
          <cell r="D3513" t="str">
            <v>Seasoning</v>
          </cell>
        </row>
        <row r="3514">
          <cell r="A3514" t="str">
            <v>Pink Salt.</v>
          </cell>
          <cell r="B3514" t="str">
            <v>RM</v>
          </cell>
          <cell r="C3514" t="str">
            <v>SALT</v>
          </cell>
          <cell r="D3514" t="str">
            <v>Salt</v>
          </cell>
        </row>
        <row r="3515">
          <cell r="A3515" t="str">
            <v>Sama (Varai Rice)</v>
          </cell>
          <cell r="B3515" t="str">
            <v>RM</v>
          </cell>
          <cell r="C3515" t="str">
            <v>MISCELLANEOUS - RM</v>
          </cell>
          <cell r="D3515" t="str">
            <v>Other Misc</v>
          </cell>
        </row>
        <row r="3516">
          <cell r="A3516" t="str">
            <v>Store, Spare and Consumable (0%)</v>
          </cell>
          <cell r="B3516">
            <v>0</v>
          </cell>
          <cell r="C3516" t="str">
            <v>Consumables</v>
          </cell>
          <cell r="D3516" t="str">
            <v>Consumables</v>
          </cell>
        </row>
        <row r="3517">
          <cell r="A3517" t="str">
            <v>Wheat Aata (Wheat Flour)- TPL</v>
          </cell>
          <cell r="B3517" t="str">
            <v>RM</v>
          </cell>
          <cell r="C3517" t="str">
            <v>TAJIR</v>
          </cell>
          <cell r="D3517" t="str">
            <v>Tajir - Other</v>
          </cell>
        </row>
        <row r="3518">
          <cell r="A3518" t="str">
            <v>Jav</v>
          </cell>
          <cell r="B3518" t="str">
            <v>RM</v>
          </cell>
          <cell r="C3518" t="str">
            <v>SEASONING</v>
          </cell>
          <cell r="D3518" t="str">
            <v>Seasoning</v>
          </cell>
        </row>
        <row r="3519">
          <cell r="A3519" t="str">
            <v>Acrylic Bin Large</v>
          </cell>
          <cell r="B3519" t="str">
            <v>PM</v>
          </cell>
          <cell r="C3519" t="str">
            <v>Packaging</v>
          </cell>
          <cell r="D3519" t="str">
            <v>PM</v>
          </cell>
        </row>
        <row r="3520">
          <cell r="A3520" t="str">
            <v>Carnival Cocktail Mix 100g</v>
          </cell>
          <cell r="B3520" t="str">
            <v>FG</v>
          </cell>
          <cell r="C3520" t="str">
            <v>TRAIL MIX</v>
          </cell>
          <cell r="D3520" t="str">
            <v>Trail Mix</v>
          </cell>
        </row>
        <row r="3521">
          <cell r="A3521" t="str">
            <v>Cold Storage Charges</v>
          </cell>
          <cell r="B3521">
            <v>0</v>
          </cell>
          <cell r="C3521" t="str">
            <v>Others</v>
          </cell>
          <cell r="D3521" t="str">
            <v>Charges</v>
          </cell>
        </row>
        <row r="3522">
          <cell r="A3522" t="str">
            <v>Corn Grits / Meal</v>
          </cell>
          <cell r="B3522" t="str">
            <v>RM</v>
          </cell>
          <cell r="C3522" t="str">
            <v>MISCELLANEOUS - RM</v>
          </cell>
          <cell r="D3522" t="str">
            <v>Other Misc</v>
          </cell>
        </row>
        <row r="3523">
          <cell r="A3523" t="str">
            <v>Extra Give Away</v>
          </cell>
          <cell r="B3523">
            <v>0</v>
          </cell>
          <cell r="C3523" t="str">
            <v>Extra Give Away</v>
          </cell>
          <cell r="D3523" t="str">
            <v>PL/EGA</v>
          </cell>
        </row>
        <row r="3524">
          <cell r="A3524" t="str">
            <v>Honey Loose</v>
          </cell>
          <cell r="B3524" t="str">
            <v>RM</v>
          </cell>
          <cell r="C3524" t="str">
            <v>MISCELLANEOUS - RM</v>
          </cell>
          <cell r="D3524" t="str">
            <v>Other Misc</v>
          </cell>
        </row>
        <row r="3525">
          <cell r="A3525" t="str">
            <v>Jaggery Powder 0%</v>
          </cell>
          <cell r="B3525" t="str">
            <v>RM</v>
          </cell>
          <cell r="C3525" t="str">
            <v>MISCELLANEOUS - RM</v>
          </cell>
          <cell r="D3525" t="str">
            <v>Other Misc</v>
          </cell>
        </row>
        <row r="3526">
          <cell r="A3526" t="str">
            <v>Legal Service</v>
          </cell>
          <cell r="B3526">
            <v>0</v>
          </cell>
          <cell r="C3526" t="str">
            <v>Others</v>
          </cell>
          <cell r="D3526" t="str">
            <v>Others</v>
          </cell>
        </row>
        <row r="3527">
          <cell r="A3527" t="str">
            <v>Macadamia Inshell 150g</v>
          </cell>
          <cell r="B3527" t="str">
            <v>FG</v>
          </cell>
          <cell r="C3527" t="str">
            <v>PREMIUM NUTS</v>
          </cell>
          <cell r="D3527" t="str">
            <v>Macadamia Nuts</v>
          </cell>
        </row>
        <row r="3528">
          <cell r="A3528" t="str">
            <v>Maida 0%</v>
          </cell>
          <cell r="B3528" t="str">
            <v>RM</v>
          </cell>
          <cell r="C3528" t="str">
            <v>MISCELLANEOUS - RM</v>
          </cell>
          <cell r="D3528" t="str">
            <v>Flour</v>
          </cell>
        </row>
        <row r="3529">
          <cell r="A3529" t="str">
            <v>Packaging Refurbising</v>
          </cell>
          <cell r="B3529">
            <v>0</v>
          </cell>
          <cell r="C3529" t="str">
            <v>Service</v>
          </cell>
          <cell r="D3529" t="str">
            <v>Others</v>
          </cell>
        </row>
        <row r="3530">
          <cell r="A3530" t="str">
            <v>Pista Shells / Kapchi</v>
          </cell>
          <cell r="B3530" t="str">
            <v>RM</v>
          </cell>
          <cell r="C3530" t="str">
            <v>MISCELLANEOUS - RM</v>
          </cell>
          <cell r="D3530" t="str">
            <v>Off-Grade Shells</v>
          </cell>
        </row>
        <row r="3531">
          <cell r="A3531" t="str">
            <v>PM24-7 Ply Carton Case Pack 10 box of Energy Bar</v>
          </cell>
          <cell r="B3531" t="str">
            <v>PM</v>
          </cell>
          <cell r="C3531" t="str">
            <v>Packaging</v>
          </cell>
          <cell r="D3531" t="str">
            <v>Carton</v>
          </cell>
        </row>
        <row r="3532">
          <cell r="A3532" t="str">
            <v>PM24-Blueberries Pouch (Reliance-unbranded) 100 gm</v>
          </cell>
          <cell r="B3532" t="str">
            <v>PM</v>
          </cell>
          <cell r="C3532" t="str">
            <v>Packaging</v>
          </cell>
          <cell r="D3532" t="str">
            <v>Pouch</v>
          </cell>
        </row>
        <row r="3533">
          <cell r="A3533" t="str">
            <v>PM24-Hamper-Hardik Shubh 280 Gm Pink Non Printed</v>
          </cell>
          <cell r="B3533" t="str">
            <v>PM</v>
          </cell>
          <cell r="C3533" t="str">
            <v>Packaging</v>
          </cell>
          <cell r="D3533" t="str">
            <v>Hamper-Box</v>
          </cell>
        </row>
        <row r="3534">
          <cell r="A3534" t="str">
            <v>PM24-Hamper-Laptop Bag Brown</v>
          </cell>
          <cell r="B3534" t="str">
            <v>PM</v>
          </cell>
          <cell r="C3534" t="str">
            <v>Packaging</v>
          </cell>
          <cell r="D3534" t="str">
            <v>Hamper-Bag</v>
          </cell>
        </row>
        <row r="3535">
          <cell r="A3535" t="str">
            <v>PM24-Hamper-Printed Box Date &amp; Chocolate</v>
          </cell>
          <cell r="B3535" t="str">
            <v>PM</v>
          </cell>
          <cell r="C3535" t="str">
            <v>Packaging</v>
          </cell>
          <cell r="D3535" t="str">
            <v>Hamper-Box</v>
          </cell>
        </row>
        <row r="3536">
          <cell r="A3536" t="str">
            <v>PM24-Hamper-Shubkamnayein 180 Gm Tray</v>
          </cell>
          <cell r="B3536" t="str">
            <v>PM</v>
          </cell>
          <cell r="C3536" t="str">
            <v>Packaging</v>
          </cell>
          <cell r="D3536" t="str">
            <v>Hamper-Tray</v>
          </cell>
        </row>
        <row r="3537">
          <cell r="A3537" t="str">
            <v>PM24-On The Run Fig n Dates Pack Of 6 Monocarton-Triangular 60 gm</v>
          </cell>
          <cell r="B3537" t="str">
            <v>PM</v>
          </cell>
          <cell r="C3537" t="str">
            <v>Packaging</v>
          </cell>
          <cell r="D3537" t="str">
            <v xml:space="preserve">Monocarton </v>
          </cell>
        </row>
        <row r="3538">
          <cell r="A3538" t="str">
            <v>Process Loss</v>
          </cell>
          <cell r="B3538">
            <v>0</v>
          </cell>
          <cell r="C3538" t="str">
            <v>Process Loss</v>
          </cell>
          <cell r="D3538" t="str">
            <v>PL/EGA</v>
          </cell>
        </row>
        <row r="3539">
          <cell r="A3539" t="str">
            <v>Rajgira Atta</v>
          </cell>
          <cell r="B3539" t="str">
            <v>RM</v>
          </cell>
          <cell r="C3539" t="str">
            <v>MISCELLANEOUS - RM</v>
          </cell>
          <cell r="D3539" t="str">
            <v>Flour</v>
          </cell>
        </row>
        <row r="3540">
          <cell r="A3540" t="str">
            <v>Refined Fine Powder Iodized Salt Prime</v>
          </cell>
          <cell r="B3540" t="str">
            <v>RM</v>
          </cell>
          <cell r="C3540" t="str">
            <v>SALT</v>
          </cell>
          <cell r="D3540" t="str">
            <v>Salt</v>
          </cell>
        </row>
        <row r="3541">
          <cell r="A3541" t="str">
            <v>Refined Fine Powder Iodized Salt Prime - TPL</v>
          </cell>
          <cell r="B3541" t="str">
            <v>RM</v>
          </cell>
          <cell r="C3541" t="str">
            <v>SALT</v>
          </cell>
          <cell r="D3541" t="str">
            <v>Salt</v>
          </cell>
        </row>
        <row r="3542">
          <cell r="A3542" t="str">
            <v>Salt</v>
          </cell>
          <cell r="B3542" t="str">
            <v>RM</v>
          </cell>
          <cell r="C3542" t="str">
            <v>SALT</v>
          </cell>
          <cell r="D3542" t="str">
            <v>Salt</v>
          </cell>
        </row>
        <row r="3543">
          <cell r="A3543" t="str">
            <v>Habit Hazelnut Spread</v>
          </cell>
          <cell r="B3543" t="str">
            <v>RM</v>
          </cell>
          <cell r="C3543" t="str">
            <v>MISCELLANEOUS - RM</v>
          </cell>
          <cell r="D3543" t="str">
            <v>Spread</v>
          </cell>
        </row>
        <row r="3544">
          <cell r="A3544" t="str">
            <v>Wet Dates Zahidi Seedless</v>
          </cell>
          <cell r="B3544" t="str">
            <v>RM</v>
          </cell>
          <cell r="C3544" t="str">
            <v>DATES</v>
          </cell>
          <cell r="D3544" t="str">
            <v>Zahidi</v>
          </cell>
        </row>
      </sheetData>
      <sheetData sheetId="1">
        <row r="1">
          <cell r="A1" t="str">
            <v>Particulars</v>
          </cell>
          <cell r="B1" t="str">
            <v>FG/RM</v>
          </cell>
          <cell r="C1" t="str">
            <v>Group</v>
          </cell>
          <cell r="D1" t="str">
            <v>Sub-Group</v>
          </cell>
        </row>
        <row r="2">
          <cell r="A2" t="str">
            <v>10KG AL BARAKAH DATE POWDER V1</v>
          </cell>
          <cell r="B2" t="str">
            <v>RM</v>
          </cell>
          <cell r="C2" t="str">
            <v>DATES</v>
          </cell>
          <cell r="D2" t="str">
            <v>Powder</v>
          </cell>
        </row>
        <row r="3">
          <cell r="A3" t="str">
            <v>10KG AL BARAKAH DATE POWDER V2</v>
          </cell>
          <cell r="B3" t="str">
            <v>RM</v>
          </cell>
          <cell r="C3" t="str">
            <v>DATES</v>
          </cell>
          <cell r="D3" t="str">
            <v>Powder</v>
          </cell>
        </row>
        <row r="4">
          <cell r="A4" t="str">
            <v>25KG AL BARAKAH DATE SYRUP V1</v>
          </cell>
          <cell r="B4" t="str">
            <v>RM</v>
          </cell>
          <cell r="C4" t="str">
            <v>DATES</v>
          </cell>
          <cell r="D4" t="str">
            <v>Syrup</v>
          </cell>
        </row>
        <row r="5">
          <cell r="A5" t="str">
            <v>AFREEN DATES</v>
          </cell>
          <cell r="B5" t="str">
            <v>RM</v>
          </cell>
          <cell r="C5" t="str">
            <v>DATES</v>
          </cell>
          <cell r="D5" t="str">
            <v>Afreen</v>
          </cell>
        </row>
        <row r="6">
          <cell r="A6" t="str">
            <v>Ajfan Kimia Dates 500 Gm</v>
          </cell>
          <cell r="B6" t="str">
            <v>FG</v>
          </cell>
          <cell r="C6" t="str">
            <v>DATES</v>
          </cell>
          <cell r="D6" t="str">
            <v>Kimia</v>
          </cell>
        </row>
        <row r="7">
          <cell r="A7" t="str">
            <v>Al Barakah Ajwa Jumbo Dates</v>
          </cell>
          <cell r="B7" t="str">
            <v>RM</v>
          </cell>
          <cell r="C7" t="str">
            <v>DATES</v>
          </cell>
          <cell r="D7" t="str">
            <v>Ajwa</v>
          </cell>
        </row>
        <row r="8">
          <cell r="A8" t="str">
            <v>Al Barakaha Safavi Dates 500g</v>
          </cell>
          <cell r="B8" t="str">
            <v>FG</v>
          </cell>
          <cell r="C8" t="str">
            <v>DATES</v>
          </cell>
          <cell r="D8" t="str">
            <v>Safavi</v>
          </cell>
        </row>
        <row r="9">
          <cell r="A9" t="str">
            <v>AL BARAKAH BARHI DATES 10KG</v>
          </cell>
          <cell r="B9" t="str">
            <v>RM</v>
          </cell>
          <cell r="C9" t="str">
            <v>DATES</v>
          </cell>
          <cell r="D9" t="str">
            <v>Barhi</v>
          </cell>
        </row>
        <row r="10">
          <cell r="A10" t="str">
            <v>AL BARAKAH BUMAAN DATES 10KG</v>
          </cell>
          <cell r="B10" t="str">
            <v>RM</v>
          </cell>
          <cell r="C10" t="str">
            <v>DATES</v>
          </cell>
          <cell r="D10" t="str">
            <v>Buman</v>
          </cell>
        </row>
        <row r="11">
          <cell r="A11" t="str">
            <v>AL BARAKAH CHOPPED DATES</v>
          </cell>
          <cell r="B11" t="str">
            <v>RM</v>
          </cell>
          <cell r="C11" t="str">
            <v>DATES</v>
          </cell>
          <cell r="D11" t="str">
            <v>Diced</v>
          </cell>
        </row>
        <row r="12">
          <cell r="A12" t="str">
            <v>AL BARAKAH CRUSHED DATES 10KG</v>
          </cell>
          <cell r="B12" t="str">
            <v>RM</v>
          </cell>
          <cell r="C12" t="str">
            <v>DATES</v>
          </cell>
          <cell r="D12" t="str">
            <v>Diced</v>
          </cell>
        </row>
        <row r="13">
          <cell r="A13" t="str">
            <v>AL Barakah Date Paste</v>
          </cell>
          <cell r="B13" t="str">
            <v>RM</v>
          </cell>
          <cell r="C13" t="str">
            <v>DATES</v>
          </cell>
          <cell r="D13" t="str">
            <v>Paste</v>
          </cell>
        </row>
        <row r="14">
          <cell r="A14" t="str">
            <v>AL BARAKAH DATE PASTE 12.5KG</v>
          </cell>
          <cell r="B14" t="str">
            <v>RM</v>
          </cell>
          <cell r="C14" t="str">
            <v>DATES</v>
          </cell>
          <cell r="D14" t="str">
            <v>Paste</v>
          </cell>
        </row>
        <row r="15">
          <cell r="A15" t="str">
            <v>AL BARAKAH DATE PASTE 12 KG (500GX24)</v>
          </cell>
          <cell r="B15" t="str">
            <v>FG</v>
          </cell>
          <cell r="C15" t="str">
            <v>DATES</v>
          </cell>
          <cell r="D15" t="str">
            <v>Paste</v>
          </cell>
        </row>
        <row r="16">
          <cell r="A16" t="str">
            <v>Al Barakah Date Powder</v>
          </cell>
          <cell r="B16" t="str">
            <v>RM</v>
          </cell>
          <cell r="C16" t="str">
            <v>DATES</v>
          </cell>
          <cell r="D16" t="str">
            <v>Powder</v>
          </cell>
        </row>
        <row r="17">
          <cell r="A17" t="str">
            <v>Al Barakah Date Powder 250gm</v>
          </cell>
          <cell r="B17" t="str">
            <v>FG</v>
          </cell>
          <cell r="C17" t="str">
            <v>DATES</v>
          </cell>
          <cell r="D17" t="str">
            <v>Powder</v>
          </cell>
        </row>
        <row r="18">
          <cell r="A18" t="str">
            <v>Al Barakah Date Powder 5%</v>
          </cell>
          <cell r="B18" t="str">
            <v>RM</v>
          </cell>
          <cell r="C18" t="str">
            <v>DATES</v>
          </cell>
          <cell r="D18" t="str">
            <v>Powder</v>
          </cell>
        </row>
        <row r="19">
          <cell r="A19" t="str">
            <v>Al Barakah Dates Fard 400 Gm</v>
          </cell>
          <cell r="B19" t="str">
            <v>FG</v>
          </cell>
          <cell r="C19" t="str">
            <v>DATES</v>
          </cell>
          <cell r="D19" t="str">
            <v>Fard</v>
          </cell>
        </row>
        <row r="20">
          <cell r="A20" t="str">
            <v>Al Barakah Dates Khanezi 400 gm</v>
          </cell>
          <cell r="B20" t="str">
            <v>FG</v>
          </cell>
          <cell r="C20" t="str">
            <v>DATES</v>
          </cell>
          <cell r="D20" t="str">
            <v>Khaneizi</v>
          </cell>
        </row>
        <row r="21">
          <cell r="A21" t="str">
            <v>AL Barakah Dates Paste 500gm</v>
          </cell>
          <cell r="B21" t="str">
            <v>FG</v>
          </cell>
          <cell r="C21" t="str">
            <v>DATES</v>
          </cell>
          <cell r="D21" t="str">
            <v>Paste</v>
          </cell>
        </row>
        <row r="22">
          <cell r="A22" t="str">
            <v>Al Barakah Date Spread 330gx12</v>
          </cell>
          <cell r="B22" t="str">
            <v>FG</v>
          </cell>
          <cell r="C22" t="str">
            <v>DATES</v>
          </cell>
          <cell r="D22" t="str">
            <v>Spread</v>
          </cell>
        </row>
        <row r="23">
          <cell r="A23" t="str">
            <v>AL BARAKAH DATES SYRUP 400G</v>
          </cell>
          <cell r="B23" t="str">
            <v>FG</v>
          </cell>
          <cell r="C23" t="str">
            <v>DATES</v>
          </cell>
          <cell r="D23" t="str">
            <v>Syrup</v>
          </cell>
        </row>
        <row r="24">
          <cell r="A24" t="str">
            <v>Al Barakah Date Syrup</v>
          </cell>
          <cell r="B24" t="str">
            <v>RM</v>
          </cell>
          <cell r="C24" t="str">
            <v>DATES</v>
          </cell>
          <cell r="D24" t="str">
            <v>Syrup</v>
          </cell>
        </row>
        <row r="25">
          <cell r="A25" t="str">
            <v>AL BARAKAH DATE SYRUP(1.15KG X 12)</v>
          </cell>
          <cell r="B25" t="str">
            <v>FG</v>
          </cell>
          <cell r="C25" t="str">
            <v>DATES</v>
          </cell>
          <cell r="D25" t="str">
            <v>Syrup</v>
          </cell>
        </row>
        <row r="26">
          <cell r="A26" t="str">
            <v>AL BARAKAH DATE SYRUP 1.15KGx12 (13.8KG)</v>
          </cell>
          <cell r="B26" t="str">
            <v>RM</v>
          </cell>
          <cell r="C26" t="str">
            <v>DATES</v>
          </cell>
          <cell r="D26" t="str">
            <v>Syrup</v>
          </cell>
        </row>
        <row r="27">
          <cell r="A27" t="str">
            <v>AL BARAKAH DATE SYRUP 250G</v>
          </cell>
          <cell r="B27" t="str">
            <v>FG</v>
          </cell>
          <cell r="C27" t="str">
            <v>DATES</v>
          </cell>
          <cell r="D27" t="str">
            <v>Syrup</v>
          </cell>
        </row>
        <row r="28">
          <cell r="A28" t="str">
            <v>Al Barakah Date Syrup 400gm</v>
          </cell>
          <cell r="B28" t="str">
            <v>FG</v>
          </cell>
          <cell r="C28" t="str">
            <v>DATES</v>
          </cell>
          <cell r="D28" t="str">
            <v>Syrup</v>
          </cell>
        </row>
        <row r="29">
          <cell r="A29" t="str">
            <v>Al Barakah Date Syrup 450gm</v>
          </cell>
          <cell r="B29" t="str">
            <v>FG</v>
          </cell>
          <cell r="C29" t="str">
            <v>DATES</v>
          </cell>
          <cell r="D29" t="str">
            <v>Syrup</v>
          </cell>
        </row>
        <row r="30">
          <cell r="A30" t="str">
            <v>AL BARAKAH DEHYDRATED DATE POWDER 250G</v>
          </cell>
          <cell r="B30" t="str">
            <v>FG</v>
          </cell>
          <cell r="C30" t="str">
            <v>DATES</v>
          </cell>
          <cell r="D30" t="str">
            <v>Powder</v>
          </cell>
        </row>
        <row r="31">
          <cell r="A31" t="str">
            <v>AL BARAKAH EMIRATES BLACK DATES 10KG</v>
          </cell>
          <cell r="B31" t="str">
            <v>RM</v>
          </cell>
          <cell r="C31" t="str">
            <v>DATES</v>
          </cell>
          <cell r="D31" t="str">
            <v>Emirates</v>
          </cell>
        </row>
        <row r="32">
          <cell r="A32" t="str">
            <v>Al Barakah Emirates Dates 500 Gm</v>
          </cell>
          <cell r="B32" t="str">
            <v>FG</v>
          </cell>
          <cell r="C32" t="str">
            <v>DATES</v>
          </cell>
          <cell r="D32" t="str">
            <v>Emirates</v>
          </cell>
        </row>
        <row r="33">
          <cell r="A33" t="str">
            <v>AL BARAKAH EMIRATES GOLD DATES 10KG</v>
          </cell>
          <cell r="B33" t="str">
            <v>RM</v>
          </cell>
          <cell r="C33" t="str">
            <v>DATES</v>
          </cell>
          <cell r="D33" t="str">
            <v>Emirates</v>
          </cell>
        </row>
        <row r="34">
          <cell r="A34" t="str">
            <v>Al Barakah Fard 500g</v>
          </cell>
          <cell r="B34" t="str">
            <v>FG</v>
          </cell>
          <cell r="C34" t="str">
            <v>DATES</v>
          </cell>
          <cell r="D34" t="str">
            <v>Fard</v>
          </cell>
        </row>
        <row r="35">
          <cell r="A35" t="str">
            <v>AL BARAKAH FARD DATES 10KG - EZAD</v>
          </cell>
          <cell r="B35" t="str">
            <v>RM</v>
          </cell>
          <cell r="C35" t="str">
            <v>DATES</v>
          </cell>
          <cell r="D35" t="str">
            <v>Fard</v>
          </cell>
        </row>
        <row r="36">
          <cell r="A36" t="str">
            <v>AL BARAKAH FARD DATES D 10KG</v>
          </cell>
          <cell r="B36" t="str">
            <v>RM</v>
          </cell>
          <cell r="C36" t="str">
            <v>DATES</v>
          </cell>
          <cell r="D36" t="str">
            <v>Fard</v>
          </cell>
        </row>
        <row r="37">
          <cell r="A37" t="str">
            <v>Al Barakah Fard Dates Premium</v>
          </cell>
          <cell r="B37" t="str">
            <v>RM</v>
          </cell>
          <cell r="C37" t="str">
            <v>DATES</v>
          </cell>
          <cell r="D37" t="str">
            <v>Fard</v>
          </cell>
        </row>
        <row r="38">
          <cell r="A38" t="str">
            <v>AL BARAKAH FARD DATES PREMIUM AB 10KG</v>
          </cell>
          <cell r="B38" t="str">
            <v>RM</v>
          </cell>
          <cell r="C38" t="str">
            <v>DATES</v>
          </cell>
          <cell r="D38" t="str">
            <v>Fard</v>
          </cell>
        </row>
        <row r="39">
          <cell r="A39" t="str">
            <v>Al Barakah Fard Dates Seedless</v>
          </cell>
          <cell r="B39" t="str">
            <v>FG</v>
          </cell>
          <cell r="C39" t="str">
            <v>DATES</v>
          </cell>
          <cell r="D39" t="str">
            <v>Fard</v>
          </cell>
        </row>
        <row r="40">
          <cell r="A40" t="str">
            <v>Al Barakah Fard Dates Standard</v>
          </cell>
          <cell r="B40" t="str">
            <v>RM</v>
          </cell>
          <cell r="C40" t="str">
            <v>DATES</v>
          </cell>
          <cell r="D40" t="str">
            <v>Fard</v>
          </cell>
        </row>
        <row r="41">
          <cell r="A41" t="str">
            <v>AL BARAKAH FARD DATES STANDARD A 10KG</v>
          </cell>
          <cell r="B41" t="str">
            <v>RM</v>
          </cell>
          <cell r="C41" t="str">
            <v>DATES</v>
          </cell>
          <cell r="D41" t="str">
            <v>Fard</v>
          </cell>
        </row>
        <row r="42">
          <cell r="A42" t="str">
            <v>AL BARAKAH FARD DATES STANDARD C 10KG</v>
          </cell>
          <cell r="B42" t="str">
            <v>RM</v>
          </cell>
          <cell r="C42" t="str">
            <v>DATES</v>
          </cell>
          <cell r="D42" t="str">
            <v>Fard</v>
          </cell>
        </row>
        <row r="43">
          <cell r="A43" t="str">
            <v>AL BARAKAH GOLDEN DATE SYRUP 250Gx12</v>
          </cell>
          <cell r="B43" t="str">
            <v>RM</v>
          </cell>
          <cell r="C43" t="str">
            <v>DATES</v>
          </cell>
          <cell r="D43" t="str">
            <v>Syrup</v>
          </cell>
        </row>
        <row r="44">
          <cell r="A44" t="str">
            <v>AL BARAKAH GOLDEN DATE SYRUP 25KG</v>
          </cell>
          <cell r="B44" t="str">
            <v>RM</v>
          </cell>
          <cell r="C44" t="str">
            <v>DATES</v>
          </cell>
          <cell r="D44" t="str">
            <v>Syrup</v>
          </cell>
        </row>
        <row r="45">
          <cell r="A45" t="str">
            <v>AL BARAKAH KHALAS DATES</v>
          </cell>
          <cell r="B45" t="str">
            <v>RM</v>
          </cell>
          <cell r="C45" t="str">
            <v>DATES</v>
          </cell>
          <cell r="D45" t="str">
            <v>Khalas</v>
          </cell>
        </row>
        <row r="46">
          <cell r="A46" t="str">
            <v>AL BARAKAH KHALAS DATES 500 Gm</v>
          </cell>
          <cell r="B46" t="str">
            <v>FG</v>
          </cell>
          <cell r="C46" t="str">
            <v>DATES</v>
          </cell>
          <cell r="D46" t="str">
            <v>Khalas</v>
          </cell>
        </row>
        <row r="47">
          <cell r="A47" t="str">
            <v>AL BARAKAH KHALAS DATES-AFCTN</v>
          </cell>
          <cell r="B47" t="str">
            <v>RM</v>
          </cell>
          <cell r="C47" t="str">
            <v>DATES</v>
          </cell>
          <cell r="D47" t="str">
            <v>Khalas</v>
          </cell>
        </row>
        <row r="48">
          <cell r="A48" t="str">
            <v>AL BARAKAH KHALAS DATES PREMIUM (S)</v>
          </cell>
          <cell r="B48" t="str">
            <v>RM</v>
          </cell>
          <cell r="C48" t="str">
            <v>DATES</v>
          </cell>
          <cell r="D48" t="str">
            <v>Khalas</v>
          </cell>
        </row>
        <row r="49">
          <cell r="A49" t="str">
            <v>AL BARAKAH KHALAS DATES -SA</v>
          </cell>
          <cell r="B49" t="str">
            <v>RM</v>
          </cell>
          <cell r="C49" t="str">
            <v>DATES</v>
          </cell>
          <cell r="D49" t="str">
            <v>Khalas</v>
          </cell>
        </row>
        <row r="50">
          <cell r="A50" t="str">
            <v>AL BARAKAH KHALAS DATES THERMO 250G PACK (Arbian)</v>
          </cell>
          <cell r="B50" t="str">
            <v>FG</v>
          </cell>
          <cell r="C50" t="str">
            <v>DATES</v>
          </cell>
          <cell r="D50" t="str">
            <v>Khalas</v>
          </cell>
        </row>
        <row r="51">
          <cell r="A51" t="str">
            <v>AL BARAKAH KHALAS PREMIUM DATES</v>
          </cell>
          <cell r="B51" t="str">
            <v>RM</v>
          </cell>
          <cell r="C51" t="str">
            <v>DATES</v>
          </cell>
          <cell r="D51" t="str">
            <v>Khalas</v>
          </cell>
        </row>
        <row r="52">
          <cell r="A52" t="str">
            <v>AL BARAKAH KHALAS SEEDLESS DATES 500 Gm</v>
          </cell>
          <cell r="B52" t="str">
            <v>FG</v>
          </cell>
          <cell r="C52" t="str">
            <v>DATES</v>
          </cell>
          <cell r="D52" t="str">
            <v>Khalas</v>
          </cell>
        </row>
        <row r="53">
          <cell r="A53" t="str">
            <v>AL BARAKAH KHANEIZI DATES 10 KG</v>
          </cell>
          <cell r="B53" t="str">
            <v>RM</v>
          </cell>
          <cell r="C53" t="str">
            <v>DATES</v>
          </cell>
          <cell r="D53" t="str">
            <v>Khaneizi</v>
          </cell>
        </row>
        <row r="54">
          <cell r="A54" t="str">
            <v>AL BARAKAH KHANEIZI DATES 10 KG -EZAD</v>
          </cell>
          <cell r="B54" t="str">
            <v>RM</v>
          </cell>
          <cell r="C54" t="str">
            <v>DATES</v>
          </cell>
          <cell r="D54" t="str">
            <v>Khaneizi</v>
          </cell>
        </row>
        <row r="55">
          <cell r="A55" t="str">
            <v>Al Barakah Khanezi Dates</v>
          </cell>
          <cell r="B55" t="str">
            <v>RM</v>
          </cell>
          <cell r="C55" t="str">
            <v>DATES</v>
          </cell>
          <cell r="D55" t="str">
            <v>Khaneizi</v>
          </cell>
        </row>
        <row r="56">
          <cell r="A56" t="str">
            <v>Al Barakah Khanezi Dates 500gm</v>
          </cell>
          <cell r="B56" t="str">
            <v>FG</v>
          </cell>
          <cell r="C56" t="str">
            <v>DATES</v>
          </cell>
          <cell r="D56" t="str">
            <v>Khaneizi</v>
          </cell>
        </row>
        <row r="57">
          <cell r="A57" t="str">
            <v>AL BARAKAH KHANIZEE DATES 10KG</v>
          </cell>
          <cell r="B57" t="str">
            <v>RM</v>
          </cell>
          <cell r="C57" t="str">
            <v>DATES</v>
          </cell>
          <cell r="D57" t="str">
            <v>Khaneizi</v>
          </cell>
        </row>
        <row r="58">
          <cell r="A58" t="str">
            <v>Al Barakah Kimia Dates 500 Gm</v>
          </cell>
          <cell r="B58" t="str">
            <v>FG</v>
          </cell>
          <cell r="C58" t="str">
            <v>DATES</v>
          </cell>
          <cell r="D58" t="str">
            <v>Kimia</v>
          </cell>
        </row>
        <row r="59">
          <cell r="A59" t="str">
            <v>AL BARAKAH LULU BLACK DATES-10KG</v>
          </cell>
          <cell r="B59" t="str">
            <v>RM</v>
          </cell>
          <cell r="C59" t="str">
            <v>DATES</v>
          </cell>
          <cell r="D59" t="str">
            <v>Lulu</v>
          </cell>
        </row>
        <row r="60">
          <cell r="A60" t="str">
            <v>AL BARAKAH LULU RED DATES - 10KG</v>
          </cell>
          <cell r="B60" t="str">
            <v>RM</v>
          </cell>
          <cell r="C60" t="str">
            <v>DATES</v>
          </cell>
          <cell r="D60" t="str">
            <v>Lulu</v>
          </cell>
        </row>
        <row r="61">
          <cell r="A61" t="str">
            <v>AL BARAKAH MARYAM DATES 5 KG</v>
          </cell>
          <cell r="B61" t="str">
            <v>RM</v>
          </cell>
          <cell r="C61" t="str">
            <v>DATES</v>
          </cell>
          <cell r="D61" t="str">
            <v>Maryam</v>
          </cell>
        </row>
        <row r="62">
          <cell r="A62" t="str">
            <v>AL BARAKAH MEDJOOL DATES PREMIUM 5KG</v>
          </cell>
          <cell r="B62" t="str">
            <v>RM</v>
          </cell>
          <cell r="C62" t="str">
            <v>DATES</v>
          </cell>
          <cell r="D62" t="str">
            <v>Medjoul-General</v>
          </cell>
        </row>
        <row r="63">
          <cell r="A63" t="str">
            <v>AL BARAKAH MEDJOUL DATES 500gm</v>
          </cell>
          <cell r="B63" t="str">
            <v>FG</v>
          </cell>
          <cell r="C63" t="str">
            <v>DATES</v>
          </cell>
          <cell r="D63" t="str">
            <v>Medjoul-General</v>
          </cell>
        </row>
        <row r="64">
          <cell r="A64" t="str">
            <v>AL BARAKAH NAGHAL BLACK DATES - 10KG</v>
          </cell>
          <cell r="B64" t="str">
            <v>RM</v>
          </cell>
          <cell r="C64" t="str">
            <v>DATES</v>
          </cell>
          <cell r="D64" t="str">
            <v>Naghal</v>
          </cell>
        </row>
        <row r="65">
          <cell r="A65" t="str">
            <v>Al Barakah Organic Date Syrup 470gm</v>
          </cell>
          <cell r="B65" t="str">
            <v>FG</v>
          </cell>
          <cell r="C65" t="str">
            <v>DATES</v>
          </cell>
          <cell r="D65" t="str">
            <v>Syrup</v>
          </cell>
        </row>
        <row r="66">
          <cell r="A66" t="str">
            <v>AL BARAKAH PREMIUM ARABIAN DATES 500G</v>
          </cell>
          <cell r="B66" t="str">
            <v>FG</v>
          </cell>
          <cell r="C66" t="str">
            <v>DATES</v>
          </cell>
          <cell r="D66" t="str">
            <v>Khalas</v>
          </cell>
        </row>
        <row r="67">
          <cell r="A67" t="str">
            <v>Al Barakah Premium Emirate Date Seedless (500gmx16)</v>
          </cell>
          <cell r="B67" t="str">
            <v>FG</v>
          </cell>
          <cell r="C67" t="str">
            <v>DATES</v>
          </cell>
          <cell r="D67" t="str">
            <v>Emirates</v>
          </cell>
        </row>
        <row r="68">
          <cell r="A68" t="str">
            <v>Al Barakah Premium Emirates Dates 250g</v>
          </cell>
          <cell r="B68" t="str">
            <v>FG</v>
          </cell>
          <cell r="C68" t="str">
            <v>DATES</v>
          </cell>
          <cell r="D68" t="str">
            <v>Emirates</v>
          </cell>
        </row>
        <row r="69">
          <cell r="A69" t="str">
            <v>AL Barakah Premium Emirates Dates 500g</v>
          </cell>
          <cell r="B69" t="str">
            <v>FG</v>
          </cell>
          <cell r="C69" t="str">
            <v>DATES</v>
          </cell>
          <cell r="D69" t="str">
            <v>Emirates</v>
          </cell>
        </row>
        <row r="70">
          <cell r="A70" t="str">
            <v>Al Barakah Premium Emirates Dates (500gm x 16 Nos)</v>
          </cell>
          <cell r="B70" t="str">
            <v>FG</v>
          </cell>
          <cell r="C70" t="str">
            <v>DATES</v>
          </cell>
          <cell r="D70" t="str">
            <v>Emirates</v>
          </cell>
        </row>
        <row r="71">
          <cell r="A71" t="str">
            <v>Al Barakah Premium Seedless Dates 500gm</v>
          </cell>
          <cell r="B71" t="str">
            <v>FG</v>
          </cell>
          <cell r="C71" t="str">
            <v>DATES</v>
          </cell>
          <cell r="D71" t="str">
            <v>Seedless</v>
          </cell>
        </row>
        <row r="72">
          <cell r="A72" t="str">
            <v>AL BARAKAH REZIZ DATES 10KG</v>
          </cell>
          <cell r="B72" t="str">
            <v>RM</v>
          </cell>
          <cell r="C72" t="str">
            <v>DATES</v>
          </cell>
          <cell r="D72" t="str">
            <v>Reziz</v>
          </cell>
        </row>
        <row r="73">
          <cell r="A73" t="str">
            <v>AL Barakah Safavi Dates</v>
          </cell>
          <cell r="B73" t="str">
            <v>RM</v>
          </cell>
          <cell r="C73" t="str">
            <v>DATES</v>
          </cell>
          <cell r="D73" t="str">
            <v>Safavi</v>
          </cell>
        </row>
        <row r="74">
          <cell r="A74" t="str">
            <v>AL BARAKAH SAYER DATES 10KG</v>
          </cell>
          <cell r="B74" t="str">
            <v>RM</v>
          </cell>
          <cell r="C74" t="str">
            <v>DATES</v>
          </cell>
          <cell r="D74" t="str">
            <v>Sayer</v>
          </cell>
        </row>
        <row r="75">
          <cell r="A75" t="str">
            <v>AL BARAKAH SAYER DATES THERMO(500GM X 16)</v>
          </cell>
          <cell r="B75" t="str">
            <v>RM</v>
          </cell>
          <cell r="C75" t="str">
            <v>DATES</v>
          </cell>
          <cell r="D75" t="str">
            <v>Sayer</v>
          </cell>
        </row>
        <row r="76">
          <cell r="A76" t="str">
            <v>AL BARAKAH SUFRI DATES 10KG</v>
          </cell>
          <cell r="B76" t="str">
            <v>RM</v>
          </cell>
          <cell r="C76" t="str">
            <v>DATES</v>
          </cell>
          <cell r="D76" t="str">
            <v>Sufri</v>
          </cell>
        </row>
        <row r="77">
          <cell r="A77" t="str">
            <v>Al barakah Super premium khalas</v>
          </cell>
          <cell r="B77" t="str">
            <v>RM</v>
          </cell>
          <cell r="C77" t="str">
            <v>DATES</v>
          </cell>
          <cell r="D77" t="str">
            <v>Khalas</v>
          </cell>
        </row>
        <row r="78">
          <cell r="A78" t="str">
            <v>Azmah Dates 500 Gms (110002703)</v>
          </cell>
          <cell r="B78" t="str">
            <v>FG</v>
          </cell>
          <cell r="C78" t="str">
            <v>DATES</v>
          </cell>
          <cell r="D78" t="str">
            <v>Safavi</v>
          </cell>
        </row>
        <row r="79">
          <cell r="A79" t="str">
            <v>BARHI DATES</v>
          </cell>
          <cell r="B79" t="str">
            <v>RM</v>
          </cell>
          <cell r="C79" t="str">
            <v>DATES</v>
          </cell>
          <cell r="D79" t="str">
            <v>Barhi</v>
          </cell>
        </row>
        <row r="80">
          <cell r="A80" t="str">
            <v>BUMAN DATES</v>
          </cell>
          <cell r="B80" t="str">
            <v>RM</v>
          </cell>
          <cell r="C80" t="str">
            <v>DATES</v>
          </cell>
          <cell r="D80" t="str">
            <v>Buman</v>
          </cell>
        </row>
        <row r="81">
          <cell r="A81" t="str">
            <v>Carnival Arabian Dates 350gm</v>
          </cell>
          <cell r="B81" t="str">
            <v>FG</v>
          </cell>
          <cell r="C81" t="str">
            <v>DATES</v>
          </cell>
          <cell r="D81" t="str">
            <v>Barhi</v>
          </cell>
        </row>
        <row r="82">
          <cell r="A82" t="str">
            <v>Carnival Dates Premium Black Loose</v>
          </cell>
          <cell r="B82" t="str">
            <v>FG</v>
          </cell>
          <cell r="C82" t="str">
            <v>DATES</v>
          </cell>
          <cell r="D82" t="str">
            <v>Black</v>
          </cell>
        </row>
        <row r="83">
          <cell r="A83" t="str">
            <v>Carnival khalas dates 350g</v>
          </cell>
          <cell r="B83" t="str">
            <v>FG</v>
          </cell>
          <cell r="C83" t="str">
            <v>DATES</v>
          </cell>
          <cell r="D83" t="str">
            <v>Khalas</v>
          </cell>
        </row>
        <row r="84">
          <cell r="A84" t="str">
            <v>Carnival Sayer Dates 300g</v>
          </cell>
          <cell r="B84" t="str">
            <v>FG</v>
          </cell>
          <cell r="C84" t="str">
            <v>DATES</v>
          </cell>
          <cell r="D84" t="str">
            <v>Sayer</v>
          </cell>
        </row>
        <row r="85">
          <cell r="A85" t="str">
            <v>Carnival Zahidi 500g</v>
          </cell>
          <cell r="B85" t="str">
            <v>FG</v>
          </cell>
          <cell r="C85" t="str">
            <v>DATES</v>
          </cell>
          <cell r="D85" t="str">
            <v>Zahidi</v>
          </cell>
        </row>
        <row r="86">
          <cell r="A86" t="str">
            <v>CURATE DATE BITES ASRTD RO/CA IND 420G</v>
          </cell>
          <cell r="B86" t="str">
            <v>FG</v>
          </cell>
          <cell r="C86" t="str">
            <v>BARS &amp; CEREALS</v>
          </cell>
          <cell r="D86" t="str">
            <v>Bites</v>
          </cell>
        </row>
        <row r="87">
          <cell r="A87" t="str">
            <v>CURATE DATE BITES COFFEE IND 210G</v>
          </cell>
          <cell r="B87" t="str">
            <v>FG</v>
          </cell>
          <cell r="C87" t="str">
            <v>BARS &amp; CEREALS</v>
          </cell>
          <cell r="D87" t="str">
            <v>Bites</v>
          </cell>
        </row>
        <row r="88">
          <cell r="A88" t="str">
            <v>CURATE DATE BITES IND 210G</v>
          </cell>
          <cell r="B88" t="str">
            <v>FG</v>
          </cell>
          <cell r="C88" t="str">
            <v>BARS &amp; CEREALS</v>
          </cell>
          <cell r="D88" t="str">
            <v>Bites</v>
          </cell>
        </row>
        <row r="89">
          <cell r="A89" t="str">
            <v>CURATE DATE BITES ROSE IND 210G</v>
          </cell>
          <cell r="B89" t="str">
            <v>FG</v>
          </cell>
          <cell r="C89" t="str">
            <v>BARS &amp; CEREALS</v>
          </cell>
          <cell r="D89" t="str">
            <v>Bites</v>
          </cell>
        </row>
        <row r="90">
          <cell r="A90" t="str">
            <v>CURATE DATE BITES ROSE IND 360G</v>
          </cell>
          <cell r="B90" t="str">
            <v>FG</v>
          </cell>
          <cell r="C90" t="str">
            <v>BARS &amp; CEREALS</v>
          </cell>
          <cell r="D90" t="str">
            <v>Bites</v>
          </cell>
        </row>
        <row r="91">
          <cell r="A91" t="str">
            <v>CURATE DATES AJWA IMP SAUDI 500G</v>
          </cell>
          <cell r="B91" t="str">
            <v>FG</v>
          </cell>
          <cell r="C91" t="str">
            <v>DATES</v>
          </cell>
          <cell r="D91" t="str">
            <v>Ajwa</v>
          </cell>
        </row>
        <row r="92">
          <cell r="A92" t="str">
            <v>CURATE DATES ASSORTED IMP 500G</v>
          </cell>
          <cell r="B92" t="str">
            <v>FG</v>
          </cell>
          <cell r="C92" t="str">
            <v>DATES</v>
          </cell>
          <cell r="D92" t="str">
            <v>Assorted</v>
          </cell>
        </row>
        <row r="93">
          <cell r="A93" t="str">
            <v>CURATE DATES FARD IMP OMAN 500G</v>
          </cell>
          <cell r="B93" t="str">
            <v>FG</v>
          </cell>
          <cell r="C93" t="str">
            <v>DATES</v>
          </cell>
          <cell r="D93" t="str">
            <v>Fard</v>
          </cell>
        </row>
        <row r="94">
          <cell r="A94" t="str">
            <v>CURATE DATES KIMIA IMP IRAN 500G</v>
          </cell>
          <cell r="B94" t="str">
            <v>FG</v>
          </cell>
          <cell r="C94" t="str">
            <v>DATES</v>
          </cell>
          <cell r="D94" t="str">
            <v>Kimia</v>
          </cell>
        </row>
        <row r="95">
          <cell r="A95" t="str">
            <v>CURATE DATES MEDJOUL IMP ISREL 500G</v>
          </cell>
          <cell r="B95" t="str">
            <v>FG</v>
          </cell>
          <cell r="C95" t="str">
            <v>DATES</v>
          </cell>
          <cell r="D95" t="str">
            <v>Medjoul-General</v>
          </cell>
        </row>
        <row r="96">
          <cell r="A96" t="str">
            <v>CURATE DATES ORIENTAL IMP ISREL 500G</v>
          </cell>
          <cell r="B96" t="str">
            <v>FG</v>
          </cell>
          <cell r="C96" t="str">
            <v>DATES</v>
          </cell>
          <cell r="D96" t="str">
            <v>Deri</v>
          </cell>
        </row>
        <row r="97">
          <cell r="A97" t="str">
            <v>CURATE DATES SAFAVI IMP SAUDI 500G</v>
          </cell>
          <cell r="B97" t="str">
            <v>FG</v>
          </cell>
          <cell r="C97" t="str">
            <v>DATES</v>
          </cell>
          <cell r="D97" t="str">
            <v>Safavi</v>
          </cell>
        </row>
        <row r="98">
          <cell r="A98" t="str">
            <v>Dates Paste</v>
          </cell>
          <cell r="B98" t="str">
            <v>RM</v>
          </cell>
          <cell r="C98" t="str">
            <v>DATES</v>
          </cell>
          <cell r="D98" t="str">
            <v>Paste</v>
          </cell>
        </row>
        <row r="99">
          <cell r="A99" t="str">
            <v>Dates Seeds</v>
          </cell>
          <cell r="B99" t="str">
            <v>RM</v>
          </cell>
          <cell r="C99" t="str">
            <v>DATES</v>
          </cell>
          <cell r="D99" t="str">
            <v>Seeds</v>
          </cell>
        </row>
        <row r="100">
          <cell r="A100" t="str">
            <v>Date Sugar</v>
          </cell>
          <cell r="B100" t="str">
            <v>RM</v>
          </cell>
          <cell r="C100" t="str">
            <v>DATES</v>
          </cell>
          <cell r="D100" t="str">
            <v>Powder</v>
          </cell>
        </row>
        <row r="101">
          <cell r="A101" t="str">
            <v>Deglet</v>
          </cell>
          <cell r="B101" t="str">
            <v>RM</v>
          </cell>
          <cell r="C101" t="str">
            <v>DATES</v>
          </cell>
          <cell r="D101" t="str">
            <v>Deglet</v>
          </cell>
        </row>
        <row r="102">
          <cell r="A102" t="str">
            <v>DEGLET.908 GM</v>
          </cell>
          <cell r="B102" t="str">
            <v>FG</v>
          </cell>
          <cell r="C102" t="str">
            <v>DATES</v>
          </cell>
          <cell r="D102" t="str">
            <v>Deglet</v>
          </cell>
        </row>
        <row r="103">
          <cell r="A103" t="str">
            <v>Delkash Dates 500 Gms (110002704)</v>
          </cell>
          <cell r="B103" t="str">
            <v>FG</v>
          </cell>
          <cell r="C103" t="str">
            <v>DATES</v>
          </cell>
          <cell r="D103" t="str">
            <v>Maryam</v>
          </cell>
        </row>
        <row r="104">
          <cell r="A104" t="str">
            <v>Deri Dates 250g (1359841)</v>
          </cell>
          <cell r="B104" t="str">
            <v>FG</v>
          </cell>
          <cell r="C104" t="str">
            <v>DATES</v>
          </cell>
          <cell r="D104" t="str">
            <v>Deri</v>
          </cell>
        </row>
        <row r="105">
          <cell r="A105" t="str">
            <v>Dry Cut Dates</v>
          </cell>
          <cell r="B105" t="str">
            <v>RM</v>
          </cell>
          <cell r="C105" t="str">
            <v>DATES</v>
          </cell>
          <cell r="D105" t="str">
            <v>Dry Dates</v>
          </cell>
        </row>
        <row r="106">
          <cell r="A106" t="str">
            <v>DRY DATES-GRADE 1</v>
          </cell>
          <cell r="B106" t="str">
            <v>RM</v>
          </cell>
          <cell r="C106" t="str">
            <v>DATES</v>
          </cell>
          <cell r="D106" t="str">
            <v>Dry Dates</v>
          </cell>
        </row>
        <row r="107">
          <cell r="A107" t="str">
            <v>DRY DATES-GRADE 2</v>
          </cell>
          <cell r="B107" t="str">
            <v>RM</v>
          </cell>
          <cell r="C107" t="str">
            <v>DATES</v>
          </cell>
          <cell r="D107" t="str">
            <v>Dry Dates</v>
          </cell>
        </row>
        <row r="108">
          <cell r="A108" t="str">
            <v>DRY DATES-GRADE 2 PITTED</v>
          </cell>
          <cell r="B108" t="str">
            <v>RM</v>
          </cell>
          <cell r="C108" t="str">
            <v>DATES</v>
          </cell>
          <cell r="D108" t="str">
            <v>Dry Dates</v>
          </cell>
        </row>
        <row r="109">
          <cell r="A109" t="str">
            <v>Egyptian Wet Dates 10kg</v>
          </cell>
          <cell r="B109" t="str">
            <v>RM</v>
          </cell>
          <cell r="C109" t="str">
            <v>DATES</v>
          </cell>
          <cell r="D109" t="str">
            <v>Egyptian</v>
          </cell>
        </row>
        <row r="110">
          <cell r="A110" t="str">
            <v>Extra Give Away</v>
          </cell>
          <cell r="B110">
            <v>0</v>
          </cell>
          <cell r="C110" t="str">
            <v>Extra Giveaway</v>
          </cell>
          <cell r="D110" t="str">
            <v>PL/EGA</v>
          </cell>
        </row>
        <row r="111">
          <cell r="A111" t="str">
            <v>Fard B Grade</v>
          </cell>
          <cell r="B111" t="str">
            <v>RM</v>
          </cell>
          <cell r="C111" t="str">
            <v>DATES</v>
          </cell>
          <cell r="D111" t="str">
            <v>Fard</v>
          </cell>
        </row>
        <row r="112">
          <cell r="A112" t="str">
            <v>Fresho Kimia Dates 500 Gm</v>
          </cell>
          <cell r="B112" t="str">
            <v>FG</v>
          </cell>
          <cell r="C112" t="str">
            <v>DATES</v>
          </cell>
          <cell r="D112" t="str">
            <v>Kimia</v>
          </cell>
        </row>
        <row r="113">
          <cell r="A113" t="str">
            <v>Habit Arabian dates 900 gm</v>
          </cell>
          <cell r="B113" t="str">
            <v>FG</v>
          </cell>
          <cell r="C113" t="str">
            <v>DATES</v>
          </cell>
          <cell r="D113" t="str">
            <v>Khalas</v>
          </cell>
        </row>
        <row r="114">
          <cell r="A114" t="str">
            <v>HABIT DATES 800g</v>
          </cell>
          <cell r="B114" t="str">
            <v>FG</v>
          </cell>
          <cell r="C114" t="str">
            <v>DATES</v>
          </cell>
          <cell r="D114" t="str">
            <v>Khalas</v>
          </cell>
        </row>
        <row r="115">
          <cell r="A115" t="str">
            <v>HABIT DATES 800g Old</v>
          </cell>
          <cell r="B115" t="str">
            <v>FG</v>
          </cell>
          <cell r="C115" t="str">
            <v>DATES</v>
          </cell>
          <cell r="D115" t="str">
            <v>Khalas</v>
          </cell>
        </row>
        <row r="116">
          <cell r="A116" t="str">
            <v>Kharek Tukda</v>
          </cell>
          <cell r="B116" t="str">
            <v>RM</v>
          </cell>
          <cell r="C116" t="str">
            <v>DATES</v>
          </cell>
          <cell r="D116" t="str">
            <v>Dry Dates</v>
          </cell>
        </row>
        <row r="117">
          <cell r="A117" t="str">
            <v>Kharik</v>
          </cell>
          <cell r="B117" t="str">
            <v>RM</v>
          </cell>
          <cell r="C117" t="str">
            <v>DATES</v>
          </cell>
          <cell r="D117" t="str">
            <v>Dry Dates</v>
          </cell>
        </row>
        <row r="118">
          <cell r="A118" t="str">
            <v>KINGDOM OF DATES AMARY DATES</v>
          </cell>
          <cell r="B118" t="str">
            <v>RM</v>
          </cell>
          <cell r="C118" t="str">
            <v>DATES</v>
          </cell>
          <cell r="D118" t="str">
            <v>Amary</v>
          </cell>
        </row>
        <row r="119">
          <cell r="A119" t="str">
            <v>KINGDOM OF DATES DATE POWDER 250G</v>
          </cell>
          <cell r="B119" t="str">
            <v>FG</v>
          </cell>
          <cell r="C119" t="str">
            <v>DATES</v>
          </cell>
          <cell r="D119" t="str">
            <v>Powder</v>
          </cell>
        </row>
        <row r="120">
          <cell r="A120" t="str">
            <v>KINGDOM OF DATES DATE SYRUP 450G</v>
          </cell>
          <cell r="B120" t="str">
            <v>FG</v>
          </cell>
          <cell r="C120" t="str">
            <v>DATES</v>
          </cell>
          <cell r="D120" t="str">
            <v>Syrup</v>
          </cell>
        </row>
        <row r="121">
          <cell r="A121" t="str">
            <v>KINGDOM OF DATES DEGLET DATES</v>
          </cell>
          <cell r="B121" t="str">
            <v>RM</v>
          </cell>
          <cell r="C121" t="str">
            <v>DATES</v>
          </cell>
          <cell r="D121" t="str">
            <v>Deglet</v>
          </cell>
        </row>
        <row r="122">
          <cell r="A122" t="str">
            <v>KINGDOM OF DATES KALMI REGULARE</v>
          </cell>
          <cell r="B122" t="str">
            <v>RM</v>
          </cell>
          <cell r="C122" t="str">
            <v>DATES</v>
          </cell>
          <cell r="D122" t="str">
            <v>Safavi</v>
          </cell>
        </row>
        <row r="123">
          <cell r="A123" t="str">
            <v>KINGDOM OF DATES KHALAS DATES</v>
          </cell>
          <cell r="B123" t="str">
            <v>RM</v>
          </cell>
          <cell r="C123" t="str">
            <v>DATES</v>
          </cell>
          <cell r="D123" t="str">
            <v>Khalas</v>
          </cell>
        </row>
        <row r="124">
          <cell r="A124" t="str">
            <v>KINGDOM OF DATES KHANEIZI DATES</v>
          </cell>
          <cell r="B124" t="str">
            <v>RM</v>
          </cell>
          <cell r="C124" t="str">
            <v>DATES</v>
          </cell>
          <cell r="D124" t="str">
            <v>Khaneizi</v>
          </cell>
        </row>
        <row r="125">
          <cell r="A125" t="str">
            <v>KINGDOM OF DATES MARYAM DATES</v>
          </cell>
          <cell r="B125" t="str">
            <v>RM</v>
          </cell>
          <cell r="C125" t="str">
            <v>DATES</v>
          </cell>
          <cell r="D125" t="str">
            <v>Maryam</v>
          </cell>
        </row>
        <row r="126">
          <cell r="A126" t="str">
            <v>KINGDOM OF DATES MAZAFATI DATES</v>
          </cell>
          <cell r="B126" t="str">
            <v>RM</v>
          </cell>
          <cell r="C126" t="str">
            <v>DATES</v>
          </cell>
          <cell r="D126" t="str">
            <v>Kimia</v>
          </cell>
        </row>
        <row r="127">
          <cell r="A127" t="str">
            <v>KINGDOM OF DATES MEDJOUL BON DATES</v>
          </cell>
          <cell r="B127" t="str">
            <v>RM</v>
          </cell>
          <cell r="C127" t="str">
            <v>DATES</v>
          </cell>
          <cell r="D127" t="str">
            <v>Medjoul-Bon Bon</v>
          </cell>
        </row>
        <row r="128">
          <cell r="A128" t="str">
            <v>KINGDOM OF DATES MEDJOUL BON DATES 750gm</v>
          </cell>
          <cell r="B128" t="str">
            <v>FG</v>
          </cell>
          <cell r="C128" t="str">
            <v>DATES</v>
          </cell>
          <cell r="D128" t="str">
            <v>Medjoul-Bon Bon</v>
          </cell>
        </row>
        <row r="129">
          <cell r="A129" t="str">
            <v>KINGDOM OF DATES MEDJOUL-JUMBO DATES</v>
          </cell>
          <cell r="B129" t="str">
            <v>RM</v>
          </cell>
          <cell r="C129" t="str">
            <v>DATES</v>
          </cell>
          <cell r="D129" t="str">
            <v>Medjoul-Jumbo</v>
          </cell>
        </row>
        <row r="130">
          <cell r="A130" t="str">
            <v>KINGDOM OF DATES MEDJOUL-LARGE DATES</v>
          </cell>
          <cell r="B130" t="str">
            <v>RM</v>
          </cell>
          <cell r="C130" t="str">
            <v>DATES</v>
          </cell>
          <cell r="D130" t="str">
            <v>Medjoul-Large</v>
          </cell>
        </row>
        <row r="131">
          <cell r="A131" t="str">
            <v>KINGDOM OF DATES MEDJOUL-MEDIUM DATES</v>
          </cell>
          <cell r="B131" t="str">
            <v>RM</v>
          </cell>
          <cell r="C131" t="str">
            <v>DATES</v>
          </cell>
          <cell r="D131" t="str">
            <v>Medjoul-Medium</v>
          </cell>
        </row>
        <row r="132">
          <cell r="A132" t="str">
            <v>KINGDOM OF DATES MEDJOUL SP JUM DATES</v>
          </cell>
          <cell r="B132" t="str">
            <v>RM</v>
          </cell>
          <cell r="C132" t="str">
            <v>DATES</v>
          </cell>
          <cell r="D132" t="str">
            <v>Medjoul-Super Jumbo</v>
          </cell>
        </row>
        <row r="133">
          <cell r="A133" t="str">
            <v>KINGDOM OF DATES ORIENTAL DATES</v>
          </cell>
          <cell r="B133" t="str">
            <v>RM</v>
          </cell>
          <cell r="C133" t="str">
            <v>DATES</v>
          </cell>
          <cell r="D133" t="str">
            <v>Deri</v>
          </cell>
        </row>
        <row r="134">
          <cell r="A134" t="str">
            <v>KINGDOM OF DATES SAYER DATES</v>
          </cell>
          <cell r="B134" t="str">
            <v>FG</v>
          </cell>
          <cell r="C134" t="str">
            <v>DATES</v>
          </cell>
          <cell r="D134" t="str">
            <v>Sayer</v>
          </cell>
        </row>
        <row r="135">
          <cell r="A135" t="str">
            <v>KINGDOM OF DATES SEGAI DATES</v>
          </cell>
          <cell r="B135" t="str">
            <v>RM</v>
          </cell>
          <cell r="C135" t="str">
            <v>DATES</v>
          </cell>
          <cell r="D135" t="str">
            <v>Seggai</v>
          </cell>
        </row>
        <row r="136">
          <cell r="A136" t="str">
            <v>KINGDOM OF DATES SUKKARY DATES</v>
          </cell>
          <cell r="B136" t="str">
            <v>RM</v>
          </cell>
          <cell r="C136" t="str">
            <v>DATES</v>
          </cell>
          <cell r="D136" t="str">
            <v>Sukkary</v>
          </cell>
        </row>
        <row r="137">
          <cell r="A137" t="str">
            <v>KINGDOM OF DATES ZAHIDI DATES</v>
          </cell>
          <cell r="B137" t="str">
            <v>RM</v>
          </cell>
          <cell r="C137" t="str">
            <v>DATES</v>
          </cell>
          <cell r="D137" t="str">
            <v>Zahidi</v>
          </cell>
        </row>
        <row r="138">
          <cell r="A138" t="str">
            <v>King Solomon Dates Medjool Mini 500g</v>
          </cell>
          <cell r="B138" t="str">
            <v>FG</v>
          </cell>
          <cell r="C138" t="str">
            <v>DATES</v>
          </cell>
          <cell r="D138" t="str">
            <v>Medjoul-Junior</v>
          </cell>
        </row>
        <row r="139">
          <cell r="A139" t="str">
            <v>King Solomon Dates Medjoul 200g</v>
          </cell>
          <cell r="B139" t="str">
            <v>FG</v>
          </cell>
          <cell r="C139" t="str">
            <v>DATES</v>
          </cell>
          <cell r="D139" t="str">
            <v>Medjoul-General</v>
          </cell>
        </row>
        <row r="140">
          <cell r="A140" t="str">
            <v>King Solomon Medjoul Dates 250 Gms</v>
          </cell>
          <cell r="B140" t="str">
            <v>FG</v>
          </cell>
          <cell r="C140" t="str">
            <v>DATES</v>
          </cell>
          <cell r="D140" t="str">
            <v>Medjoul-General</v>
          </cell>
        </row>
        <row r="141">
          <cell r="A141" t="str">
            <v>King Solomon Medjoul Dates 500 Gms</v>
          </cell>
          <cell r="B141" t="str">
            <v>FG</v>
          </cell>
          <cell r="C141" t="str">
            <v>DATES</v>
          </cell>
          <cell r="D141" t="str">
            <v>Medjoul-General</v>
          </cell>
        </row>
        <row r="142">
          <cell r="A142" t="str">
            <v>King Solomon Medjoul Dates Jumbo 1kg</v>
          </cell>
          <cell r="B142" t="str">
            <v>FG</v>
          </cell>
          <cell r="C142" t="str">
            <v>DATES</v>
          </cell>
          <cell r="D142" t="str">
            <v>Medjoul-Jumbo</v>
          </cell>
        </row>
        <row r="143">
          <cell r="A143" t="str">
            <v>King Solomon Medjoul Dates Junior 1kg</v>
          </cell>
          <cell r="B143" t="str">
            <v>FG</v>
          </cell>
          <cell r="C143" t="str">
            <v>DATES</v>
          </cell>
          <cell r="D143" t="str">
            <v>Medjoul-Junior</v>
          </cell>
        </row>
        <row r="144">
          <cell r="A144" t="str">
            <v>King Solomon Medjoul Dates Large 1kg</v>
          </cell>
          <cell r="B144" t="str">
            <v>FG</v>
          </cell>
          <cell r="C144" t="str">
            <v>DATES</v>
          </cell>
          <cell r="D144" t="str">
            <v>Medjoul-Large</v>
          </cell>
        </row>
        <row r="145">
          <cell r="A145" t="str">
            <v>King Solomon Medjoul Dates Large 5 Kg</v>
          </cell>
          <cell r="B145" t="str">
            <v>RM</v>
          </cell>
          <cell r="C145" t="str">
            <v>DATES</v>
          </cell>
          <cell r="D145" t="str">
            <v>Medjoul-Large</v>
          </cell>
        </row>
        <row r="146">
          <cell r="A146" t="str">
            <v>King Solomon Medjoul Dates Medium 1kg</v>
          </cell>
          <cell r="B146" t="str">
            <v>FG</v>
          </cell>
          <cell r="C146" t="str">
            <v>DATES</v>
          </cell>
          <cell r="D146" t="str">
            <v>Medjoul-Medium</v>
          </cell>
        </row>
        <row r="147">
          <cell r="A147" t="str">
            <v>King Solomon Medjoul Dates Medium 500 Gm</v>
          </cell>
          <cell r="B147" t="str">
            <v>FG</v>
          </cell>
          <cell r="C147" t="str">
            <v>DATES</v>
          </cell>
          <cell r="D147" t="str">
            <v>Medjoul-Medium</v>
          </cell>
        </row>
        <row r="148">
          <cell r="A148" t="str">
            <v>King Solomon Medjoul Jumbo Dates 500gm</v>
          </cell>
          <cell r="B148" t="str">
            <v>FG</v>
          </cell>
          <cell r="C148" t="str">
            <v>DATES</v>
          </cell>
          <cell r="D148" t="str">
            <v>Medjoul-Jumbo</v>
          </cell>
        </row>
        <row r="149">
          <cell r="A149" t="str">
            <v>King Solomon medjoul junior 500 gm</v>
          </cell>
          <cell r="B149" t="str">
            <v>FG</v>
          </cell>
          <cell r="C149" t="str">
            <v>DATES</v>
          </cell>
          <cell r="D149" t="str">
            <v>Medjoul-Junior</v>
          </cell>
        </row>
        <row r="150">
          <cell r="A150" t="str">
            <v>King Solomon Medjoul Super Jumbo 1 Kg</v>
          </cell>
          <cell r="B150" t="str">
            <v>FG</v>
          </cell>
          <cell r="C150" t="str">
            <v>DATES</v>
          </cell>
          <cell r="D150" t="str">
            <v>Medjoul-Super Jumbo</v>
          </cell>
        </row>
        <row r="151">
          <cell r="A151" t="str">
            <v>King Solomon Medjoul Super Jumbo 500 Gm</v>
          </cell>
          <cell r="B151" t="str">
            <v>FG</v>
          </cell>
          <cell r="C151" t="str">
            <v>DATES</v>
          </cell>
          <cell r="D151" t="str">
            <v>Medjoul-Super Jumbo</v>
          </cell>
        </row>
        <row r="152">
          <cell r="A152" t="str">
            <v>King Solomon Oriental Dates 250g</v>
          </cell>
          <cell r="B152" t="str">
            <v>FG</v>
          </cell>
          <cell r="C152" t="str">
            <v>DATES</v>
          </cell>
          <cell r="D152" t="str">
            <v>Deri</v>
          </cell>
        </row>
        <row r="153">
          <cell r="A153" t="str">
            <v>King Solomon Oriental Dates 250 Gms</v>
          </cell>
          <cell r="B153" t="str">
            <v>FG</v>
          </cell>
          <cell r="C153" t="str">
            <v>DATES</v>
          </cell>
          <cell r="D153" t="str">
            <v>Deri</v>
          </cell>
        </row>
        <row r="154">
          <cell r="A154" t="str">
            <v>King Solomon Oriental Dates 400g</v>
          </cell>
          <cell r="B154" t="str">
            <v>FG</v>
          </cell>
          <cell r="C154" t="str">
            <v>DATES</v>
          </cell>
          <cell r="D154" t="str">
            <v>Deri</v>
          </cell>
        </row>
        <row r="155">
          <cell r="A155" t="str">
            <v>King Solomon Oriental Dates 500gm</v>
          </cell>
          <cell r="B155" t="str">
            <v>FG</v>
          </cell>
          <cell r="C155" t="str">
            <v>DATES</v>
          </cell>
          <cell r="D155" t="str">
            <v>Deri</v>
          </cell>
        </row>
        <row r="156">
          <cell r="A156" t="str">
            <v>King Solomon Oriental Jumbo 5 Kg</v>
          </cell>
          <cell r="B156" t="str">
            <v>FG</v>
          </cell>
          <cell r="C156" t="str">
            <v>DATES</v>
          </cell>
          <cell r="D156" t="str">
            <v>Deri</v>
          </cell>
        </row>
        <row r="157">
          <cell r="A157" t="str">
            <v>Lulu Dates Sagai ( 66189 )</v>
          </cell>
          <cell r="B157" t="str">
            <v>RM</v>
          </cell>
          <cell r="C157" t="str">
            <v>DATES</v>
          </cell>
          <cell r="D157" t="str">
            <v>Seggai</v>
          </cell>
        </row>
        <row r="158">
          <cell r="A158" t="str">
            <v>Mazafati Grade B</v>
          </cell>
          <cell r="B158" t="str">
            <v>RM</v>
          </cell>
          <cell r="C158" t="str">
            <v>DATES</v>
          </cell>
          <cell r="D158" t="str">
            <v>Kimia</v>
          </cell>
        </row>
        <row r="159">
          <cell r="A159" t="str">
            <v>Medjoul Dates Egypt - Large</v>
          </cell>
          <cell r="B159" t="str">
            <v>RM</v>
          </cell>
          <cell r="C159" t="str">
            <v>DATES</v>
          </cell>
          <cell r="D159" t="str">
            <v>Medjoul-Large</v>
          </cell>
        </row>
        <row r="160">
          <cell r="A160" t="str">
            <v>NNS Date Syrup 400 Gm</v>
          </cell>
          <cell r="B160" t="str">
            <v>FG</v>
          </cell>
          <cell r="C160" t="str">
            <v>DATES</v>
          </cell>
          <cell r="D160" t="str">
            <v>Syrup</v>
          </cell>
        </row>
        <row r="161">
          <cell r="A161" t="str">
            <v>NUTRAJ KIMIA DATES 400 Gm</v>
          </cell>
          <cell r="B161" t="str">
            <v>FG</v>
          </cell>
          <cell r="C161" t="str">
            <v>DATES</v>
          </cell>
          <cell r="D161" t="str">
            <v>Kimia</v>
          </cell>
        </row>
        <row r="162">
          <cell r="A162" t="str">
            <v>NUTRAJ KIMIA DATES 500 Gm</v>
          </cell>
          <cell r="B162" t="str">
            <v>FG</v>
          </cell>
          <cell r="C162" t="str">
            <v>DATES</v>
          </cell>
          <cell r="D162" t="str">
            <v>Kimia</v>
          </cell>
        </row>
        <row r="163">
          <cell r="A163" t="str">
            <v>OFF-GRADE DATES</v>
          </cell>
          <cell r="B163" t="str">
            <v>RM</v>
          </cell>
          <cell r="C163" t="str">
            <v>DATES</v>
          </cell>
          <cell r="D163" t="str">
            <v>OFF-GRADE DATES</v>
          </cell>
        </row>
        <row r="164">
          <cell r="A164" t="str">
            <v>Organic Khidri Large</v>
          </cell>
          <cell r="B164" t="str">
            <v>RM</v>
          </cell>
          <cell r="C164" t="str">
            <v>DATES</v>
          </cell>
          <cell r="D164" t="str">
            <v>Khidri</v>
          </cell>
        </row>
        <row r="165">
          <cell r="A165" t="str">
            <v>Organic Khidri Premium Medium</v>
          </cell>
          <cell r="B165" t="str">
            <v>RM</v>
          </cell>
          <cell r="C165" t="str">
            <v>DATES</v>
          </cell>
          <cell r="D165" t="str">
            <v>Khidri</v>
          </cell>
        </row>
        <row r="166">
          <cell r="A166" t="str">
            <v>Organic Khidri Special Jumbo</v>
          </cell>
          <cell r="B166" t="str">
            <v>RM</v>
          </cell>
          <cell r="C166" t="str">
            <v>DATES</v>
          </cell>
          <cell r="D166" t="str">
            <v>Khidri</v>
          </cell>
        </row>
        <row r="167">
          <cell r="A167" t="str">
            <v>Organic Medjool Premium Jumbo</v>
          </cell>
          <cell r="B167" t="str">
            <v>RM</v>
          </cell>
          <cell r="C167" t="str">
            <v>DATES</v>
          </cell>
          <cell r="D167" t="str">
            <v>Medjoul-Jumbo</v>
          </cell>
        </row>
        <row r="168">
          <cell r="A168" t="str">
            <v>Organic Medjool Premium Large</v>
          </cell>
          <cell r="B168" t="str">
            <v>RM</v>
          </cell>
          <cell r="C168" t="str">
            <v>DATES</v>
          </cell>
          <cell r="D168" t="str">
            <v>Medjoul-Large</v>
          </cell>
        </row>
        <row r="169">
          <cell r="A169" t="str">
            <v>Organic Medjool Premium Medium</v>
          </cell>
          <cell r="B169" t="str">
            <v>RM</v>
          </cell>
          <cell r="C169" t="str">
            <v>DATES</v>
          </cell>
          <cell r="D169" t="str">
            <v>Medjoul-Medium</v>
          </cell>
        </row>
        <row r="170">
          <cell r="A170" t="str">
            <v>Organic Seqee Premium Large</v>
          </cell>
          <cell r="B170" t="str">
            <v>RM</v>
          </cell>
          <cell r="C170" t="str">
            <v>DATES</v>
          </cell>
          <cell r="D170" t="str">
            <v>Seqee</v>
          </cell>
        </row>
        <row r="171">
          <cell r="A171" t="str">
            <v>Organic Wanan Premium Jumbo</v>
          </cell>
          <cell r="B171" t="str">
            <v>RM</v>
          </cell>
          <cell r="C171" t="str">
            <v>DATES</v>
          </cell>
          <cell r="D171" t="str">
            <v>Wanan</v>
          </cell>
        </row>
        <row r="172">
          <cell r="A172" t="str">
            <v>Palmera Medjoul Wet Dates Grade A Jumbo 5kg</v>
          </cell>
          <cell r="B172" t="str">
            <v>RM</v>
          </cell>
          <cell r="C172" t="str">
            <v>DATES</v>
          </cell>
          <cell r="D172" t="str">
            <v>Medjoul-Jumbo</v>
          </cell>
        </row>
        <row r="173">
          <cell r="A173" t="str">
            <v>Palmera Medjoul Wet Dates Grade A Small</v>
          </cell>
          <cell r="B173" t="str">
            <v>RM</v>
          </cell>
          <cell r="C173" t="str">
            <v>DATES</v>
          </cell>
          <cell r="D173" t="str">
            <v>Medjoul-Junior</v>
          </cell>
        </row>
        <row r="174">
          <cell r="A174" t="str">
            <v>Palmera Medjoul Wet Dates Grade B Small</v>
          </cell>
          <cell r="B174" t="str">
            <v>RM</v>
          </cell>
          <cell r="C174" t="str">
            <v>DATES</v>
          </cell>
          <cell r="D174" t="str">
            <v>Medjoul-Junior</v>
          </cell>
        </row>
        <row r="175">
          <cell r="A175" t="str">
            <v>Palmera Medjoul Wet Dates Grade C Mix</v>
          </cell>
          <cell r="B175" t="str">
            <v>RM</v>
          </cell>
          <cell r="C175" t="str">
            <v>DATES</v>
          </cell>
          <cell r="D175" t="str">
            <v>Medjoul-General</v>
          </cell>
        </row>
        <row r="176">
          <cell r="A176" t="str">
            <v>Palmera Medjoul Wet Dates Premium Baby</v>
          </cell>
          <cell r="B176" t="str">
            <v>RM</v>
          </cell>
          <cell r="C176" t="str">
            <v>DATES</v>
          </cell>
          <cell r="D176" t="str">
            <v>Medjoul-Junior</v>
          </cell>
        </row>
        <row r="177">
          <cell r="A177" t="str">
            <v>Palmera Medjoul Wet Dates Premiun Medium</v>
          </cell>
          <cell r="B177" t="str">
            <v>RM</v>
          </cell>
          <cell r="C177" t="str">
            <v>DATES</v>
          </cell>
          <cell r="D177" t="str">
            <v>Medjoul-Medium</v>
          </cell>
        </row>
        <row r="178">
          <cell r="A178" t="str">
            <v>PIYAROM DATES</v>
          </cell>
          <cell r="B178" t="str">
            <v>RM</v>
          </cell>
          <cell r="C178" t="str">
            <v>DATES</v>
          </cell>
          <cell r="D178" t="str">
            <v>Maryam</v>
          </cell>
        </row>
        <row r="179">
          <cell r="A179" t="str">
            <v>PL CLASSIC DATES 500G</v>
          </cell>
          <cell r="B179" t="str">
            <v>FG</v>
          </cell>
          <cell r="C179" t="str">
            <v>DATES</v>
          </cell>
          <cell r="D179" t="str">
            <v>Barhi</v>
          </cell>
        </row>
        <row r="180">
          <cell r="A180" t="str">
            <v>Rabbi Dates</v>
          </cell>
          <cell r="B180" t="str">
            <v>RM</v>
          </cell>
          <cell r="C180" t="str">
            <v>DATES</v>
          </cell>
          <cell r="D180" t="str">
            <v>Rabia</v>
          </cell>
        </row>
        <row r="181">
          <cell r="A181" t="str">
            <v>RD Safavi Dates 250g</v>
          </cell>
          <cell r="B181" t="str">
            <v>FG</v>
          </cell>
          <cell r="C181" t="str">
            <v>DATES</v>
          </cell>
          <cell r="D181" t="str">
            <v>Safavi</v>
          </cell>
        </row>
        <row r="182">
          <cell r="A182" t="str">
            <v>Royal Delight Ajwa Dates 400gm</v>
          </cell>
          <cell r="B182" t="str">
            <v>FG</v>
          </cell>
          <cell r="C182" t="str">
            <v>DATES</v>
          </cell>
          <cell r="D182" t="str">
            <v>Ajwa</v>
          </cell>
        </row>
        <row r="183">
          <cell r="A183" t="str">
            <v>Royal Delight Ajwa Dates 500 Gm</v>
          </cell>
          <cell r="B183" t="str">
            <v>FG</v>
          </cell>
          <cell r="C183" t="str">
            <v>DATES</v>
          </cell>
          <cell r="D183" t="str">
            <v>Ajwa</v>
          </cell>
        </row>
        <row r="184">
          <cell r="A184" t="str">
            <v>Royal Delight Ajwa Dates 5 Kgs</v>
          </cell>
          <cell r="B184" t="str">
            <v>RM</v>
          </cell>
          <cell r="C184" t="str">
            <v>DATES</v>
          </cell>
          <cell r="D184" t="str">
            <v>Ajwa</v>
          </cell>
        </row>
        <row r="185">
          <cell r="A185" t="str">
            <v>Royal Delight Ajwa Large 250g</v>
          </cell>
          <cell r="B185" t="str">
            <v>FG</v>
          </cell>
          <cell r="C185" t="str">
            <v>DATES</v>
          </cell>
          <cell r="D185" t="str">
            <v>Ajwa</v>
          </cell>
        </row>
        <row r="186">
          <cell r="A186" t="str">
            <v>Royal Delight Arabian 250gm</v>
          </cell>
          <cell r="B186" t="str">
            <v>FG</v>
          </cell>
          <cell r="C186" t="str">
            <v>DATES</v>
          </cell>
          <cell r="D186" t="str">
            <v>Khalas</v>
          </cell>
        </row>
        <row r="187">
          <cell r="A187" t="str">
            <v>Royal Delight Arabian Dates 500g</v>
          </cell>
          <cell r="B187" t="str">
            <v>FG</v>
          </cell>
          <cell r="C187" t="str">
            <v>DATES</v>
          </cell>
          <cell r="D187" t="str">
            <v>Khalas</v>
          </cell>
        </row>
        <row r="188">
          <cell r="A188" t="str">
            <v>Royal Delight Dates Medjool Medium 250g</v>
          </cell>
          <cell r="B188" t="str">
            <v>FG</v>
          </cell>
          <cell r="C188" t="str">
            <v>DATES</v>
          </cell>
          <cell r="D188" t="str">
            <v>Medjoul-Medium</v>
          </cell>
        </row>
        <row r="189">
          <cell r="A189" t="str">
            <v>Royal Delight Dates Oman 1 Kg</v>
          </cell>
          <cell r="B189" t="str">
            <v>FG</v>
          </cell>
          <cell r="C189" t="str">
            <v>DATES</v>
          </cell>
          <cell r="D189" t="str">
            <v>Oman</v>
          </cell>
        </row>
        <row r="190">
          <cell r="A190" t="str">
            <v>Royal Delight Fard Dates 350g</v>
          </cell>
          <cell r="B190" t="str">
            <v>FG</v>
          </cell>
          <cell r="C190" t="str">
            <v>DATES</v>
          </cell>
          <cell r="D190" t="str">
            <v>Fard</v>
          </cell>
        </row>
        <row r="191">
          <cell r="A191" t="str">
            <v>Royal Delight Kimia 350 Gm</v>
          </cell>
          <cell r="B191" t="str">
            <v>FG</v>
          </cell>
          <cell r="C191" t="str">
            <v>DATES</v>
          </cell>
          <cell r="D191" t="str">
            <v>Kimia</v>
          </cell>
        </row>
        <row r="192">
          <cell r="A192" t="str">
            <v>Royal Delight Mabroom Dates 5 Kgs</v>
          </cell>
          <cell r="B192" t="str">
            <v>RM</v>
          </cell>
          <cell r="C192" t="str">
            <v>DATES</v>
          </cell>
          <cell r="D192" t="str">
            <v>Mabroom</v>
          </cell>
        </row>
        <row r="193">
          <cell r="A193" t="str">
            <v>Royal Delight Mazafati Dates 5 Kgs</v>
          </cell>
          <cell r="B193" t="str">
            <v>RM</v>
          </cell>
          <cell r="C193" t="str">
            <v>DATES</v>
          </cell>
          <cell r="D193" t="str">
            <v>Kimia</v>
          </cell>
        </row>
        <row r="194">
          <cell r="A194" t="str">
            <v>Royal Delight Medjool Large 800g</v>
          </cell>
          <cell r="B194" t="str">
            <v>FG</v>
          </cell>
          <cell r="C194" t="str">
            <v>DATES</v>
          </cell>
          <cell r="D194" t="str">
            <v>Medjoul-Large</v>
          </cell>
        </row>
        <row r="195">
          <cell r="A195" t="str">
            <v>Royal Delight Medjool Skin 400g</v>
          </cell>
          <cell r="B195" t="str">
            <v>FG</v>
          </cell>
          <cell r="C195" t="str">
            <v>DATES</v>
          </cell>
          <cell r="D195" t="str">
            <v>Medjoul-General</v>
          </cell>
        </row>
        <row r="196">
          <cell r="A196" t="str">
            <v>Royal Delight Medjoul Dates 5 Kgs</v>
          </cell>
          <cell r="B196" t="str">
            <v>RM</v>
          </cell>
          <cell r="C196" t="str">
            <v>DATES</v>
          </cell>
          <cell r="D196" t="str">
            <v>Medjoul-General</v>
          </cell>
        </row>
        <row r="197">
          <cell r="A197" t="str">
            <v>Royal Delight Oman Dates 5 Kgs</v>
          </cell>
          <cell r="B197" t="str">
            <v>RM</v>
          </cell>
          <cell r="C197" t="str">
            <v>DATES</v>
          </cell>
          <cell r="D197" t="str">
            <v>Fard</v>
          </cell>
        </row>
        <row r="198">
          <cell r="A198" t="str">
            <v>Royal Delight Safavi Dates 5kg</v>
          </cell>
          <cell r="B198" t="str">
            <v>FG</v>
          </cell>
          <cell r="C198" t="str">
            <v>DATES</v>
          </cell>
          <cell r="D198" t="str">
            <v>Safavi</v>
          </cell>
        </row>
        <row r="199">
          <cell r="A199" t="str">
            <v>Sayer Dates Pitted</v>
          </cell>
          <cell r="B199" t="str">
            <v>RM</v>
          </cell>
          <cell r="C199" t="str">
            <v>DATES</v>
          </cell>
          <cell r="D199" t="str">
            <v>Sayer</v>
          </cell>
        </row>
        <row r="200">
          <cell r="A200" t="str">
            <v>Scrap Ajwa</v>
          </cell>
          <cell r="B200" t="str">
            <v>RM</v>
          </cell>
          <cell r="C200" t="str">
            <v>DATES</v>
          </cell>
          <cell r="D200" t="str">
            <v>OFF-GRADE DATES</v>
          </cell>
        </row>
        <row r="201">
          <cell r="A201" t="str">
            <v>SCRAP BARHI</v>
          </cell>
          <cell r="B201" t="str">
            <v>RM</v>
          </cell>
          <cell r="C201" t="str">
            <v>DATES</v>
          </cell>
          <cell r="D201" t="str">
            <v>OFF-GRADE DATES</v>
          </cell>
        </row>
        <row r="202">
          <cell r="A202" t="str">
            <v>Scrap Deglet</v>
          </cell>
          <cell r="B202" t="str">
            <v>RM</v>
          </cell>
          <cell r="C202" t="str">
            <v>DATES</v>
          </cell>
          <cell r="D202" t="str">
            <v>OFF-GRADE DATES</v>
          </cell>
        </row>
        <row r="203">
          <cell r="A203" t="str">
            <v>Scrap Deri</v>
          </cell>
          <cell r="B203" t="str">
            <v>RM</v>
          </cell>
          <cell r="C203" t="str">
            <v>DATES</v>
          </cell>
          <cell r="D203" t="str">
            <v>OFF-GRADE DATES</v>
          </cell>
        </row>
        <row r="204">
          <cell r="A204" t="str">
            <v>Scrap Fard</v>
          </cell>
          <cell r="B204" t="str">
            <v>RM</v>
          </cell>
          <cell r="C204" t="str">
            <v>DATES</v>
          </cell>
          <cell r="D204" t="str">
            <v>OFF-GRADE DATES</v>
          </cell>
        </row>
        <row r="205">
          <cell r="A205" t="str">
            <v>Scrap Khalas</v>
          </cell>
          <cell r="B205" t="str">
            <v>RM</v>
          </cell>
          <cell r="C205" t="str">
            <v>DATES</v>
          </cell>
          <cell r="D205" t="str">
            <v>OFF-GRADE DATES</v>
          </cell>
        </row>
        <row r="206">
          <cell r="A206" t="str">
            <v>Scrap Khanezi</v>
          </cell>
          <cell r="B206" t="str">
            <v>RM</v>
          </cell>
          <cell r="C206" t="str">
            <v>DATES</v>
          </cell>
          <cell r="D206" t="str">
            <v>OFF-GRADE DATES</v>
          </cell>
        </row>
        <row r="207">
          <cell r="A207" t="str">
            <v>Scrap Mabroom</v>
          </cell>
          <cell r="B207" t="str">
            <v>RM</v>
          </cell>
          <cell r="C207" t="str">
            <v>DATES</v>
          </cell>
          <cell r="D207" t="str">
            <v>OFF-GRADE DATES</v>
          </cell>
        </row>
        <row r="208">
          <cell r="A208" t="str">
            <v>Scrap Maryam</v>
          </cell>
          <cell r="B208" t="str">
            <v>RM</v>
          </cell>
          <cell r="C208" t="str">
            <v>DATES</v>
          </cell>
          <cell r="D208" t="str">
            <v>OFF-GRADE DATES</v>
          </cell>
        </row>
        <row r="209">
          <cell r="A209" t="str">
            <v>Scrap Mazafati</v>
          </cell>
          <cell r="B209" t="str">
            <v>RM</v>
          </cell>
          <cell r="C209" t="str">
            <v>DATES</v>
          </cell>
          <cell r="D209" t="str">
            <v>OFF-GRADE DATES</v>
          </cell>
        </row>
        <row r="210">
          <cell r="A210" t="str">
            <v>Scrap Medjoul</v>
          </cell>
          <cell r="B210" t="str">
            <v>RM</v>
          </cell>
          <cell r="C210" t="str">
            <v>DATES</v>
          </cell>
          <cell r="D210" t="str">
            <v>OFF-GRADE DATES</v>
          </cell>
        </row>
        <row r="211">
          <cell r="A211" t="str">
            <v>Scrap  Safavi</v>
          </cell>
          <cell r="B211" t="str">
            <v>RM</v>
          </cell>
          <cell r="C211" t="str">
            <v>DATES</v>
          </cell>
          <cell r="D211" t="str">
            <v>OFF-GRADE DATES</v>
          </cell>
        </row>
        <row r="212">
          <cell r="A212" t="str">
            <v>Scrap Sayar</v>
          </cell>
          <cell r="B212" t="str">
            <v>RM</v>
          </cell>
          <cell r="C212" t="str">
            <v>DATES</v>
          </cell>
          <cell r="D212" t="str">
            <v>OFF-GRADE DATES</v>
          </cell>
        </row>
        <row r="213">
          <cell r="A213" t="str">
            <v>Seedless Chopped Dry Yellow Kharik Dates</v>
          </cell>
          <cell r="B213" t="str">
            <v>RM</v>
          </cell>
          <cell r="C213" t="str">
            <v>DATES</v>
          </cell>
          <cell r="D213" t="str">
            <v>Dry Dates</v>
          </cell>
        </row>
        <row r="214">
          <cell r="A214" t="str">
            <v>Seedless Fard Dates 500g</v>
          </cell>
          <cell r="B214" t="str">
            <v>FG</v>
          </cell>
          <cell r="C214" t="str">
            <v>DATES</v>
          </cell>
          <cell r="D214" t="str">
            <v>Seedless</v>
          </cell>
        </row>
        <row r="215">
          <cell r="A215" t="str">
            <v>Sufri Wet Dates</v>
          </cell>
          <cell r="B215" t="str">
            <v>RM</v>
          </cell>
          <cell r="C215" t="str">
            <v>DATES</v>
          </cell>
          <cell r="D215" t="str">
            <v>Sufri</v>
          </cell>
        </row>
        <row r="216">
          <cell r="A216" t="str">
            <v>Super Select Emirates Dates A 5KG</v>
          </cell>
          <cell r="B216" t="str">
            <v>RM</v>
          </cell>
          <cell r="C216" t="str">
            <v>DATES</v>
          </cell>
          <cell r="D216" t="str">
            <v>Ajwa</v>
          </cell>
        </row>
        <row r="217">
          <cell r="A217" t="str">
            <v>Super Select Emirates Dates SP 5KG</v>
          </cell>
          <cell r="B217" t="str">
            <v>RM</v>
          </cell>
          <cell r="C217" t="str">
            <v>DATES</v>
          </cell>
          <cell r="D217" t="str">
            <v>Safavi</v>
          </cell>
        </row>
        <row r="218">
          <cell r="A218" t="str">
            <v>Super Select Emirates Dates SS 5KG</v>
          </cell>
          <cell r="B218" t="str">
            <v>RM</v>
          </cell>
          <cell r="C218" t="str">
            <v>DATES</v>
          </cell>
          <cell r="D218" t="str">
            <v>Safavi</v>
          </cell>
        </row>
        <row r="219">
          <cell r="A219" t="str">
            <v>The Origin - DEGLET NOUR DATES500gm</v>
          </cell>
          <cell r="B219" t="str">
            <v>FG</v>
          </cell>
          <cell r="C219" t="str">
            <v>DATES</v>
          </cell>
          <cell r="D219" t="str">
            <v>Deglet</v>
          </cell>
        </row>
        <row r="220">
          <cell r="A220" t="str">
            <v>UAE Seedless Black Dates</v>
          </cell>
          <cell r="B220" t="str">
            <v>RM</v>
          </cell>
          <cell r="C220" t="str">
            <v>DATES</v>
          </cell>
          <cell r="D220" t="str">
            <v>Seedless</v>
          </cell>
        </row>
        <row r="221">
          <cell r="A221" t="str">
            <v>UAE Seedless Red Dates</v>
          </cell>
          <cell r="B221" t="str">
            <v>RM</v>
          </cell>
          <cell r="C221" t="str">
            <v>DATES</v>
          </cell>
          <cell r="D221" t="str">
            <v>Seedless</v>
          </cell>
        </row>
        <row r="222">
          <cell r="A222" t="str">
            <v>UP Ajwa Dates 500gm</v>
          </cell>
          <cell r="B222" t="str">
            <v>FG</v>
          </cell>
          <cell r="C222" t="str">
            <v>DATES</v>
          </cell>
          <cell r="D222" t="str">
            <v>Ajwa</v>
          </cell>
        </row>
        <row r="223">
          <cell r="A223" t="str">
            <v>UP Ameri Dates 500gm</v>
          </cell>
          <cell r="B223" t="str">
            <v>FG</v>
          </cell>
          <cell r="C223" t="str">
            <v>DATES</v>
          </cell>
          <cell r="D223" t="str">
            <v>Amary</v>
          </cell>
        </row>
        <row r="224">
          <cell r="A224" t="str">
            <v>UP Deglet Dates 500gm</v>
          </cell>
          <cell r="B224" t="str">
            <v>FG</v>
          </cell>
          <cell r="C224" t="str">
            <v>DATES</v>
          </cell>
          <cell r="D224" t="str">
            <v>Deglet</v>
          </cell>
        </row>
        <row r="225">
          <cell r="A225" t="str">
            <v>UP Fardh Dates 500gm</v>
          </cell>
          <cell r="B225" t="str">
            <v>FG</v>
          </cell>
          <cell r="C225" t="str">
            <v>DATES</v>
          </cell>
          <cell r="D225" t="str">
            <v>Fard</v>
          </cell>
        </row>
        <row r="226">
          <cell r="A226" t="str">
            <v>UP Khidri Dates 500gm</v>
          </cell>
          <cell r="B226" t="str">
            <v>FG</v>
          </cell>
          <cell r="C226" t="str">
            <v>DATES</v>
          </cell>
          <cell r="D226" t="str">
            <v>Khidri</v>
          </cell>
        </row>
        <row r="227">
          <cell r="A227" t="str">
            <v>UP Medjoul Dates 500gm</v>
          </cell>
          <cell r="B227" t="str">
            <v>FG</v>
          </cell>
          <cell r="C227" t="str">
            <v>DATES</v>
          </cell>
          <cell r="D227" t="str">
            <v>Medjoul-General</v>
          </cell>
        </row>
        <row r="228">
          <cell r="A228" t="str">
            <v>UP Rabiya Dates 500gm</v>
          </cell>
          <cell r="B228" t="str">
            <v>FG</v>
          </cell>
          <cell r="C228" t="str">
            <v>DATES</v>
          </cell>
          <cell r="D228" t="str">
            <v>Rabia</v>
          </cell>
        </row>
        <row r="229">
          <cell r="A229" t="str">
            <v>UP Safavi Dates 500gm</v>
          </cell>
          <cell r="B229" t="str">
            <v>FG</v>
          </cell>
          <cell r="C229" t="str">
            <v>DATES</v>
          </cell>
          <cell r="D229" t="str">
            <v>Safavi</v>
          </cell>
        </row>
        <row r="230">
          <cell r="A230" t="str">
            <v>UP Segai Dates 500gm</v>
          </cell>
          <cell r="B230" t="str">
            <v>FG</v>
          </cell>
          <cell r="C230" t="str">
            <v>DATES</v>
          </cell>
          <cell r="D230" t="str">
            <v>Seggai</v>
          </cell>
        </row>
        <row r="231">
          <cell r="A231" t="str">
            <v>UP Stuffed Medjoul Dates choco cranberry delights crunch 180gm</v>
          </cell>
          <cell r="B231" t="str">
            <v>FG</v>
          </cell>
          <cell r="C231" t="str">
            <v>DATES</v>
          </cell>
          <cell r="D231" t="str">
            <v>Medjoul-General</v>
          </cell>
        </row>
        <row r="232">
          <cell r="A232" t="str">
            <v>UP Stuff Medjoul Dates 9pcs</v>
          </cell>
          <cell r="B232" t="str">
            <v>FG</v>
          </cell>
          <cell r="C232" t="str">
            <v>DATES</v>
          </cell>
          <cell r="D232" t="str">
            <v>Medjoul-General</v>
          </cell>
        </row>
        <row r="233">
          <cell r="A233" t="str">
            <v>UP Sukkary Dates 500gm</v>
          </cell>
          <cell r="B233" t="str">
            <v>FG</v>
          </cell>
          <cell r="C233" t="str">
            <v>DATES</v>
          </cell>
          <cell r="D233" t="str">
            <v>Sukkary</v>
          </cell>
        </row>
        <row r="234">
          <cell r="A234" t="str">
            <v>URBAN PLATTER DATE SYRUP (400GX12)</v>
          </cell>
          <cell r="B234" t="str">
            <v>FG</v>
          </cell>
          <cell r="C234" t="str">
            <v>DATES</v>
          </cell>
          <cell r="D234" t="str">
            <v>Syrup</v>
          </cell>
        </row>
        <row r="235">
          <cell r="A235" t="str">
            <v>Wet Date Bumaan</v>
          </cell>
          <cell r="B235" t="str">
            <v>RM</v>
          </cell>
          <cell r="C235" t="str">
            <v>DATES</v>
          </cell>
          <cell r="D235" t="str">
            <v>Buman</v>
          </cell>
        </row>
        <row r="236">
          <cell r="A236" t="str">
            <v>WET DATE ( KHANIJI )</v>
          </cell>
          <cell r="B236" t="str">
            <v>RM</v>
          </cell>
          <cell r="C236" t="str">
            <v>DATES</v>
          </cell>
          <cell r="D236" t="str">
            <v>Khaneizi</v>
          </cell>
        </row>
        <row r="237">
          <cell r="A237" t="str">
            <v>Wet Date Kimia</v>
          </cell>
          <cell r="B237" t="str">
            <v>RM</v>
          </cell>
          <cell r="C237" t="str">
            <v>DATES</v>
          </cell>
          <cell r="D237" t="str">
            <v>Kimia</v>
          </cell>
        </row>
        <row r="238">
          <cell r="A238" t="str">
            <v>WET DATE MEDJOUL PREMIUM BON BON</v>
          </cell>
          <cell r="B238" t="str">
            <v>RM</v>
          </cell>
          <cell r="C238" t="str">
            <v>DATES</v>
          </cell>
          <cell r="D238" t="str">
            <v>Medjoul-Bon Bon</v>
          </cell>
        </row>
        <row r="239">
          <cell r="A239" t="str">
            <v>Wet Dates Ajwa</v>
          </cell>
          <cell r="B239" t="str">
            <v>RM</v>
          </cell>
          <cell r="C239" t="str">
            <v>DATES</v>
          </cell>
          <cell r="D239" t="str">
            <v>Ajwa</v>
          </cell>
        </row>
        <row r="240">
          <cell r="A240" t="str">
            <v>Wet Dates Ajwa Premium</v>
          </cell>
          <cell r="B240" t="str">
            <v>RM</v>
          </cell>
          <cell r="C240" t="str">
            <v>DATES</v>
          </cell>
          <cell r="D240" t="str">
            <v>Ajwa</v>
          </cell>
        </row>
        <row r="241">
          <cell r="A241" t="str">
            <v>Wet Dates (Amary)</v>
          </cell>
          <cell r="B241" t="str">
            <v>RM</v>
          </cell>
          <cell r="C241" t="str">
            <v>DATES</v>
          </cell>
          <cell r="D241" t="str">
            <v>Amary</v>
          </cell>
        </row>
        <row r="242">
          <cell r="A242" t="str">
            <v>Wet Date Sayer ( Unpitted )</v>
          </cell>
          <cell r="B242" t="str">
            <v>RM</v>
          </cell>
          <cell r="C242" t="str">
            <v>DATES</v>
          </cell>
          <cell r="D242" t="str">
            <v>Sayer</v>
          </cell>
        </row>
        <row r="243">
          <cell r="A243" t="str">
            <v>Wet Dates Deglet</v>
          </cell>
          <cell r="B243" t="str">
            <v>RM</v>
          </cell>
          <cell r="C243" t="str">
            <v>DATES</v>
          </cell>
          <cell r="D243" t="str">
            <v>Deglet</v>
          </cell>
        </row>
        <row r="244">
          <cell r="A244" t="str">
            <v>Wet Dates (Deri)</v>
          </cell>
          <cell r="B244" t="str">
            <v>RM</v>
          </cell>
          <cell r="C244" t="str">
            <v>DATES</v>
          </cell>
          <cell r="D244" t="str">
            <v>Deri</v>
          </cell>
        </row>
        <row r="245">
          <cell r="A245" t="str">
            <v>WET DATES DERI BULK (5)</v>
          </cell>
          <cell r="B245" t="str">
            <v>RM</v>
          </cell>
          <cell r="C245" t="str">
            <v>DATES</v>
          </cell>
          <cell r="D245" t="str">
            <v>Deri</v>
          </cell>
        </row>
        <row r="246">
          <cell r="A246" t="str">
            <v>Wet Dates Fardh</v>
          </cell>
          <cell r="B246" t="str">
            <v>RM</v>
          </cell>
          <cell r="C246" t="str">
            <v>DATES</v>
          </cell>
          <cell r="D246" t="str">
            <v>Fard</v>
          </cell>
        </row>
        <row r="247">
          <cell r="A247" t="str">
            <v>Wet Dates Fardh 500gm</v>
          </cell>
          <cell r="B247" t="str">
            <v>FG</v>
          </cell>
          <cell r="C247" t="str">
            <v>DATES</v>
          </cell>
          <cell r="D247" t="str">
            <v>Fard</v>
          </cell>
        </row>
        <row r="248">
          <cell r="A248" t="str">
            <v>Wet Dates Halawi</v>
          </cell>
          <cell r="B248" t="str">
            <v>RM</v>
          </cell>
          <cell r="C248" t="str">
            <v>DATES</v>
          </cell>
          <cell r="D248" t="str">
            <v>Halawi</v>
          </cell>
        </row>
        <row r="249">
          <cell r="A249" t="str">
            <v>Wet Dates Khalas</v>
          </cell>
          <cell r="B249" t="str">
            <v>RM</v>
          </cell>
          <cell r="C249" t="str">
            <v>DATES</v>
          </cell>
          <cell r="D249" t="str">
            <v>Khalas</v>
          </cell>
        </row>
        <row r="250">
          <cell r="A250" t="str">
            <v>Wet Dates Khaneizi</v>
          </cell>
          <cell r="B250" t="str">
            <v>RM</v>
          </cell>
          <cell r="C250" t="str">
            <v>DATES</v>
          </cell>
          <cell r="D250" t="str">
            <v>Khaneizi</v>
          </cell>
        </row>
        <row r="251">
          <cell r="A251" t="str">
            <v>Wet Dates Khidri</v>
          </cell>
          <cell r="B251" t="str">
            <v>RM</v>
          </cell>
          <cell r="C251" t="str">
            <v>DATES</v>
          </cell>
          <cell r="D251" t="str">
            <v>Khidri</v>
          </cell>
        </row>
        <row r="252">
          <cell r="A252" t="str">
            <v>Wet Dates Lulu</v>
          </cell>
          <cell r="B252" t="str">
            <v>RM</v>
          </cell>
          <cell r="C252" t="str">
            <v>DATES</v>
          </cell>
          <cell r="D252" t="str">
            <v>Lulu</v>
          </cell>
        </row>
        <row r="253">
          <cell r="A253" t="str">
            <v>Wet Dates (Mabroom)</v>
          </cell>
          <cell r="B253" t="str">
            <v>RM</v>
          </cell>
          <cell r="C253" t="str">
            <v>DATES</v>
          </cell>
          <cell r="D253" t="str">
            <v>Mabroom</v>
          </cell>
        </row>
        <row r="254">
          <cell r="A254" t="str">
            <v>Wet Dates Maryam</v>
          </cell>
          <cell r="B254" t="str">
            <v>RM</v>
          </cell>
          <cell r="C254" t="str">
            <v>DATES</v>
          </cell>
          <cell r="D254" t="str">
            <v>Maryam</v>
          </cell>
        </row>
        <row r="255">
          <cell r="A255" t="str">
            <v>Wet Dates (Mashrook)</v>
          </cell>
          <cell r="B255" t="str">
            <v>RM</v>
          </cell>
          <cell r="C255" t="str">
            <v>DATES</v>
          </cell>
          <cell r="D255" t="str">
            <v>Mashrook</v>
          </cell>
        </row>
        <row r="256">
          <cell r="A256" t="str">
            <v>Wet Dates (Mazafati)</v>
          </cell>
          <cell r="B256" t="str">
            <v>RM</v>
          </cell>
          <cell r="C256" t="str">
            <v>DATES</v>
          </cell>
          <cell r="D256" t="str">
            <v>Kimia</v>
          </cell>
        </row>
        <row r="257">
          <cell r="A257" t="str">
            <v>Wet Dates (Med)</v>
          </cell>
          <cell r="B257" t="str">
            <v>RM</v>
          </cell>
          <cell r="C257" t="str">
            <v>DATES</v>
          </cell>
          <cell r="D257" t="str">
            <v>Medjoul-General</v>
          </cell>
        </row>
        <row r="258">
          <cell r="A258" t="str">
            <v>WET DATES MEDJOUL</v>
          </cell>
          <cell r="B258" t="str">
            <v>RM</v>
          </cell>
          <cell r="C258" t="str">
            <v>DATES</v>
          </cell>
          <cell r="D258" t="str">
            <v>Medjoul-General</v>
          </cell>
        </row>
        <row r="259">
          <cell r="A259" t="str">
            <v>Wet Dates Medjoul Bulk 5 Kgs Super Jumbo</v>
          </cell>
          <cell r="B259" t="str">
            <v>RM</v>
          </cell>
          <cell r="C259" t="str">
            <v>DATES</v>
          </cell>
          <cell r="D259" t="str">
            <v>Medjoul-Super Jumbo</v>
          </cell>
        </row>
        <row r="260">
          <cell r="A260" t="str">
            <v>WET DATES MEDJOUL BULK BON BON DATES (3)</v>
          </cell>
          <cell r="B260" t="str">
            <v>RM</v>
          </cell>
          <cell r="C260" t="str">
            <v>DATES</v>
          </cell>
          <cell r="D260" t="str">
            <v>Medjoul-Bon Bon</v>
          </cell>
        </row>
        <row r="261">
          <cell r="A261" t="str">
            <v>WET DATES MEDJOUL BULK LARGE (5)</v>
          </cell>
          <cell r="B261" t="str">
            <v>RM</v>
          </cell>
          <cell r="C261" t="str">
            <v>DATES</v>
          </cell>
          <cell r="D261" t="str">
            <v>Medjoul-Large</v>
          </cell>
        </row>
        <row r="262">
          <cell r="A262" t="str">
            <v>WET DATES MEDJOUL BULK MEDIUM(5)</v>
          </cell>
          <cell r="B262" t="str">
            <v>RM</v>
          </cell>
          <cell r="C262" t="str">
            <v>DATES</v>
          </cell>
          <cell r="D262" t="str">
            <v>Medjoul-Medium</v>
          </cell>
        </row>
        <row r="263">
          <cell r="A263" t="str">
            <v>WET DATES MEDJOUL BULK MINI (5)</v>
          </cell>
          <cell r="B263" t="str">
            <v>RM</v>
          </cell>
          <cell r="C263" t="str">
            <v>DATES</v>
          </cell>
          <cell r="D263" t="str">
            <v>Medjoul-Junior</v>
          </cell>
        </row>
        <row r="264">
          <cell r="A264" t="str">
            <v>WET DATES MEDJOUL JUMBO</v>
          </cell>
          <cell r="B264" t="str">
            <v>RM</v>
          </cell>
          <cell r="C264" t="str">
            <v>DATES</v>
          </cell>
          <cell r="D264" t="str">
            <v>Medjoul-Jumbo</v>
          </cell>
        </row>
        <row r="265">
          <cell r="A265" t="str">
            <v>WET DATES MEDJOUL JUNIOR</v>
          </cell>
          <cell r="B265" t="str">
            <v>RM</v>
          </cell>
          <cell r="C265" t="str">
            <v>DATES</v>
          </cell>
          <cell r="D265" t="str">
            <v>Medjoul-Junior</v>
          </cell>
        </row>
        <row r="266">
          <cell r="A266" t="str">
            <v>Wet Dates Medjoul Large B</v>
          </cell>
          <cell r="B266" t="str">
            <v>RM</v>
          </cell>
          <cell r="C266" t="str">
            <v>DATES</v>
          </cell>
          <cell r="D266" t="str">
            <v>Medjoul-General</v>
          </cell>
        </row>
        <row r="267">
          <cell r="A267" t="str">
            <v>Wet Dates (Oman)</v>
          </cell>
          <cell r="B267" t="str">
            <v>RM</v>
          </cell>
          <cell r="C267" t="str">
            <v>DATES</v>
          </cell>
          <cell r="D267" t="str">
            <v>Fard</v>
          </cell>
        </row>
        <row r="268">
          <cell r="A268" t="str">
            <v>Wet Dates (Rabia)</v>
          </cell>
          <cell r="B268" t="str">
            <v>RM</v>
          </cell>
          <cell r="C268" t="str">
            <v>DATES</v>
          </cell>
          <cell r="D268" t="str">
            <v>Rabia</v>
          </cell>
        </row>
        <row r="269">
          <cell r="A269" t="str">
            <v>Wet Dates Safavi</v>
          </cell>
          <cell r="B269" t="str">
            <v>RM</v>
          </cell>
          <cell r="C269" t="str">
            <v>DATES</v>
          </cell>
          <cell r="D269" t="str">
            <v>Safavi</v>
          </cell>
        </row>
        <row r="270">
          <cell r="A270" t="str">
            <v>Wet Dates Safavi Reg.</v>
          </cell>
          <cell r="B270" t="str">
            <v>RM</v>
          </cell>
          <cell r="C270" t="str">
            <v>DATES</v>
          </cell>
          <cell r="D270" t="str">
            <v>Safavi</v>
          </cell>
        </row>
        <row r="271">
          <cell r="A271" t="str">
            <v>Wet Dates Safavi Seedless</v>
          </cell>
          <cell r="B271" t="str">
            <v>RM</v>
          </cell>
          <cell r="C271" t="str">
            <v>DATES</v>
          </cell>
          <cell r="D271" t="str">
            <v>Safavi</v>
          </cell>
        </row>
        <row r="272">
          <cell r="A272" t="str">
            <v>Wet Dates Seedless Khalas</v>
          </cell>
          <cell r="B272" t="str">
            <v>RM</v>
          </cell>
          <cell r="C272" t="str">
            <v>DATES</v>
          </cell>
          <cell r="D272" t="str">
            <v>Seedless</v>
          </cell>
        </row>
        <row r="273">
          <cell r="A273" t="str">
            <v>Wet Dates Segai</v>
          </cell>
          <cell r="B273" t="str">
            <v>RM</v>
          </cell>
          <cell r="C273" t="str">
            <v>DATES</v>
          </cell>
          <cell r="D273" t="str">
            <v>Seggai</v>
          </cell>
        </row>
        <row r="274">
          <cell r="A274" t="str">
            <v>Wet Dates (Seggai)</v>
          </cell>
          <cell r="B274" t="str">
            <v>RM</v>
          </cell>
          <cell r="C274" t="str">
            <v>DATES</v>
          </cell>
          <cell r="D274" t="str">
            <v>Seggai</v>
          </cell>
        </row>
        <row r="275">
          <cell r="A275" t="str">
            <v>Wet Dates (Sukkary)</v>
          </cell>
          <cell r="B275" t="str">
            <v>RM</v>
          </cell>
          <cell r="C275" t="str">
            <v>DATES</v>
          </cell>
          <cell r="D275" t="str">
            <v>Sukhary</v>
          </cell>
        </row>
        <row r="276">
          <cell r="A276" t="str">
            <v>Wet Dates Sultan</v>
          </cell>
          <cell r="B276" t="str">
            <v>RM</v>
          </cell>
          <cell r="C276" t="str">
            <v>DATES</v>
          </cell>
          <cell r="D276" t="str">
            <v>Sultan</v>
          </cell>
        </row>
        <row r="277">
          <cell r="A277" t="str">
            <v>Wet Dates Zahidi</v>
          </cell>
          <cell r="B277" t="str">
            <v>RM</v>
          </cell>
          <cell r="C277" t="str">
            <v>DATES</v>
          </cell>
          <cell r="D277" t="str">
            <v>Zahidi</v>
          </cell>
        </row>
        <row r="278">
          <cell r="A278" t="str">
            <v>Deri Grade B</v>
          </cell>
          <cell r="B278" t="str">
            <v>RM</v>
          </cell>
          <cell r="C278" t="str">
            <v>DATES</v>
          </cell>
          <cell r="D278" t="str">
            <v>Deri</v>
          </cell>
        </row>
        <row r="279">
          <cell r="A279" t="str">
            <v>Design Art Plates and Cylinders</v>
          </cell>
          <cell r="B279">
            <v>0</v>
          </cell>
          <cell r="C279" t="str">
            <v>Others</v>
          </cell>
          <cell r="D279" t="str">
            <v>Others</v>
          </cell>
        </row>
        <row r="280">
          <cell r="A280" t="str">
            <v>Electrical installation service</v>
          </cell>
          <cell r="B280">
            <v>0</v>
          </cell>
          <cell r="C280" t="str">
            <v>Others</v>
          </cell>
          <cell r="D280" t="str">
            <v>Others</v>
          </cell>
        </row>
        <row r="281">
          <cell r="A281" t="str">
            <v>Events, Exhibitions, Conventions &amp; Trade Shows Stalls  with design, inst.</v>
          </cell>
          <cell r="B281">
            <v>0</v>
          </cell>
          <cell r="C281" t="str">
            <v>Others</v>
          </cell>
          <cell r="D281" t="str">
            <v>Others</v>
          </cell>
        </row>
        <row r="282">
          <cell r="A282" t="str">
            <v>LAB TESTING</v>
          </cell>
          <cell r="B282">
            <v>0</v>
          </cell>
          <cell r="C282" t="str">
            <v>Others</v>
          </cell>
          <cell r="D282" t="str">
            <v>Others</v>
          </cell>
        </row>
        <row r="283">
          <cell r="A283" t="str">
            <v>Misc Dates Pouch</v>
          </cell>
          <cell r="B283" t="str">
            <v>PM</v>
          </cell>
          <cell r="C283" t="str">
            <v>Packaging</v>
          </cell>
          <cell r="D283" t="str">
            <v>PM</v>
          </cell>
        </row>
        <row r="284">
          <cell r="A284" t="str">
            <v>Process Loss / Give Away</v>
          </cell>
          <cell r="B284">
            <v>0</v>
          </cell>
          <cell r="C284" t="str">
            <v>Process Loss</v>
          </cell>
          <cell r="D284" t="str">
            <v>PL/EGA</v>
          </cell>
        </row>
        <row r="285">
          <cell r="A285" t="str">
            <v>Organic Wanan Premium Large</v>
          </cell>
          <cell r="B285" t="str">
            <v>RM</v>
          </cell>
          <cell r="C285" t="str">
            <v>DATES</v>
          </cell>
          <cell r="D285" t="str">
            <v>Wanan</v>
          </cell>
        </row>
        <row r="286">
          <cell r="A286" t="str">
            <v>Al Barakah Khanezi Dates 500 GM</v>
          </cell>
          <cell r="B286" t="str">
            <v>FG</v>
          </cell>
          <cell r="C286" t="str">
            <v>DATES</v>
          </cell>
          <cell r="D286" t="str">
            <v>Khaneizi</v>
          </cell>
        </row>
        <row r="287">
          <cell r="A287" t="str">
            <v>Fresho Kimia Dates 500gm</v>
          </cell>
          <cell r="B287" t="str">
            <v>FG</v>
          </cell>
          <cell r="C287" t="str">
            <v>DATES</v>
          </cell>
          <cell r="D287" t="str">
            <v>Kimia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 HRITIK" refreshedDate="45930.461292361113" createdVersion="8" refreshedVersion="8" minRefreshableVersion="3" recordCount="398" xr:uid="{C7F66804-8400-4A32-AF3A-C43863FFA6BD}">
  <cacheSource type="worksheet">
    <worksheetSource ref="A6:W487" sheet="12th May 26"/>
  </cacheSource>
  <cacheFields count="22">
    <cacheField name="Inward Dt" numFmtId="0">
      <sharedItems containsDate="1" containsBlank="1" containsMixedTypes="1" minDate="2023-07-21T00:00:00" maxDate="2025-09-23T00:00:00"/>
    </cacheField>
    <cacheField name="Unit" numFmtId="0">
      <sharedItems containsBlank="1"/>
    </cacheField>
    <cacheField name="Inward No" numFmtId="0">
      <sharedItems containsBlank="1"/>
    </cacheField>
    <cacheField name="Item Description" numFmtId="0">
      <sharedItems containsBlank="1"/>
    </cacheField>
    <cacheField name="Item Mark" numFmtId="0">
      <sharedItems containsBlank="1"/>
    </cacheField>
    <cacheField name="Vakkal" numFmtId="0">
      <sharedItems containsBlank="1"/>
    </cacheField>
    <cacheField name="Lot No" numFmtId="0">
      <sharedItems containsBlank="1" containsMixedTypes="1" containsNumber="1" containsInteger="1" minValue="2056" maxValue="157743"/>
    </cacheField>
    <cacheField name="Net Qty On Cartons" numFmtId="0">
      <sharedItems containsString="0" containsBlank="1" containsNumber="1" minValue="0" maxValue="4581"/>
    </cacheField>
    <cacheField name="Weight KG" numFmtId="0">
      <sharedItems containsString="0" containsBlank="1" containsNumber="1" minValue="0.18" maxValue="50"/>
    </cacheField>
    <cacheField name="Total Inventory Kgs" numFmtId="0">
      <sharedItems containsString="0" containsBlank="1" containsNumber="1" minValue="0" maxValue="26310"/>
    </cacheField>
    <cacheField name="Group Name*" numFmtId="0">
      <sharedItems containsBlank="1" containsMixedTypes="1" containsNumber="1" containsInteger="1" minValue="0" maxValue="0" count="32">
        <s v="Date Paste"/>
        <s v="Economical Dates"/>
        <s v="Date Powder"/>
        <s v="Dry Dates"/>
        <s v="Premium Dates"/>
        <s v="Organic Dates"/>
        <s v="Date Syrup"/>
        <s v="Raisins"/>
        <s v="Macadamia"/>
        <s v="Macadamia Paste"/>
        <s v="Blueberry"/>
        <s v="Pistachios"/>
        <s v="Pecan Nut"/>
        <s v="Cranberry"/>
        <s v="Hazelnut"/>
        <s v="BlackCurrant"/>
        <s v="Apricot"/>
        <s v="Walnut"/>
        <s v="Dehydrated Fruits"/>
        <s v="Brazil Nuts"/>
        <s v="Prunes"/>
        <s v="Seeds"/>
        <s v="Almond"/>
        <s v="Anjeer"/>
        <s v="Cashew Kernel"/>
        <s v="Makhana"/>
        <s v="Seasoning"/>
        <s v="Peanut"/>
        <s v="Trail Mix"/>
        <s v="Festive Hamper"/>
        <m/>
        <n v="0" u="1"/>
      </sharedItems>
    </cacheField>
    <cacheField name="Sub Group Name*" numFmtId="0">
      <sharedItems containsBlank="1"/>
    </cacheField>
    <cacheField name="Sub Sub Group Name*" numFmtId="0">
      <sharedItems containsBlank="1" containsMixedTypes="1" containsNumber="1" containsInteger="1" minValue="4" maxValue="4"/>
    </cacheField>
    <cacheField name="Item Display Name*" numFmtId="0">
      <sharedItems containsBlank="1" containsMixedTypes="1" containsNumber="1" containsInteger="1" minValue="0" maxValue="0" count="194">
        <s v="Al Barakah Date Paste 12.5KG"/>
        <s v="Sayer Dates"/>
        <s v="10KG AL BARAKAH DATE POWDER V2"/>
        <s v="BUSOOR DRY DATES GRADE - 2"/>
        <s v="Rabia Dates 5kg"/>
        <s v="AL BARAKAH LULU WET DATES (RED) 10KG"/>
        <s v="Azmah Dates 10kg"/>
        <s v="Safawi Dates 5kg"/>
        <s v="Red Kharek Cut"/>
        <s v="Buman Dates"/>
        <s v="10 KG FARD DATES EZAD"/>
        <s v="AL BARAKAH FARD WET DATES STANDARD 10KG"/>
        <s v="Deri Dates"/>
        <s v="AL BARAKAH KHALAS DATES AFCTN-10KG"/>
        <s v="Safawi Dates 10kg"/>
        <s v="AL BARAKAH KHANEIZI DATES 10 KG"/>
        <s v="Safawi Dates 20kg"/>
        <s v="AL BARAKAH FARD WET DATES PREMIUM 10KG"/>
        <s v="Deglet Dates"/>
        <s v="Royal Delight Fard-5kg"/>
        <s v="MEDJOUL DATES  SUPER JUMBO 5KG"/>
        <s v="Safawi Dates -Azmah 500gm-Tajir RTV"/>
        <s v="Al Barakah Chopped Dates Dried 10KG"/>
        <s v="Sukkary Premium"/>
        <s v="Deglet Nour Dates 5 KG"/>
        <s v="AL BARAKAH LULU WET DATES (BLACK) 10KG"/>
        <s v="Al Barakah Crushed Dates 10KG"/>
        <s v="AL BARAKAH MEDJOUL DATES 500GM"/>
        <s v="10KG AL BARAKAH DATE POWDER"/>
        <s v="Ajwa Regular"/>
        <s v="Mabroom Regular"/>
        <s v="Safawi Dates National 10kg"/>
        <s v="Safawi Dates Arsh 10kg"/>
        <s v="Medjoul Dates Junior 5 kg"/>
        <s v="Medjoul Dates Medium 5 kg"/>
        <s v="MEDJOUL DATES  JUMBO 8 kg"/>
        <s v="Medjoul Dates Large 5 kg"/>
        <s v="MDJL Mini Dates 5 kg"/>
        <s v="Al Barakah Medjoul Dates Grade B"/>
        <s v="Medjoul Tajir RTV"/>
        <s v="AL BARAKAH DATE POWDER"/>
        <s v="Medjoul Large No.2 Sorted"/>
        <s v="Royal Delight Ajwa 5kg"/>
        <s v="Royal Delight Mabroom 5 Kg"/>
        <s v="Al Barakah Safavi Dates 10 KG (500gmx20)"/>
        <s v="Royal Delight Arabian 8kg (250gx36)"/>
        <s v="Royal Delight Safavi 5Kg (250gmx36)"/>
        <s v="Organic Khidri Pr.Medium"/>
        <s v="Organic Seqee Pr.Large"/>
        <s v="Medjoul Dates Medium 10 KG"/>
        <s v="Organic Wanan Pr.Large"/>
        <s v="10 KG AL BARAKAH EMIRATES BLACK WET DATES"/>
        <s v="Royal Delight Medjoul Dates 800gm"/>
        <s v="Fard Dates - Leechants"/>
        <s v="Organic Wanan Pr.Jumbo"/>
        <s v="10KG AL BARAKAH DATE POWDER V1"/>
        <s v="AL BARAKHA DATE SYRUP ( 400G packing)"/>
        <s v="AL BARAKAH DATES SYRUP 25 kg Pack"/>
        <s v="Afghan Kishmish"/>
        <s v="Macadamia Roasted - Size 6"/>
        <s v="Macadamia Paste"/>
        <s v="Black Raisin Seeded 1x2 Align Return"/>
        <s v="Dried Blueberry Whole-Apple Infused"/>
        <s v="Organic Khidri Pr.Large"/>
        <s v="Organic Khidri Sp.Jumbo"/>
        <s v="Organic Medjoul Pr.Large"/>
        <s v="Macadamia Roasted &amp; Salted Size -1"/>
        <s v="Macadamia Roasted &amp; Salted Size -4"/>
        <s v="Macadamia Inshell Vannilla 320CUT"/>
        <s v="Macadamia Plain Inshell"/>
        <s v="Organic Ajwa Pr.Jumbo"/>
        <s v="Indian Green Raisins"/>
        <s v="California Pistachios Inshell 18-20"/>
        <s v="Pecan Nut Tukda"/>
        <s v="Macadamia Roasted Size -4L"/>
        <s v="Dried Cranberry Whole - Meduri"/>
        <s v="Hazelnut Kernal Blanched"/>
        <s v="Organic Seqee Pr.Large 1kg pouch"/>
        <s v="Organic Khidri Large dates 1kg Pouch"/>
        <s v="Organic Wanan Pr.Large 1 kg pouch"/>
        <s v="Dried Black Current"/>
        <s v="Turkey Apricot No 0"/>
        <s v="Chilean Walnut Kernel 2 pcs"/>
        <s v="Dried Cranberry Sliced"/>
        <s v="Turkey Apricot No 3"/>
        <s v="Dried Goji Berry RTV Alimento"/>
        <s v="MEDJOUL DATES  JUMBO 5KG"/>
        <s v="Brazil Nuts"/>
        <s v="Macadamia Roasted - Size 4"/>
        <s v="Pecan Nut Kernel"/>
        <s v="Dried Cranberry Whole"/>
        <s v="Macadamia Roasted - Size 0"/>
        <s v="Macadamia Roasted - Size 1"/>
        <s v="Dried Prunes Pitted - Wilbur"/>
        <s v="Watermelon Seeds 50Kgs"/>
        <s v="AL BARAKAH MARYAM DATES 5KGS"/>
        <s v="Dry Dates 12kg"/>
        <s v="FARD WET DATES STANDARD 10KG Indian Overseas"/>
        <s v="AL BARAKAH KHALAS DATES Premium 10kgs"/>
        <s v="AL BARAKAH SUFRI DATES Premium 10kgs"/>
        <s v="AL BARAKAH KHALAS DATES Seedless 10kgs"/>
        <s v="Safavi Dates 20kg"/>
        <s v="AL BARAKAH REZIZ DATES Premium 10kgs"/>
        <s v="AL BARAKAH BARHI DATES 10KG"/>
        <s v="Sufri Dates"/>
        <s v="AL BARAKAH BARHI DATES 10KG RTV"/>
        <s v="Mazafati Dates"/>
        <s v="Delmonte Royal Arabian dates 500g RTV"/>
        <s v="AL BARAKAH FARD WET DATES PREMIUM 10KG RTV"/>
        <s v="AL BARAKAH KHALAS DATES Premium 10kgs RTV"/>
        <s v="AL Barakah Maryam Dates 5 KG"/>
        <s v="Almond Blanched, whole"/>
        <s v="Smoked Almonds August RTV"/>
        <s v="Almond Kernels 20-22"/>
        <s v="Dried Anjeer 200gm RTV"/>
        <s v="Afghan Apricot 1*2"/>
        <s v="Dried Blueberry"/>
        <s v="Cashew Kernel"/>
        <s v="AL BARAKAH DEHYDRATED DATE POWDER - BULK PACK 10KG"/>
        <s v="Oriental Dates"/>
        <s v="Sayer Dates Seeded 10KG"/>
        <s v="Dried Orange Peel"/>
        <s v="Dried Kiwi"/>
        <s v="Dried Mango Loose"/>
        <s v="Makhana 4+ Sutta"/>
        <s v="PREGEFLO C 100 G"/>
        <s v="SIDCOT STARCH"/>
        <s v="Sour Cream And Onion Seasoning"/>
        <s v="Peanuts Split"/>
        <s v="Peanuts"/>
        <s v="ROASTED BLANCHED PEANUT Old Savla"/>
        <s v="Pista Kernal Roasted and Salted"/>
        <s v="California Pista Inshell 21-25"/>
        <s v="Pista Kernel"/>
        <s v="Pecan Nuts"/>
        <s v="Afghan Black Raisins Seeded 1*2"/>
        <s v="Afghan Black Raisins Seedless 1*2"/>
        <s v="Afghan Munakka / Abjosh 1X2"/>
        <s v="Carnival Pan Raisin 100gm"/>
        <s v="Indian Long Raisins"/>
        <s v="Anardana Churan"/>
        <s v="Anardana Powder"/>
        <s v="Barbeque seasoning"/>
        <s v="Black Pepper Seasoning"/>
        <s v="Chilli Garlic Masala Seasoning"/>
        <s v="Chipotle Honey Seasoning"/>
        <s v="Magic Masala Seasoning"/>
        <s v="Paan Seasoning AB319"/>
        <s v="Peri Peri Marination Seasoning"/>
        <s v="Pudina seasoning"/>
        <s v="Salt &amp; Pepper Seasoning"/>
        <s v="Smoke Seasoning"/>
        <s v="SWEET THAI CHILLI SEASONING"/>
        <s v="Tandoori Seasoning"/>
        <s v="URBAN PLATTER ARABIC GUM POWDER"/>
        <s v="Urban Platter Mexican Chipotle Seasoning"/>
        <s v="Urban Platter Tandoori Tikka Masala"/>
        <s v="Urban Platter Soya Chaap Seasoning"/>
        <s v="Wasabi Seasoning AB343"/>
        <s v="Carnival Crunchy Caramel Trail Mix"/>
        <s v="Dates Mewa Classic 210gm"/>
        <s v="Chilean Walnut Inshell"/>
        <s v="Walnut Tukda"/>
        <s v="Kashmiri Walnut Kernels"/>
        <s v="Chatpata Seasoning"/>
        <s v="Amchur Powder"/>
        <s v="Roasted &amp; Salted Almonds"/>
        <s v="BLACK PEPPER CASHEW"/>
        <s v="Carnival Roasted &amp; Salted Cashew 200g"/>
        <s v="Cheese Cashew"/>
        <s v="Roasted &amp; Salted Cashew"/>
        <s v="Chatpata Cranberry"/>
        <s v="Fresho Kimia Dates 500 Gm"/>
        <s v="Mewa Mix Dryfruit Box 580gm"/>
        <s v="SHUBHKAMANYEN 180gm"/>
        <s v="Coated Peanuts"/>
        <s v="Krack Nut Coated Peanuts Tandoori Toofan 1 Kg"/>
        <s v="Krack Nut Coated Peanuts Thai Firangi 85g"/>
        <s v="Kracknut Coated Peanuts-Pudhina Patakha 1kg"/>
        <s v="snack amor Coated Peanuts Pudina Patakha 100g"/>
        <s v="California Pista Inshell Roasted and Salted"/>
        <s v="Berry Mix"/>
        <s v="Trail Mix"/>
        <s v="Pan Cranberry"/>
        <s v="Barbeque Coated Peanut"/>
        <s v="Honey Chipotle Coated Peanut"/>
        <s v="Pecan Nuts Inshell"/>
        <s v="Choco Chips"/>
        <s v="AL BARAKAH DATE SYRUP(1.15KG X 12)"/>
        <s v="Butter Seasoning"/>
        <s v="Chia seeds 25kg bag"/>
        <s v="Lemon Pepper Seasoning"/>
        <m/>
        <n v="0" u="1"/>
      </sharedItems>
    </cacheField>
    <cacheField name="Tally Name" numFmtId="0">
      <sharedItems containsBlank="1" containsMixedTypes="1" containsNumber="1" containsInteger="1" minValue="0" maxValue="0" count="177">
        <s v="AL BARAKAH DATE PASTE 12.5KG"/>
        <s v="AL BARAKAH SAYER DATES 10KG"/>
        <s v="10KG AL BARAKAH DATE POWDER V2"/>
        <s v="DRY DATES-GRADE 2"/>
        <s v="Wet Dates (Rabia)"/>
        <s v="AL BARAKAH LULU RED DATES - 10KG"/>
        <s v="Wet Dates Safavi"/>
        <s v="Seedless Chopped Red Kharik Dry Dates"/>
        <s v="BUMAN DATES"/>
        <s v="AL BARAKAH FARD DATES 10KG - EZAD"/>
        <s v="AL BARAKAH FARD DATES STANDARD"/>
        <s v="Wet Dates (Deri)"/>
        <s v="AL BARAKAH KHALAS DATES-AFCTN"/>
        <s v="AL BARAKAH KHANIZEE DATES 10KG"/>
        <s v="Al Barakah Fard Dates Premium"/>
        <s v="Wet Dates Deglet"/>
        <s v="Wet Dates Fardh"/>
        <s v="Wet Dates Medjoul Bulk 5 Kgs Super Jumbo"/>
        <s v="AL BARAKAH CHOPPED DATES"/>
        <s v="Wet Dates (Sukkary)"/>
        <s v="AL BARAKAH LULU BLACK DATES-10KG"/>
        <s v="AL BARAKAH CRUSHED DATES 10KG"/>
        <s v="Al Barakah Medjoul Dates 500Gm"/>
        <s v="10KG AL BARAKAH DATE POWDER V1"/>
        <s v="Wet Dates Ajwa"/>
        <s v="Wet Dates (Mabroom)"/>
        <s v="WET DATES MEDJOUL JUNIOR"/>
        <s v="WET DATES MEDJOUL BULK MEDIUM(5)"/>
        <s v="WET DATES MEDJOUL JUMBO"/>
        <s v="WET DATES MEDJOUL BULK LARGE (5)"/>
        <s v="WET DATES MEDJOUL BULK MINI (5)"/>
        <s v="AL BARAKAH MEDJOOL DATES PREMIUM 5KG"/>
        <s v="King Solomon Medjoul Dates 500 Gms"/>
        <s v="Royal Delight Ajwa Dates 5 Kgs"/>
        <s v="Royal Delight Mabroom Dates 5 Kgs"/>
        <s v="Al Barakaha Safavi Dates 500g"/>
        <s v="Royal Delight Arabian 250gm"/>
        <s v="RD Safavi Dates 250g"/>
        <s v="Organic Khidri Premium Medium"/>
        <s v="Organic Seqee Premium Large"/>
        <s v="Organic Wanan Premium Large"/>
        <s v="AL BARAKAH EMIRATES BLACK DATES 10KG"/>
        <s v="Royal Delight Medjool Dates 800g"/>
        <s v="Organic Wanan Premium Jumbo"/>
        <s v="AL BARAKAH DATES SYRUP 400G"/>
        <s v="25KG AL BARAKAH DATE SYRUP V1"/>
        <s v="Afghan Raisins 1*2 Green round"/>
        <s v="Macadamia Roasted - Size 6"/>
        <s v="Macadamia Paste"/>
        <s v="Afghan Black Raisins Seeded 1*2"/>
        <s v="Dried Blueberry Apple Infused"/>
        <s v="Organic Khidri Large dates"/>
        <s v="Organic Khidri Special Jumbo"/>
        <s v="Organic Medjool Premium Large"/>
        <s v="Macadamia Roasted Salted - Size 1"/>
        <s v="Macadamia Roasted Salted - Size 4"/>
        <s v="Macadamia Vanilla Whole - 320* Cut"/>
        <s v="Macadamia Whole - 320* Cut"/>
        <s v="Organic Ajwa Premium Large"/>
        <s v="Medjoul Dates Junior"/>
        <s v="Medjoul Dates Medium"/>
        <s v="Indian Green Raisins"/>
        <s v="California Pista Inshell Jumbo"/>
        <s v="Pecan Nuts"/>
        <s v="Macadamia Roasted - Size 4L"/>
        <s v="Dried Cranberry Whole"/>
        <s v="Hazelnut Kernal"/>
        <s v="Dried Black Currant"/>
        <s v="Turkey Apricot No. 0"/>
        <s v="Chilean Walnut Kernel 2 pcs"/>
        <s v="Dried Cranberry Sliced"/>
        <s v="Turkey Apricot No 3"/>
        <s v="Dried Goji Berry"/>
        <s v="Deglet Dates"/>
        <s v="MEDJOUL DATES JUMBO"/>
        <s v="Brazil Nuts"/>
        <s v="Off-Grade Dates"/>
        <s v="Macadamia Roasted - Size 0"/>
        <s v="Macadamia Roasted - Size 1"/>
        <s v="Medjoul Dates Super Jumbo"/>
        <s v="Dried Prunes (Pitted)"/>
        <s v="Watermelon Seeds"/>
        <s v="Medjoul Dates Large"/>
        <s v="Medjoul Dates Mini"/>
        <s v="AL BARAKAH MARYAM DATES 5 KG"/>
        <s v="Kharik"/>
        <s v="AL BARAKAH KHALAS PREMIUM DATES"/>
        <s v="AL BARAKAH SUFRI DATES 10KG"/>
        <s v="Wet Dates Seedless Khalas"/>
        <s v="AL BARAKAH REZIZ DATES 10KG"/>
        <s v="AL BARAKAH KHALAS DATES"/>
        <s v="AL BARAKAH BARHI DATES 10KG"/>
        <s v="Wet Dates (Mazafati)"/>
        <s v="Delmonte Royal Arabian dates 500g [1 Case x 24 unit] Non-Promo"/>
        <s v="Almond Blanched, whole"/>
        <s v="Smoked Almonds"/>
        <s v="American Almonds Kernel 20-22 count"/>
        <s v="Dried Anjeer 200gm"/>
        <s v="Afghan Apricot 1*2"/>
        <s v="Dried Blueberry"/>
        <s v="Cashew Kernel"/>
        <s v="AL BARAKAH DEHYDRATED DATE POWDER - BULK PACK 10KG"/>
        <s v="Oriental Dates"/>
        <s v="Wet Date Sayer ( Unpitted )"/>
        <s v="Dried Orange Peel"/>
        <s v="Dried Kiwi"/>
        <s v="Dried Mango Loose"/>
        <s v="Makhana 4+ Sutta"/>
        <s v="PREGEFLO C 100 G"/>
        <s v="SIDCOT STARCH"/>
        <s v="Sour Cream And Onion Seasoning"/>
        <s v="Peanuts Split"/>
        <s v="Peanuts"/>
        <s v="ROASTED BLANCHED PEANUT WHOLE"/>
        <s v="Pista Kernal Roasted and Salted"/>
        <s v="California Pista Inshell"/>
        <s v="Pista Kernel"/>
        <s v="Macadamia Roasted - Size 4"/>
        <s v="Afghan Black Raisins Seedless 1*2"/>
        <s v="Afghan Munakka / Abjosh 1X2"/>
        <s v="Carnival Pan Raisin 100gm"/>
        <s v="Indian Long Green Raisins"/>
        <s v="Anardana Churan"/>
        <s v="Anardana Powder"/>
        <s v="Barbeque seasoning"/>
        <s v="Black Pepper Seasoning"/>
        <s v="Chilli Garlic Masala Seasoning"/>
        <s v="Chipotle Honey Seasoning"/>
        <s v="Magic Masala Seasoning"/>
        <s v="Paan Seasoning AB319"/>
        <s v="Peri Peri Marination Seasoning"/>
        <s v="Pudina seasoning"/>
        <s v="Salt &amp; Pepper Seasoning"/>
        <s v="Smoke Seasoning"/>
        <s v="SWEET THAI CHILLI SEASONING"/>
        <s v="Tandoori Seasoning"/>
        <s v="URBAN PLATTER ARABIC GUM POWDER"/>
        <s v="Urban Platter Mexican Chipotle Seasoning"/>
        <s v="Urban Platter Tandoori Tikka Masala"/>
        <s v="Urban Platter Soya Chaap Seasoning"/>
        <s v="Wasabi Seasoning AB343"/>
        <s v="Carnival Crunchy Caramel Trail Mix"/>
        <s v="Dates Mewa Classic 210gm"/>
        <s v="Chilean Walnut Inshell"/>
        <s v="Walnut Tukda"/>
        <s v="Kashmiri Walnut Kernels"/>
        <s v="Chatpata Seasoning"/>
        <s v="Dried Mango Powder - Amchur"/>
        <s v="Roasted &amp; Salted Almonds"/>
        <s v="BLACK PEPPER CASHEW"/>
        <s v="Carnival Roasted &amp; Salted Cashew 200g"/>
        <s v="Cheese Cashew"/>
        <s v="Roasted &amp; Salted Cashew"/>
        <s v="Chatpata Cranberry"/>
        <s v="Fresho Kimia Dates 500 Gm"/>
        <s v="Mewa Mix Dryfruit Box 580gm"/>
        <s v="SHUBHKAMANYEN 180gm"/>
        <s v="Coated Peanuts"/>
        <s v="Krack Nut Coated Peanuts Tandoori Toofan 1 Kg"/>
        <s v="Krack Nut Coated Peanuts Thai Firangi 85g"/>
        <s v="Kracknut Coated Peanuts-Pudhina Patakha 1kg"/>
        <s v="snack amor Coated Peanuts Pudina Patakha 100g"/>
        <s v="California Pista Inshell Roasted and Salted"/>
        <s v="Berry Mix"/>
        <s v="Trail Mix"/>
        <s v="Pan Cranberry"/>
        <s v="Barbeque Coated Peanut"/>
        <s v="Honey Chipotle Coated Peanut"/>
        <s v="Pecans Nuts Inshell"/>
        <s v="Choco Chips"/>
        <s v="AL BARAKAH DATE SYRUP(1.15KG X 12)"/>
        <s v="Butter Seasoning"/>
        <s v="Red Kharek Cut"/>
        <s v="Black Chia Seeds"/>
        <s v="Lemon Pepper Seasoning"/>
        <m/>
        <n v="0" u="1"/>
      </sharedItems>
    </cacheField>
    <cacheField name="Company Name" numFmtId="0">
      <sharedItems containsBlank="1" containsMixedTypes="1" containsNumber="1" containsInteger="1" minValue="0" maxValue="0" count="4">
        <s v="CDPL"/>
        <s v="CFPL"/>
        <m/>
        <n v="0" u="1"/>
      </sharedItems>
    </cacheField>
    <cacheField name="Storage Location" numFmtId="0">
      <sharedItems containsBlank="1" containsMixedTypes="1" containsNumber="1" containsInteger="1" minValue="0" maxValue="0" count="6">
        <s v="Savla Bond"/>
        <s v="Savla"/>
        <s v="Rishi"/>
        <s v="A-185 Cold"/>
        <m/>
        <n v="0" u="1"/>
      </sharedItems>
    </cacheField>
    <cacheField name="Stock" numFmtId="0">
      <sharedItems containsBlank="1"/>
    </cacheField>
    <cacheField name="Exporter" numFmtId="0">
      <sharedItems containsBlank="1" containsMixedTypes="1" containsNumber="1" containsInteger="1" minValue="0" maxValue="0"/>
    </cacheField>
    <cacheField name="Last Purchase Rate" numFmtId="0">
      <sharedItems containsString="0" containsBlank="1" containsNumber="1" minValue="0" maxValue="4010" count="193">
        <n v="85"/>
        <n v="99"/>
        <n v="215"/>
        <n v="241"/>
        <n v="187.5"/>
        <n v="157"/>
        <n v="550"/>
        <n v="250"/>
        <n v="98.6"/>
        <n v="180.6"/>
        <n v="208"/>
        <n v="303"/>
        <n v="116"/>
        <n v="205"/>
        <n v="233"/>
        <n v="522"/>
        <n v="1139"/>
        <n v="110"/>
        <n v="350"/>
        <n v="510"/>
        <n v="182"/>
        <n v="116.6"/>
        <n v="401"/>
        <n v="270"/>
        <n v="980"/>
        <n v="1000"/>
        <n v="613"/>
        <n v="712"/>
        <n v="1045"/>
        <n v="817"/>
        <n v="477"/>
        <n v="700"/>
        <n v="403"/>
        <n v="641"/>
        <n v="715"/>
        <n v="172"/>
        <n v="127"/>
        <n v="938"/>
        <n v="343.2"/>
        <n v="105.8"/>
        <n v="950"/>
        <n v="109.8"/>
        <n v="348.2"/>
        <n v="280"/>
        <n v="501"/>
        <n v="900"/>
        <n v="1676.8"/>
        <n v="266"/>
        <n v="1270"/>
        <n v="462"/>
        <n v="821"/>
        <n v="730"/>
        <n v="1433"/>
        <n v="1277"/>
        <n v="600"/>
        <n v="789"/>
        <n v="295"/>
        <n v="876.66"/>
        <n v="1380"/>
        <n v="1290"/>
        <n v="1060"/>
        <n v="490"/>
        <n v="650"/>
        <n v="288"/>
        <n v="1285"/>
        <n v="360"/>
        <n v="780"/>
        <n v="825"/>
        <n v="2700"/>
        <n v="200"/>
        <n v="625"/>
        <n v="1500"/>
        <n v="740"/>
        <n v="418.25"/>
        <n v="1550"/>
        <n v="420"/>
        <n v="415"/>
        <n v="1790"/>
        <n v="1750"/>
        <n v="1200.26"/>
        <n v="1291.4000000000001"/>
        <n v="470"/>
        <n v="548"/>
        <n v="527"/>
        <n v="445"/>
        <n v="195"/>
        <n v="114"/>
        <n v="126"/>
        <n v="87.7"/>
        <n v="90.5"/>
        <n v="115"/>
        <n v="198"/>
        <n v="240"/>
        <n v="595"/>
        <n v="750"/>
        <n v="1100"/>
        <n v="380"/>
        <n v="1130"/>
        <n v="100"/>
        <n v="330"/>
        <n v="465"/>
        <n v="1235"/>
        <n v="450"/>
        <n v="112"/>
        <n v="120"/>
        <n v="834"/>
        <n v="2800"/>
        <n v="1280"/>
        <n v="1440"/>
        <n v="370"/>
        <n v="725"/>
        <n v="400"/>
        <n v="260"/>
        <n v="230"/>
        <n v="255"/>
        <n v="540"/>
        <n v="300"/>
        <n v="259"/>
        <n v="210"/>
        <n v="217"/>
        <n v="245"/>
        <n v="815"/>
        <n v="186"/>
        <n v="228"/>
        <n v="500"/>
        <n v="491.87"/>
        <n v="775"/>
        <n v="285"/>
        <n v="800"/>
        <n v="880"/>
        <n v="142"/>
        <n v="655"/>
        <n v="140"/>
        <n v="130"/>
        <n v="530"/>
        <n v="464.5"/>
        <n v="296.60000000000002"/>
        <n v="190"/>
        <n v="180"/>
        <m/>
        <n v="475" u="1"/>
        <n v="220" u="1"/>
        <n v="194" u="1"/>
        <n v="1228" u="1"/>
        <n v="815.28" u="1"/>
        <n v="325" u="1"/>
        <n v="145" u="1"/>
        <n v="48" u="1"/>
        <n v="187" u="1"/>
        <n v="438" u="1"/>
        <n v="620" u="1"/>
        <n v="107" u="1"/>
        <n v="99.5" u="1"/>
        <n v="84.75" u="1"/>
        <n v="525" u="1"/>
        <n v="840" u="1"/>
        <n v="87" u="1"/>
        <n v="170" u="1"/>
        <n v="333" u="1"/>
        <n v="288.8" u="1"/>
        <n v="834.08" u="1"/>
        <n v="335" u="1"/>
        <n v="1215" u="1"/>
        <n v="610" u="1"/>
        <n v="997" u="1"/>
        <n v="630" u="1"/>
        <n v="181" u="1"/>
        <n v="0" u="1"/>
        <n v="265" u="1"/>
        <n v="1400" u="1"/>
        <n v="75" u="1"/>
        <n v="87.4" u="1"/>
        <n v="1436" u="1"/>
        <n v="142.86000000000001" u="1"/>
        <n v="397" u="1"/>
        <n v="1250" u="1"/>
        <n v="876.6" u="1"/>
        <n v="281" u="1"/>
        <n v="368" u="1"/>
        <n v="390" u="1"/>
        <n v="150" u="1"/>
        <n v="166" u="1"/>
        <n v="670" u="1"/>
        <n v="1110" u="1"/>
        <n v="147.25" u="1"/>
        <n v="225" u="1"/>
        <n v="254" u="1"/>
        <n v="375" u="1"/>
        <n v="238" u="1"/>
        <n v="933" u="1"/>
        <n v="4010" u="1"/>
        <n v="141.5" u="1"/>
        <n v="1850" u="1"/>
      </sharedItems>
    </cacheField>
    <cacheField name="Value" numFmtId="0">
      <sharedItems containsString="0" containsBlank="1" containsNumber="1" minValue="0" maxValue="7282800"/>
    </cacheField>
    <cacheField name="Ageing" numFmtId="0">
      <sharedItems containsString="0" containsBlank="1" containsNumber="1" containsInteger="1" minValue="1" maxValue="8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 HRITIK" refreshedDate="45953.496780324072" createdVersion="8" refreshedVersion="8" minRefreshableVersion="3" recordCount="385" xr:uid="{ED90FA32-156D-47F6-B34B-932EAF7452F7}">
  <cacheSource type="worksheet">
    <worksheetSource ref="A6:W1048576" sheet="12th May 26"/>
  </cacheSource>
  <cacheFields count="22">
    <cacheField name="Inward Dt" numFmtId="0">
      <sharedItems containsDate="1" containsBlank="1" containsMixedTypes="1" minDate="2023-07-21T00:00:00" maxDate="2025-10-15T00:00:00"/>
    </cacheField>
    <cacheField name="Unit" numFmtId="0">
      <sharedItems containsBlank="1"/>
    </cacheField>
    <cacheField name="Inward No" numFmtId="0">
      <sharedItems containsBlank="1"/>
    </cacheField>
    <cacheField name="Item Description" numFmtId="0">
      <sharedItems containsBlank="1"/>
    </cacheField>
    <cacheField name="Item Mark" numFmtId="0">
      <sharedItems containsBlank="1"/>
    </cacheField>
    <cacheField name="Vakkal" numFmtId="0">
      <sharedItems containsBlank="1"/>
    </cacheField>
    <cacheField name="Lot No" numFmtId="0">
      <sharedItems containsBlank="1" containsMixedTypes="1" containsNumber="1" containsInteger="1" minValue="0" maxValue="179380" count="860">
        <n v="56059"/>
        <n v="77517"/>
        <n v="65864"/>
        <n v="78896"/>
        <n v="79138"/>
        <n v="79112"/>
        <n v="79273"/>
        <n v="79450"/>
        <n v="90090"/>
        <n v="90088"/>
        <n v="90086"/>
        <n v="90282"/>
        <n v="90507"/>
        <n v="94639"/>
        <n v="70560"/>
        <n v="96921"/>
        <n v="71104"/>
        <n v="97177"/>
        <n v="71103"/>
        <n v="71102"/>
        <n v="71105"/>
        <n v="97941"/>
        <n v="71480"/>
        <n v="71478"/>
        <n v="72094"/>
        <n v="72166"/>
        <n v="93289"/>
        <n v="72937"/>
        <n v="106622"/>
        <n v="110715"/>
        <n v="111437"/>
        <n v="75207"/>
        <n v="75214"/>
        <n v="121319"/>
        <n v="122342"/>
        <n v="123526"/>
        <n v="123525"/>
        <n v="78202"/>
        <n v="127487"/>
        <n v="78998"/>
        <n v="78996"/>
        <n v="78999"/>
        <n v="79000"/>
        <n v="129815"/>
        <n v="130208"/>
        <n v="79553"/>
        <n v="79729"/>
        <n v="79911"/>
        <n v="79910"/>
        <n v="79912"/>
        <n v="79952"/>
        <n v="132153"/>
        <n v="133830"/>
        <n v="133992"/>
        <n v="134588"/>
        <n v="134869"/>
        <n v="81382"/>
        <n v="81468"/>
        <n v="81466"/>
        <n v="132066"/>
        <n v="132065"/>
        <n v="132067"/>
        <n v="81937"/>
        <n v="81943"/>
        <n v="81947"/>
        <n v="81934"/>
        <n v="81941"/>
        <n v="81944"/>
        <n v="81946"/>
        <n v="81942"/>
        <n v="137738"/>
        <n v="138382"/>
        <n v="76578"/>
        <n v="76579"/>
        <n v="2056"/>
        <n v="142972"/>
        <n v="3281"/>
        <n v="147739"/>
        <n v="148932"/>
        <n v="4728"/>
        <n v="154388"/>
        <n v="154486"/>
        <n v="156985"/>
        <n v="157743"/>
        <n v="159001"/>
        <n v="160242"/>
        <n v="160095"/>
        <n v="160339"/>
        <n v="160241"/>
        <n v="160243"/>
        <n v="161453"/>
        <n v="8004"/>
        <n v="161603"/>
        <n v="162094"/>
        <n v="162095"/>
        <n v="162408"/>
        <n v="162497"/>
        <n v="162607"/>
        <n v="79435"/>
        <n v="86683"/>
        <n v="86838"/>
        <n v="113027"/>
        <n v="109237"/>
        <n v="76581"/>
        <n v="76576"/>
        <n v="76583"/>
        <n v="76577"/>
        <n v="76575"/>
        <n v="119160"/>
        <n v="119163"/>
        <n v="119159"/>
        <n v="76870"/>
        <n v="76867"/>
        <n v="77154"/>
        <n v="77155"/>
        <n v="76868"/>
        <n v="122349"/>
        <n v="77571"/>
        <n v="128771"/>
        <n v="128827"/>
        <n v="129048"/>
        <n v="130273"/>
        <n v="79585"/>
        <n v="130939"/>
        <n v="130940"/>
        <n v="133878"/>
        <n v="134478"/>
        <n v="134856"/>
        <n v="81383"/>
        <n v="136258"/>
        <n v="137391"/>
        <n v="137769"/>
        <n v="140344"/>
        <n v="2060"/>
        <n v="2058"/>
        <n v="2059"/>
        <n v="2057"/>
        <n v="142107"/>
        <n v="142404"/>
        <n v="142768"/>
        <n v="2685"/>
        <n v="144668"/>
        <n v="141756"/>
        <n v="145883"/>
        <n v="145884"/>
        <n v="148621"/>
        <n v="148608"/>
        <n v="149321"/>
        <n v="4521"/>
        <n v="4523"/>
        <n v="4524"/>
        <n v="149845"/>
        <n v="150145"/>
        <n v="4905"/>
        <n v="150930"/>
        <n v="150931"/>
        <n v="151105"/>
        <n v="151709"/>
        <n v="151836"/>
        <n v="152287"/>
        <n v="152541"/>
        <n v="153784"/>
        <n v="153786"/>
        <n v="153334"/>
        <n v="153333"/>
        <n v="155639"/>
        <n v="156589"/>
        <n v="156948"/>
        <n v="7236"/>
        <n v="7235"/>
        <n v="7234"/>
        <n v="7233"/>
        <n v="7232"/>
        <n v="7231"/>
        <n v="7246"/>
        <n v="7245"/>
        <n v="159599"/>
        <n v="159617"/>
        <n v="7602"/>
        <n v="159602"/>
        <n v="160135"/>
        <n v="7760"/>
        <n v="7841"/>
        <n v="7840"/>
        <n v="7842"/>
        <n v="160949"/>
        <n v="161053"/>
        <n v="161054"/>
        <n v="161076"/>
        <n v="161078"/>
        <n v="161077"/>
        <n v="160881"/>
        <n v="7980"/>
        <n v="161289"/>
        <n v="7978"/>
        <n v="7979"/>
        <n v="8003"/>
        <n v="161756"/>
        <n v="161602"/>
        <n v="161757"/>
        <n v="161598"/>
        <n v="161601"/>
        <n v="161961"/>
        <n v="8142"/>
        <n v="162412"/>
        <n v="162411"/>
        <n v="2313"/>
        <n v="2312"/>
        <n v="2311"/>
        <n v="2310"/>
        <n v="2304"/>
        <n v="2308"/>
        <n v="2307"/>
        <n v="2306"/>
        <n v="2305"/>
        <n v="2309"/>
        <n v="105768"/>
        <n v="107268"/>
        <n v="113174"/>
        <n v="113940"/>
        <n v="114156"/>
        <n v="114157"/>
        <n v="114158"/>
        <n v="114238"/>
        <n v="114268"/>
        <n v="114290"/>
        <n v="114308"/>
        <n v="114483"/>
        <n v="114748"/>
        <n v="114755"/>
        <n v="114757"/>
        <n v="115101"/>
        <n v="115342"/>
        <n v="115424"/>
        <n v="115505"/>
        <n v="115795"/>
        <n v="115988"/>
        <n v="116061"/>
        <n v="116095"/>
        <n v="116119"/>
        <n v="116121"/>
        <n v="116101"/>
        <n v="116140"/>
        <n v="116495"/>
        <n v="116496"/>
        <n v="116640"/>
        <n v="116793"/>
        <n v="116794"/>
        <n v="116799"/>
        <n v="116835"/>
        <n v="116927"/>
        <n v="117041"/>
        <n v="117042"/>
        <n v="117074"/>
        <n v="117075"/>
        <n v="117076"/>
        <n v="117122"/>
        <n v="117407"/>
        <n v="117411"/>
        <n v="117413"/>
        <n v="117456"/>
        <n v="117769"/>
        <n v="117833"/>
        <n v="118277"/>
        <n v="118283"/>
        <n v="118284"/>
        <n v="118285"/>
        <n v="118351"/>
        <n v="118352"/>
        <n v="118353"/>
        <n v="118641"/>
        <n v="119002"/>
        <n v="119096"/>
        <n v="119224"/>
        <n v="119299"/>
        <n v="119491"/>
        <n v="119639"/>
        <n v="119869"/>
        <n v="120372"/>
        <n v="120409"/>
        <n v="120463"/>
        <n v="120802"/>
        <n v="120861"/>
        <n v="121120"/>
        <n v="121414"/>
        <n v="121432"/>
        <n v="121648"/>
        <s v="A-185"/>
        <m/>
        <n v="154389" u="1"/>
        <n v="155934" u="1"/>
        <n v="161052" u="1"/>
        <n v="161051" u="1"/>
        <n v="79730" u="1"/>
        <n v="81936" u="1"/>
        <n v="81133" u="1"/>
        <n v="4527" u="1"/>
        <n v="156457" u="1"/>
        <n v="156458" u="1"/>
        <n v="157714" u="1"/>
        <n v="97178" u="1"/>
        <n v="144338" u="1"/>
        <n v="2209" u="1"/>
        <n v="2210" u="1"/>
        <n v="4819" u="1"/>
        <n v="4818" u="1"/>
        <n v="4820" u="1"/>
        <n v="4821" u="1"/>
        <n v="154220" u="1"/>
        <n v="6112" u="1"/>
        <n v="6099" u="1"/>
        <n v="155072" u="1"/>
        <n v="6410" u="1"/>
        <n v="6408" u="1"/>
        <n v="6409" u="1"/>
        <n v="156386" u="1"/>
        <n v="157514" u="1"/>
        <n v="7244" u="1"/>
        <n v="7243" u="1"/>
        <n v="7242" u="1"/>
        <n v="7241" u="1"/>
        <n v="7240" u="1"/>
        <n v="7239" u="1"/>
        <n v="7238" u="1"/>
        <n v="7237" u="1"/>
        <n v="105688" u="1"/>
        <n v="105943" u="1"/>
        <n v="107030" u="1"/>
        <n v="114981" u="1"/>
        <n v="116843" u="1"/>
        <n v="117236" u="1"/>
        <n v="120553" u="1"/>
        <n v="121119" u="1"/>
        <n v="100080" u="1"/>
        <n v="147934" u="1"/>
        <n v="7247" u="1"/>
        <n v="90506" u="1"/>
        <n v="72093" u="1"/>
        <n v="111435" u="1"/>
        <n v="132154" u="1"/>
        <n v="81935" u="1"/>
        <n v="80490" u="1"/>
        <n v="109609" u="1"/>
        <n v="111434" u="1"/>
        <n v="81117" u="1"/>
        <n v="81317" u="1"/>
        <n v="2211" u="1"/>
        <n v="142088" u="1"/>
        <n v="142161" u="1"/>
        <n v="148477" u="1"/>
        <n v="4518" u="1"/>
        <n v="153304" u="1"/>
        <n v="153785" u="1"/>
        <n v="6114" u="1"/>
        <n v="6113" u="1"/>
        <n v="6904" u="1"/>
        <n v="6905" u="1"/>
        <n v="6906" u="1"/>
        <n v="6907" u="1"/>
        <n v="6908" u="1"/>
        <n v="6909" u="1"/>
        <n v="6910" u="1"/>
        <n v="6911" u="1"/>
        <n v="6912" u="1"/>
        <n v="6903" u="1"/>
        <n v="6902" u="1"/>
        <n v="6901" u="1"/>
        <n v="6900" u="1"/>
        <n v="6899" u="1"/>
        <n v="6898" u="1"/>
        <n v="6897" u="1"/>
        <n v="6896" u="1"/>
        <n v="6895" u="1"/>
        <n v="6893" u="1"/>
        <n v="6894" u="1"/>
        <n v="141935" u="1"/>
        <n v="29333" u="1"/>
        <n v="37568" u="1"/>
        <n v="39371" u="1"/>
        <n v="79267" u="1"/>
        <n v="79269" u="1"/>
        <n v="79433" u="1"/>
        <n v="79434" u="1"/>
        <n v="79440" u="1"/>
        <n v="79471" u="1"/>
        <n v="79805" u="1"/>
        <n v="82951" u="1"/>
        <n v="90096" u="1"/>
        <n v="122346" u="1"/>
        <n v="130588" u="1"/>
        <n v="142165" u="1"/>
        <n v="146696" u="1"/>
        <n v="147094" u="1"/>
        <n v="147103" u="1"/>
        <n v="147802" u="1"/>
        <n v="148467" u="1"/>
        <n v="148474" u="1"/>
        <n v="150134" u="1"/>
        <n v="150766" u="1"/>
        <n v="5795" u="1"/>
        <n v="153744" u="1"/>
        <n v="154513" u="1"/>
        <n v="6662" u="1"/>
        <n v="156358" u="1"/>
        <n v="24239" u="1"/>
        <n v="44146" u="1"/>
        <n v="63127" u="1"/>
        <n v="15688" u="1"/>
        <n v="76529" u="1"/>
        <n v="76532" u="1"/>
        <n v="76528" u="1"/>
        <n v="65859" u="1"/>
        <n v="65982" u="1"/>
        <n v="66089" u="1"/>
        <n v="66285" u="1"/>
        <n v="66284" u="1"/>
        <n v="79115" u="1"/>
        <n v="79114" u="1"/>
        <n v="79139" u="1"/>
        <n v="79451" u="1"/>
        <n v="66875" u="1"/>
        <n v="82948" u="1"/>
        <n v="82947" u="1"/>
        <n v="82950" u="1"/>
        <n v="82949" u="1"/>
        <n v="67177" u="1"/>
        <n v="73749" u="1"/>
        <n v="79735" u="1"/>
        <n v="136244" u="1"/>
        <n v="60696" u="1"/>
        <n v="128775" u="1"/>
        <n v="139652" u="1"/>
        <n v="2214" u="1"/>
        <n v="148478" u="1"/>
        <n v="148476" u="1"/>
        <n v="148475" u="1"/>
        <n v="148471" u="1"/>
        <n v="6457" u="1"/>
        <n v="103671" u="1"/>
        <n v="105090" u="1"/>
        <n v="105313" u="1"/>
        <n v="105554" u="1"/>
        <n v="105770" u="1"/>
        <n v="106103" u="1"/>
        <n v="106303" u="1"/>
        <n v="106817" u="1"/>
        <n v="107300" u="1"/>
        <n v="107531" u="1"/>
        <n v="107530" u="1"/>
        <n v="107540" u="1"/>
        <n v="107924" u="1"/>
        <n v="108336" u="1"/>
        <n v="109453" u="1"/>
        <n v="112145" u="1"/>
        <n v="112692" u="1"/>
        <n v="112816" u="1"/>
        <n v="113062" u="1"/>
        <n v="113228" u="1"/>
        <n v="113302" u="1"/>
        <n v="113449" u="1"/>
        <n v="113456" u="1"/>
        <n v="113500" u="1"/>
        <n v="113538" u="1"/>
        <n v="113557" u="1"/>
        <n v="113647" u="1"/>
        <n v="113691" u="1"/>
        <n v="113761" u="1"/>
        <n v="113941" u="1"/>
        <n v="114155" u="1"/>
        <n v="114228" u="1"/>
        <n v="114229" u="1"/>
        <n v="114230" u="1"/>
        <n v="114231" u="1"/>
        <n v="114267" u="1"/>
        <n v="114289" u="1"/>
        <n v="114307" u="1"/>
        <n v="114454" u="1"/>
        <n v="114455" u="1"/>
        <n v="114457" u="1"/>
        <n v="114756" u="1"/>
        <n v="114786" u="1"/>
        <n v="114893" u="1"/>
        <n v="114934" u="1"/>
        <n v="115015" u="1"/>
        <n v="115016" u="1"/>
        <n v="115102" u="1"/>
        <n v="115384" u="1"/>
        <n v="115418" u="1"/>
        <n v="115506" u="1"/>
        <n v="115750" u="1"/>
        <n v="115796" u="1"/>
        <n v="115794" u="1"/>
        <n v="115911" u="1"/>
        <n v="115961" u="1"/>
        <n v="115976" u="1"/>
        <n v="115986" u="1"/>
        <n v="115987" u="1"/>
        <n v="116058" u="1"/>
        <n v="116068" u="1"/>
        <n v="116123" u="1"/>
        <n v="116142" u="1"/>
        <n v="116225" u="1"/>
        <n v="116226" u="1"/>
        <n v="116219" u="1"/>
        <n v="116399" u="1"/>
        <n v="116419" u="1"/>
        <n v="116513" u="1"/>
        <n v="116626" u="1"/>
        <n v="116670" u="1"/>
        <n v="116744" u="1"/>
        <n v="116746" u="1"/>
        <n v="116774" u="1"/>
        <n v="116803" u="1"/>
        <n v="116842" u="1"/>
        <n v="117051" u="1"/>
        <n v="117073" u="1"/>
        <n v="117079" u="1"/>
        <n v="117080" u="1"/>
        <n v="117203" u="1"/>
        <n v="117214" u="1"/>
        <n v="117246" u="1"/>
        <n v="117248" u="1"/>
        <n v="117440" u="1"/>
        <n v="117481" u="1"/>
        <n v="117497" u="1"/>
        <n v="117516" u="1"/>
        <n v="117775" u="1"/>
        <n v="117798" u="1"/>
        <n v="118058" u="1"/>
        <n v="118130" u="1"/>
        <n v="118192" u="1"/>
        <n v="118276" u="1"/>
        <n v="118418" u="1"/>
        <n v="118455" u="1"/>
        <n v="118582" u="1"/>
        <n v="118640" u="1"/>
        <n v="118680" u="1"/>
        <n v="118803" u="1"/>
        <n v="118958" u="1"/>
        <n v="118992" u="1"/>
        <n v="119001" u="1"/>
        <n v="119541" u="1"/>
        <n v="119620" u="1"/>
        <n v="120194" u="1"/>
        <n v="155875" u="1"/>
        <n v="88742" u="1"/>
        <n v="127106" u="1"/>
        <n v="127110" u="1"/>
        <n v="127108" u="1"/>
        <n v="6188" u="1"/>
        <n v="17818" u="1"/>
        <n v="49266" u="1"/>
        <n v="79149" u="1"/>
        <n v="2539" u="1"/>
        <n v="98214" u="1"/>
        <n v="98213" u="1"/>
        <n v="99610" u="1"/>
        <n v="100692" u="1"/>
        <n v="115732" u="1"/>
        <n v="127109" u="1"/>
        <n v="2212" u="1"/>
        <n v="142164" u="1"/>
        <n v="5852" u="1"/>
        <n v="153783" u="1"/>
        <n v="153745" u="1"/>
        <n v="6100" u="1"/>
        <n v="6111" u="1"/>
        <n v="6098" u="1"/>
        <n v="2301" u="1"/>
        <n v="2302" u="1"/>
        <n v="2303" u="1"/>
        <n v="14836" u="1"/>
        <n v="179380" u="1"/>
        <n v="146512" u="1"/>
        <n v="79649" u="1"/>
        <n v="81302" u="1"/>
        <n v="2213" u="1"/>
        <n v="147530" u="1"/>
        <n v="147933" u="1"/>
        <n v="151344" u="1"/>
        <n v="152542" u="1"/>
        <n v="5851" u="1"/>
        <n v="5853" u="1"/>
        <n v="144337" u="1"/>
        <n v="148972" u="1"/>
        <n v="80492" u="1"/>
        <n v="147100" u="1"/>
        <n v="147098" u="1"/>
        <n v="147104" u="1"/>
        <n v="147101" u="1"/>
        <n v="147099" u="1"/>
        <n v="147096" u="1"/>
        <n v="147097" u="1"/>
        <n v="150301" u="1"/>
        <n v="5377" u="1"/>
        <n v="148812" u="1"/>
        <n v="5378" u="1"/>
        <n v="2320" u="1"/>
        <n v="2323" u="1"/>
        <n v="2329" u="1"/>
        <n v="2333" u="1"/>
        <n v="2334" u="1"/>
        <n v="2335" u="1"/>
        <n v="2336" u="1"/>
        <n v="90281" u="1"/>
        <n v="148466" u="1"/>
        <n v="148470" u="1"/>
        <n v="148469" u="1"/>
        <n v="148468" u="1"/>
        <n v="148472" u="1"/>
        <n v="5376" u="1"/>
        <n v="90285" u="1"/>
        <n v="81945" u="1"/>
        <n v="101346" u="1"/>
        <n v="130938" u="1"/>
        <n v="148835" u="1"/>
        <n v="151708" u="1"/>
        <n v="151707" u="1"/>
        <n v="5373" u="1"/>
        <n v="78895" u="1"/>
        <n v="130941" u="1"/>
        <n v="141764" u="1"/>
        <n v="141734" u="1"/>
        <n v="141735" u="1"/>
        <n v="141741" u="1"/>
        <n v="141755" u="1"/>
        <n v="141761" u="1"/>
        <n v="142166" u="1"/>
        <n v="151104" u="1"/>
        <n v="132064" u="1"/>
        <n v="2055" u="1"/>
        <n v="144188" u="1"/>
        <n v="131203" u="1"/>
        <n v="138632" u="1"/>
        <n v="146946" u="1"/>
        <n v="151103" u="1"/>
        <n v="5375" u="1"/>
        <n v="5374" u="1"/>
        <n v="4528" u="1"/>
        <n v="4515" u="1"/>
        <n v="5379" u="1"/>
        <n v="93467" u="1"/>
        <n v="142163" u="1"/>
        <n v="5217" u="1"/>
        <n v="5372" u="1"/>
        <n v="127704" u="1"/>
        <n v="132063" u="1"/>
        <n v="81933" u="1"/>
        <n v="81939" u="1"/>
        <n v="142829" u="1"/>
        <n v="143802" u="1"/>
        <n v="142160" u="1"/>
        <n v="142162" u="1"/>
        <n v="142168" u="1"/>
        <n v="143344" u="1"/>
        <n v="146932" u="1"/>
        <n v="148834" u="1"/>
        <n v="5215" u="1"/>
        <n v="5218" u="1"/>
        <n v="5216" u="1"/>
        <n v="151946" u="1"/>
        <n v="2322" u="1"/>
        <n v="2332" u="1"/>
        <n v="2331" u="1"/>
        <n v="2330" u="1"/>
        <n v="2328" u="1"/>
        <n v="2327" u="1"/>
        <n v="2326" u="1"/>
        <n v="2325" u="1"/>
        <n v="2324" u="1"/>
        <n v="79113" u="1"/>
        <n v="71100" u="1"/>
        <n v="73203" u="1"/>
        <n v="76332" u="1"/>
        <n v="132079" u="1"/>
        <n v="81940" u="1"/>
        <n v="79807" u="1"/>
        <n v="71195" u="1"/>
        <n v="99879" u="1"/>
        <n v="117354" u="1"/>
        <n v="127107" u="1"/>
        <n v="81116" u="1"/>
        <n v="138633" u="1"/>
        <n v="141623" u="1"/>
        <n v="141622" u="1"/>
        <n v="141762" u="1"/>
        <n v="141760" u="1"/>
        <n v="141752" u="1"/>
        <n v="141750" u="1"/>
        <n v="141725" u="1"/>
        <n v="142159" u="1"/>
        <n v="145464" u="1"/>
        <n v="145587" u="1"/>
        <n v="145578" u="1"/>
        <n v="145585" u="1"/>
        <n v="145581" u="1"/>
        <n v="145582" u="1"/>
        <n v="145588" u="1"/>
        <n v="145586" u="1"/>
        <n v="145579" u="1"/>
        <n v="145577" u="1"/>
        <n v="145576" u="1"/>
        <n v="145572" u="1"/>
        <n v="145573" u="1"/>
        <n v="145574" u="1"/>
        <n v="145575" u="1"/>
        <n v="145885" u="1"/>
        <n v="146585" u="1"/>
        <n v="151106" u="1"/>
        <n v="2321" u="1"/>
        <n v="2319" u="1"/>
        <n v="2318" u="1"/>
        <n v="2317" u="1"/>
        <n v="125141" u="1"/>
        <n v="81118" u="1"/>
        <n v="71280" u="1"/>
        <n v="76866" u="1"/>
        <n v="76872" u="1"/>
        <n v="141705" u="1"/>
        <n v="81467" u="1"/>
        <n v="81301" u="1"/>
        <n v="145583" u="1"/>
        <n v="81303" u="1"/>
        <n v="145773" u="1"/>
        <n v="76580" u="1"/>
        <n v="2207" u="1"/>
        <n v="142167" u="1"/>
        <n v="131323" u="1"/>
        <n v="144767" u="1"/>
        <n v="79736" u="1"/>
        <n v="4161" u="1"/>
        <n v="4160" u="1"/>
        <n v="4514" u="1"/>
        <n v="4532" u="1"/>
        <n v="101512" u="1"/>
        <n v="2205" u="1"/>
        <n v="2206" u="1"/>
        <n v="144545" u="1"/>
        <n v="74227" u="1"/>
        <n v="79489" u="1"/>
        <n v="79454" u="1"/>
        <n v="90095" u="1"/>
        <n v="90344" u="1"/>
        <n v="99191" u="1"/>
        <n v="132680" u="1"/>
        <n v="2208" u="1"/>
        <n v="147803" u="1"/>
        <n v="148859" u="1"/>
        <n v="127536" u="1"/>
        <n v="81134" u="1"/>
        <n v="81300" u="1"/>
        <n v="81299" u="1"/>
        <n v="93513" u="1"/>
        <n v="97483" u="1"/>
        <n v="4164" u="1"/>
        <n v="4163" u="1"/>
        <n v="4162" u="1"/>
        <n v="81304" u="1"/>
        <n v="81307" u="1"/>
        <n v="145312" u="1"/>
        <n v="110536" u="1"/>
        <n v="144450" u="1"/>
        <n v="144946" u="1"/>
        <n v="119162" u="1"/>
        <n v="81315" u="1"/>
        <n v="81306" u="1"/>
        <n v="4159" u="1"/>
        <n v="3945" u="1"/>
        <n v="81305" u="1"/>
        <n v="145580" u="1"/>
        <n v="148473" u="1"/>
        <n v="4165" u="1"/>
        <n v="2295" u="1"/>
        <n v="2294" u="1"/>
        <n v="2300" u="1"/>
        <n v="2299" u="1"/>
        <n v="2298" u="1"/>
        <n v="2297" u="1"/>
        <n v="2296" u="1"/>
        <n v="130937" u="1"/>
        <n v="132961" u="1"/>
        <n v="81312" u="1"/>
        <n v="137393" u="1"/>
        <n v="142403" u="1"/>
        <n v="141042" u="1"/>
        <n v="142174" u="1"/>
        <n v="135088" u="1"/>
        <n v="141951" u="1"/>
        <n v="81310" u="1"/>
        <n v="144670" u="1"/>
        <n v="146412" u="1"/>
        <n v="121320" u="1"/>
        <n v="141952" u="1"/>
        <n v="81309" u="1"/>
        <n v="140417" u="1"/>
        <n v="76333" u="1"/>
        <n v="118963" u="1"/>
        <n v="79148" u="1"/>
        <n v="141037" u="1"/>
        <n v="144932" u="1"/>
        <n v="144930" u="1"/>
        <n v="144931" u="1"/>
        <n v="81126" u="1"/>
        <n v="142175" u="1"/>
        <n v="145725" u="1"/>
        <n v="145756" u="1"/>
        <n v="81130" u="1"/>
        <n v="81125" u="1"/>
        <n v="137737" u="1"/>
        <n v="128880" u="1"/>
        <n v="144856" u="1"/>
        <n v="99878" u="1"/>
        <n v="81129" u="1"/>
        <n v="81128" u="1"/>
        <n v="81122" u="1"/>
        <n v="136160" u="1"/>
        <n v="76187" u="1"/>
        <n v="0" u="1"/>
        <n v="81127" u="1"/>
        <n v="141746" u="1"/>
        <n v="141763" u="1"/>
        <n v="141758" u="1"/>
        <n v="141748" u="1"/>
        <n v="141739" u="1"/>
        <n v="93518" u="1"/>
        <n v="93516" u="1"/>
        <n v="93517" u="1"/>
        <n v="93519" u="1"/>
        <n v="93521" u="1"/>
        <n v="93520" u="1"/>
        <n v="141038" u="1"/>
        <n v="81124" u="1"/>
        <n v="140481" u="1"/>
        <n v="143307" u="1"/>
        <n v="144187" u="1"/>
        <n v="134726" u="1"/>
        <n v="138071" u="1"/>
        <n v="142670" u="1"/>
        <n v="2351" u="1"/>
        <n v="128884" u="1"/>
        <n v="130274" u="1"/>
        <n v="93531" u="1"/>
        <n v="142176" u="1"/>
        <n v="142173" u="1"/>
        <n v="142171" u="1"/>
        <n v="142170" u="1"/>
        <n v="142402" u="1"/>
        <n v="141765" u="1"/>
        <n v="79654" u="1"/>
        <n v="79652" u="1"/>
        <n v="140338" u="1"/>
        <n v="141727" u="1"/>
        <n v="141989" u="1"/>
        <n v="86142" u="1"/>
        <n v="88740" u="1"/>
        <n v="91428" u="1"/>
        <n v="135972" u="1"/>
        <n v="142305" u="1"/>
        <n v="143753" u="1"/>
        <n v="142169" u="1"/>
      </sharedItems>
    </cacheField>
    <cacheField name="Net Qty On Cartons" numFmtId="0">
      <sharedItems containsString="0" containsBlank="1" containsNumber="1" minValue="0" maxValue="4456.62"/>
    </cacheField>
    <cacheField name="Weight KG" numFmtId="0">
      <sharedItems containsString="0" containsBlank="1" containsNumber="1" minValue="1" maxValue="50"/>
    </cacheField>
    <cacheField name="Total Inventory Kgs" numFmtId="0">
      <sharedItems containsString="0" containsBlank="1" containsNumber="1" minValue="0" maxValue="26310"/>
    </cacheField>
    <cacheField name="Group Name*" numFmtId="0">
      <sharedItems containsBlank="1" count="37">
        <s v="Date Powder"/>
        <s v="Dry Dates"/>
        <s v="Economical Dates"/>
        <s v="Premium Dates"/>
        <s v="Organic Dates"/>
        <s v="Date Syrup"/>
        <s v="Date Paste"/>
        <m/>
        <s v="Raisins"/>
        <s v="Macadamia"/>
        <s v="Macadamia Paste"/>
        <s v="Blueberry"/>
        <s v="Pistachios"/>
        <s v="Pecan Nut"/>
        <s v="Cranberry"/>
        <s v="Hazelnut"/>
        <s v="BlackCurrant"/>
        <s v="Apricot"/>
        <s v="Walnut"/>
        <s v="Dehydrated Fruits"/>
        <s v="Brazil Nuts"/>
        <s v="Prunes"/>
        <s v="Seeds"/>
        <s v="Almond"/>
        <s v="Cashew Kernel"/>
        <s v="Makhana"/>
        <s v="Seasoning"/>
        <s v="Peanut"/>
        <s v="Trail Mix"/>
        <s v="Anjeer" u="1"/>
        <s v="Festive Hamper" u="1"/>
        <s v="Water Chestnut" u="1"/>
        <s v="Spices" u="1"/>
        <s v="Almond-Cracking" u="1"/>
        <s v="Macadamia Nut" u="1"/>
        <s v="Almond-Holding" u="1"/>
        <s v="Chocolate" u="1"/>
      </sharedItems>
    </cacheField>
    <cacheField name="Sub Group Name*" numFmtId="0">
      <sharedItems containsBlank="1"/>
    </cacheField>
    <cacheField name="Sub Sub Group Name*" numFmtId="0">
      <sharedItems containsBlank="1" containsMixedTypes="1" containsNumber="1" containsInteger="1" minValue="4" maxValue="4"/>
    </cacheField>
    <cacheField name="Item Display Name*" numFmtId="0">
      <sharedItems containsBlank="1" containsMixedTypes="1" containsNumber="1" containsInteger="1" minValue="0" maxValue="0" count="180">
        <s v="10KG AL BARAKAH DATE POWDER V2"/>
        <s v="BUSOOR DRY DATES GRADE - 2"/>
        <s v="Rabia Dates 5kg"/>
        <s v="AL BARAKAH LULU WET DATES (RED) 10KG"/>
        <s v="Azmah Dates 10kg"/>
        <s v="Safawi Dates 5kg"/>
        <s v="Red Kharek Cut"/>
        <s v="Buman Dates"/>
        <s v="10 KG FARD DATES EZAD"/>
        <s v="AL BARAKAH FARD WET DATES STANDARD 10KG"/>
        <s v="Deri Dates"/>
        <s v="AL BARAKAH KHALAS DATES AFCTN-10KG"/>
        <s v="AL BARAKAH FARD WET DATES PREMIUM 10KG"/>
        <s v="Safawi Dates 10kg"/>
        <s v="Safawi Dates 20kg"/>
        <s v="AL BARAKAH KHANEIZI DATES 10 KG"/>
        <s v="Deglet Dates"/>
        <s v="Royal Delight Fard-5kg"/>
        <s v="MEDJOUL DATES  SUPER JUMBO 5KG"/>
        <s v="Safawi Dates -Azmah 500gm-Tajir RTV"/>
        <s v="Al Barakah Chopped Dates Dried 10KG"/>
        <s v="Deglet Nour Dates 5 KG"/>
        <s v="Sukkary Premium"/>
        <s v="AL BARAKAH LULU WET DATES (BLACK) 10KG"/>
        <s v="Al Barakah Crushed Dates 10KG"/>
        <s v="AL BARAKAH MEDJOUL DATES 500GM"/>
        <s v="10KG AL BARAKAH DATE POWDER"/>
        <s v="Mabroom Regular"/>
        <s v="Ajwa Regular"/>
        <s v="Safawi Dates National 10kg"/>
        <s v="Safawi Dates Arsh 10kg"/>
        <s v="Medjoul Dates Medium 5 kg"/>
        <s v="MEDJOUL DATES  JUMBO 8 kg"/>
        <s v="Medjoul Dates Large 5 kg"/>
        <s v="MDJL Mini Dates 5 kg"/>
        <s v="Al Barakah Medjoul Dates Grade B"/>
        <s v="Medjoul Tajir RTV"/>
        <s v="AL BARAKAH DATE POWDER"/>
        <s v="Medjoul Large No.2 Sorted"/>
        <s v="Royal Delight Mabroom 5 Kg"/>
        <s v="Royal Delight Ajwa 5kg"/>
        <s v="Royal Delight Arabian 8kg (250gx36)"/>
        <s v="Al Barakah Safavi Dates 10 KG (500gmx20)"/>
        <s v="Royal Delight Safavi 5Kg (250gmx36)"/>
        <s v="Organic Khidri Pr.Medium"/>
        <s v="Royal Delight Medjoul Dates 800gm"/>
        <s v="10 KG AL BARAKAH EMIRATES BLACK WET DATES"/>
        <s v="Organic Wanan Pr.Large"/>
        <s v="Medjoul Dates Medium 10 KG"/>
        <s v="Organic Seqee Pr.Large"/>
        <s v="Fard Dates - Leechants"/>
        <s v="Organic Wanan Pr.Jumbo"/>
        <s v="10KG AL BARAKAH DATE POWDER V1"/>
        <s v="AL BARAKAH DATES SYRUP 25 kg Pack"/>
        <s v="AL BARAKHA DATE SYRUP ( 400G packing)"/>
        <s v="Sayer Dates"/>
        <s v="Al Barakah Date Paste 12.5KG"/>
        <s v="Wet Dates (Mazafati)"/>
        <m/>
        <s v="Afghan Kishmish"/>
        <s v="Macadamia Roasted - Size 6"/>
        <s v="Macadamia Paste"/>
        <s v="Dried Blueberry Whole-Apple Infused"/>
        <s v="Organic Medjoul Pr.Large"/>
        <s v="Organic Khidri Pr.Large"/>
        <s v="Organic Khidri Sp.Jumbo"/>
        <s v="Macadamia Roasted &amp; Salted Size -1"/>
        <s v="Macadamia Inshell Vannilla 320CUT"/>
        <s v="Macadamia Roasted &amp; Salted Size -4"/>
        <s v="Organic Ajwa Pr.Jumbo"/>
        <s v="Macadamia Plain Inshell"/>
        <s v="Medjoul Dates Junior 5 kg"/>
        <s v="Indian Green Raisins"/>
        <s v="California Pistachios Inshell 18-20"/>
        <s v="Pecan Nut Tukda"/>
        <s v="Macadamia Roasted Size -4L"/>
        <s v="Dried Cranberry Whole - Meduri"/>
        <s v="Hazelnut Kernal Blanched"/>
        <s v="Organic Khidri Large dates 1kg Pouch"/>
        <s v="Organic Seqee Pr.Large 1kg pouch"/>
        <s v="Organic Wanan Pr.Large 1 kg pouch"/>
        <s v="Dried Black Current"/>
        <s v="Turkey Apricot No 0"/>
        <s v="Chilean Walnut Kernel 2 pcs"/>
        <s v="Turkey Apricot No 3"/>
        <s v="Dried Goji Berry RTV Alimento"/>
        <s v="MEDJOUL DATES  JUMBO 5KG"/>
        <s v="Brazil Nuts"/>
        <s v="Macadamia Roasted - Size 4"/>
        <s v="Pecan Nut Kernel"/>
        <s v="Macadamia Roasted - Size 1"/>
        <s v="Macadamia Roasted - Size 0"/>
        <s v="Dried Prunes Pitted - Wilbur"/>
        <s v="Sunflower Seeds 25KG"/>
        <s v="California Pistachios Inshell 21-25"/>
        <s v="Dried Cranberry Whole"/>
        <s v="Dried Cranberry Sliced"/>
        <s v="Medjoul Dates Bon Bon 3.5 KG"/>
        <s v="Dried Blueberry Whole"/>
        <s v="Water Melon Seeds 50 Kgs"/>
        <s v="Medjoul Dates Large 8 kg (500gm*16)"/>
        <s v="Dry Dates 12kg"/>
        <s v="FARD WET DATES STANDARD 10KG Indian Overseas"/>
        <s v="AL BARAKAH KHALAS DATES Premium 10kgs"/>
        <s v="AL BARAKAH SUFRI DATES Premium 10kgs"/>
        <s v="Safavi Dates 20kg"/>
        <s v="AL BARAKAH REZIZ DATES Premium 10kgs"/>
        <s v="AL BARAKAH BARHI DATES 10KG"/>
        <s v="AL BARAKAH KHALAS DATES Seedless 10kgs"/>
        <s v="Sufri Dates"/>
        <s v="AL BARAKAH BARHI DATES 10KG RTV"/>
        <s v="Mazafati Dates"/>
        <s v="Delmonte Royal Arabian dates 500g RTV"/>
        <s v="AL BARAKAH FARD WET DATES PREMIUM 10KG RTV"/>
        <s v="Almond Blanched, whole"/>
        <s v="Smoked Almonds August RTV"/>
        <s v="Almond Kernels 20-22"/>
        <s v="American Kernel 25-27 count"/>
        <s v="Dried Blueberry"/>
        <s v="Cashew Kernel"/>
        <s v="AL BARAKAH DEHYDRATED DATE POWDER - BULK PACK 10KG"/>
        <s v="Oriental Dates"/>
        <s v="Sayer Dates Seeded 10KG"/>
        <s v="Dried Orange Peel"/>
        <s v="Dried Mango Loose"/>
        <s v="Makhana 4+ Sutta"/>
        <s v="PREGEFLO C 100 G"/>
        <s v="SIDCOT STARCH"/>
        <s v="Sour Cream And Onion Seasoning"/>
        <s v="Peanuts Split"/>
        <s v="Peanuts"/>
        <s v="ROASTED BLANCHED PEANUT Old Savla"/>
        <s v="Pista Kernal Roasted and Salted"/>
        <s v="California Pista Inshell 21-25"/>
        <s v="Pista Kernel"/>
        <s v="Pecan Nuts"/>
        <s v="Afghan Black Raisins Seeded 1*2"/>
        <s v="Afghan Black Raisins Seedless 1*2"/>
        <s v="Afghan Munakka / Abjosh 1X2"/>
        <s v="Pan Raisin"/>
        <s v="Indian Long Raisins"/>
        <s v="Anardana Churan"/>
        <s v="Anardana Powder"/>
        <s v="Barbeque seasoning"/>
        <s v="Black Pepper Seasoning"/>
        <s v="Chilli Garlic Masala Seasoning"/>
        <s v="Chipotle Honey Seasoning"/>
        <s v="Magic Masala Seasoning"/>
        <s v="Paan Seasoning AB319"/>
        <s v="Peri Peri Marination Seasoning"/>
        <s v="Pudina seasoning"/>
        <s v="Salt &amp; Pepper Seasoning"/>
        <s v="Smoke Seasoning"/>
        <s v="SWEET THAI CHILLI SEASONING"/>
        <s v="Tandoori Seasoning"/>
        <s v="URBAN PLATTER ARABIC GUM POWDER"/>
        <s v="Urban Platter Mexican Chipotle Seasoning"/>
        <s v="Urban Platter Tandoori Tikka Masala"/>
        <s v="Urban Platter Soya Chaap Seasoning"/>
        <s v="Wasabi Seasoning AB343"/>
        <s v="Carnival Crunchy Caramel Trail Mix"/>
        <s v="Chilean Walnut Inshell"/>
        <s v="Chatpata Seasoning"/>
        <s v="Amchur Powder"/>
        <s v="Roasted &amp; Salted Almonds"/>
        <s v="BLACK PEPPER CASHEW"/>
        <s v="Roasted &amp; Salted Cashew"/>
        <s v="Chatpata Cranberry"/>
        <s v="Fresho Kimia Dates 500 Gm"/>
        <s v="Pan Cranberry"/>
        <s v="Pecan Nuts Inshell"/>
        <s v="AL BARAKAH DATE SYRUP(1.15KG X 12)"/>
        <s v="Butter Seasoning"/>
        <s v="Hemp Seeds"/>
        <s v="Lemon Pepper Seasoning"/>
        <s v="Black Salt, Kala Namak - Crystal"/>
        <s v="TANGY TOMATO SEASONING"/>
        <s v="Black Pepper Powder"/>
        <s v="AL BARAKAH DATES SYRUP (400G Packing)"/>
        <n v="0" u="1"/>
      </sharedItems>
    </cacheField>
    <cacheField name="Tally Name" numFmtId="0">
      <sharedItems containsBlank="1" count="259">
        <s v="10KG AL BARAKAH DATE POWDER V2"/>
        <s v="DRY DATES-GRADE 2"/>
        <s v="Wet Dates (Rabia)"/>
        <s v="AL BARAKAH LULU RED DATES - 10KG"/>
        <s v="Wet Dates Safavi"/>
        <s v="Seedless Chopped Red Kharik Dry Dates"/>
        <s v="BUMAN DATES"/>
        <s v="AL BARAKAH FARD DATES 10KG - EZAD"/>
        <s v="AL BARAKAH FARD DATES STANDARD"/>
        <s v="Wet Dates (Deri)"/>
        <s v="AL BARAKAH KHALAS DATES-AFCTN"/>
        <s v="Al Barakah Fard Dates Premium"/>
        <s v="AL BARAKAH KHANIZEE DATES 10KG"/>
        <s v="Wet Dates Deglet"/>
        <s v="Wet Dates Fardh"/>
        <s v="Wet Dates Medjoul Bulk 5 Kgs Super Jumbo"/>
        <s v="AL BARAKAH CHOPPED DATES"/>
        <s v="Wet Dates (Sukkary)"/>
        <s v="AL BARAKAH LULU BLACK DATES-10KG"/>
        <s v="AL BARAKAH CRUSHED DATES 10KG"/>
        <s v="Al Barakah Medjoul Dates 500Gm"/>
        <s v="10KG AL BARAKAH DATE POWDER V1"/>
        <s v="Wet Dates (Mabroom)"/>
        <s v="Wet Dates Ajwa"/>
        <s v="WET DATES MEDJOUL BULK MEDIUM(5)"/>
        <s v="WET DATES MEDJOUL JUMBO"/>
        <s v="WET DATES MEDJOUL BULK LARGE (5)"/>
        <s v="WET DATES MEDJOUL BULK MINI (5)"/>
        <s v="AL BARAKAH MEDJOOL DATES PREMIUM 5KG"/>
        <s v="King Solomon Medjoul Dates 500 Gms"/>
        <s v="Royal Delight Mabroom Dates 5 Kgs"/>
        <s v="Royal Delight Ajwa Dates 5 Kgs"/>
        <s v="Royal Delight Arabian 250gm"/>
        <s v="Al Barakaha Safavi Dates 500g"/>
        <s v="RD Safavi Dates 250g"/>
        <s v="Organic Khidri Premium Medium"/>
        <s v="Royal Delight Medjool Dates 800g"/>
        <s v="AL BARAKAH EMIRATES BLACK DATES 10KG"/>
        <s v="Organic Wanan Premium Large"/>
        <s v="Organic Seqee Premium Large"/>
        <s v="Organic Wanan Premium Jumbo"/>
        <s v="25KG AL BARAKAH DATE SYRUP V1"/>
        <s v="AL BARAKAH DATES SYRUP 400G"/>
        <s v="AL BARAKAH SAYER DATES 10KG"/>
        <s v="AL BARAKAH DATE PASTE 12.5KG"/>
        <s v="Wet Dates (Mazafati)"/>
        <m/>
        <s v="Afghan Raisins 1*2 Green round"/>
        <s v="Macadamia Roasted - Size 6"/>
        <s v="Macadamia Paste"/>
        <s v="Dried Blueberry Apple Infused"/>
        <s v="Organic Medjool Premium Large"/>
        <s v="Organic Khidri Large dates"/>
        <s v="Organic Khidri Special Jumbo"/>
        <s v="Macadamia Roasted Salted - Size 1"/>
        <s v="Macadamia Vanilla Whole - 320* Cut"/>
        <s v="Macadamia Roasted Salted - Size 4"/>
        <s v="Organic Ajwa Premium Large"/>
        <s v="Macadamia Whole - 320* Cut"/>
        <s v="Medjoul Dates Junior"/>
        <s v="Medjoul Dates Medium"/>
        <s v="Indian Green Raisins"/>
        <s v="California Pista Inshell Jumbo"/>
        <s v="Pecan Nuts"/>
        <s v="Macadamia Roasted - Size 4L"/>
        <s v="Dried Cranberry Whole"/>
        <s v="Hazelnut Kernal"/>
        <s v="Dried Black Currant"/>
        <s v="Turkey Apricot No. 0"/>
        <s v="Chilean Walnut Kernel 2 pcs"/>
        <s v="Turkey Apricot No 3"/>
        <s v="Dried Goji Berry"/>
        <s v="MEDJOUL DATES JUMBO"/>
        <s v="Deglet Dates"/>
        <s v="Brazil Nuts"/>
        <s v="Off-Grade Dates"/>
        <s v="Macadamia Roasted - Size 1"/>
        <s v="Macadamia Roasted - Size 0"/>
        <s v="Dried Prunes (Pitted)"/>
        <s v="Medjoul Dates Mini"/>
        <s v="Sunflower Seeds"/>
        <s v="California Pista Inshell"/>
        <s v="MEDJOUL DATES  SUPER JUMBO 5KG"/>
        <s v="Dried Cranberry Sliced"/>
        <s v="Medjoul Dates Premium Bon Bon"/>
        <s v="Dried Blueberry"/>
        <s v="Watermelon Seeds"/>
        <s v="Medjoul Dates Large"/>
        <s v="Kharik"/>
        <s v="AL BARAKAH KHALAS PREMIUM DATES"/>
        <s v="AL BARAKAH SUFRI DATES 10KG"/>
        <s v="AL BARAKAH REZIZ DATES 10KG"/>
        <s v="AL BARAKAH KHALAS DATES"/>
        <s v="AL BARAKAH BARHI DATES 10KG"/>
        <s v="Wet Dates Seedless Khalas"/>
        <s v="Delmonte Royal Arabian dates 500g [1 Case x 24 unit] Non-Promo"/>
        <s v="Almond Blanched, whole"/>
        <s v="Smoked Almonds"/>
        <s v="American Almonds Kernel 20-22 count"/>
        <s v="American Almonds Running 25-27 count"/>
        <s v="Cashew Kernel"/>
        <s v="AL BARAKAH DEHYDRATED DATE POWDER - BULK PACK 10KG"/>
        <s v="Oriental Dates"/>
        <s v="Wet Date Sayer ( Unpitted )"/>
        <s v="Dried Orange Peel"/>
        <s v="Dried Mango Loose"/>
        <s v="Makhana 4+ Sutta"/>
        <s v="PREGEFLO C 100 G"/>
        <s v="SIDCOT STARCH"/>
        <s v="Sour Cream And Onion Seasoning"/>
        <s v="Peanuts Split"/>
        <s v="Peanuts"/>
        <s v="ROASTED BLANCHED PEANUT WHOLE"/>
        <s v="Pista Kernal Roasted and Salted"/>
        <s v="Pista Kernel"/>
        <s v="Macadamia Roasted - Size 4"/>
        <s v="Afghan Black Raisins Seeded 1*2"/>
        <s v="Afghan Black Raisins Seedless 1*2"/>
        <s v="Afghan Munakka / Abjosh 1X2"/>
        <s v="Pan Raisin"/>
        <s v="Indian Long Green Raisins"/>
        <s v="Anardana Churan"/>
        <s v="Anardana Powder"/>
        <s v="Barbeque seasoning"/>
        <s v="Black Pepper Seasoning"/>
        <s v="Chilli Garlic Masala Seasoning"/>
        <s v="Chipotle Honey Seasoning"/>
        <s v="Magic Masala Seasoning"/>
        <s v="Paan Seasoning AB319"/>
        <s v="Peri Peri Marination Seasoning"/>
        <s v="Pudina seasoning"/>
        <s v="Salt &amp; Pepper Seasoning"/>
        <s v="Smoke Seasoning"/>
        <s v="SWEET THAI CHILLI SEASONING"/>
        <s v="Tandoori Seasoning"/>
        <s v="URBAN PLATTER ARABIC GUM POWDER"/>
        <s v="Urban Platter Mexican Chipotle Seasoning"/>
        <s v="Urban Platter Tandoori Tikka Masala"/>
        <s v="Urban Platter Soya Chaap Seasoning"/>
        <s v="Wasabi Seasoning AB343"/>
        <s v="Carnival Crunchy Caramel Trail Mix"/>
        <s v="Chilean Walnut Inshell"/>
        <s v="Chatpata Seasoning"/>
        <s v="Dried Mango Powder - Amchur"/>
        <s v="Roasted &amp; Salted Almonds"/>
        <s v="BLACK PEPPER CASHEW"/>
        <s v="Roasted &amp; Salted Cashew"/>
        <s v="Chatpata Cranberry"/>
        <s v="Fresho Kimia Dates 500 Gm"/>
        <s v="Pan Cranberry"/>
        <s v="Pecans Nuts Inshell"/>
        <s v="AL BARAKAH DATE SYRUP(1.15KG X 12)"/>
        <s v="Butter Seasoning"/>
        <s v="Red Kharek Cut"/>
        <s v="Hemp Seeds"/>
        <s v="Lemon Pepper Seasoning"/>
        <s v="Black Salt, Kala Namak - Crystal"/>
        <s v="TANGY TOMATO SEASONING"/>
        <s v="Black Pepper Powder"/>
        <s v="AL BARAKAH DATES SYRUP (400G Packing)"/>
        <s v="Dried Anjeer 200gm" u="1"/>
        <s v="Afghan Apricot 1*2" u="1"/>
        <s v="Dried Kiwi" u="1"/>
        <s v="Carnival Pan Raisin 100gm" u="1"/>
        <s v="Dates Mewa Classic 210gm" u="1"/>
        <s v="Walnut Tukda" u="1"/>
        <s v="Kashmiri Walnut Kernels" u="1"/>
        <s v="Carnival Roasted &amp; Salted Cashew 200g" u="1"/>
        <s v="Cheese Cashew" u="1"/>
        <s v="Mewa Mix Dryfruit Box 580gm" u="1"/>
        <s v="SHUBHKAMANYEN 180gm" u="1"/>
        <s v="Coated Peanuts" u="1"/>
        <s v="Krack Nut Coated Peanuts Tandoori Toofan 1 Kg" u="1"/>
        <s v="Krack Nut Coated Peanuts Thai Firangi 85g" u="1"/>
        <s v="Kracknut Coated Peanuts-Pudhina Patakha 1kg" u="1"/>
        <s v="snack amor Coated Peanuts Pudina Patakha 100g" u="1"/>
        <s v="California Pista Inshell Roasted and Salted" u="1"/>
        <s v="Berry Mix" u="1"/>
        <s v="Trail Mix" u="1"/>
        <s v="Barbeque Coated Peanut" u="1"/>
        <s v="Honey Chipotle Coated Peanut" u="1"/>
        <s v="Choco Chips" u="1"/>
        <s v="Black Chia Seeds" u="1"/>
        <s v="WET DATES MEDJOUL JUNIOR" u="1"/>
        <s v="Medjoul Dates Super Jumbo" u="1"/>
        <s v="AL BARAKAH MARYAM DATES 5 KG" u="1"/>
        <s v="Wet Dates Maryam" u="1"/>
        <s v="Orange Peel" u="1"/>
        <s v="Dehydrated Papaya Chunk" u="1"/>
        <s v="Dry Kokam Phool" u="1"/>
        <s v="Dehydrated Lemon (Candied)" u="1"/>
        <s v="WATER CHESNUT LOOSE" u="1"/>
        <s v="Wet Dates (Mashrook)" u="1"/>
        <s v="Wet Dates Khidri" u="1"/>
        <s v="WET DATE MEDJOUL PREMIUM BON BON" u="1"/>
        <s v="Wet Dates (Amary)" u="1"/>
        <s v="BARHI DATES" u="1"/>
        <s v="Wet Dates Zahidi" u="1"/>
        <s v="Fardh Dates" u="1"/>
        <s v="Wet Dates Khaneizi" u="1"/>
        <s v="Al Barakah Dates Oman Seedless 1kg" u="1"/>
        <s v="Royal Delight Safavi Dates 5kg" u="1"/>
        <s v="AL BARAKAH FARD DATES D 10KG" u="1"/>
        <s v="AL BARAKAH SAYER DATES THERMO(500GM X 16)" u="1"/>
        <s v="Cashew 210" u="1"/>
        <s v="Cashew 180" u="1"/>
        <s v="Cashew 240" u="1"/>
        <s v="Organic Cinnamon-Samruddhi Organic" u="1"/>
        <s v="California Inshell Almonds" u="1"/>
        <s v="Al Barakah Date Syrup 450gm" u="1"/>
        <s v="10KG AL BARKAH SUFRI DATES" u="1"/>
        <s v="Al Barakah Fard 500g" u="1"/>
        <s v="AL BARAKAH KHALAS DATES 500 Gm" u="1"/>
        <s v="Al Barakah Khanezi Dates 500gm" u="1"/>
        <s v="AFGHAN BLACK RAISINS-BEST" u="1"/>
        <s v="Anjeer 1*2" u="1"/>
        <s v="Makhana Suta" u="1"/>
        <s v="Sayer Dates Pitted" u="1"/>
        <s v="Organic Medjool Premium Jumbo" u="1"/>
        <s v="GINGER AWLA / AMLA" u="1"/>
        <s v="Wet Dates (Oman)" u="1"/>
        <s v="Royal Delight Oman Dates 5 Kgs" u="1"/>
        <s v="Basil Seeds (Sabja)" u="1"/>
        <s v="AFGHAN BLACK RAISINS-MEDIUM" u="1"/>
        <s v="American Almonds (22-23 Count)" u="1"/>
        <s v="Makhana 5 Suta" u="1"/>
        <s v="SUNFLOWER OIL" u="1"/>
        <s v="Sour Cream And Seasoning" u="1"/>
        <s v="Urban Platter Lemon Pepper Seasoning" u="1"/>
        <s v="Carnival Crunchy Caramel Trail Mix 250g" u="1"/>
        <s v="Dates Mewa Assorted 210gm" u="1"/>
        <s v="Chilean Walnut Kernel Kani_x000d__x000a_" u="1"/>
        <s v="Krack Nut Coated Peanuts Thai Firangi 1 Kg" u="1"/>
        <s v="Krack Nut Coated Peanuts tandoori 85g" u="1"/>
        <s v="King Solomon Oriental Dates 250g" u="1"/>
        <s v="Pumpkin Seed 12%" u="1"/>
        <s v="Anjeer (Figs)" u="1"/>
        <s v="King Solomon Oriental Dates 500gm" u="1"/>
        <s v="Al Barakah Kimia Dates 500 Gm" u="1"/>
        <s v="Zahidi Dates" u="1"/>
        <s v="Almonds Kernel Cube Cut" u="1"/>
        <s v="Cashew 400" u="1"/>
        <s v="Delmonte Royal Arabian dates 200g" u="1"/>
        <s v="Delmonte Royal Arabian dates 500g" u="1"/>
        <s v="Yellow Kharik Dry Dates" u="1"/>
        <s v="Dried Ginger Powder - Saunth Powder" u="1"/>
        <s v="Dried Pineapple" u="1"/>
        <s v="Dried Strawberry" u="1"/>
        <s v="SUPREME 800gm" u="1"/>
        <s v="Palm Oil" u="1"/>
        <s v="Peanut Spilit (Groundnut)" u="1"/>
        <s v="Pista Magaz Split California" u="1"/>
        <s v="Macadamia Roasted NIS Sawn" u="1"/>
        <s v="CHAT MASALA MDH" u="1"/>
        <s v="Smokey BBQ seasoning" u="1"/>
        <s v="Urban Platter Chipotle Seasoning" u="1"/>
        <s v="Black Pepper (Kali Miri Whole)" u="1"/>
        <s v="Carnival Crunchy Caramel Trail Mix 100g" u="1"/>
        <s v="Wet Date Kimia" u="1"/>
      </sharedItems>
    </cacheField>
    <cacheField name="Company Name" numFmtId="0">
      <sharedItems containsBlank="1" count="4">
        <s v="CDPL"/>
        <m/>
        <s v="CFPL"/>
        <s v="Outsource" u="1"/>
      </sharedItems>
    </cacheField>
    <cacheField name="Storage Location" numFmtId="0">
      <sharedItems containsBlank="1" count="6">
        <s v="Savla"/>
        <m/>
        <s v="Savla Bond"/>
        <s v="Rishi"/>
        <s v="A-185 Cold"/>
        <s v="Unazo" u="1"/>
      </sharedItems>
    </cacheField>
    <cacheField name="Stock" numFmtId="0">
      <sharedItems containsBlank="1"/>
    </cacheField>
    <cacheField name="Exporter" numFmtId="0">
      <sharedItems containsBlank="1" containsMixedTypes="1" containsNumber="1" containsInteger="1" minValue="0" maxValue="0"/>
    </cacheField>
    <cacheField name="Last Purchase Rate" numFmtId="0">
      <sharedItems containsString="0" containsBlank="1" containsNumber="1" minValue="32" maxValue="2800"/>
    </cacheField>
    <cacheField name="Value" numFmtId="0">
      <sharedItems containsString="0" containsBlank="1" containsNumber="1" minValue="0" maxValue="12745752.213599999"/>
    </cacheField>
    <cacheField name="Ageing" numFmtId="0">
      <sharedItems containsString="0" containsBlank="1" containsNumber="1" containsInteger="1" minValue="1" maxValue="8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8">
  <r>
    <s v="18/09/2025"/>
    <s v="D-39"/>
    <s v="GR10377"/>
    <s v="KHAJUR PASTE BOX 12"/>
    <s v="AL BARKAH"/>
    <s v="-"/>
    <n v="156457"/>
    <n v="2080"/>
    <n v="12.5"/>
    <n v="26000"/>
    <x v="0"/>
    <s v="Date Paste"/>
    <s v="12.5kg"/>
    <x v="0"/>
    <x v="0"/>
    <x v="0"/>
    <x v="0"/>
    <s v="Rental"/>
    <s v="AL BARAKAH"/>
    <x v="0"/>
    <n v="2210000"/>
    <n v="12"/>
  </r>
  <r>
    <s v="18/09/2025"/>
    <s v="D-39"/>
    <s v="GR10394"/>
    <s v="KHAJUR PASTE BOX 12"/>
    <s v="AL BARAKAH"/>
    <s v="-"/>
    <n v="156458"/>
    <n v="2080"/>
    <n v="12.5"/>
    <n v="26000"/>
    <x v="0"/>
    <s v="Date Paste"/>
    <s v="12.5kg"/>
    <x v="0"/>
    <x v="0"/>
    <x v="0"/>
    <x v="0"/>
    <s v="Rental"/>
    <s v="AL BARAKAH"/>
    <x v="0"/>
    <n v="2210000"/>
    <n v="12"/>
  </r>
  <r>
    <s v="26/09/2025"/>
    <s v="D-39"/>
    <s v="GR11017"/>
    <s v="KHAJUR BOX 10"/>
    <s v="AL BARAKAH"/>
    <s v="EMIRATES DATE"/>
    <n v="157714"/>
    <n v="1609"/>
    <n v="10"/>
    <n v="16090"/>
    <x v="1"/>
    <s v="Sayer"/>
    <s v="AL BARAKAH"/>
    <x v="1"/>
    <x v="1"/>
    <x v="0"/>
    <x v="0"/>
    <s v="Rental"/>
    <s v="AL BARAKAH"/>
    <x v="1"/>
    <n v="1592910"/>
    <n v="4"/>
  </r>
  <r>
    <s v="26/09/2025"/>
    <s v="D-39"/>
    <s v="GR11017"/>
    <s v="KHAJUR BOX 10"/>
    <s v="AL BARAKAH"/>
    <s v="EMIRATES DATE"/>
    <n v="157714"/>
    <n v="991"/>
    <n v="10"/>
    <n v="9910"/>
    <x v="1"/>
    <s v="Sayer"/>
    <s v="AL BARAKAH"/>
    <x v="1"/>
    <x v="1"/>
    <x v="0"/>
    <x v="0"/>
    <s v="Rental"/>
    <s v="AL BARAKAH"/>
    <x v="1"/>
    <n v="981090"/>
    <n v="4"/>
  </r>
  <r>
    <s v="24/07/2023"/>
    <s v="D-39"/>
    <s v="GR5903"/>
    <s v="KHAJUR BOX 10"/>
    <s v="WHITE POWDER"/>
    <s v="V-2"/>
    <n v="56059"/>
    <n v="45"/>
    <n v="10"/>
    <n v="450"/>
    <x v="2"/>
    <s v="V2"/>
    <s v="AL BARAKAH"/>
    <x v="2"/>
    <x v="2"/>
    <x v="0"/>
    <x v="1"/>
    <s v="Rental"/>
    <s v="AL BARAKAH"/>
    <x v="2"/>
    <n v="96750"/>
    <n v="799"/>
  </r>
  <r>
    <s v="06/12/2023"/>
    <s v="D-39"/>
    <s v="GR14501"/>
    <s v="KHAJUR BOX 8"/>
    <s v="BASOOR=OMAN DRY DATES"/>
    <s v="GRADE 2"/>
    <n v="77517"/>
    <n v="14"/>
    <n v="7"/>
    <n v="98"/>
    <x v="3"/>
    <s v="Oman"/>
    <s v="Dry Dates"/>
    <x v="3"/>
    <x v="3"/>
    <x v="0"/>
    <x v="1"/>
    <s v="Rental"/>
    <s v="NAKHEEL"/>
    <x v="3"/>
    <n v="23618"/>
    <n v="664"/>
  </r>
  <r>
    <s v="06/12/2023"/>
    <s v="D-39"/>
    <s v="GR14501"/>
    <s v="KHAJUR BOX 8"/>
    <s v="BASOOR=OMAN DRY DATES"/>
    <s v="GRADE 2"/>
    <n v="77517"/>
    <n v="49"/>
    <n v="7"/>
    <n v="343"/>
    <x v="3"/>
    <s v="Oman"/>
    <s v="Dry Dates"/>
    <x v="3"/>
    <x v="3"/>
    <x v="0"/>
    <x v="1"/>
    <s v="Rental"/>
    <s v="NAKHEEL"/>
    <x v="3"/>
    <n v="82663"/>
    <n v="664"/>
  </r>
  <r>
    <s v="06/12/2023"/>
    <s v="D-39"/>
    <s v="GR14501"/>
    <s v="KHAJUR BOX 8"/>
    <s v="BASOOR=OMAN DRY DATES"/>
    <s v="GRADE 2"/>
    <n v="77517"/>
    <n v="1"/>
    <n v="7"/>
    <n v="7"/>
    <x v="3"/>
    <s v="Oman"/>
    <s v="Dry Dates"/>
    <x v="3"/>
    <x v="3"/>
    <x v="0"/>
    <x v="1"/>
    <s v="Rental"/>
    <s v="NAKHEEL"/>
    <x v="3"/>
    <n v="1687"/>
    <n v="664"/>
  </r>
  <r>
    <s v="06/12/2023"/>
    <s v="D-39"/>
    <s v="GR14501"/>
    <s v="KHAJUR BOX 8"/>
    <s v="BASOOR=OMAN DRY DATES"/>
    <s v="GRADE 2"/>
    <n v="77517"/>
    <n v="9"/>
    <n v="7"/>
    <n v="63"/>
    <x v="3"/>
    <s v="Oman"/>
    <s v="Dry Dates"/>
    <x v="3"/>
    <x v="3"/>
    <x v="0"/>
    <x v="1"/>
    <s v="Rental"/>
    <s v="NAKHEEL"/>
    <x v="3"/>
    <n v="15183"/>
    <n v="664"/>
  </r>
  <r>
    <s v="06/12/2023"/>
    <s v="D-39"/>
    <s v="GR14501"/>
    <s v="KHAJUR BOX 8"/>
    <s v="BASOOR=OMAN DRY DATES"/>
    <s v="GRADE 2"/>
    <n v="77517"/>
    <n v="5"/>
    <n v="7"/>
    <n v="35"/>
    <x v="3"/>
    <s v="Oman"/>
    <s v="Dry Dates"/>
    <x v="3"/>
    <x v="3"/>
    <x v="0"/>
    <x v="1"/>
    <s v="Rental"/>
    <s v="NAKHEEL"/>
    <x v="3"/>
    <n v="8435"/>
    <n v="664"/>
  </r>
  <r>
    <s v="09/12/2023"/>
    <s v="D-514"/>
    <s v="GR6307"/>
    <s v="KHAJUR BOX 5"/>
    <s v="ARSH RABIA REGULAR"/>
    <s v="-"/>
    <n v="65864"/>
    <n v="89"/>
    <n v="5"/>
    <n v="445"/>
    <x v="1"/>
    <s v="Rabia"/>
    <s v="Rabia"/>
    <x v="4"/>
    <x v="4"/>
    <x v="0"/>
    <x v="1"/>
    <s v="Rental"/>
    <s v="Local"/>
    <x v="4"/>
    <n v="83437.5"/>
    <n v="661"/>
  </r>
  <r>
    <s v="21/12/2023"/>
    <s v="D-39"/>
    <s v="GR15378"/>
    <s v="KHAJUR BOX 10"/>
    <s v="LALU RED SAAD"/>
    <s v="-"/>
    <n v="78896"/>
    <n v="221"/>
    <n v="10"/>
    <n v="2210"/>
    <x v="1"/>
    <s v="Lulu"/>
    <s v="Red"/>
    <x v="5"/>
    <x v="5"/>
    <x v="0"/>
    <x v="1"/>
    <s v="Rental"/>
    <s v="AL BARAKAH"/>
    <x v="5"/>
    <n v="346970"/>
    <n v="649"/>
  </r>
  <r>
    <s v="22/12/2023"/>
    <s v="D-39"/>
    <s v="GR15493"/>
    <s v="KHAJUR BOX 10"/>
    <s v="AZMAH DATES"/>
    <s v="500GM"/>
    <n v="79112"/>
    <n v="16"/>
    <n v="10"/>
    <n v="160"/>
    <x v="4"/>
    <s v="Safawi"/>
    <s v="Azmah 500gm"/>
    <x v="6"/>
    <x v="6"/>
    <x v="0"/>
    <x v="1"/>
    <s v="Fix (M2G) (+)"/>
    <s v="Local"/>
    <x v="6"/>
    <n v="88000"/>
    <n v="648"/>
  </r>
  <r>
    <s v="22/12/2023"/>
    <s v="D-39"/>
    <s v="GR15515"/>
    <s v="KHAJUR BOX 5"/>
    <s v="RABIA/RAWAT"/>
    <s v="-"/>
    <n v="79138"/>
    <n v="5"/>
    <n v="5"/>
    <n v="25"/>
    <x v="1"/>
    <s v="Rabia"/>
    <s v="Rabia"/>
    <x v="4"/>
    <x v="4"/>
    <x v="0"/>
    <x v="1"/>
    <s v="Rental"/>
    <s v="Local"/>
    <x v="4"/>
    <n v="4687.5"/>
    <n v="648"/>
  </r>
  <r>
    <s v="23/12/2023"/>
    <s v="D-39"/>
    <s v="GR15573"/>
    <s v="KHAJUR BOX 5"/>
    <s v="SAFAVI"/>
    <s v="-"/>
    <n v="79273"/>
    <n v="1"/>
    <n v="5"/>
    <n v="5"/>
    <x v="4"/>
    <s v="Safawi"/>
    <s v="Safawi"/>
    <x v="7"/>
    <x v="6"/>
    <x v="0"/>
    <x v="1"/>
    <s v="Fix (M2G) (+)"/>
    <s v="Local"/>
    <x v="6"/>
    <n v="2750"/>
    <n v="647"/>
  </r>
  <r>
    <s v="25/12/2023"/>
    <s v="D-39"/>
    <s v="GR15667"/>
    <s v="KHAREK BOX 15"/>
    <s v="-"/>
    <s v="CUTT"/>
    <n v="79450"/>
    <n v="6"/>
    <n v="15"/>
    <n v="90"/>
    <x v="3"/>
    <s v="KHAREK"/>
    <s v="RED KHAREK"/>
    <x v="8"/>
    <x v="7"/>
    <x v="0"/>
    <x v="1"/>
    <s v="Rental"/>
    <s v="Local"/>
    <x v="7"/>
    <n v="22500"/>
    <n v="645"/>
  </r>
  <r>
    <s v="27/03/2024"/>
    <s v="D-39"/>
    <s v="GR21140"/>
    <s v="KHAJUR BOX 5"/>
    <s v="KALMI DATES"/>
    <s v="SAFAVI"/>
    <n v="90088"/>
    <n v="2"/>
    <n v="5"/>
    <n v="10"/>
    <x v="4"/>
    <s v="Safawi"/>
    <s v="Safawi"/>
    <x v="7"/>
    <x v="6"/>
    <x v="0"/>
    <x v="1"/>
    <s v="Fix (M2G) (+)"/>
    <s v="Local"/>
    <x v="6"/>
    <n v="5500"/>
    <n v="552"/>
  </r>
  <r>
    <s v="27/03/2024"/>
    <s v="D-39"/>
    <s v="GR21140"/>
    <s v="KHAJUR BOX 5"/>
    <s v="SAFAVI DATES"/>
    <s v="WHITE"/>
    <n v="90090"/>
    <n v="2"/>
    <n v="5"/>
    <n v="10"/>
    <x v="4"/>
    <s v="Safawi"/>
    <s v="Safawi"/>
    <x v="7"/>
    <x v="6"/>
    <x v="0"/>
    <x v="1"/>
    <s v="Fix (M2G) (+)"/>
    <s v="Local"/>
    <x v="6"/>
    <n v="5500"/>
    <n v="552"/>
  </r>
  <r>
    <s v="27/03/2024"/>
    <s v="D-39"/>
    <s v="GR21140"/>
    <s v="KHAJUR BOX 10"/>
    <s v="BUMAN DATES"/>
    <s v="SAAD"/>
    <n v="90086"/>
    <n v="3"/>
    <n v="10"/>
    <n v="30"/>
    <x v="1"/>
    <s v="Buman"/>
    <s v="Buman"/>
    <x v="9"/>
    <x v="8"/>
    <x v="0"/>
    <x v="1"/>
    <s v="Fix (M2G) (+)"/>
    <s v="AL BARAKAH"/>
    <x v="8"/>
    <n v="2958"/>
    <n v="552"/>
  </r>
  <r>
    <s v="29/03/2024"/>
    <s v="D-39"/>
    <s v="GR21245"/>
    <s v="KHAJUR BOX 10"/>
    <s v="EZAD GREEN"/>
    <s v="FARD"/>
    <n v="90282"/>
    <n v="1089"/>
    <n v="10"/>
    <n v="10890"/>
    <x v="1"/>
    <s v="Fard-Ezad"/>
    <s v="Premium"/>
    <x v="10"/>
    <x v="9"/>
    <x v="0"/>
    <x v="1"/>
    <s v="Rental"/>
    <s v="AL BARAKAH"/>
    <x v="9"/>
    <n v="1966734"/>
    <n v="550"/>
  </r>
  <r>
    <s v="30/03/2024"/>
    <s v="D-39"/>
    <s v="GR21328"/>
    <s v="KHAJUR BOX 5"/>
    <s v="SAFAVI 5KG"/>
    <s v="ROYAL DELIGHT"/>
    <n v="90507"/>
    <n v="3"/>
    <n v="5"/>
    <n v="15"/>
    <x v="4"/>
    <s v="Safawi"/>
    <s v="Safawi"/>
    <x v="7"/>
    <x v="6"/>
    <x v="0"/>
    <x v="1"/>
    <s v="Rental"/>
    <s v="Local"/>
    <x v="6"/>
    <n v="8250"/>
    <n v="549"/>
  </r>
  <r>
    <s v="09/05/2024"/>
    <s v="D-39"/>
    <s v="GR1909"/>
    <s v="KHAJUR BOX 10"/>
    <s v="FARAD STANDRAD"/>
    <s v="-"/>
    <n v="94639"/>
    <n v="3"/>
    <n v="10"/>
    <n v="30"/>
    <x v="1"/>
    <s v="Fard-Std"/>
    <s v="Standard"/>
    <x v="11"/>
    <x v="10"/>
    <x v="0"/>
    <x v="1"/>
    <s v="Rental"/>
    <s v="AL BARAKAH"/>
    <x v="10"/>
    <n v="6240"/>
    <n v="509"/>
  </r>
  <r>
    <s v="09/05/2024"/>
    <s v="D-39"/>
    <s v="GR1909"/>
    <s v="KHAJUR BOX 10"/>
    <s v="FARAD STANDRAD"/>
    <s v="-"/>
    <n v="94639"/>
    <n v="6"/>
    <n v="10"/>
    <n v="60"/>
    <x v="1"/>
    <s v="Fard-Std"/>
    <s v="Standard"/>
    <x v="11"/>
    <x v="10"/>
    <x v="0"/>
    <x v="1"/>
    <s v="Rental"/>
    <s v="AL BARAKAH"/>
    <x v="10"/>
    <n v="12480"/>
    <n v="509"/>
  </r>
  <r>
    <s v="15/05/2024"/>
    <s v="D-514"/>
    <s v="GR1179"/>
    <s v="KHAJUR BOX (M) 5"/>
    <s v="DERI BULK"/>
    <s v="1750105035"/>
    <n v="70560"/>
    <n v="4"/>
    <n v="5"/>
    <n v="20"/>
    <x v="1"/>
    <s v="Deri"/>
    <s v="Deri"/>
    <x v="12"/>
    <x v="11"/>
    <x v="0"/>
    <x v="1"/>
    <s v="Rental"/>
    <s v="Hadiklaim"/>
    <x v="11"/>
    <n v="6060"/>
    <n v="503"/>
  </r>
  <r>
    <s v="28/05/2024"/>
    <s v="D-39"/>
    <s v="GR2954"/>
    <s v="KHAJUR BOX 10"/>
    <s v="500 GM KHALAS"/>
    <s v="CANDOR FOODS"/>
    <n v="96921"/>
    <n v="11"/>
    <n v="10"/>
    <n v="110"/>
    <x v="1"/>
    <s v="Khalas"/>
    <s v="Premium"/>
    <x v="13"/>
    <x v="12"/>
    <x v="0"/>
    <x v="1"/>
    <s v="Fix (M2G) (+)"/>
    <s v="AL BARAKAH"/>
    <x v="12"/>
    <n v="12760"/>
    <n v="490"/>
  </r>
  <r>
    <s v="30/05/2024"/>
    <s v="D-514"/>
    <s v="GR1590"/>
    <s v="KHAJUR BOX 10"/>
    <s v="SAFAWI DATES BROWN BOX"/>
    <s v="-"/>
    <n v="71103"/>
    <n v="1"/>
    <n v="10"/>
    <n v="10"/>
    <x v="4"/>
    <s v="Safawi"/>
    <s v="Safawi"/>
    <x v="14"/>
    <x v="6"/>
    <x v="0"/>
    <x v="1"/>
    <s v="Rental"/>
    <s v="Local"/>
    <x v="6"/>
    <n v="5500"/>
    <n v="488"/>
  </r>
  <r>
    <s v="30/05/2024"/>
    <s v="D-514"/>
    <s v="GR1590"/>
    <s v="KHAJUR BOX 10"/>
    <s v="KHANAIZI AL BARKAH"/>
    <s v="PINK BOX"/>
    <n v="71105"/>
    <n v="1"/>
    <n v="10"/>
    <n v="10"/>
    <x v="1"/>
    <s v="Khanezi"/>
    <s v="Khanezi"/>
    <x v="15"/>
    <x v="13"/>
    <x v="0"/>
    <x v="1"/>
    <s v="Rental"/>
    <s v="AL BARAKAH"/>
    <x v="13"/>
    <n v="2050"/>
    <n v="488"/>
  </r>
  <r>
    <s v="30/05/2024"/>
    <s v="D-514"/>
    <s v="GR1590"/>
    <s v="KHAJUR BOX 20"/>
    <s v="SAFAWI DATES"/>
    <s v="BROWN &amp; WHITE"/>
    <n v="71102"/>
    <n v="1"/>
    <n v="20"/>
    <n v="20"/>
    <x v="4"/>
    <s v="Safawi"/>
    <s v="Safawi"/>
    <x v="16"/>
    <x v="6"/>
    <x v="0"/>
    <x v="1"/>
    <s v="Rental"/>
    <s v="Local"/>
    <x v="6"/>
    <n v="11000"/>
    <n v="488"/>
  </r>
  <r>
    <s v="30/05/2024"/>
    <s v="D-514"/>
    <s v="GR1590"/>
    <s v="KHAJUR BOX 10"/>
    <s v="FARAD  WHITE BOX"/>
    <s v="-"/>
    <n v="71104"/>
    <n v="5"/>
    <n v="10"/>
    <n v="50"/>
    <x v="1"/>
    <s v="Fard-Std"/>
    <s v="Standard"/>
    <x v="11"/>
    <x v="10"/>
    <x v="0"/>
    <x v="1"/>
    <s v="Rental"/>
    <s v="AL BARAKAH"/>
    <x v="10"/>
    <n v="10400"/>
    <n v="488"/>
  </r>
  <r>
    <s v="30/05/2024"/>
    <s v="D-39"/>
    <s v="GR3119"/>
    <s v="KHAJUR BOX 10"/>
    <s v="AL BARAKH"/>
    <s v="-"/>
    <n v="97177"/>
    <n v="1"/>
    <n v="10"/>
    <n v="10"/>
    <x v="1"/>
    <s v="Fard-Prem"/>
    <s v="Premium"/>
    <x v="17"/>
    <x v="14"/>
    <x v="0"/>
    <x v="1"/>
    <s v="Fix (M2G) (+)"/>
    <s v="AL BARAKAH"/>
    <x v="14"/>
    <n v="2330"/>
    <n v="488"/>
  </r>
  <r>
    <s v="30/05/2024"/>
    <s v="D-39"/>
    <s v="GR3119"/>
    <s v="KHAJUR BOX 10"/>
    <s v=".WHITE"/>
    <s v="-"/>
    <n v="97178"/>
    <n v="1"/>
    <n v="10"/>
    <n v="10"/>
    <x v="1"/>
    <s v="Fard-Std"/>
    <s v="Standard"/>
    <x v="11"/>
    <x v="10"/>
    <x v="0"/>
    <x v="1"/>
    <s v="Fix (M2G) (+)"/>
    <s v="AL BARAKAH"/>
    <x v="10"/>
    <n v="2080"/>
    <n v="488"/>
  </r>
  <r>
    <s v="06/06/2024"/>
    <s v="D-39"/>
    <s v="GR3498"/>
    <s v="KHAJUR BOX 12"/>
    <s v="BROWN"/>
    <s v="-"/>
    <n v="97941"/>
    <n v="1"/>
    <n v="10.896000000000001"/>
    <n v="10.896000000000001"/>
    <x v="4"/>
    <s v="DEGLET NOUR"/>
    <s v="DEGLET NOUR"/>
    <x v="18"/>
    <x v="15"/>
    <x v="0"/>
    <x v="1"/>
    <s v="Rental"/>
    <s v="Hadiklaim"/>
    <x v="15"/>
    <n v="5687.7120000000004"/>
    <n v="481"/>
  </r>
  <r>
    <s v="12/06/2024"/>
    <s v="D-514"/>
    <s v="GR1968"/>
    <s v="KHAJUR BOX 10"/>
    <s v="SAFAWI WHITE BOX"/>
    <s v="-"/>
    <n v="71480"/>
    <n v="1"/>
    <n v="10"/>
    <n v="10"/>
    <x v="4"/>
    <s v="Safawi"/>
    <s v="Safawi"/>
    <x v="14"/>
    <x v="6"/>
    <x v="0"/>
    <x v="1"/>
    <s v="Rental"/>
    <s v="Local"/>
    <x v="6"/>
    <n v="5500"/>
    <n v="475"/>
  </r>
  <r>
    <s v="12/06/2024"/>
    <s v="D-514"/>
    <s v="GR1968"/>
    <s v="KHAJUR BOX 20"/>
    <s v="SAFAWI WHITE"/>
    <s v="-"/>
    <n v="71478"/>
    <n v="1"/>
    <n v="20"/>
    <n v="20"/>
    <x v="4"/>
    <s v="Safawi"/>
    <s v="Safawi"/>
    <x v="16"/>
    <x v="6"/>
    <x v="0"/>
    <x v="1"/>
    <s v="Rental"/>
    <s v="Local"/>
    <x v="6"/>
    <n v="11000"/>
    <n v="475"/>
  </r>
  <r>
    <s v="03/07/2024"/>
    <s v="D-514"/>
    <s v="GR2527"/>
    <s v="KHAJUR BOX 5"/>
    <s v="FARAD DATES"/>
    <s v="ROYAL DELIGHT"/>
    <n v="72094"/>
    <n v="23"/>
    <n v="5"/>
    <n v="115"/>
    <x v="1"/>
    <s v="Fard-Prem"/>
    <s v="Premium"/>
    <x v="19"/>
    <x v="16"/>
    <x v="0"/>
    <x v="1"/>
    <s v="Rental"/>
    <s v="AL BARAKAH"/>
    <x v="14"/>
    <n v="26795"/>
    <n v="454"/>
  </r>
  <r>
    <s v="06/07/2024"/>
    <s v="D-514"/>
    <s v="GR2603"/>
    <s v="KHAJUR BOX (M) 5"/>
    <s v="DERI BULK"/>
    <s v="1750105035"/>
    <n v="72166"/>
    <n v="5"/>
    <n v="5"/>
    <n v="25"/>
    <x v="1"/>
    <s v="Deri"/>
    <s v="Deri"/>
    <x v="12"/>
    <x v="11"/>
    <x v="0"/>
    <x v="1"/>
    <s v="Fix (202 F1) (-)"/>
    <s v="Hadiklaim"/>
    <x v="11"/>
    <n v="7575"/>
    <n v="451"/>
  </r>
  <r>
    <s v="27/07/2024"/>
    <s v="D-39"/>
    <s v="GR6534"/>
    <s v="KHAJUR POWDER BOX 10"/>
    <s v="WHITE"/>
    <s v="V-2"/>
    <n v="93289"/>
    <n v="6"/>
    <n v="10"/>
    <n v="60"/>
    <x v="2"/>
    <s v="V2"/>
    <s v="AL BARAKAH"/>
    <x v="2"/>
    <x v="2"/>
    <x v="0"/>
    <x v="1"/>
    <s v="Rental"/>
    <s v="AL BARAKAH"/>
    <x v="2"/>
    <n v="12900"/>
    <n v="430"/>
  </r>
  <r>
    <s v="27/07/2024"/>
    <s v="D-39"/>
    <s v="GR6534"/>
    <s v="KHAJUR POWDER BOX 10"/>
    <s v="WHITE"/>
    <s v="V-2"/>
    <n v="93289"/>
    <n v="114"/>
    <n v="10"/>
    <n v="1140"/>
    <x v="2"/>
    <s v="V2"/>
    <s v="AL BARAKAH"/>
    <x v="2"/>
    <x v="2"/>
    <x v="0"/>
    <x v="1"/>
    <s v="Rental"/>
    <s v="AL BARAKAH"/>
    <x v="2"/>
    <n v="245100"/>
    <n v="430"/>
  </r>
  <r>
    <s v="27/07/2024"/>
    <s v="D-39"/>
    <s v="GR6534"/>
    <s v="KHAJUR POWDER BOX 10"/>
    <s v="WHITE"/>
    <s v="V-2"/>
    <n v="93289"/>
    <n v="78"/>
    <n v="10"/>
    <n v="780"/>
    <x v="2"/>
    <s v="V2"/>
    <s v="AL BARAKAH"/>
    <x v="2"/>
    <x v="2"/>
    <x v="0"/>
    <x v="1"/>
    <s v="Rental"/>
    <s v="AL BARAKAH"/>
    <x v="2"/>
    <n v="167700"/>
    <n v="430"/>
  </r>
  <r>
    <s v="30/07/2024"/>
    <s v="D-514"/>
    <s v="GR3264"/>
    <s v="KHAJUR BOX (M) 5"/>
    <s v="MEDJOUL SUPER JUMBO"/>
    <s v="AJFAN RTV SP"/>
    <n v="72937"/>
    <n v="27"/>
    <n v="5"/>
    <n v="135"/>
    <x v="4"/>
    <s v="Medjoul-Sup.Jumbo"/>
    <s v="S.JUMBO"/>
    <x v="20"/>
    <x v="17"/>
    <x v="0"/>
    <x v="1"/>
    <s v="Fix (202 F1) (-)"/>
    <s v="Hadiklaim"/>
    <x v="16"/>
    <n v="153765"/>
    <n v="427"/>
  </r>
  <r>
    <s v="23/08/2024"/>
    <s v="D-39"/>
    <s v="GR8325"/>
    <s v="KHAJUR BOX 10"/>
    <s v="CANDOR FOODS"/>
    <s v="SAFAVI 500GM"/>
    <n v="106622"/>
    <n v="34"/>
    <n v="10"/>
    <n v="340"/>
    <x v="4"/>
    <s v="Safawi"/>
    <s v="Safawi 500gm X 20"/>
    <x v="21"/>
    <x v="6"/>
    <x v="0"/>
    <x v="1"/>
    <s v="Rental"/>
    <s v="Local"/>
    <x v="6"/>
    <n v="187000"/>
    <n v="403"/>
  </r>
  <r>
    <s v="27/09/2024"/>
    <s v="D-39"/>
    <s v="GR10651"/>
    <s v="KHAJUR BOX 10"/>
    <s v="WHITE"/>
    <s v="-"/>
    <n v="110715"/>
    <n v="98"/>
    <n v="10"/>
    <n v="980"/>
    <x v="3"/>
    <s v="Chopped Date"/>
    <s v="AL BARAKAH"/>
    <x v="22"/>
    <x v="18"/>
    <x v="0"/>
    <x v="1"/>
    <s v="Fix (M2G) (+)"/>
    <s v="AL BARAKAH"/>
    <x v="17"/>
    <n v="107800"/>
    <n v="368"/>
  </r>
  <r>
    <s v="30/09/2024"/>
    <s v="D-39"/>
    <s v="GR10973"/>
    <s v="KHAJUR BOX 10"/>
    <s v="SAAD REAM"/>
    <s v="-"/>
    <n v="111437"/>
    <n v="20"/>
    <n v="10"/>
    <n v="200"/>
    <x v="1"/>
    <s v="Lulu"/>
    <s v="Red"/>
    <x v="5"/>
    <x v="5"/>
    <x v="0"/>
    <x v="1"/>
    <s v="Rental"/>
    <s v="AL BARAKAH"/>
    <x v="5"/>
    <n v="31400"/>
    <n v="365"/>
  </r>
  <r>
    <s v="02/10/2024"/>
    <s v="D-514"/>
    <s v="GR4752"/>
    <s v="KHAJUR BOX 12"/>
    <s v="ARSH SUKKARY PREMIUM"/>
    <s v="4.3 KG"/>
    <n v="75214"/>
    <n v="116"/>
    <n v="12"/>
    <n v="1392"/>
    <x v="1"/>
    <s v="Sukkary"/>
    <s v="Standard"/>
    <x v="23"/>
    <x v="19"/>
    <x v="0"/>
    <x v="1"/>
    <s v="Rental"/>
    <s v="Local"/>
    <x v="18"/>
    <n v="487200"/>
    <n v="363"/>
  </r>
  <r>
    <s v="02/10/2024"/>
    <s v="D-514"/>
    <s v="GR4750"/>
    <s v="KHAJUR BOX (M) 5"/>
    <s v="DEGLET NOUR BRANCHES"/>
    <s v="1299205412"/>
    <n v="75207"/>
    <n v="13"/>
    <n v="5"/>
    <n v="65"/>
    <x v="4"/>
    <s v="DEGLET NOUR"/>
    <s v="DEGLET NOUR"/>
    <x v="24"/>
    <x v="15"/>
    <x v="0"/>
    <x v="1"/>
    <s v="Fix (202 F1) (-)"/>
    <s v="Hadiklaim"/>
    <x v="19"/>
    <n v="33150"/>
    <n v="363"/>
  </r>
  <r>
    <s v="30/10/2024"/>
    <s v="D-39"/>
    <s v="GR13179"/>
    <s v="KHAJUR BOX 10"/>
    <s v="AZMAH DATES"/>
    <s v="500 GM"/>
    <n v="79112"/>
    <n v="3"/>
    <n v="10"/>
    <n v="30"/>
    <x v="4"/>
    <s v="Safawi"/>
    <s v="Azmah 500gm"/>
    <x v="6"/>
    <x v="6"/>
    <x v="0"/>
    <x v="1"/>
    <s v="Fix (M2G) (+)"/>
    <s v="Local"/>
    <x v="6"/>
    <n v="16500"/>
    <n v="335"/>
  </r>
  <r>
    <s v="25/11/2024"/>
    <s v="D-39"/>
    <s v="GR14538"/>
    <s v="KHAJUR BOX 10"/>
    <s v="SAAD/ BROWN"/>
    <s v="BLACK"/>
    <n v="121319"/>
    <n v="17"/>
    <n v="10"/>
    <n v="170"/>
    <x v="1"/>
    <s v="Lulu"/>
    <s v="Black"/>
    <x v="25"/>
    <x v="20"/>
    <x v="0"/>
    <x v="1"/>
    <s v="Rental"/>
    <s v="AL BARAKAH"/>
    <x v="20"/>
    <n v="30940"/>
    <n v="309"/>
  </r>
  <r>
    <s v="01/12/2024"/>
    <s v="D-39"/>
    <s v="GR14927"/>
    <s v="KHAJUR BOX 20"/>
    <s v="SAFAVI DATES"/>
    <s v="-"/>
    <n v="122342"/>
    <n v="3"/>
    <n v="20"/>
    <n v="60"/>
    <x v="4"/>
    <s v="Safawi"/>
    <s v="Safawi"/>
    <x v="16"/>
    <x v="6"/>
    <x v="0"/>
    <x v="1"/>
    <s v="Rental"/>
    <s v="Local"/>
    <x v="6"/>
    <n v="33000"/>
    <n v="303"/>
  </r>
  <r>
    <s v="10/12/2024"/>
    <s v="D-39"/>
    <s v="GR15535"/>
    <s v="KHAJUR BOX 10"/>
    <s v="DATE POWDER V2"/>
    <s v="WHITE"/>
    <n v="123525"/>
    <n v="924"/>
    <n v="10"/>
    <n v="9240"/>
    <x v="2"/>
    <s v="V2"/>
    <s v="AL BARAKAH"/>
    <x v="2"/>
    <x v="2"/>
    <x v="0"/>
    <x v="1"/>
    <s v="Rental"/>
    <s v="AL BARAKAH"/>
    <x v="2"/>
    <n v="1986600"/>
    <n v="294"/>
  </r>
  <r>
    <s v="10/12/2024"/>
    <s v="D-39"/>
    <s v="GR15535"/>
    <s v="KHAJUR BOX 10"/>
    <s v="DATE CRUSHED"/>
    <s v="WHITE"/>
    <n v="123526"/>
    <n v="60"/>
    <n v="10"/>
    <n v="600"/>
    <x v="3"/>
    <s v="Crushed Date"/>
    <s v="AL BARAKAH"/>
    <x v="26"/>
    <x v="21"/>
    <x v="0"/>
    <x v="1"/>
    <s v="Rental"/>
    <s v="AL BARAKAH"/>
    <x v="21"/>
    <n v="69960"/>
    <n v="294"/>
  </r>
  <r>
    <s v="26/12/2024"/>
    <s v="D-514"/>
    <s v="GR6596"/>
    <s v="KHAJUR BOX (M) 8"/>
    <s v="MEDJOUL AL BARAKHA"/>
    <s v="500 GM"/>
    <n v="78202"/>
    <n v="4"/>
    <n v="8"/>
    <n v="32"/>
    <x v="4"/>
    <s v="Medjoul-Medium"/>
    <s v="Medium"/>
    <x v="27"/>
    <x v="22"/>
    <x v="0"/>
    <x v="1"/>
    <s v="Fix (202 F1) (-)"/>
    <s v="AL BARAKAH"/>
    <x v="22"/>
    <n v="12832"/>
    <n v="278"/>
  </r>
  <r>
    <s v="08/01/2025"/>
    <s v="D-39"/>
    <s v="GR17533"/>
    <s v="KHAJUR POWDER BOX 10"/>
    <s v="-"/>
    <s v="-"/>
    <n v="127487"/>
    <n v="1621"/>
    <n v="10"/>
    <n v="16210"/>
    <x v="2"/>
    <s v="V1"/>
    <s v="AL BARAKAH"/>
    <x v="28"/>
    <x v="23"/>
    <x v="0"/>
    <x v="1"/>
    <s v="Rental"/>
    <s v="AL BARAKAH"/>
    <x v="23"/>
    <n v="4376700"/>
    <n v="265"/>
  </r>
  <r>
    <s v="15/01/2025"/>
    <s v="D-514"/>
    <s v="GR7072"/>
    <s v="KHAJUR BOX 5"/>
    <s v="ARSH SAFAWI REGULAR"/>
    <s v="77152"/>
    <n v="78996"/>
    <n v="144"/>
    <n v="5"/>
    <n v="720"/>
    <x v="4"/>
    <s v="Safawi"/>
    <s v="Standard"/>
    <x v="7"/>
    <x v="6"/>
    <x v="0"/>
    <x v="1"/>
    <s v="Rental"/>
    <s v="Local"/>
    <x v="6"/>
    <n v="396000"/>
    <n v="258"/>
  </r>
  <r>
    <s v="15/01/2025"/>
    <s v="D-514"/>
    <s v="GR7072"/>
    <s v="KHAJUR BOX 5"/>
    <s v="SIAFA  AJWA G"/>
    <s v="74228"/>
    <n v="78999"/>
    <n v="67"/>
    <n v="5"/>
    <n v="335"/>
    <x v="4"/>
    <s v="Ajwa"/>
    <s v="Premium"/>
    <x v="29"/>
    <x v="24"/>
    <x v="0"/>
    <x v="1"/>
    <s v="Rental"/>
    <s v="Local"/>
    <x v="24"/>
    <n v="328300"/>
    <n v="258"/>
  </r>
  <r>
    <s v="15/01/2025"/>
    <s v="D-514"/>
    <s v="GR7072"/>
    <s v="KHAJUR BOX 5"/>
    <s v="SIFA  AJWA S"/>
    <s v="74229"/>
    <n v="79000"/>
    <n v="64"/>
    <n v="5"/>
    <n v="320"/>
    <x v="4"/>
    <s v="Ajwa"/>
    <s v="Premium"/>
    <x v="29"/>
    <x v="24"/>
    <x v="0"/>
    <x v="1"/>
    <s v="Rental"/>
    <s v="Local"/>
    <x v="24"/>
    <n v="313600"/>
    <n v="258"/>
  </r>
  <r>
    <s v="15/01/2025"/>
    <s v="D-514"/>
    <s v="GR7072"/>
    <s v="KHAJUR BOX 5"/>
    <s v="ARSH MABROOM REGULAR"/>
    <s v="77150"/>
    <n v="78998"/>
    <n v="59"/>
    <n v="5"/>
    <n v="295"/>
    <x v="4"/>
    <s v="Mabroom"/>
    <s v="Premium"/>
    <x v="30"/>
    <x v="25"/>
    <x v="0"/>
    <x v="1"/>
    <s v="Rental"/>
    <s v="Local"/>
    <x v="25"/>
    <n v="295000"/>
    <n v="258"/>
  </r>
  <r>
    <s v="24/01/2025"/>
    <s v="D-39"/>
    <s v="GR18618"/>
    <s v="KHAJUR POWDER BOX 10"/>
    <s v="AL BARAKAH DATES"/>
    <s v="DATES POWDER"/>
    <n v="129815"/>
    <n v="2350"/>
    <n v="10"/>
    <n v="23500"/>
    <x v="2"/>
    <s v="V1"/>
    <s v="AL BARAKAH"/>
    <x v="28"/>
    <x v="23"/>
    <x v="0"/>
    <x v="1"/>
    <s v="Rental"/>
    <s v="AL BARAKAH"/>
    <x v="23"/>
    <n v="6345000"/>
    <n v="249"/>
  </r>
  <r>
    <s v="27/01/2025"/>
    <s v="D-39"/>
    <s v="GR18793"/>
    <s v="KHAJUR BOX 5"/>
    <s v="SAFAVI NATINAOL"/>
    <s v="-"/>
    <n v="130208"/>
    <n v="177"/>
    <n v="5"/>
    <n v="885"/>
    <x v="4"/>
    <s v="Safawi"/>
    <s v="Premium"/>
    <x v="31"/>
    <x v="6"/>
    <x v="0"/>
    <x v="1"/>
    <s v="Fix (M2G) (+)"/>
    <s v="Local"/>
    <x v="6"/>
    <n v="486750"/>
    <n v="246"/>
  </r>
  <r>
    <s v="30/01/2025"/>
    <s v="D-514"/>
    <s v="GR7423"/>
    <s v="KHAJUR BOX 5"/>
    <s v="ARSH SAFAWI REGULAR 73729"/>
    <s v="-"/>
    <n v="79553"/>
    <n v="27"/>
    <n v="5"/>
    <n v="135"/>
    <x v="4"/>
    <s v="Safawi"/>
    <s v="Premium"/>
    <x v="32"/>
    <x v="6"/>
    <x v="0"/>
    <x v="1"/>
    <s v="Rental"/>
    <s v="Local"/>
    <x v="6"/>
    <n v="74250"/>
    <n v="243"/>
  </r>
  <r>
    <s v="07/02/2025"/>
    <s v="D-514"/>
    <s v="GR7620"/>
    <s v="KHAJUR BOX (M) 5"/>
    <s v="MEDJOUL JUNIOR PREMIUM"/>
    <s v="502468386"/>
    <n v="79730"/>
    <n v="106"/>
    <n v="5"/>
    <n v="530"/>
    <x v="4"/>
    <s v="Medjoul-Junior"/>
    <s v="Junior"/>
    <x v="33"/>
    <x v="26"/>
    <x v="0"/>
    <x v="1"/>
    <s v="Rental"/>
    <s v="Hadiklaim"/>
    <x v="26"/>
    <n v="324890"/>
    <n v="235"/>
  </r>
  <r>
    <s v="07/02/2025"/>
    <s v="D-514"/>
    <s v="GR7620"/>
    <s v="KHAJUR BOX (M) 5"/>
    <s v="MEDJOUL MEDIUM PREMIUM"/>
    <s v="602410204"/>
    <n v="79729"/>
    <n v="86"/>
    <n v="5"/>
    <n v="430"/>
    <x v="4"/>
    <s v="Medjoul-Medium"/>
    <s v="Medium"/>
    <x v="34"/>
    <x v="27"/>
    <x v="0"/>
    <x v="1"/>
    <s v="Rental"/>
    <s v="Hadiklaim"/>
    <x v="27"/>
    <n v="306160"/>
    <n v="235"/>
  </r>
  <r>
    <s v="10/02/2025"/>
    <s v="D-514"/>
    <s v="GR7683"/>
    <s v="KHAJUR BOX (M) 8"/>
    <s v="DATE MEDJOUL KING SOLOMON"/>
    <s v="1 KG"/>
    <n v="79911"/>
    <n v="7"/>
    <n v="8"/>
    <n v="56"/>
    <x v="4"/>
    <s v="Medjoul-Jumbo"/>
    <s v="JUMBO"/>
    <x v="35"/>
    <x v="28"/>
    <x v="0"/>
    <x v="1"/>
    <s v="Rental"/>
    <s v="Hadiklaim"/>
    <x v="28"/>
    <n v="58520"/>
    <n v="232"/>
  </r>
  <r>
    <s v="10/02/2025"/>
    <s v="D-514"/>
    <s v="GR7683"/>
    <s v="KHAJUR BOX (M) 8"/>
    <s v="DATE MEDJOUL KING SOLOMON"/>
    <s v="500 GM"/>
    <n v="79910"/>
    <n v="59"/>
    <n v="8"/>
    <n v="472"/>
    <x v="4"/>
    <s v="Medjoul-Large"/>
    <s v="Large"/>
    <x v="36"/>
    <x v="29"/>
    <x v="0"/>
    <x v="1"/>
    <s v="Rental"/>
    <s v="Hadiklaim"/>
    <x v="29"/>
    <n v="385624"/>
    <n v="232"/>
  </r>
  <r>
    <s v="10/02/2025"/>
    <s v="D-514"/>
    <s v="GR7683"/>
    <s v="KHAJUR BOX 15"/>
    <s v="DATES WET MEDJOUL BABY"/>
    <s v="5KGX3"/>
    <n v="79912"/>
    <n v="9"/>
    <n v="15"/>
    <n v="135"/>
    <x v="4"/>
    <s v="Medjoul-Mini"/>
    <s v="Mini"/>
    <x v="37"/>
    <x v="30"/>
    <x v="0"/>
    <x v="1"/>
    <s v="Rental"/>
    <s v="Hadiklaim"/>
    <x v="30"/>
    <n v="64395"/>
    <n v="232"/>
  </r>
  <r>
    <s v="11/02/2025"/>
    <s v="D-514"/>
    <s v="GR7699"/>
    <s v="KHAJUR BOX (M) 5"/>
    <s v="MEDJOUL SUPER JUMBO"/>
    <s v="NO.2"/>
    <n v="79952"/>
    <n v="9"/>
    <n v="5"/>
    <n v="45"/>
    <x v="4"/>
    <s v="Medjoul-Sup.Jumbo"/>
    <s v="S.JUMBO"/>
    <x v="20"/>
    <x v="17"/>
    <x v="0"/>
    <x v="1"/>
    <s v="Rental"/>
    <s v="Hadiklaim"/>
    <x v="16"/>
    <n v="51255"/>
    <n v="231"/>
  </r>
  <r>
    <s v="12/02/2025"/>
    <s v="D-39"/>
    <s v="GR19772"/>
    <s v="KHAJUR BOX (M) 5"/>
    <s v="AL BARAKAH"/>
    <s v="B"/>
    <n v="132153"/>
    <n v="1487"/>
    <n v="5"/>
    <n v="7435"/>
    <x v="4"/>
    <s v="Medjoul-ABD-B"/>
    <s v="AL BARAKAH"/>
    <x v="38"/>
    <x v="31"/>
    <x v="0"/>
    <x v="1"/>
    <s v="Rental"/>
    <s v="AL BARAKAH"/>
    <x v="22"/>
    <n v="2981435"/>
    <n v="230"/>
  </r>
  <r>
    <s v="26/02/2025"/>
    <s v="D-39"/>
    <s v="GR20724"/>
    <s v="KHAJUR BOX 10"/>
    <s v="-"/>
    <s v="KING SOLOMON"/>
    <n v="133830"/>
    <n v="119"/>
    <n v="5"/>
    <n v="595"/>
    <x v="4"/>
    <s v="Medjoul-Large"/>
    <s v="Large"/>
    <x v="39"/>
    <x v="32"/>
    <x v="0"/>
    <x v="1"/>
    <s v="Rental"/>
    <s v="Hadiklaim"/>
    <x v="29"/>
    <n v="486115"/>
    <n v="216"/>
  </r>
  <r>
    <s v="28/02/2025"/>
    <s v="D-39"/>
    <s v="GR20841"/>
    <s v="KHAJUR BOX (M) 5"/>
    <s v="DEGLET NOUR BRANCHES"/>
    <s v="1299205412"/>
    <n v="133992"/>
    <n v="2"/>
    <n v="5"/>
    <n v="10"/>
    <x v="4"/>
    <s v="DEGLET NOUR"/>
    <s v="DEGLET NOUR"/>
    <x v="24"/>
    <x v="15"/>
    <x v="0"/>
    <x v="1"/>
    <s v="Rental"/>
    <s v="Hadiklaim"/>
    <x v="19"/>
    <n v="5100"/>
    <n v="214"/>
  </r>
  <r>
    <s v="05/03/2025"/>
    <s v="D-39"/>
    <s v="GR21205"/>
    <s v="KHAJUR POWDER BOX 10"/>
    <s v="AL-BARKAH DATE"/>
    <s v="-"/>
    <n v="134588"/>
    <n v="120"/>
    <n v="10"/>
    <n v="1200"/>
    <x v="2"/>
    <s v="V1"/>
    <s v="AL BARAKAH"/>
    <x v="40"/>
    <x v="23"/>
    <x v="0"/>
    <x v="1"/>
    <s v="Rental"/>
    <s v="AL BARAKAH"/>
    <x v="23"/>
    <n v="324000"/>
    <n v="209"/>
  </r>
  <r>
    <s v="05/03/2025"/>
    <s v="D-39"/>
    <s v="GR21205"/>
    <s v="KHAJUR POWDER BOX 10"/>
    <s v="AL-BARKAH DATE"/>
    <s v="-"/>
    <n v="134588"/>
    <n v="518"/>
    <n v="10"/>
    <n v="5180"/>
    <x v="2"/>
    <s v="V1"/>
    <s v="AL BARAKAH"/>
    <x v="40"/>
    <x v="23"/>
    <x v="0"/>
    <x v="1"/>
    <s v="Rental"/>
    <s v="AL BARAKAH"/>
    <x v="23"/>
    <n v="1398600"/>
    <n v="209"/>
  </r>
  <r>
    <s v="05/03/2025"/>
    <s v="D-39"/>
    <s v="GR21205"/>
    <s v="KHAJUR POWDER BOX 10"/>
    <s v="AL-BARKAH DATE"/>
    <s v="-"/>
    <n v="134588"/>
    <n v="1762"/>
    <n v="10"/>
    <n v="17620"/>
    <x v="2"/>
    <s v="V1"/>
    <s v="AL BARAKAH"/>
    <x v="40"/>
    <x v="23"/>
    <x v="0"/>
    <x v="1"/>
    <s v="Rental"/>
    <s v="AL BARAKAH"/>
    <x v="23"/>
    <n v="4757400"/>
    <n v="209"/>
  </r>
  <r>
    <s v="07/03/2025"/>
    <s v="D-39"/>
    <s v="GR21347"/>
    <s v="KHAJUR POWDER BOX 10"/>
    <s v="AL BARAKAH"/>
    <s v="DATE POWDER"/>
    <n v="134869"/>
    <n v="370"/>
    <n v="10"/>
    <n v="3700"/>
    <x v="2"/>
    <s v="V1"/>
    <s v="AL BARAKAH"/>
    <x v="40"/>
    <x v="23"/>
    <x v="0"/>
    <x v="1"/>
    <s v="Fix (M2G) (+)"/>
    <s v="AL BARAKAH"/>
    <x v="23"/>
    <n v="999000"/>
    <n v="207"/>
  </r>
  <r>
    <s v="19/03/2025"/>
    <s v="D-514"/>
    <s v="GR8554"/>
    <s v="KHAJUR BOX (M) 5"/>
    <s v="MDJL LARGE"/>
    <s v="NO-2"/>
    <n v="81382"/>
    <n v="4"/>
    <n v="5"/>
    <n v="20"/>
    <x v="4"/>
    <s v="Medjoul-Rej"/>
    <s v="Large"/>
    <x v="41"/>
    <x v="29"/>
    <x v="0"/>
    <x v="1"/>
    <s v="Fix (202 F1) (-)"/>
    <s v="Hadiklaim"/>
    <x v="29"/>
    <n v="16340"/>
    <n v="195"/>
  </r>
  <r>
    <s v="21/03/2025"/>
    <s v="D-514"/>
    <s v="GR8597"/>
    <s v="KHAJUR BOX 5"/>
    <s v="ROYAL DELIGHT"/>
    <s v="AJWA"/>
    <n v="81466"/>
    <n v="73"/>
    <n v="5"/>
    <n v="365"/>
    <x v="4"/>
    <s v="Ajwa"/>
    <s v="RTV"/>
    <x v="42"/>
    <x v="33"/>
    <x v="0"/>
    <x v="1"/>
    <s v="Rental"/>
    <s v="Local"/>
    <x v="24"/>
    <n v="357700"/>
    <n v="193"/>
  </r>
  <r>
    <s v="21/03/2025"/>
    <s v="D-514"/>
    <s v="GR8597"/>
    <s v="KHAJUR BOX 5"/>
    <s v="ROYAL DELIGHT"/>
    <s v="MABROOM"/>
    <n v="81468"/>
    <n v="70"/>
    <n v="5"/>
    <n v="350"/>
    <x v="4"/>
    <s v="Mabroom"/>
    <s v="5kg"/>
    <x v="43"/>
    <x v="34"/>
    <x v="0"/>
    <x v="1"/>
    <s v="Rental"/>
    <s v="Local"/>
    <x v="25"/>
    <n v="350000"/>
    <n v="193"/>
  </r>
  <r>
    <s v="24/03/2025"/>
    <s v="D-39"/>
    <s v="GR22314"/>
    <s v="KHAJUR BOX 10"/>
    <s v="AL BARAKAH"/>
    <s v="SAFAVI 500G"/>
    <n v="132065"/>
    <n v="3"/>
    <n v="10"/>
    <n v="30"/>
    <x v="4"/>
    <s v="Safawi"/>
    <s v="RTV"/>
    <x v="44"/>
    <x v="35"/>
    <x v="0"/>
    <x v="1"/>
    <s v="Rental"/>
    <s v="AL BARAKAH"/>
    <x v="31"/>
    <n v="21000"/>
    <n v="190"/>
  </r>
  <r>
    <s v="24/03/2025"/>
    <s v="D-39"/>
    <s v="GR22314"/>
    <s v="KHAJUR BOX 8"/>
    <s v="ROYAL DELIGHT"/>
    <s v="ARABIAN 250G"/>
    <n v="132066"/>
    <n v="10"/>
    <n v="8"/>
    <n v="80"/>
    <x v="1"/>
    <s v="Khalas"/>
    <s v="RTV"/>
    <x v="45"/>
    <x v="36"/>
    <x v="0"/>
    <x v="1"/>
    <s v="Rental"/>
    <s v="AL BARAKAH"/>
    <x v="12"/>
    <n v="9280"/>
    <n v="190"/>
  </r>
  <r>
    <s v="24/03/2025"/>
    <s v="D-39"/>
    <s v="GR22314"/>
    <s v="KHAJUR BOX 5"/>
    <s v="RD SAFAVI"/>
    <s v="250GM"/>
    <n v="132067"/>
    <n v="17"/>
    <n v="5"/>
    <n v="85"/>
    <x v="4"/>
    <s v="Safawi"/>
    <s v="RTV"/>
    <x v="46"/>
    <x v="37"/>
    <x v="0"/>
    <x v="1"/>
    <s v="Rental"/>
    <s v="Local"/>
    <x v="6"/>
    <n v="46750"/>
    <n v="190"/>
  </r>
  <r>
    <s v="31/03/2025"/>
    <s v="D-514"/>
    <s v="GR8855"/>
    <s v="KHAJUR BOX (M) 5"/>
    <s v="DEGLET BROWN BOX"/>
    <s v="500 GM"/>
    <n v="81937"/>
    <n v="10"/>
    <n v="5"/>
    <n v="50"/>
    <x v="4"/>
    <s v="DEGLET NOUR"/>
    <s v="DEGLET NOUR"/>
    <x v="18"/>
    <x v="15"/>
    <x v="0"/>
    <x v="1"/>
    <s v="Rental"/>
    <s v="Hadiklaim"/>
    <x v="19"/>
    <n v="25500"/>
    <n v="183"/>
  </r>
  <r>
    <s v="31/03/2025"/>
    <s v="D-514"/>
    <s v="GR8855"/>
    <s v="KHAJUR BOX (M)12"/>
    <s v="KHIDRI"/>
    <s v="12.5 KG"/>
    <n v="81943"/>
    <n v="1"/>
    <n v="12.5"/>
    <n v="12.5"/>
    <x v="5"/>
    <s v="Org Khidri"/>
    <s v="Medium"/>
    <x v="47"/>
    <x v="38"/>
    <x v="0"/>
    <x v="1"/>
    <s v="Rental"/>
    <s v="NAKHEEL"/>
    <x v="32"/>
    <n v="5037.5"/>
    <n v="183"/>
  </r>
  <r>
    <s v="31/03/2025"/>
    <s v="D-514"/>
    <s v="GR8855"/>
    <s v="KHAJUR BOX (M)12"/>
    <s v="SEQEE DATES"/>
    <s v="12.5 KG"/>
    <n v="81942"/>
    <n v="3"/>
    <n v="12.5"/>
    <n v="37.5"/>
    <x v="5"/>
    <s v="Org Seqee"/>
    <s v="Large"/>
    <x v="48"/>
    <x v="39"/>
    <x v="0"/>
    <x v="1"/>
    <s v="Rental"/>
    <s v="NAKHEEL"/>
    <x v="33"/>
    <n v="24037.5"/>
    <n v="183"/>
  </r>
  <r>
    <s v="31/03/2025"/>
    <s v="D-514"/>
    <s v="GR8855"/>
    <s v="KHAJUR BOX 10"/>
    <s v="MEJOUL MEDIUM"/>
    <s v="1 KG"/>
    <n v="81946"/>
    <n v="6"/>
    <n v="10"/>
    <n v="60"/>
    <x v="4"/>
    <s v="Medjoul-Medium"/>
    <s v="Medium"/>
    <x v="49"/>
    <x v="27"/>
    <x v="0"/>
    <x v="1"/>
    <s v="Rental"/>
    <s v="Hadiklaim"/>
    <x v="27"/>
    <n v="42720"/>
    <n v="183"/>
  </r>
  <r>
    <s v="31/03/2025"/>
    <s v="D-514"/>
    <s v="GR8855"/>
    <s v="KHAJUR BOX 10"/>
    <s v="WANAN DATES"/>
    <s v="12.5 KG"/>
    <n v="81944"/>
    <n v="3"/>
    <n v="12.5"/>
    <n v="37.5"/>
    <x v="5"/>
    <s v="Org Wanan"/>
    <s v="Large"/>
    <x v="50"/>
    <x v="40"/>
    <x v="0"/>
    <x v="1"/>
    <s v="Rental"/>
    <s v="NAKHEEL"/>
    <x v="34"/>
    <n v="26812.5"/>
    <n v="183"/>
  </r>
  <r>
    <s v="31/03/2025"/>
    <s v="D-514"/>
    <s v="GR8855"/>
    <s v="KHAJUR BOX 10"/>
    <s v="EMRATES AL BARAKH"/>
    <s v="10KG"/>
    <n v="81941"/>
    <n v="2"/>
    <n v="10"/>
    <n v="20"/>
    <x v="1"/>
    <s v="Emirates"/>
    <s v="Black"/>
    <x v="51"/>
    <x v="41"/>
    <x v="0"/>
    <x v="1"/>
    <s v="Rental"/>
    <s v="AL BARAKAH"/>
    <x v="35"/>
    <n v="3440"/>
    <n v="183"/>
  </r>
  <r>
    <s v="31/03/2025"/>
    <s v="D-514"/>
    <s v="GR8855"/>
    <s v="KHAJUR BOX 10"/>
    <s v="MABROOM BROWN BOX"/>
    <s v="1 KG"/>
    <n v="81936"/>
    <n v="4"/>
    <n v="10"/>
    <n v="40"/>
    <x v="4"/>
    <s v="Mabroom"/>
    <s v="Premium"/>
    <x v="30"/>
    <x v="25"/>
    <x v="0"/>
    <x v="1"/>
    <s v="Rental"/>
    <s v="Local"/>
    <x v="25"/>
    <n v="40000"/>
    <n v="183"/>
  </r>
  <r>
    <s v="31/03/2025"/>
    <s v="D-514"/>
    <s v="GR8856"/>
    <s v="KHAJUR BOX 10"/>
    <s v="ROYAL MEDJOUL DATES"/>
    <s v="800 GM"/>
    <n v="81947"/>
    <n v="25"/>
    <n v="10"/>
    <n v="250"/>
    <x v="4"/>
    <s v="Medjoul-Medium"/>
    <s v="Medium"/>
    <x v="52"/>
    <x v="42"/>
    <x v="0"/>
    <x v="1"/>
    <s v="Rental"/>
    <s v="Hadiklaim"/>
    <x v="27"/>
    <n v="178000"/>
    <n v="183"/>
  </r>
  <r>
    <s v="31/03/2025"/>
    <s v="D-514"/>
    <s v="GR8855"/>
    <s v="KHAJUR BOX 10"/>
    <s v="SUKHARI BROWN BOX"/>
    <s v="1 KG"/>
    <n v="81934"/>
    <n v="1"/>
    <n v="10"/>
    <n v="10"/>
    <x v="1"/>
    <s v="Sukkary"/>
    <s v="Standard"/>
    <x v="23"/>
    <x v="19"/>
    <x v="0"/>
    <x v="1"/>
    <s v="Rental"/>
    <s v="Local"/>
    <x v="18"/>
    <n v="3500"/>
    <n v="183"/>
  </r>
  <r>
    <s v="02/04/2025"/>
    <s v="D-39"/>
    <s v="GR118"/>
    <s v="KHAJUR BOX 10"/>
    <s v="WHITE"/>
    <s v="-"/>
    <n v="137738"/>
    <n v="62"/>
    <n v="5"/>
    <n v="310"/>
    <x v="1"/>
    <s v="Fard-Std"/>
    <s v="RTV"/>
    <x v="53"/>
    <x v="16"/>
    <x v="0"/>
    <x v="1"/>
    <s v="Rental"/>
    <s v="AL BARAKAH"/>
    <x v="10"/>
    <n v="64480"/>
    <n v="181"/>
  </r>
  <r>
    <s v="07/04/2025"/>
    <s v="D-39"/>
    <s v="GR465"/>
    <s v="KHAJUR BOX 10"/>
    <s v="CRUSHED WHITE"/>
    <s v="-"/>
    <n v="138382"/>
    <n v="3"/>
    <n v="10"/>
    <n v="30"/>
    <x v="3"/>
    <s v="Crushed Date"/>
    <s v="AL BARAKAH"/>
    <x v="26"/>
    <x v="21"/>
    <x v="0"/>
    <x v="1"/>
    <s v="Fix (M2G) (+)"/>
    <s v="AL BARAKAH"/>
    <x v="36"/>
    <n v="3810"/>
    <n v="176"/>
  </r>
  <r>
    <s v="07/04/2025"/>
    <s v="D-514"/>
    <s v="GR117"/>
    <s v="KHAJUR BOX (M)12"/>
    <s v="ORGANIC WANAN"/>
    <s v="PR.LARGE"/>
    <n v="76579"/>
    <n v="10"/>
    <n v="12.5"/>
    <n v="125"/>
    <x v="5"/>
    <s v="Org Wanan"/>
    <s v="Large"/>
    <x v="50"/>
    <x v="40"/>
    <x v="0"/>
    <x v="1"/>
    <s v="Fix (202 F1) (-)"/>
    <s v="NAKHEEL"/>
    <x v="34"/>
    <n v="89375"/>
    <n v="176"/>
  </r>
  <r>
    <s v="07/04/2025"/>
    <s v="D-514"/>
    <s v="GR117"/>
    <s v="KHAJUR BOX (M)12"/>
    <s v="ORGANIC WANAN"/>
    <s v="PR.JUMBO"/>
    <n v="76578"/>
    <n v="11"/>
    <n v="12.5"/>
    <n v="137.5"/>
    <x v="5"/>
    <s v="Org Wanan"/>
    <s v="JUMBO"/>
    <x v="54"/>
    <x v="43"/>
    <x v="0"/>
    <x v="1"/>
    <s v="Fix (202 F1) (-)"/>
    <s v="NAKHEEL"/>
    <x v="37"/>
    <n v="128975"/>
    <n v="176"/>
  </r>
  <r>
    <s v="30/04/2025"/>
    <s v="D-514"/>
    <s v="GR748"/>
    <s v="KHAJUR BOX 5"/>
    <s v="RABIA DETLAND DATES"/>
    <s v="-"/>
    <n v="2056"/>
    <n v="5"/>
    <n v="5"/>
    <n v="25"/>
    <x v="1"/>
    <s v="Rabia"/>
    <s v="Rabia"/>
    <x v="4"/>
    <x v="4"/>
    <x v="0"/>
    <x v="1"/>
    <s v="Rental"/>
    <s v="Local"/>
    <x v="4"/>
    <n v="4687.5"/>
    <n v="153"/>
  </r>
  <r>
    <s v="16/05/2025"/>
    <s v="D-39"/>
    <s v="GR3027"/>
    <s v="KHAJUR BOX 10"/>
    <s v="DATE POWDER"/>
    <s v="-"/>
    <n v="142972"/>
    <n v="50"/>
    <n v="10"/>
    <n v="500"/>
    <x v="2"/>
    <s v="V1"/>
    <s v="AL BARAKAH"/>
    <x v="55"/>
    <x v="23"/>
    <x v="0"/>
    <x v="1"/>
    <s v="Fix (M2G) (+)"/>
    <s v="AL BARAKAH"/>
    <x v="23"/>
    <n v="135000"/>
    <n v="137"/>
  </r>
  <r>
    <s v="31/05/2025"/>
    <s v="D-39"/>
    <s v="GR3768"/>
    <s v="KHAJUR BOX 5"/>
    <s v="DATE SYRUP"/>
    <s v="400 GM"/>
    <n v="144338"/>
    <n v="2"/>
    <n v="4.8"/>
    <n v="9.6"/>
    <x v="6"/>
    <s v="400g x 12"/>
    <s v="AL BARAKAH"/>
    <x v="56"/>
    <x v="44"/>
    <x v="0"/>
    <x v="1"/>
    <s v="Rental"/>
    <s v="AL BARAKAH"/>
    <x v="38"/>
    <n v="3294.72"/>
    <n v="122"/>
  </r>
  <r>
    <s v="09/06/2025"/>
    <s v="D-514"/>
    <s v="GR1825"/>
    <s v="KHAJUR BOX (M) 5"/>
    <s v="MEDJOUL LARGE MIX BOX"/>
    <s v="NO 2"/>
    <n v="3281"/>
    <n v="58"/>
    <n v="5"/>
    <n v="290"/>
    <x v="4"/>
    <s v="Medjoul-Rej"/>
    <s v="Large"/>
    <x v="41"/>
    <x v="29"/>
    <x v="0"/>
    <x v="1"/>
    <s v="Fix (202 F1) (-)"/>
    <s v="Hadiklaim"/>
    <x v="29"/>
    <n v="236930"/>
    <n v="113"/>
  </r>
  <r>
    <s v="29/06/2025"/>
    <s v="D-39"/>
    <s v="GR5609"/>
    <s v="KHAJUR POWDER BOX 10"/>
    <s v="AL BARAKAH"/>
    <s v="MIX"/>
    <n v="147739"/>
    <n v="32"/>
    <n v="10"/>
    <n v="320"/>
    <x v="2"/>
    <s v="V1"/>
    <s v="AL BARAKAH"/>
    <x v="28"/>
    <x v="23"/>
    <x v="0"/>
    <x v="1"/>
    <s v="Rental"/>
    <s v="AL BARAKAH"/>
    <x v="23"/>
    <n v="86400"/>
    <n v="93"/>
  </r>
  <r>
    <s v="10/07/2025"/>
    <s v="D-39"/>
    <s v="GR6308"/>
    <s v="KHAJUR SYRUP BUCKET 25"/>
    <s v="WHITE"/>
    <s v="-"/>
    <n v="148932"/>
    <n v="288"/>
    <n v="25"/>
    <n v="7200"/>
    <x v="6"/>
    <s v="Bucket 25Kg"/>
    <s v="AL BARAKAH"/>
    <x v="57"/>
    <x v="45"/>
    <x v="0"/>
    <x v="1"/>
    <s v="Rental"/>
    <s v="AL BARAKAH"/>
    <x v="39"/>
    <n v="761760"/>
    <n v="82"/>
  </r>
  <r>
    <s v="19/07/2025"/>
    <s v="D-514"/>
    <s v="GR2898"/>
    <s v="KHAJUR BOX 5"/>
    <s v="SIAFA AJWA REGULAR (2929)"/>
    <s v="-"/>
    <n v="4728"/>
    <n v="4"/>
    <n v="5"/>
    <n v="20"/>
    <x v="4"/>
    <s v="Ajwa"/>
    <s v="Premium"/>
    <x v="29"/>
    <x v="24"/>
    <x v="0"/>
    <x v="1"/>
    <s v="Rental"/>
    <n v="0"/>
    <x v="40"/>
    <n v="19000"/>
    <n v="73"/>
  </r>
  <r>
    <s v="29/08/2025"/>
    <s v="D-39"/>
    <s v="GR9228"/>
    <s v="KHAJUR SYRUP BUCKET 25"/>
    <s v="AL BARAKAN"/>
    <s v="-"/>
    <n v="154388"/>
    <n v="528"/>
    <n v="25"/>
    <n v="13200"/>
    <x v="6"/>
    <s v="Bucket 25Kg"/>
    <s v="AL BARAKAH"/>
    <x v="57"/>
    <x v="45"/>
    <x v="0"/>
    <x v="1"/>
    <s v="Rental"/>
    <s v="AL BARAKAH"/>
    <x v="41"/>
    <n v="1449360"/>
    <n v="32"/>
  </r>
  <r>
    <s v="29/08/2025"/>
    <s v="D-39"/>
    <s v="GR9227"/>
    <s v="KHAJUR BOX 5"/>
    <s v="DATE SYRUP 400 GM"/>
    <s v="AL-BARAKAH"/>
    <n v="154389"/>
    <n v="795"/>
    <n v="4.8"/>
    <n v="3816"/>
    <x v="6"/>
    <s v="400g x 12"/>
    <s v="AL BARAKAH"/>
    <x v="56"/>
    <x v="44"/>
    <x v="0"/>
    <x v="1"/>
    <s v="Rental"/>
    <s v="AL BARAKAH"/>
    <x v="42"/>
    <n v="1328731.2"/>
    <n v="32"/>
  </r>
  <r>
    <s v="31/08/2025"/>
    <s v="D-39"/>
    <s v="GR9292"/>
    <s v="KHAJUR SYRUP BUCKET 25"/>
    <s v="AL BARAKH"/>
    <s v="-"/>
    <n v="154486"/>
    <n v="1007"/>
    <n v="25"/>
    <n v="25175"/>
    <x v="6"/>
    <s v="Bucket 25Kg"/>
    <s v="AL BARAKAH"/>
    <x v="57"/>
    <x v="45"/>
    <x v="0"/>
    <x v="1"/>
    <s v="Rental"/>
    <s v="AL BARAKAH"/>
    <x v="41"/>
    <n v="2764215"/>
    <n v="30"/>
  </r>
  <r>
    <s v="13/09/2025"/>
    <s v="D-39"/>
    <s v="GR10079"/>
    <s v="KHAJUR PASTE BOX 12"/>
    <s v="AL BARAKAH"/>
    <s v="-"/>
    <n v="155934"/>
    <n v="553"/>
    <n v="12.5"/>
    <n v="6912.5"/>
    <x v="0"/>
    <s v="Date Paste"/>
    <s v="12.5kg"/>
    <x v="0"/>
    <x v="0"/>
    <x v="0"/>
    <x v="1"/>
    <s v="Rental"/>
    <s v="AL BARAKAH"/>
    <x v="0"/>
    <n v="587562.5"/>
    <n v="17"/>
  </r>
  <r>
    <s v="24/09/2025"/>
    <s v="D-39"/>
    <s v="GR10777"/>
    <s v="KHAJUR POWDER BOX 10"/>
    <s v="AL BARAKAH"/>
    <s v="-"/>
    <n v="156985"/>
    <n v="2601"/>
    <n v="10"/>
    <n v="26010"/>
    <x v="2"/>
    <s v="V1"/>
    <s v="AL BARAKAH"/>
    <x v="28"/>
    <x v="23"/>
    <x v="0"/>
    <x v="1"/>
    <s v="Rental"/>
    <s v="AL BARAKAH"/>
    <x v="43"/>
    <n v="7282800"/>
    <n v="6"/>
  </r>
  <r>
    <s v="26/09/2025"/>
    <s v="D-39"/>
    <s v="GR11006"/>
    <s v="KHAJUR BOX 5"/>
    <s v="SYRUP 400 GM"/>
    <s v="-"/>
    <n v="157743"/>
    <n v="246"/>
    <n v="4.8"/>
    <n v="1180.8"/>
    <x v="6"/>
    <s v="400g x 12"/>
    <s v="AL BARAKAH"/>
    <x v="56"/>
    <x v="44"/>
    <x v="0"/>
    <x v="1"/>
    <s v="Rental"/>
    <s v="AL BARAKAH"/>
    <x v="38"/>
    <n v="405250.56"/>
    <n v="4"/>
  </r>
  <r>
    <s v="25/12/2023"/>
    <s v="D-39"/>
    <s v="GR15666"/>
    <s v="KISMISH BOX 10"/>
    <s v="AFGHAN"/>
    <s v="-"/>
    <n v="79435"/>
    <n v="4"/>
    <n v="10"/>
    <n v="40"/>
    <x v="7"/>
    <s v="Afghan Green"/>
    <s v="Green Round"/>
    <x v="58"/>
    <x v="46"/>
    <x v="1"/>
    <x v="1"/>
    <s v="Rental"/>
    <n v="0"/>
    <x v="44"/>
    <n v="20040"/>
    <n v="645"/>
  </r>
  <r>
    <s v="27/02/2024"/>
    <s v="D-39"/>
    <s v="GR19491"/>
    <s v="MACADAMIA BOX 12"/>
    <s v="ROASTED"/>
    <s v="A-185-RMSIZE6"/>
    <n v="86683"/>
    <n v="31"/>
    <n v="11.34"/>
    <n v="351.54"/>
    <x v="8"/>
    <s v="Roasted Style-6"/>
    <s v="Size-6"/>
    <x v="59"/>
    <x v="47"/>
    <x v="1"/>
    <x v="1"/>
    <s v="Fix (M2G) (+)"/>
    <n v="0"/>
    <x v="45"/>
    <n v="316386"/>
    <n v="581"/>
  </r>
  <r>
    <s v="28/02/2024"/>
    <s v="D-39"/>
    <s v="GR19567"/>
    <s v="MACADAMIA BOX 12"/>
    <s v="ROASTED NIS SAWN PASTE"/>
    <s v="A-185 RM"/>
    <n v="86838"/>
    <n v="13"/>
    <n v="12"/>
    <n v="156"/>
    <x v="9"/>
    <s v="Paste-2kg"/>
    <s v="Paste"/>
    <x v="60"/>
    <x v="48"/>
    <x v="1"/>
    <x v="1"/>
    <s v="Fix (M2G) (+)"/>
    <n v="0"/>
    <x v="46"/>
    <n v="261580.79999999999"/>
    <n v="580"/>
  </r>
  <r>
    <s v="25/06/2024"/>
    <s v="D-39"/>
    <s v="GR4603"/>
    <s v="KALI DRAKH BOX 15"/>
    <s v="BROWN"/>
    <s v="89=SEEDED"/>
    <n v="100080"/>
    <n v="0"/>
    <n v="15"/>
    <n v="0"/>
    <x v="7"/>
    <s v="Seeded 1*2"/>
    <s v="Seeded"/>
    <x v="61"/>
    <x v="49"/>
    <x v="1"/>
    <x v="1"/>
    <s v="Rental"/>
    <n v="0"/>
    <x v="47"/>
    <n v="0"/>
    <n v="462"/>
  </r>
  <r>
    <s v="09/10/2024"/>
    <s v="D-39"/>
    <s v="GR11739"/>
    <s v="BLUEBERRY BOX 10"/>
    <s v="WHOLE"/>
    <s v="APPLE INFUSED"/>
    <n v="113027"/>
    <n v="5"/>
    <n v="9.08"/>
    <n v="45.4"/>
    <x v="10"/>
    <s v="Blueberry"/>
    <s v="Apple Infused"/>
    <x v="62"/>
    <x v="50"/>
    <x v="1"/>
    <x v="1"/>
    <s v="Rental"/>
    <s v="Tajir"/>
    <x v="48"/>
    <n v="57658"/>
    <n v="356"/>
  </r>
  <r>
    <s v="26/10/2024"/>
    <s v="D-39"/>
    <s v="GR12937"/>
    <s v="MACADAMIA BOX 12"/>
    <s v="DRY ROASTED MACAAMIA"/>
    <s v="PASTE 2KG"/>
    <n v="109237"/>
    <n v="2"/>
    <n v="12"/>
    <n v="24"/>
    <x v="9"/>
    <s v="Paste-2kg"/>
    <s v="Paste"/>
    <x v="60"/>
    <x v="48"/>
    <x v="1"/>
    <x v="1"/>
    <s v="Rental"/>
    <n v="0"/>
    <x v="46"/>
    <n v="40243.199999999997"/>
    <n v="339"/>
  </r>
  <r>
    <s v="08/11/2024"/>
    <s v="D-514"/>
    <s v="GR5550"/>
    <s v="KHAJUR BOX (M)12"/>
    <s v="ORGANIC KHIDRI"/>
    <s v="PR.MEDIUM"/>
    <n v="76577"/>
    <n v="49"/>
    <n v="12.5"/>
    <n v="612.5"/>
    <x v="5"/>
    <s v="Org Khidri"/>
    <s v="Medium"/>
    <x v="47"/>
    <x v="38"/>
    <x v="1"/>
    <x v="1"/>
    <s v="Fix (202 F1) (-)"/>
    <s v="NAKHEEL"/>
    <x v="32"/>
    <n v="246837.5"/>
    <n v="326"/>
  </r>
  <r>
    <s v="08/11/2024"/>
    <s v="D-514"/>
    <s v="GR5551"/>
    <s v="KHAJUR BOX (M)12"/>
    <s v="ORGANIC SEQEE"/>
    <s v="PR.LARGE"/>
    <n v="76583"/>
    <n v="10"/>
    <n v="12.5"/>
    <n v="125"/>
    <x v="5"/>
    <s v="Org Seqee"/>
    <s v="Large"/>
    <x v="48"/>
    <x v="39"/>
    <x v="1"/>
    <x v="1"/>
    <s v="Rental"/>
    <s v="NAKHEEL"/>
    <x v="33"/>
    <n v="80125"/>
    <n v="326"/>
  </r>
  <r>
    <s v="08/11/2024"/>
    <s v="D-514"/>
    <s v="GR5551"/>
    <s v="KHAJUR BOX (M)12"/>
    <s v="ORGANIC WANAN"/>
    <s v="PR. LARGE"/>
    <n v="76579"/>
    <n v="19"/>
    <n v="12.5"/>
    <n v="237.5"/>
    <x v="5"/>
    <s v="Org Wanan"/>
    <s v="Large"/>
    <x v="50"/>
    <x v="40"/>
    <x v="0"/>
    <x v="1"/>
    <s v="Fix (202 F1) (-)"/>
    <s v="NAKHEEL"/>
    <x v="34"/>
    <n v="169812.5"/>
    <n v="326"/>
  </r>
  <r>
    <s v="08/11/2024"/>
    <s v="D-514"/>
    <s v="GR5551"/>
    <s v="KHAJUR BOX (M)12"/>
    <s v="ORGANIC WANAN"/>
    <s v="PR.JUMBO"/>
    <n v="76578"/>
    <n v="33"/>
    <n v="12.5"/>
    <n v="412.5"/>
    <x v="5"/>
    <s v="Org Wanan"/>
    <s v="JUMBO"/>
    <x v="54"/>
    <x v="43"/>
    <x v="0"/>
    <x v="1"/>
    <s v="Fix (202 F1) (-)"/>
    <s v="NAKHEEL"/>
    <x v="37"/>
    <n v="386925"/>
    <n v="326"/>
  </r>
  <r>
    <s v="08/11/2024"/>
    <s v="D-514"/>
    <s v="GR5551"/>
    <s v="KHAJUR BOX (M)12"/>
    <s v="ORGANIC KHIDRI"/>
    <s v="PR.LARGE"/>
    <n v="76576"/>
    <n v="37"/>
    <n v="12.5"/>
    <n v="462.5"/>
    <x v="5"/>
    <s v="Org Khidri"/>
    <s v="Large"/>
    <x v="63"/>
    <x v="51"/>
    <x v="1"/>
    <x v="1"/>
    <s v="Rental"/>
    <s v="NAKHEEL"/>
    <x v="49"/>
    <n v="213675"/>
    <n v="326"/>
  </r>
  <r>
    <s v="08/11/2024"/>
    <s v="D-514"/>
    <s v="GR5551"/>
    <s v="KHAJUR BOX (M)12"/>
    <s v="ORGANIC KHIDRI"/>
    <s v="SP.JUMBO"/>
    <n v="76575"/>
    <n v="33"/>
    <n v="12.5"/>
    <n v="412.5"/>
    <x v="5"/>
    <s v="Org Khidri"/>
    <s v="JUMBO"/>
    <x v="64"/>
    <x v="52"/>
    <x v="1"/>
    <x v="1"/>
    <s v="Rental"/>
    <s v="NAKHEEL"/>
    <x v="50"/>
    <n v="338662.5"/>
    <n v="326"/>
  </r>
  <r>
    <s v="08/11/2024"/>
    <s v="D-514"/>
    <s v="GR5551"/>
    <s v="KHAJUR BOX (M) 5"/>
    <s v="ORGANIC MEDJOUL"/>
    <s v="PR.LARGE"/>
    <n v="76581"/>
    <n v="15"/>
    <n v="5"/>
    <n v="75"/>
    <x v="5"/>
    <s v="Org Medjoul-Lar"/>
    <s v="Large"/>
    <x v="65"/>
    <x v="53"/>
    <x v="1"/>
    <x v="1"/>
    <s v="Rental"/>
    <s v="NAKHEEL"/>
    <x v="51"/>
    <n v="54750"/>
    <n v="326"/>
  </r>
  <r>
    <s v="14/11/2024"/>
    <s v="D-39"/>
    <s v="GR13889"/>
    <s v="MACADAMIA BOX 12"/>
    <s v="MARAUIS"/>
    <s v="STYLE1 SALTED"/>
    <n v="119160"/>
    <n v="7"/>
    <n v="11.34"/>
    <n v="79.38"/>
    <x v="8"/>
    <s v="R&amp;S Style-1"/>
    <s v="Rosted/Salted"/>
    <x v="66"/>
    <x v="54"/>
    <x v="1"/>
    <x v="1"/>
    <s v="Rental"/>
    <n v="0"/>
    <x v="52"/>
    <n v="113751.54"/>
    <n v="320"/>
  </r>
  <r>
    <s v="14/11/2024"/>
    <s v="D-39"/>
    <s v="GR13889"/>
    <s v="MACADAMIA BOX 12"/>
    <s v="MARAUIS"/>
    <s v="STYLE4 SALTED"/>
    <n v="119159"/>
    <n v="14"/>
    <n v="11.34"/>
    <n v="158.76"/>
    <x v="8"/>
    <s v="R&amp;S Style-4"/>
    <s v="Rosted/Salted"/>
    <x v="67"/>
    <x v="55"/>
    <x v="1"/>
    <x v="1"/>
    <s v="Rental"/>
    <n v="0"/>
    <x v="53"/>
    <n v="202736.52"/>
    <n v="320"/>
  </r>
  <r>
    <s v="14/11/2024"/>
    <s v="D-39"/>
    <s v="GR13889"/>
    <s v="MACADAMIA BOX 12"/>
    <s v="MARQUIS SAWN 22+SP VANILLA"/>
    <s v="-"/>
    <n v="119163"/>
    <n v="12"/>
    <n v="10"/>
    <n v="120"/>
    <x v="8"/>
    <s v="NIS Vanilla"/>
    <s v="Vannilla"/>
    <x v="68"/>
    <x v="56"/>
    <x v="1"/>
    <x v="1"/>
    <s v="Rental"/>
    <n v="0"/>
    <x v="54"/>
    <n v="72000"/>
    <n v="320"/>
  </r>
  <r>
    <s v="14/11/2024"/>
    <s v="D-514"/>
    <s v="GR5704"/>
    <s v="KHAJUR BOX (M)12"/>
    <s v="ORAGNIC KHIDRI"/>
    <s v="PR.MEDIUM"/>
    <n v="76577"/>
    <n v="38"/>
    <n v="12.5"/>
    <n v="475"/>
    <x v="5"/>
    <s v="Org Khidri"/>
    <s v="Medium"/>
    <x v="47"/>
    <x v="38"/>
    <x v="1"/>
    <x v="1"/>
    <s v="Fix (202 F1) (-)"/>
    <s v="NAKHEEL"/>
    <x v="32"/>
    <n v="191425"/>
    <n v="320"/>
  </r>
  <r>
    <s v="16/11/2024"/>
    <s v="D-514"/>
    <s v="GR5739"/>
    <s v="KHAJUR BOX (M)12"/>
    <s v="ORAGNIC SEQCE LARGE"/>
    <s v="LARGE"/>
    <n v="76870"/>
    <n v="1"/>
    <n v="12.5"/>
    <n v="12.5"/>
    <x v="5"/>
    <s v="Org Seqee"/>
    <s v="Large"/>
    <x v="48"/>
    <x v="39"/>
    <x v="1"/>
    <x v="1"/>
    <s v="Fix (202 F1) (-)"/>
    <s v="NAKHEEL"/>
    <x v="33"/>
    <n v="8012.5"/>
    <n v="318"/>
  </r>
  <r>
    <s v="16/11/2024"/>
    <s v="D-514"/>
    <s v="GR5739"/>
    <s v="KHAJUR BOX (M) 5"/>
    <s v="ORGANIC MEDJOUL LARGE"/>
    <s v="LARGE"/>
    <n v="76867"/>
    <n v="1"/>
    <n v="5"/>
    <n v="5"/>
    <x v="5"/>
    <s v="Org Medjoul-Lar"/>
    <s v="Large"/>
    <x v="65"/>
    <x v="53"/>
    <x v="1"/>
    <x v="1"/>
    <s v="Fix (202 F1) (-)"/>
    <s v="NAKHEEL"/>
    <x v="51"/>
    <n v="3650"/>
    <n v="318"/>
  </r>
  <r>
    <s v="27/11/2024"/>
    <s v="D-514"/>
    <s v="GR5973"/>
    <s v="KHAJUR BOX (M)12"/>
    <s v="ORGANIC KHIDRI MEDIUM"/>
    <s v="-"/>
    <n v="77154"/>
    <n v="1"/>
    <n v="12.5"/>
    <n v="12.5"/>
    <x v="5"/>
    <s v="Org Khidri"/>
    <s v="Medium"/>
    <x v="47"/>
    <x v="38"/>
    <x v="1"/>
    <x v="1"/>
    <s v="Fix (202 F1) (-)"/>
    <s v="NAKHEEL"/>
    <x v="32"/>
    <n v="5037.5"/>
    <n v="307"/>
  </r>
  <r>
    <s v="27/11/2024"/>
    <s v="D-514"/>
    <s v="GR5973"/>
    <s v="KHAJUR BOX (M)12"/>
    <s v="ORGANIC KHIDRI LARGE"/>
    <s v="-"/>
    <n v="77155"/>
    <n v="2"/>
    <n v="12.5"/>
    <n v="25"/>
    <x v="5"/>
    <s v="Org Khidri"/>
    <s v="Large"/>
    <x v="63"/>
    <x v="51"/>
    <x v="1"/>
    <x v="1"/>
    <s v="Fix (202 F1) (-)"/>
    <s v="NAKHEEL"/>
    <x v="49"/>
    <n v="11550"/>
    <n v="307"/>
  </r>
  <r>
    <s v="01/12/2024"/>
    <s v="D-514"/>
    <s v="GR6074"/>
    <s v="KHAJUR BOX (M)12"/>
    <s v="ORGANIC KHIDRI"/>
    <s v="PR. MEDIUM"/>
    <n v="76577"/>
    <n v="1"/>
    <n v="12.5"/>
    <n v="12.5"/>
    <x v="5"/>
    <s v="Org Khidri"/>
    <s v="Medium"/>
    <x v="47"/>
    <x v="38"/>
    <x v="1"/>
    <x v="1"/>
    <s v="Fix (202 F1) (-)"/>
    <s v="NAKHEEL"/>
    <x v="32"/>
    <n v="5037.5"/>
    <n v="303"/>
  </r>
  <r>
    <s v="01/12/2024"/>
    <s v="D-39"/>
    <s v="GR14928"/>
    <s v="MACADAMIA BOX 12"/>
    <s v="MARQUIS"/>
    <s v="-"/>
    <n v="122349"/>
    <n v="1"/>
    <n v="10"/>
    <n v="10"/>
    <x v="8"/>
    <s v="NIS"/>
    <s v="Plain"/>
    <x v="69"/>
    <x v="57"/>
    <x v="1"/>
    <x v="1"/>
    <s v="Rental"/>
    <n v="0"/>
    <x v="54"/>
    <n v="6000"/>
    <n v="303"/>
  </r>
  <r>
    <s v="01/12/2024"/>
    <s v="D-514"/>
    <s v="GR6074"/>
    <s v="KHAJUR BOX (M) 5"/>
    <s v="ORGANIC AJWA"/>
    <s v="PR. JUMBO"/>
    <n v="76868"/>
    <n v="1"/>
    <n v="5"/>
    <n v="5"/>
    <x v="5"/>
    <s v="Org Ajwa"/>
    <s v="Jumbo"/>
    <x v="70"/>
    <x v="58"/>
    <x v="1"/>
    <x v="1"/>
    <s v="Fix (202 F1) (-)"/>
    <s v="NAKHEEL"/>
    <x v="55"/>
    <n v="3945"/>
    <n v="303"/>
  </r>
  <r>
    <s v="01/12/2024"/>
    <s v="D-514"/>
    <s v="GR6074"/>
    <s v="KHAJUR BOX (M)12"/>
    <s v="ORGANIC SEQEE"/>
    <s v="PREMIUM LARGE"/>
    <n v="76583"/>
    <n v="1"/>
    <n v="12.5"/>
    <n v="12.5"/>
    <x v="5"/>
    <s v="Org Seqee"/>
    <s v="Large"/>
    <x v="48"/>
    <x v="39"/>
    <x v="1"/>
    <x v="1"/>
    <s v="Rental"/>
    <s v="NAKHEEL"/>
    <x v="33"/>
    <n v="8012.5"/>
    <n v="303"/>
  </r>
  <r>
    <s v="04/12/2024"/>
    <s v="D-39"/>
    <s v="GR15092"/>
    <s v="BLUEBERRY BOX 10"/>
    <s v="WHOLE"/>
    <s v="APPLE INFUSEL"/>
    <n v="113027"/>
    <n v="6"/>
    <n v="9.08"/>
    <n v="54.480000000000004"/>
    <x v="10"/>
    <s v="Blueberry"/>
    <s v="Apple Infused"/>
    <x v="62"/>
    <x v="50"/>
    <x v="1"/>
    <x v="1"/>
    <s v="Rental"/>
    <s v="Tajir"/>
    <x v="48"/>
    <n v="69189.600000000006"/>
    <n v="300"/>
  </r>
  <r>
    <s v="07/12/2024"/>
    <s v="D-514"/>
    <s v="GR6199"/>
    <s v="KHAJUR BOX (M) 5"/>
    <s v="MEDJOUL JUNIER PREMIUM"/>
    <s v="712400021"/>
    <n v="77571"/>
    <n v="24"/>
    <n v="5"/>
    <n v="120"/>
    <x v="4"/>
    <s v="Medjoul-Junior"/>
    <s v="Junior"/>
    <x v="33"/>
    <x v="59"/>
    <x v="1"/>
    <x v="1"/>
    <s v="Fix (202 F1) (-)"/>
    <s v="Hadiklaim"/>
    <x v="26"/>
    <n v="73560"/>
    <n v="297"/>
  </r>
  <r>
    <s v="18/01/2025"/>
    <s v="D-39"/>
    <s v="GR18188"/>
    <s v="KHAJUR BOX (M) 5"/>
    <s v="MDJL MIDEUM PREMIUM"/>
    <s v="602410286"/>
    <n v="128827"/>
    <n v="1"/>
    <n v="5"/>
    <n v="5"/>
    <x v="4"/>
    <s v="Medjoul-Medium"/>
    <s v="Medium"/>
    <x v="34"/>
    <x v="60"/>
    <x v="1"/>
    <x v="1"/>
    <s v="Rental"/>
    <s v="Hadiklaim"/>
    <x v="27"/>
    <n v="3560"/>
    <n v="255"/>
  </r>
  <r>
    <s v="18/01/2025"/>
    <s v="D-39"/>
    <s v="GR18187"/>
    <s v="KHAJUR BOX (M) 5"/>
    <s v="MDJL JUNR PRMIUM"/>
    <s v="602410309"/>
    <n v="128771"/>
    <n v="20"/>
    <n v="5"/>
    <n v="100"/>
    <x v="4"/>
    <s v="Medjoul-Junior"/>
    <s v="Junior"/>
    <x v="33"/>
    <x v="59"/>
    <x v="1"/>
    <x v="1"/>
    <s v="Rental"/>
    <s v="Hadiklaim"/>
    <x v="26"/>
    <n v="61300"/>
    <n v="255"/>
  </r>
  <r>
    <s v="20/01/2025"/>
    <s v="D-39"/>
    <s v="GR18282"/>
    <s v="KISMISH BOX (INDIAN) 15"/>
    <s v="BROWN"/>
    <s v="SRK-100-99"/>
    <n v="129048"/>
    <n v="32"/>
    <n v="15"/>
    <n v="480"/>
    <x v="7"/>
    <s v="Indian"/>
    <s v="Raisin"/>
    <x v="71"/>
    <x v="61"/>
    <x v="1"/>
    <x v="1"/>
    <s v="Rental"/>
    <n v="0"/>
    <x v="56"/>
    <n v="141600"/>
    <n v="253"/>
  </r>
  <r>
    <s v="28/01/2025"/>
    <s v="D-39"/>
    <s v="GR18832"/>
    <s v="KISMISH BOX (INDIAN) 15"/>
    <s v="SRK-24"/>
    <s v="-"/>
    <n v="130273"/>
    <n v="17"/>
    <n v="15"/>
    <n v="255"/>
    <x v="7"/>
    <s v="Indian"/>
    <s v="Raisin"/>
    <x v="71"/>
    <x v="61"/>
    <x v="1"/>
    <x v="1"/>
    <s v="Rental"/>
    <n v="0"/>
    <x v="56"/>
    <n v="75225"/>
    <n v="245"/>
  </r>
  <r>
    <s v="31/01/2025"/>
    <s v="D-514"/>
    <s v="GR7437"/>
    <s v="PISTA INSHELL BOX 10"/>
    <s v="CALIFORNIA PISTACHIOS"/>
    <s v="BROWN BOX"/>
    <n v="79585"/>
    <n v="189"/>
    <n v="11.34"/>
    <n v="2143.2599999999998"/>
    <x v="11"/>
    <s v="Inshell - 18-20"/>
    <s v="18-20"/>
    <x v="72"/>
    <x v="62"/>
    <x v="1"/>
    <x v="1"/>
    <s v="Rental"/>
    <n v="0"/>
    <x v="57"/>
    <n v="1878910.3115999997"/>
    <n v="242"/>
  </r>
  <r>
    <s v="02/02/2025"/>
    <s v="D-39"/>
    <s v="GR19184"/>
    <s v="KHAJUR BOX (M) 5"/>
    <s v="KING SALOMONS"/>
    <s v="502461345"/>
    <n v="130939"/>
    <n v="4"/>
    <n v="5"/>
    <n v="20"/>
    <x v="4"/>
    <s v="Medjoul-Medium"/>
    <s v="Medium"/>
    <x v="34"/>
    <x v="60"/>
    <x v="1"/>
    <x v="1"/>
    <s v="Rental"/>
    <s v="Hadiklaim"/>
    <x v="27"/>
    <n v="14240"/>
    <n v="240"/>
  </r>
  <r>
    <s v="02/02/2025"/>
    <s v="D-39"/>
    <s v="GR19184"/>
    <s v="KHAJUR BOX (M) 5"/>
    <s v="KING SALOMONS"/>
    <s v="602411646"/>
    <n v="130940"/>
    <n v="7"/>
    <n v="5"/>
    <n v="35"/>
    <x v="4"/>
    <s v="Medjoul-Medium"/>
    <s v="Medium"/>
    <x v="34"/>
    <x v="60"/>
    <x v="1"/>
    <x v="1"/>
    <s v="Rental"/>
    <s v="Hadiklaim"/>
    <x v="27"/>
    <n v="24920"/>
    <n v="240"/>
  </r>
  <r>
    <s v="27/02/2025"/>
    <s v="D-39"/>
    <s v="GR20770"/>
    <s v="PECANS MAMMOTH BOX15"/>
    <s v="SGPC BROWN BOX"/>
    <s v="EX LARGE"/>
    <n v="133878"/>
    <n v="36"/>
    <n v="13.6"/>
    <n v="489.59999999999997"/>
    <x v="12"/>
    <s v="Pecan"/>
    <s v="Tukda"/>
    <x v="73"/>
    <x v="63"/>
    <x v="1"/>
    <x v="1"/>
    <s v="Fix (M2G) (+)"/>
    <n v="0"/>
    <x v="58"/>
    <n v="675648"/>
    <n v="215"/>
  </r>
  <r>
    <s v="04/03/2025"/>
    <s v="D-39"/>
    <s v="GR21100"/>
    <s v="PECANS MAMMOTH BOX15"/>
    <s v="SOUTH GEORGIA"/>
    <s v="LARGE"/>
    <n v="134478"/>
    <n v="5"/>
    <n v="13.6"/>
    <n v="68"/>
    <x v="12"/>
    <s v="Pecan"/>
    <s v="Tukda"/>
    <x v="73"/>
    <x v="63"/>
    <x v="1"/>
    <x v="1"/>
    <s v="Rental"/>
    <n v="0"/>
    <x v="58"/>
    <n v="93840"/>
    <n v="210"/>
  </r>
  <r>
    <s v="07/03/2025"/>
    <s v="D-39"/>
    <s v="GR21313"/>
    <s v="PECANS MAMMOTH BOX15"/>
    <s v="SOUTH GEORGIA"/>
    <s v="-"/>
    <n v="134856"/>
    <n v="5"/>
    <n v="13.6"/>
    <n v="68"/>
    <x v="12"/>
    <s v="Pecan"/>
    <s v="Tukda"/>
    <x v="73"/>
    <x v="63"/>
    <x v="1"/>
    <x v="1"/>
    <s v="Rental"/>
    <n v="0"/>
    <x v="58"/>
    <n v="93840"/>
    <n v="207"/>
  </r>
  <r>
    <s v="11/03/2025"/>
    <s v="D-514"/>
    <s v="GR8411"/>
    <s v="KHAJUR BOX (M) 5"/>
    <s v="MDJL JUNIOR"/>
    <s v="602411801"/>
    <n v="81133"/>
    <n v="93"/>
    <n v="5"/>
    <n v="465"/>
    <x v="4"/>
    <s v="Medjoul-Junior"/>
    <s v="Junior"/>
    <x v="33"/>
    <x v="59"/>
    <x v="1"/>
    <x v="1"/>
    <s v="Rental"/>
    <s v="Hadiklaim"/>
    <x v="26"/>
    <n v="285045"/>
    <n v="203"/>
  </r>
  <r>
    <s v="19/03/2025"/>
    <s v="D-514"/>
    <s v="GR8551"/>
    <s v="KHAJUR BOX 12"/>
    <s v="ORGANIC KHUDRI BROWN BOX"/>
    <s v="12 KG"/>
    <n v="81383"/>
    <n v="6"/>
    <n v="12.5"/>
    <n v="75"/>
    <x v="5"/>
    <s v="Org Khidri"/>
    <s v="Large"/>
    <x v="63"/>
    <x v="51"/>
    <x v="1"/>
    <x v="1"/>
    <s v="Rental"/>
    <s v="NAKHEEL"/>
    <x v="49"/>
    <n v="34650"/>
    <n v="195"/>
  </r>
  <r>
    <s v="20/03/2025"/>
    <s v="D-39"/>
    <s v="GR22089"/>
    <s v="KISMISH BOX (INDIAN) 15"/>
    <s v="SRK-28"/>
    <s v="-"/>
    <n v="136258"/>
    <n v="10"/>
    <n v="15"/>
    <n v="150"/>
    <x v="7"/>
    <s v="Indian"/>
    <s v="Raisin"/>
    <x v="71"/>
    <x v="61"/>
    <x v="1"/>
    <x v="1"/>
    <s v="Rental"/>
    <n v="0"/>
    <x v="56"/>
    <n v="44250"/>
    <n v="194"/>
  </r>
  <r>
    <s v="29/03/2025"/>
    <s v="D-39"/>
    <s v="GR22729"/>
    <s v="MACADAMIA BOX 12"/>
    <s v="MARQUIS STYLE 4L COOKED P"/>
    <s v="-"/>
    <n v="137391"/>
    <n v="68"/>
    <n v="11.34"/>
    <n v="771.12"/>
    <x v="8"/>
    <s v="Roasted Style-4L"/>
    <s v="Size-4L"/>
    <x v="74"/>
    <x v="64"/>
    <x v="1"/>
    <x v="1"/>
    <s v="Rental"/>
    <n v="0"/>
    <x v="59"/>
    <n v="994744.8"/>
    <n v="185"/>
  </r>
  <r>
    <s v="03/04/2025"/>
    <s v="D-39"/>
    <s v="GR162"/>
    <s v="CRANBERRY BOX 5"/>
    <s v="-"/>
    <s v="WHOLE"/>
    <n v="137769"/>
    <n v="6"/>
    <n v="4.54"/>
    <n v="27.240000000000002"/>
    <x v="13"/>
    <s v="Meduri"/>
    <s v="Meduri"/>
    <x v="75"/>
    <x v="65"/>
    <x v="1"/>
    <x v="1"/>
    <s v="Fix (M2G) (+)"/>
    <n v="0"/>
    <x v="51"/>
    <n v="19885.2"/>
    <n v="180"/>
  </r>
  <r>
    <s v="23/04/2025"/>
    <s v="D-39"/>
    <s v="GR1601"/>
    <s v="HAZELNUT BOX 10"/>
    <s v="DOST"/>
    <s v="6-8 MM"/>
    <n v="140344"/>
    <n v="21"/>
    <n v="10"/>
    <n v="210"/>
    <x v="14"/>
    <s v="Blanched"/>
    <s v="Kernels"/>
    <x v="76"/>
    <x v="66"/>
    <x v="1"/>
    <x v="1"/>
    <s v="Rental"/>
    <n v="0"/>
    <x v="60"/>
    <n v="222600"/>
    <n v="160"/>
  </r>
  <r>
    <s v="30/04/2025"/>
    <s v="D-514"/>
    <s v="GR747"/>
    <s v="KHAJUR BOX 15"/>
    <s v="ORGANIC SEQEE LARGE"/>
    <s v="1 KG"/>
    <n v="2058"/>
    <n v="1"/>
    <n v="12"/>
    <n v="12"/>
    <x v="5"/>
    <s v="Org Seqee"/>
    <s v="Large"/>
    <x v="77"/>
    <x v="39"/>
    <x v="1"/>
    <x v="1"/>
    <s v="Rental"/>
    <s v="NAKHEEL"/>
    <x v="33"/>
    <n v="7692"/>
    <n v="153"/>
  </r>
  <r>
    <s v="30/04/2025"/>
    <s v="D-514"/>
    <s v="GR747"/>
    <s v="KHAJUR BOX 8"/>
    <s v="KHIDRI LARGE ORGANIC"/>
    <s v="1 KG"/>
    <n v="2057"/>
    <n v="1"/>
    <n v="8"/>
    <n v="8"/>
    <x v="5"/>
    <s v="Org Khidri"/>
    <s v="Large"/>
    <x v="78"/>
    <x v="51"/>
    <x v="1"/>
    <x v="1"/>
    <s v="Rental"/>
    <s v="NAKHEEL"/>
    <x v="49"/>
    <n v="3696"/>
    <n v="153"/>
  </r>
  <r>
    <s v="30/04/2025"/>
    <s v="D-514"/>
    <s v="GR747"/>
    <s v="KHAJUR BOX 8"/>
    <s v="KHUDRI LARGE"/>
    <s v="1 KG"/>
    <n v="2060"/>
    <n v="1"/>
    <n v="16"/>
    <n v="16"/>
    <x v="5"/>
    <s v="Org Khidri"/>
    <s v="Large"/>
    <x v="78"/>
    <x v="51"/>
    <x v="1"/>
    <x v="1"/>
    <s v="Rental"/>
    <s v="NAKHEEL"/>
    <x v="49"/>
    <n v="7392"/>
    <n v="153"/>
  </r>
  <r>
    <s v="30/04/2025"/>
    <s v="D-514"/>
    <s v="GR747"/>
    <s v="KHAJUR BOX 15"/>
    <s v="ORGANIC WANAN LARGE"/>
    <s v="1 KG"/>
    <n v="2059"/>
    <n v="1"/>
    <n v="12"/>
    <n v="12"/>
    <x v="5"/>
    <s v="Org Wanan"/>
    <s v="Large"/>
    <x v="79"/>
    <x v="40"/>
    <x v="1"/>
    <x v="1"/>
    <s v="Rental"/>
    <s v="NAKHEEL"/>
    <x v="34"/>
    <n v="8580"/>
    <n v="153"/>
  </r>
  <r>
    <s v="06/05/2025"/>
    <s v="D-514"/>
    <s v="GR915"/>
    <s v="KHAJUR BOX (M) 5"/>
    <s v="MDJL JUNIOR-80933"/>
    <s v="602411804"/>
    <n v="2210"/>
    <n v="204"/>
    <n v="5"/>
    <n v="1020"/>
    <x v="4"/>
    <s v="Medjoul-Junior"/>
    <s v="Junior"/>
    <x v="33"/>
    <x v="59"/>
    <x v="1"/>
    <x v="1"/>
    <s v="Rental"/>
    <s v="Hadiklaim"/>
    <x v="26"/>
    <n v="625260"/>
    <n v="147"/>
  </r>
  <r>
    <s v="06/05/2025"/>
    <s v="D-514"/>
    <s v="GR915"/>
    <s v="KHAJUR BOX (M) 5"/>
    <s v="MDJL JUNIOR -80946"/>
    <s v="602412397"/>
    <n v="2209"/>
    <n v="64"/>
    <n v="5"/>
    <n v="320"/>
    <x v="4"/>
    <s v="Medjoul-Junior"/>
    <s v="Junior"/>
    <x v="33"/>
    <x v="59"/>
    <x v="1"/>
    <x v="1"/>
    <s v="Rental"/>
    <s v="Hadiklaim"/>
    <x v="26"/>
    <n v="196160"/>
    <n v="147"/>
  </r>
  <r>
    <s v="08/05/2025"/>
    <s v="D-39"/>
    <s v="GR2588"/>
    <s v="DARK SEEDLESS RAISINS BOX 12"/>
    <s v="DARK SEEELESS"/>
    <s v="-"/>
    <n v="142107"/>
    <n v="30"/>
    <n v="12.5"/>
    <n v="375"/>
    <x v="15"/>
    <s v="BlackCurrant"/>
    <s v="Medium"/>
    <x v="80"/>
    <x v="67"/>
    <x v="1"/>
    <x v="1"/>
    <s v="Rental"/>
    <n v="0"/>
    <x v="61"/>
    <n v="183750"/>
    <n v="145"/>
  </r>
  <r>
    <s v="10/05/2025"/>
    <s v="D-39"/>
    <s v="GR2702"/>
    <s v="PECANS MAMMOTH BOX15"/>
    <s v="SOUTH GEORGIA"/>
    <s v="133878"/>
    <n v="142404"/>
    <n v="1"/>
    <n v="13.6"/>
    <n v="13.6"/>
    <x v="12"/>
    <s v="Pecan"/>
    <s v="Tukda"/>
    <x v="73"/>
    <x v="63"/>
    <x v="1"/>
    <x v="1"/>
    <s v="Rental"/>
    <n v="0"/>
    <x v="58"/>
    <n v="18768"/>
    <n v="143"/>
  </r>
  <r>
    <s v="14/05/2025"/>
    <s v="D-39"/>
    <s v="GR2914"/>
    <s v="TURKEL BOX 10"/>
    <s v="TURKEL"/>
    <s v="JUMBO"/>
    <n v="142768"/>
    <n v="31"/>
    <n v="10"/>
    <n v="310"/>
    <x v="16"/>
    <s v="Turkey"/>
    <s v="Jumbo"/>
    <x v="81"/>
    <x v="68"/>
    <x v="1"/>
    <x v="1"/>
    <s v="Rental"/>
    <n v="0"/>
    <x v="62"/>
    <n v="201500"/>
    <n v="139"/>
  </r>
  <r>
    <s v="20/05/2025"/>
    <s v="D-514"/>
    <s v="GR1302"/>
    <s v="KHAJUR BOX (M) 5"/>
    <s v="MDJL JUNIUR BLUE BOX"/>
    <s v="-"/>
    <n v="2685"/>
    <n v="5"/>
    <n v="5"/>
    <n v="25"/>
    <x v="4"/>
    <s v="Medjoul-Junior"/>
    <s v="Junior"/>
    <x v="33"/>
    <x v="59"/>
    <x v="1"/>
    <x v="1"/>
    <s v="Fix (202 F1) (-)"/>
    <s v="Hadiklaim"/>
    <x v="26"/>
    <n v="15325"/>
    <n v="133"/>
  </r>
  <r>
    <s v="03/06/2025"/>
    <s v="D-39"/>
    <s v="GR3920"/>
    <s v="KISMISH BOX (INDIAN) 15"/>
    <s v="MAS-70-B -19"/>
    <s v="-"/>
    <n v="144668"/>
    <n v="10"/>
    <n v="15"/>
    <n v="150"/>
    <x v="7"/>
    <s v="Indian"/>
    <s v="Raisin"/>
    <x v="71"/>
    <x v="61"/>
    <x v="1"/>
    <x v="1"/>
    <s v="Rental"/>
    <n v="0"/>
    <x v="63"/>
    <n v="43200"/>
    <n v="119"/>
  </r>
  <r>
    <s v="12/06/2025"/>
    <s v="D-39"/>
    <s v="GR4381"/>
    <s v="KISMISH BOX (INDIAN) 15"/>
    <s v="BOB-68-13"/>
    <s v="-"/>
    <n v="141756"/>
    <n v="12"/>
    <n v="15"/>
    <n v="180"/>
    <x v="7"/>
    <s v="Indian"/>
    <s v="Raisin"/>
    <x v="71"/>
    <x v="61"/>
    <x v="1"/>
    <x v="1"/>
    <s v="Rental"/>
    <n v="0"/>
    <x v="63"/>
    <n v="51840"/>
    <n v="110"/>
  </r>
  <r>
    <s v="16/06/2025"/>
    <s v="D-39"/>
    <s v="GR4618"/>
    <s v="AKHROT KERNAL BOX 10"/>
    <s v="BROWN"/>
    <s v="-"/>
    <n v="145884"/>
    <n v="1"/>
    <n v="10.199999999999999"/>
    <n v="10.199999999999999"/>
    <x v="17"/>
    <s v="Kernels 2pc"/>
    <s v="2pc"/>
    <x v="82"/>
    <x v="69"/>
    <x v="1"/>
    <x v="1"/>
    <s v="Rental"/>
    <n v="0"/>
    <x v="64"/>
    <n v="13106.999999999998"/>
    <n v="106"/>
  </r>
  <r>
    <s v="16/06/2025"/>
    <s v="D-39"/>
    <s v="GR4618"/>
    <s v="AKHROT KERNAL BOX JOTTA (15X2)"/>
    <s v="WHITE"/>
    <s v="-"/>
    <n v="145883"/>
    <n v="5"/>
    <n v="29.6"/>
    <n v="148"/>
    <x v="17"/>
    <s v="Kernels 2pc"/>
    <s v="2pc"/>
    <x v="82"/>
    <x v="69"/>
    <x v="1"/>
    <x v="1"/>
    <s v="Rental"/>
    <n v="0"/>
    <x v="64"/>
    <n v="190180"/>
    <n v="106"/>
  </r>
  <r>
    <s v="01/07/2025"/>
    <s v="D-39"/>
    <s v="GR5727"/>
    <s v="CRANBERRY BOX 10"/>
    <s v="OCEAN SPCRY"/>
    <s v="SLICE"/>
    <n v="147934"/>
    <n v="0"/>
    <n v="11.34"/>
    <n v="0"/>
    <x v="13"/>
    <s v="Sliced"/>
    <s v="Sliced"/>
    <x v="83"/>
    <x v="70"/>
    <x v="1"/>
    <x v="1"/>
    <s v="Rental"/>
    <n v="0"/>
    <x v="65"/>
    <n v="0"/>
    <n v="91"/>
  </r>
  <r>
    <s v="07/07/2025"/>
    <s v="D-39"/>
    <s v="GR6126"/>
    <s v="TURKEL BOX 10"/>
    <s v="MEHMET"/>
    <s v="400 GRAM"/>
    <n v="148608"/>
    <n v="208"/>
    <n v="8"/>
    <n v="1664"/>
    <x v="16"/>
    <s v="Turkey"/>
    <s v="No. 0"/>
    <x v="84"/>
    <x v="71"/>
    <x v="1"/>
    <x v="1"/>
    <s v="Rental"/>
    <n v="0"/>
    <x v="66"/>
    <n v="1297920"/>
    <n v="85"/>
  </r>
  <r>
    <s v="07/07/2025"/>
    <s v="D-39"/>
    <s v="GR6127"/>
    <s v="TURKEL BOX"/>
    <s v="TURKEL"/>
    <s v="SIZE 4-400GRM"/>
    <n v="148621"/>
    <n v="30"/>
    <n v="8"/>
    <n v="240"/>
    <x v="16"/>
    <s v="Turkey"/>
    <s v="No. 0"/>
    <x v="84"/>
    <x v="71"/>
    <x v="1"/>
    <x v="1"/>
    <s v="Rental"/>
    <n v="0"/>
    <x v="66"/>
    <n v="187200"/>
    <n v="85"/>
  </r>
  <r>
    <s v="14/07/2025"/>
    <s v="D-39"/>
    <s v="GR6549"/>
    <s v="DRIED GOOSEBERRY BOX 10"/>
    <s v="GOJIBERRY"/>
    <s v="GOJIBERRY"/>
    <n v="149321"/>
    <n v="8"/>
    <n v="8"/>
    <n v="64"/>
    <x v="18"/>
    <s v="Gojiberry"/>
    <s v="Dried"/>
    <x v="85"/>
    <x v="72"/>
    <x v="1"/>
    <x v="1"/>
    <s v="Rental"/>
    <n v="0"/>
    <x v="67"/>
    <n v="52800"/>
    <n v="78"/>
  </r>
  <r>
    <s v="16/07/2025"/>
    <s v="D-514"/>
    <s v="GR2804"/>
    <s v="KHAJUR BOX (M) 5"/>
    <s v="DEGLET NOOR"/>
    <s v="552420401"/>
    <n v="4524"/>
    <n v="127"/>
    <n v="5"/>
    <n v="635"/>
    <x v="4"/>
    <s v="DEGLET NOUR"/>
    <s v="DEGLET NOUR"/>
    <x v="18"/>
    <x v="73"/>
    <x v="1"/>
    <x v="1"/>
    <s v="Rental"/>
    <s v="Hadiklaim"/>
    <x v="19"/>
    <n v="323850"/>
    <n v="76"/>
  </r>
  <r>
    <s v="16/07/2025"/>
    <s v="D-514"/>
    <s v="GR2804"/>
    <s v="KHAJUR BOX (M) 5"/>
    <s v="DEGLET NOOR"/>
    <s v="552420399"/>
    <n v="4523"/>
    <n v="200"/>
    <n v="5"/>
    <n v="1000"/>
    <x v="4"/>
    <s v="DEGLET NOUR"/>
    <s v="DEGLET NOUR"/>
    <x v="18"/>
    <x v="73"/>
    <x v="1"/>
    <x v="1"/>
    <s v="Rental"/>
    <s v="Hadiklaim"/>
    <x v="19"/>
    <n v="510000"/>
    <n v="76"/>
  </r>
  <r>
    <s v="16/07/2025"/>
    <s v="D-514"/>
    <s v="GR2804"/>
    <s v="KHAJUR BOX (M) 5"/>
    <s v="MEDJOUL JUMBO"/>
    <s v="6724527834"/>
    <n v="4521"/>
    <n v="1"/>
    <n v="5"/>
    <n v="5"/>
    <x v="4"/>
    <s v="Medjoul-Jumbo"/>
    <s v="Jumbo"/>
    <x v="86"/>
    <x v="74"/>
    <x v="1"/>
    <x v="1"/>
    <s v="Rental"/>
    <s v="Hadiklaim"/>
    <x v="28"/>
    <n v="5225"/>
    <n v="76"/>
  </r>
  <r>
    <s v="16/07/2025"/>
    <s v="D-514"/>
    <s v="GR2804"/>
    <s v="KHAJUR BOX (M) 5"/>
    <s v="MEDJOUL DERI"/>
    <s v="672440300"/>
    <n v="4527"/>
    <n v="70"/>
    <n v="5"/>
    <n v="350"/>
    <x v="1"/>
    <s v="Deri"/>
    <s v="Deri"/>
    <x v="12"/>
    <x v="11"/>
    <x v="1"/>
    <x v="1"/>
    <s v="Rental"/>
    <s v="Hadiklaim"/>
    <x v="11"/>
    <n v="106050"/>
    <n v="76"/>
  </r>
  <r>
    <s v="18/07/2025"/>
    <s v="D-39"/>
    <s v="GR6846"/>
    <s v="PECANS MAMMOTH BOX15"/>
    <s v="FANCY DRY ROASTED"/>
    <s v="SGP -BROWN"/>
    <n v="149845"/>
    <n v="6"/>
    <n v="13.6"/>
    <n v="81.599999999999994"/>
    <x v="12"/>
    <s v="Pecan"/>
    <s v="Kernels"/>
    <x v="73"/>
    <x v="63"/>
    <x v="1"/>
    <x v="1"/>
    <s v="Rental"/>
    <n v="0"/>
    <x v="58"/>
    <n v="112607.99999999999"/>
    <n v="74"/>
  </r>
  <r>
    <s v="22/07/2025"/>
    <s v="D-514"/>
    <s v="GR2959"/>
    <s v="KHAJUR BOX (M) 5"/>
    <s v="MDJL MEDIUM"/>
    <s v="302402625"/>
    <n v="4821"/>
    <n v="2"/>
    <n v="5"/>
    <n v="10"/>
    <x v="4"/>
    <s v="Medjoul-Medium"/>
    <s v="Medium"/>
    <x v="34"/>
    <x v="60"/>
    <x v="1"/>
    <x v="1"/>
    <s v="Rental"/>
    <s v="Hadiklaim"/>
    <x v="27"/>
    <n v="7120"/>
    <n v="70"/>
  </r>
  <r>
    <s v="22/07/2025"/>
    <s v="D-514"/>
    <s v="GR2959"/>
    <s v="KHAJUR BOX (M) 5"/>
    <s v="MDJL MEDIUM"/>
    <s v="1360105463"/>
    <n v="4820"/>
    <n v="2"/>
    <n v="5"/>
    <n v="10"/>
    <x v="4"/>
    <s v="Medjoul-Medium"/>
    <s v="Medium"/>
    <x v="34"/>
    <x v="60"/>
    <x v="1"/>
    <x v="1"/>
    <s v="Rental"/>
    <s v="Hadiklaim"/>
    <x v="27"/>
    <n v="7120"/>
    <n v="70"/>
  </r>
  <r>
    <s v="22/07/2025"/>
    <s v="D-514"/>
    <s v="GR2959"/>
    <s v="KHAJUR BOX (M) 5"/>
    <s v="MDJL MEDIUM"/>
    <s v="502461345"/>
    <n v="4819"/>
    <n v="2"/>
    <n v="5"/>
    <n v="10"/>
    <x v="4"/>
    <s v="Medjoul-Medium"/>
    <s v="Medium"/>
    <x v="34"/>
    <x v="60"/>
    <x v="1"/>
    <x v="1"/>
    <s v="Rental"/>
    <s v="Hadiklaim"/>
    <x v="27"/>
    <n v="7120"/>
    <n v="70"/>
  </r>
  <r>
    <s v="22/07/2025"/>
    <s v="D-514"/>
    <s v="GR2959"/>
    <s v="KHAJUR BOX (M) 5"/>
    <s v="MDJL MEDIUM"/>
    <s v="602412090"/>
    <n v="4818"/>
    <n v="2"/>
    <n v="5"/>
    <n v="10"/>
    <x v="4"/>
    <s v="Medjoul-Medium"/>
    <s v="Medium"/>
    <x v="34"/>
    <x v="60"/>
    <x v="1"/>
    <x v="1"/>
    <s v="Rental"/>
    <s v="Hadiklaim"/>
    <x v="27"/>
    <n v="7120"/>
    <n v="70"/>
  </r>
  <r>
    <s v="22/07/2025"/>
    <s v="D-39"/>
    <s v="GR7028"/>
    <s v="BRAZIL NUT BOX 20"/>
    <s v="AMAZON NUTS"/>
    <s v="TINY"/>
    <n v="150145"/>
    <n v="10"/>
    <n v="20"/>
    <n v="200"/>
    <x v="19"/>
    <s v="Brazil Nuts"/>
    <s v="Kernels"/>
    <x v="87"/>
    <x v="75"/>
    <x v="1"/>
    <x v="1"/>
    <s v="Rental"/>
    <n v="0"/>
    <x v="68"/>
    <n v="540000"/>
    <n v="70"/>
  </r>
  <r>
    <s v="24/07/2025"/>
    <s v="D-514"/>
    <s v="GR3016"/>
    <s v="KHAJUR BOX (M) 5"/>
    <s v="MEDJOUL MIX"/>
    <s v="NO-2"/>
    <n v="4905"/>
    <n v="119"/>
    <n v="5"/>
    <n v="595"/>
    <x v="4"/>
    <s v="Medjoul-Rej"/>
    <s v="Mix"/>
    <x v="41"/>
    <x v="76"/>
    <x v="1"/>
    <x v="1"/>
    <s v="Rental"/>
    <n v="0"/>
    <x v="69"/>
    <n v="119000"/>
    <n v="68"/>
  </r>
  <r>
    <s v="29/07/2025"/>
    <s v="D-39"/>
    <s v="GR7485"/>
    <s v="MACADAMIA BOX 12"/>
    <s v="MARQUIS SAWN 22+SP"/>
    <s v="-"/>
    <n v="150930"/>
    <n v="100"/>
    <n v="10"/>
    <n v="1000"/>
    <x v="8"/>
    <s v="NIS Vanilla"/>
    <s v="NIS"/>
    <x v="68"/>
    <x v="56"/>
    <x v="1"/>
    <x v="1"/>
    <s v="Rental"/>
    <n v="0"/>
    <x v="70"/>
    <n v="625000"/>
    <n v="63"/>
  </r>
  <r>
    <s v="29/07/2025"/>
    <s v="D-39"/>
    <s v="GR7485"/>
    <s v="MACADAMIA BOX 12"/>
    <s v="MARQUIS SAWN 22+SP"/>
    <s v="16.4KG"/>
    <n v="150931"/>
    <n v="20"/>
    <n v="10"/>
    <n v="200"/>
    <x v="8"/>
    <s v="NIS"/>
    <s v="NIS"/>
    <x v="69"/>
    <x v="57"/>
    <x v="1"/>
    <x v="1"/>
    <s v="Rental"/>
    <n v="0"/>
    <x v="70"/>
    <n v="125000"/>
    <n v="63"/>
  </r>
  <r>
    <s v="30/07/2025"/>
    <s v="D-39"/>
    <s v="GR7579"/>
    <s v="MACADAMIA BOX 12"/>
    <s v="STYLE 4 L COOKED P"/>
    <s v="-"/>
    <n v="151105"/>
    <n v="4"/>
    <n v="11.34"/>
    <n v="45.36"/>
    <x v="8"/>
    <s v="Roasted Style-4"/>
    <s v="Size-4"/>
    <x v="88"/>
    <x v="55"/>
    <x v="1"/>
    <x v="1"/>
    <s v="Rental"/>
    <n v="0"/>
    <x v="71"/>
    <n v="68040"/>
    <n v="62"/>
  </r>
  <r>
    <s v="04/08/2025"/>
    <s v="D-39"/>
    <s v="GR7901"/>
    <s v="MACADAMIA BOX 12"/>
    <s v="DRY ROAST"/>
    <s v="STYLE -6"/>
    <n v="151709"/>
    <n v="1"/>
    <n v="11.34"/>
    <n v="11.34"/>
    <x v="8"/>
    <s v="Roasted Style-6"/>
    <s v="Size-6"/>
    <x v="59"/>
    <x v="47"/>
    <x v="1"/>
    <x v="1"/>
    <s v="Rental"/>
    <n v="0"/>
    <x v="45"/>
    <n v="10206"/>
    <n v="57"/>
  </r>
  <r>
    <s v="05/08/2025"/>
    <s v="D-39"/>
    <s v="GR7967"/>
    <s v="CRANBERRY BOX 5"/>
    <s v="MEDURI"/>
    <s v="WHOLE"/>
    <n v="151836"/>
    <n v="34"/>
    <n v="4.54"/>
    <n v="154.36000000000001"/>
    <x v="13"/>
    <s v="Meduri"/>
    <s v="Meduri"/>
    <x v="75"/>
    <x v="65"/>
    <x v="1"/>
    <x v="1"/>
    <s v="Rental"/>
    <n v="0"/>
    <x v="72"/>
    <n v="114226.40000000001"/>
    <n v="56"/>
  </r>
  <r>
    <s v="09/08/2025"/>
    <s v="D-39"/>
    <s v="GR8257"/>
    <s v="KISMISH BOX (INDIAN) 15"/>
    <s v="BROWN RAYECTION"/>
    <s v="MIX"/>
    <n v="152287"/>
    <n v="23"/>
    <n v="15"/>
    <n v="345"/>
    <x v="7"/>
    <s v="Indian"/>
    <s v="Raisin"/>
    <x v="71"/>
    <x v="61"/>
    <x v="1"/>
    <x v="1"/>
    <s v="Rental"/>
    <n v="0"/>
    <x v="73"/>
    <n v="144296.25"/>
    <n v="52"/>
  </r>
  <r>
    <s v="12/08/2025"/>
    <s v="D-39"/>
    <s v="GR8361"/>
    <s v="PECANS MAMMOTH BOX15"/>
    <s v="CARTER PECAN -GREEN"/>
    <s v="SHELLED"/>
    <n v="152541"/>
    <n v="1"/>
    <n v="13.6"/>
    <n v="13.6"/>
    <x v="12"/>
    <s v="Pecan"/>
    <s v="Kernels"/>
    <x v="89"/>
    <x v="63"/>
    <x v="1"/>
    <x v="1"/>
    <s v="Rental"/>
    <n v="0"/>
    <x v="74"/>
    <n v="21080"/>
    <n v="49"/>
  </r>
  <r>
    <s v="24/08/2025"/>
    <s v="D-39"/>
    <s v="GR8960"/>
    <s v="KISMISH BOX (INDIAN) 15"/>
    <s v="AAK/52 ALPINO"/>
    <s v="52"/>
    <n v="153786"/>
    <n v="26"/>
    <n v="15"/>
    <n v="390"/>
    <x v="7"/>
    <s v="Indian"/>
    <s v="Raisin"/>
    <x v="71"/>
    <x v="61"/>
    <x v="1"/>
    <x v="1"/>
    <s v="Rental"/>
    <n v="0"/>
    <x v="75"/>
    <n v="163800"/>
    <n v="37"/>
  </r>
  <r>
    <s v="24/08/2025"/>
    <s v="D-39"/>
    <s v="GR8960"/>
    <s v="KISMISH BOX (INDIAN) 15"/>
    <s v="TAS/48 ALPINO"/>
    <s v="48"/>
    <n v="153784"/>
    <n v="5"/>
    <n v="15"/>
    <n v="75"/>
    <x v="7"/>
    <s v="Indian"/>
    <s v="Raisin"/>
    <x v="71"/>
    <x v="61"/>
    <x v="1"/>
    <x v="1"/>
    <s v="Rental"/>
    <n v="0"/>
    <x v="75"/>
    <n v="31500"/>
    <n v="37"/>
  </r>
  <r>
    <s v="26/08/2025"/>
    <s v="D-39"/>
    <s v="GR9129"/>
    <s v="CRANBERRY BOX 10"/>
    <s v="OCEAN SPRAY"/>
    <s v="-"/>
    <n v="154220"/>
    <n v="532"/>
    <n v="11.34"/>
    <n v="6032.88"/>
    <x v="13"/>
    <s v="Whole"/>
    <s v="Whole"/>
    <x v="90"/>
    <x v="65"/>
    <x v="1"/>
    <x v="1"/>
    <s v="Rental"/>
    <n v="0"/>
    <x v="76"/>
    <n v="2503645.2000000002"/>
    <n v="35"/>
  </r>
  <r>
    <s v="26/08/2025"/>
    <s v="D-39"/>
    <s v="GR9080"/>
    <s v="MACADAMIA BOX 12"/>
    <s v="-"/>
    <s v="0 L"/>
    <n v="153333"/>
    <n v="21"/>
    <n v="11.34"/>
    <n v="238.14"/>
    <x v="8"/>
    <s v="Roasted Style-0"/>
    <s v="Size-0"/>
    <x v="91"/>
    <x v="77"/>
    <x v="1"/>
    <x v="1"/>
    <s v="Rental"/>
    <n v="0"/>
    <x v="77"/>
    <n v="426270.6"/>
    <n v="35"/>
  </r>
  <r>
    <s v="26/08/2025"/>
    <s v="D-39"/>
    <s v="GR9080"/>
    <s v="MACADAMIA BOX 12"/>
    <s v="-"/>
    <s v="1L"/>
    <n v="153334"/>
    <n v="21"/>
    <n v="11.34"/>
    <n v="238.14"/>
    <x v="8"/>
    <s v="Roasted Style-1"/>
    <s v="Size-1"/>
    <x v="92"/>
    <x v="78"/>
    <x v="1"/>
    <x v="1"/>
    <s v="Rental"/>
    <n v="0"/>
    <x v="78"/>
    <n v="416745"/>
    <n v="35"/>
  </r>
  <r>
    <s v="30/08/2025"/>
    <s v="D-514"/>
    <s v="GR3835"/>
    <s v="KHAJUR BOX (M) 5"/>
    <s v="MEDJOUL  JUMBO"/>
    <s v="502557821"/>
    <n v="6112"/>
    <n v="142"/>
    <n v="5"/>
    <n v="710"/>
    <x v="4"/>
    <s v="Medjoul-Jumbo"/>
    <s v="Jumbo"/>
    <x v="86"/>
    <x v="74"/>
    <x v="1"/>
    <x v="1"/>
    <s v="Rental"/>
    <s v="Hadiklaim"/>
    <x v="79"/>
    <n v="852184.6"/>
    <n v="31"/>
  </r>
  <r>
    <s v="30/08/2025"/>
    <s v="D-514"/>
    <s v="GR3835"/>
    <s v="KHAJUR BOX (M) 5"/>
    <s v="MEDJOUL  SUPER JUMBO"/>
    <s v="502557822"/>
    <n v="6099"/>
    <n v="142"/>
    <n v="5"/>
    <n v="710"/>
    <x v="4"/>
    <s v="Medjoul-Sup.Jumbo"/>
    <s v="S.JUMBO"/>
    <x v="20"/>
    <x v="79"/>
    <x v="1"/>
    <x v="1"/>
    <s v="Rental"/>
    <s v="Hadiklaim"/>
    <x v="80"/>
    <n v="916894.00000000012"/>
    <n v="31"/>
  </r>
  <r>
    <s v="05/09/2025"/>
    <s v="D-39"/>
    <s v="GR9633"/>
    <s v="CRANBERRY BOX 10"/>
    <s v="OCEANSPRAY"/>
    <s v="SLICE"/>
    <n v="155072"/>
    <n v="200"/>
    <n v="11.34"/>
    <n v="2268"/>
    <x v="13"/>
    <s v="Sliced"/>
    <s v="Sliced"/>
    <x v="83"/>
    <x v="70"/>
    <x v="1"/>
    <x v="1"/>
    <s v="Rental"/>
    <s v="Tajir"/>
    <x v="65"/>
    <n v="816480"/>
    <n v="25"/>
  </r>
  <r>
    <s v="10/09/2025"/>
    <s v="D-514"/>
    <s v="GR4094"/>
    <s v="KHAJUR BOX (M) 5"/>
    <s v="MDJL MEDIUM PREM(2301)"/>
    <s v="602413246"/>
    <n v="6410"/>
    <n v="66"/>
    <n v="5"/>
    <n v="330"/>
    <x v="4"/>
    <s v="Medjoul-MediumFor JTC"/>
    <s v="Medium"/>
    <x v="34"/>
    <x v="60"/>
    <x v="1"/>
    <x v="1"/>
    <s v="Rental"/>
    <s v="Hadiklaim"/>
    <x v="27"/>
    <n v="234960"/>
    <n v="20"/>
  </r>
  <r>
    <s v="10/09/2025"/>
    <s v="D-514"/>
    <s v="GR4094"/>
    <s v="KHAJUR BOX (M) 5"/>
    <s v="MDJL MEDIUM PREM(2302)"/>
    <s v="602413445"/>
    <n v="6409"/>
    <n v="210"/>
    <n v="5"/>
    <n v="1050"/>
    <x v="4"/>
    <s v="Medjoul-MediumFor JTC"/>
    <s v="Medium"/>
    <x v="34"/>
    <x v="60"/>
    <x v="1"/>
    <x v="1"/>
    <s v="Rental"/>
    <s v="Hadiklaim"/>
    <x v="27"/>
    <n v="747600"/>
    <n v="20"/>
  </r>
  <r>
    <s v="10/09/2025"/>
    <s v="D-514"/>
    <s v="GR4094"/>
    <s v="KHAJUR BOX (M) 5"/>
    <s v="MDJL MEDIUM PREM(2303)"/>
    <s v="602413444"/>
    <n v="6408"/>
    <n v="210"/>
    <n v="5"/>
    <n v="1050"/>
    <x v="4"/>
    <s v="Medjoul-MediumFor JTC"/>
    <s v="Medium"/>
    <x v="34"/>
    <x v="60"/>
    <x v="1"/>
    <x v="1"/>
    <s v="Rental"/>
    <s v="Hadiklaim"/>
    <x v="27"/>
    <n v="747600"/>
    <n v="20"/>
  </r>
  <r>
    <s v="11/09/2025"/>
    <s v="D-39"/>
    <s v="GR9902"/>
    <s v="PRUNES BOX 10"/>
    <s v="WILBUR PITTED"/>
    <s v="-"/>
    <n v="155639"/>
    <n v="350"/>
    <n v="11.34"/>
    <n v="3969"/>
    <x v="20"/>
    <s v="Pitted"/>
    <s v="Prunes"/>
    <x v="93"/>
    <x v="80"/>
    <x v="1"/>
    <x v="1"/>
    <s v="Factory"/>
    <n v="0"/>
    <x v="81"/>
    <n v="1865430"/>
    <n v="19"/>
  </r>
  <r>
    <s v="18/09/2025"/>
    <s v="D-39"/>
    <s v="GR10342"/>
    <s v="CRANBERRY BOX 10"/>
    <s v="OS-WHOLE DRIED CRANBERRY"/>
    <s v="-"/>
    <n v="156386"/>
    <n v="105"/>
    <n v="11.34"/>
    <n v="1190.7"/>
    <x v="13"/>
    <s v="Whole"/>
    <s v="Whole"/>
    <x v="90"/>
    <x v="65"/>
    <x v="1"/>
    <x v="1"/>
    <s v="Rental"/>
    <n v="0"/>
    <x v="76"/>
    <n v="494140.5"/>
    <n v="12"/>
  </r>
  <r>
    <s v="19/09/2025"/>
    <s v="D-39"/>
    <s v="GR10456"/>
    <s v="PRUNES BOX 10"/>
    <s v="WILBUR PITTED"/>
    <s v="-"/>
    <n v="156589"/>
    <n v="97"/>
    <n v="11.34"/>
    <n v="1099.98"/>
    <x v="20"/>
    <s v="Pitted"/>
    <s v="Wilbur"/>
    <x v="93"/>
    <x v="80"/>
    <x v="1"/>
    <x v="1"/>
    <s v="Rental"/>
    <n v="0"/>
    <x v="81"/>
    <n v="516990.60000000003"/>
    <n v="11"/>
  </r>
  <r>
    <s v="22/09/2025"/>
    <s v="D-39"/>
    <s v="GR10642"/>
    <s v="PECANS MAMMOTH BOX15"/>
    <s v="PECAN MAMMOTH HALVES DR"/>
    <s v="-"/>
    <n v="156948"/>
    <n v="30"/>
    <n v="13.6"/>
    <n v="408"/>
    <x v="12"/>
    <s v="Pecan"/>
    <s v="Kernels"/>
    <x v="89"/>
    <x v="63"/>
    <x v="1"/>
    <x v="1"/>
    <s v="Rental"/>
    <s v="Tajir"/>
    <x v="74"/>
    <n v="632400"/>
    <n v="8"/>
  </r>
  <r>
    <s v="25/09/2025"/>
    <s v="D-39"/>
    <s v="GR10914"/>
    <s v="KALINGAR MAGAZ BAG 50"/>
    <s v="GM WHITE"/>
    <s v="-"/>
    <n v="157514"/>
    <n v="59"/>
    <n v="50"/>
    <n v="2950"/>
    <x v="21"/>
    <s v="Watermelon"/>
    <s v="Seeds"/>
    <x v="94"/>
    <x v="81"/>
    <x v="1"/>
    <x v="1"/>
    <s v="Rental"/>
    <n v="0"/>
    <x v="82"/>
    <n v="1616600"/>
    <n v="5"/>
  </r>
  <r>
    <s v="29/09/2025"/>
    <s v="D-514"/>
    <s v="GR4583"/>
    <s v="KHAJUR BOX (M) 5"/>
    <s v="MDJL.PREM.LARGE(6895"/>
    <s v="502462440"/>
    <n v="7240"/>
    <n v="208"/>
    <n v="5"/>
    <n v="1040"/>
    <x v="4"/>
    <s v="Medjoul-Large"/>
    <s v="Large"/>
    <x v="36"/>
    <x v="82"/>
    <x v="1"/>
    <x v="1"/>
    <s v="Rental"/>
    <s v="Hadiklaim"/>
    <x v="29"/>
    <n v="849680"/>
    <n v="1"/>
  </r>
  <r>
    <s v="29/09/2025"/>
    <s v="D-514"/>
    <s v="GR4583"/>
    <s v="KHAJUR BOX (M) 5"/>
    <s v="MDJL.PREM.LARGE(6896"/>
    <s v="502480677"/>
    <n v="7241"/>
    <n v="108"/>
    <n v="5"/>
    <n v="540"/>
    <x v="4"/>
    <s v="Medjoul-Large"/>
    <s v="Large"/>
    <x v="36"/>
    <x v="82"/>
    <x v="1"/>
    <x v="1"/>
    <s v="Rental"/>
    <s v="Hadiklaim"/>
    <x v="29"/>
    <n v="441180"/>
    <n v="1"/>
  </r>
  <r>
    <s v="29/09/2025"/>
    <s v="D-514"/>
    <s v="GR4583"/>
    <s v="KHAJUR BOX (M) 5"/>
    <s v="MDJL.PREM.LARGE(6896"/>
    <s v="502480681"/>
    <n v="7242"/>
    <n v="80"/>
    <n v="5"/>
    <n v="400"/>
    <x v="4"/>
    <s v="Medjoul-Large"/>
    <s v="Large"/>
    <x v="36"/>
    <x v="82"/>
    <x v="1"/>
    <x v="1"/>
    <s v="Rental"/>
    <s v="Hadiklaim"/>
    <x v="29"/>
    <n v="326800"/>
    <n v="1"/>
  </r>
  <r>
    <s v="29/09/2025"/>
    <s v="D-514"/>
    <s v="GR4583"/>
    <s v="KHAJUR BOX (M) 5"/>
    <s v="MDJL.JUMBO PREMIUM (6911"/>
    <s v="6724527898"/>
    <n v="7243"/>
    <n v="24"/>
    <n v="5"/>
    <n v="120"/>
    <x v="4"/>
    <s v="Medjoul-Jumbo"/>
    <s v="Jumbo"/>
    <x v="86"/>
    <x v="74"/>
    <x v="1"/>
    <x v="1"/>
    <s v="Rental"/>
    <s v="Hadiklaim"/>
    <x v="28"/>
    <n v="125400"/>
    <n v="1"/>
  </r>
  <r>
    <s v="29/09/2025"/>
    <s v="D-514"/>
    <s v="GR4583"/>
    <s v="KHAJUR BOX (M) 5"/>
    <s v="MDJL.JUMBO PRIMIUM (6912"/>
    <s v="6724527901"/>
    <n v="7244"/>
    <n v="208"/>
    <n v="5"/>
    <n v="1040"/>
    <x v="4"/>
    <s v="Medjoul-Jumbo"/>
    <s v="Jumbo"/>
    <x v="86"/>
    <x v="74"/>
    <x v="1"/>
    <x v="1"/>
    <s v="Rental"/>
    <s v="Hadiklaim"/>
    <x v="28"/>
    <n v="1086800"/>
    <n v="1"/>
  </r>
  <r>
    <s v="29/09/2025"/>
    <s v="D-514"/>
    <s v="GR4583"/>
    <s v="KHAJUR BOX (M) 5"/>
    <s v="MDJL.MINI (6894"/>
    <s v="402433002"/>
    <n v="7245"/>
    <n v="208"/>
    <n v="5"/>
    <n v="1040"/>
    <x v="4"/>
    <s v="Medjoul-Mini"/>
    <s v="Mini"/>
    <x v="37"/>
    <x v="83"/>
    <x v="1"/>
    <x v="1"/>
    <s v="Rental"/>
    <s v="Hadiklaim"/>
    <x v="30"/>
    <n v="496080"/>
    <n v="1"/>
  </r>
  <r>
    <s v="29/09/2025"/>
    <s v="D-514"/>
    <s v="GR4583"/>
    <s v="KHAJUR BOX (M) 5"/>
    <s v="MDJL. MINI (6893"/>
    <s v="4002433001"/>
    <n v="7246"/>
    <n v="208"/>
    <n v="5"/>
    <n v="1040"/>
    <x v="4"/>
    <s v="Medjoul-Mini"/>
    <s v="Mini"/>
    <x v="37"/>
    <x v="83"/>
    <x v="1"/>
    <x v="1"/>
    <s v="Rental"/>
    <s v="Hadiklaim"/>
    <x v="30"/>
    <n v="496080"/>
    <n v="1"/>
  </r>
  <r>
    <s v="29/09/2025"/>
    <s v="D-514"/>
    <s v="GR4583"/>
    <s v="KHAJUR BOX (M) 5"/>
    <s v="MDJL.DERI BULK(6907"/>
    <s v="672440305"/>
    <n v="7247"/>
    <n v="198"/>
    <n v="5"/>
    <n v="990"/>
    <x v="1"/>
    <s v="Deri"/>
    <s v="Deri"/>
    <x v="12"/>
    <x v="11"/>
    <x v="1"/>
    <x v="1"/>
    <s v="Rental"/>
    <s v="Hadiklaim"/>
    <x v="11"/>
    <n v="299970"/>
    <n v="1"/>
  </r>
  <r>
    <s v="29/09/2025"/>
    <s v="D-514"/>
    <s v="GR4577"/>
    <s v="KHAJUR BOX (M) 5"/>
    <s v="DEGL.NOOR BRANCH(6902"/>
    <s v="552420400"/>
    <n v="7231"/>
    <n v="198"/>
    <n v="5"/>
    <n v="990"/>
    <x v="4"/>
    <s v="DEGLET NOUR"/>
    <s v="DEGLET NOUR"/>
    <x v="18"/>
    <x v="73"/>
    <x v="1"/>
    <x v="1"/>
    <s v="Rental"/>
    <s v="Hadiklaim"/>
    <x v="83"/>
    <n v="521730"/>
    <n v="1"/>
  </r>
  <r>
    <s v="29/09/2025"/>
    <s v="D-514"/>
    <s v="GR4577"/>
    <s v="KHAJUR BOX (M) 5"/>
    <s v="DEGL.NOOR BRANCH(6903"/>
    <s v="502420403"/>
    <n v="7232"/>
    <n v="198"/>
    <n v="5"/>
    <n v="990"/>
    <x v="4"/>
    <s v="DEGLET NOUR"/>
    <s v="DEGLET NOUR"/>
    <x v="18"/>
    <x v="73"/>
    <x v="1"/>
    <x v="1"/>
    <s v="Rental"/>
    <s v="Hadiklaim"/>
    <x v="83"/>
    <n v="521730"/>
    <n v="1"/>
  </r>
  <r>
    <s v="29/09/2025"/>
    <s v="D-514"/>
    <s v="GR4577"/>
    <s v="KHAJUR BOX (M) 5"/>
    <s v="DERI BULK (6904)"/>
    <s v="672440301"/>
    <n v="7233"/>
    <n v="198"/>
    <n v="5"/>
    <n v="990"/>
    <x v="1"/>
    <s v="Deri"/>
    <s v="Deri"/>
    <x v="12"/>
    <x v="11"/>
    <x v="1"/>
    <x v="1"/>
    <s v="Rental"/>
    <s v="Hadiklaim"/>
    <x v="11"/>
    <n v="299970"/>
    <n v="1"/>
  </r>
  <r>
    <s v="29/09/2025"/>
    <s v="D-514"/>
    <s v="GR4577"/>
    <s v="KHAJUR BOX (M) 5"/>
    <s v="DERI BULK(6905)"/>
    <s v="1750105035)"/>
    <n v="7234"/>
    <n v="198"/>
    <n v="5"/>
    <n v="990"/>
    <x v="1"/>
    <s v="Deri"/>
    <s v="Deri"/>
    <x v="12"/>
    <x v="11"/>
    <x v="1"/>
    <x v="1"/>
    <s v="Rental"/>
    <s v="Hadiklaim"/>
    <x v="11"/>
    <n v="299970"/>
    <n v="1"/>
  </r>
  <r>
    <s v="29/09/2025"/>
    <s v="D-514"/>
    <s v="GR4577"/>
    <s v="KHAJUR BOX (M) 5"/>
    <s v="DERI BULK(6906)"/>
    <s v="1750105035"/>
    <n v="7235"/>
    <n v="198"/>
    <n v="5"/>
    <n v="990"/>
    <x v="1"/>
    <s v="Deri"/>
    <s v="Deri"/>
    <x v="12"/>
    <x v="11"/>
    <x v="1"/>
    <x v="1"/>
    <s v="Rental"/>
    <s v="Hadiklaim"/>
    <x v="11"/>
    <n v="299970"/>
    <n v="1"/>
  </r>
  <r>
    <s v="29/09/2025"/>
    <s v="D-514"/>
    <s v="GR4577"/>
    <s v="KHAJUR BOX (M) 5"/>
    <s v="DERI BULK(6908)"/>
    <s v="1750105035"/>
    <n v="7236"/>
    <n v="198"/>
    <n v="5"/>
    <n v="990"/>
    <x v="1"/>
    <s v="Deri"/>
    <s v="Deri"/>
    <x v="12"/>
    <x v="11"/>
    <x v="1"/>
    <x v="1"/>
    <s v="Rental"/>
    <s v="Hadiklaim"/>
    <x v="11"/>
    <n v="299970"/>
    <n v="1"/>
  </r>
  <r>
    <s v="29/09/2025"/>
    <s v="D-514"/>
    <s v="GR4583"/>
    <s v="KHAJUR BOX (M) 5"/>
    <s v="MDJL.PREM.LARGE(6897"/>
    <s v="1350105480"/>
    <n v="7239"/>
    <n v="208"/>
    <n v="5"/>
    <n v="1040"/>
    <x v="4"/>
    <s v="Medjoul-Large"/>
    <s v="Large"/>
    <x v="36"/>
    <x v="82"/>
    <x v="1"/>
    <x v="1"/>
    <s v="Rental"/>
    <s v="Hadiklaim"/>
    <x v="29"/>
    <n v="849680"/>
    <n v="1"/>
  </r>
  <r>
    <s v="29/09/2025"/>
    <s v="D-514"/>
    <s v="GR4583"/>
    <s v="KHAJUR BOX (M) 5"/>
    <s v="MDJL.PREM.LARGE(6899"/>
    <s v="502480680"/>
    <n v="7237"/>
    <n v="208"/>
    <n v="5"/>
    <n v="1040"/>
    <x v="4"/>
    <s v="Medjoul-Large"/>
    <s v="Large"/>
    <x v="36"/>
    <x v="82"/>
    <x v="1"/>
    <x v="1"/>
    <s v="Rental"/>
    <s v="Hadiklaim"/>
    <x v="29"/>
    <n v="849680"/>
    <n v="1"/>
  </r>
  <r>
    <s v="29/09/2025"/>
    <s v="D-514"/>
    <s v="GR4583"/>
    <s v="KHAJUR BOX (M) 5"/>
    <s v="MDJL.PREM.LARGE(6898"/>
    <s v="1350105480"/>
    <n v="7238"/>
    <n v="208"/>
    <n v="5"/>
    <n v="1040"/>
    <x v="4"/>
    <s v="Medjoul-Large"/>
    <s v="Large"/>
    <x v="36"/>
    <x v="82"/>
    <x v="1"/>
    <x v="1"/>
    <s v="Rental"/>
    <s v="Hadiklaim"/>
    <x v="29"/>
    <n v="849680"/>
    <n v="1"/>
  </r>
  <r>
    <s v="08/05/2025"/>
    <s v="D-514"/>
    <s v="GR986"/>
    <s v="KHAJUR BOX (M) 5"/>
    <s v="MDJL JUNR PREMIUM"/>
    <s v="1361105623"/>
    <n v="2304"/>
    <n v="210"/>
    <n v="5"/>
    <n v="1050"/>
    <x v="4"/>
    <s v="Medjoul-Junior"/>
    <s v="Junior"/>
    <x v="33"/>
    <x v="59"/>
    <x v="1"/>
    <x v="0"/>
    <s v="Bond"/>
    <s v="Hadiklaim"/>
    <x v="26"/>
    <n v="643650"/>
    <n v="145"/>
  </r>
  <r>
    <s v="08/05/2025"/>
    <s v="D-514"/>
    <s v="GR986"/>
    <s v="KHAJUR BOX (M) 5"/>
    <s v="MDJL JUNR PREMIUM"/>
    <s v="1361105623.."/>
    <n v="2305"/>
    <n v="210"/>
    <n v="5"/>
    <n v="1050"/>
    <x v="4"/>
    <s v="Medjoul-Junior"/>
    <s v="Junior"/>
    <x v="33"/>
    <x v="59"/>
    <x v="1"/>
    <x v="0"/>
    <s v="Bond"/>
    <s v="Hadiklaim"/>
    <x v="26"/>
    <n v="643650"/>
    <n v="145"/>
  </r>
  <r>
    <s v="08/05/2025"/>
    <s v="D-514"/>
    <s v="GR986"/>
    <s v="KHAJUR BOX (M) 5"/>
    <s v="MDJL JUNR PREMIUM."/>
    <s v="1361105623"/>
    <n v="2306"/>
    <n v="210"/>
    <n v="5"/>
    <n v="1050"/>
    <x v="4"/>
    <s v="Medjoul-Junior"/>
    <s v="Junior"/>
    <x v="33"/>
    <x v="59"/>
    <x v="1"/>
    <x v="0"/>
    <s v="Bond"/>
    <s v="Hadiklaim"/>
    <x v="26"/>
    <n v="643650"/>
    <n v="145"/>
  </r>
  <r>
    <s v="08/05/2025"/>
    <s v="D-514"/>
    <s v="GR986"/>
    <s v="KHAJUR BOX (M) 5"/>
    <s v="MDJL JUNR PREMIUM"/>
    <s v="1361105623..."/>
    <n v="2307"/>
    <n v="210"/>
    <n v="5"/>
    <n v="1050"/>
    <x v="4"/>
    <s v="Medjoul-Junior"/>
    <s v="Junior"/>
    <x v="33"/>
    <x v="59"/>
    <x v="1"/>
    <x v="0"/>
    <s v="Bond"/>
    <s v="Hadiklaim"/>
    <x v="26"/>
    <n v="643650"/>
    <n v="145"/>
  </r>
  <r>
    <s v="08/05/2025"/>
    <s v="D-514"/>
    <s v="GR986"/>
    <s v="KHAJUR BOX (M) 5"/>
    <s v="MDJL JUNR PREMIUM"/>
    <s v="1361105623"/>
    <n v="2313"/>
    <n v="210"/>
    <n v="5"/>
    <n v="1050"/>
    <x v="4"/>
    <s v="Medjoul-Junior"/>
    <s v="Junior"/>
    <x v="33"/>
    <x v="59"/>
    <x v="1"/>
    <x v="0"/>
    <s v="Bond"/>
    <s v="Hadiklaim"/>
    <x v="26"/>
    <n v="643650"/>
    <n v="145"/>
  </r>
  <r>
    <s v="08/05/2025"/>
    <s v="D-514"/>
    <s v="GR986"/>
    <s v="KHAJUR BOX (M) 5"/>
    <s v="MDJL JUNR PREMIUM."/>
    <s v="1361105623..."/>
    <n v="2309"/>
    <n v="210"/>
    <n v="5"/>
    <n v="1050"/>
    <x v="4"/>
    <s v="Medjoul-Junior"/>
    <s v="Junior"/>
    <x v="33"/>
    <x v="59"/>
    <x v="1"/>
    <x v="0"/>
    <s v="Bond"/>
    <s v="Hadiklaim"/>
    <x v="26"/>
    <n v="643650"/>
    <n v="145"/>
  </r>
  <r>
    <s v="08/05/2025"/>
    <s v="D-514"/>
    <s v="GR986"/>
    <s v="KHAJUR BOX (M) 5"/>
    <s v="MDJL JUNR PREMIUM..."/>
    <s v="1361105623."/>
    <n v="2310"/>
    <n v="210"/>
    <n v="5"/>
    <n v="1050"/>
    <x v="4"/>
    <s v="Medjoul-Junior"/>
    <s v="Junior"/>
    <x v="33"/>
    <x v="59"/>
    <x v="1"/>
    <x v="0"/>
    <s v="Bond"/>
    <s v="Hadiklaim"/>
    <x v="26"/>
    <n v="643650"/>
    <n v="145"/>
  </r>
  <r>
    <s v="08/05/2025"/>
    <s v="D-514"/>
    <s v="GR986"/>
    <s v="KHAJUR BOX (M) 5"/>
    <s v="MDJL JUNR PREMIUM"/>
    <s v="1361105623"/>
    <n v="2311"/>
    <n v="210"/>
    <n v="5"/>
    <n v="1050"/>
    <x v="4"/>
    <s v="Medjoul-Junior"/>
    <s v="Junior"/>
    <x v="33"/>
    <x v="59"/>
    <x v="1"/>
    <x v="0"/>
    <s v="Bond"/>
    <s v="Hadiklaim"/>
    <x v="26"/>
    <n v="643650"/>
    <n v="145"/>
  </r>
  <r>
    <s v="08/05/2025"/>
    <s v="D-514"/>
    <s v="GR986"/>
    <s v="KHAJUR BOX (M) 5"/>
    <s v="MDJL JUNR PREMIUM,"/>
    <s v="1361105623"/>
    <n v="2312"/>
    <n v="210"/>
    <n v="5"/>
    <n v="1050"/>
    <x v="4"/>
    <s v="Medjoul-Junior"/>
    <s v="Junior"/>
    <x v="33"/>
    <x v="59"/>
    <x v="1"/>
    <x v="0"/>
    <s v="Bond"/>
    <s v="Hadiklaim"/>
    <x v="26"/>
    <n v="643650"/>
    <n v="145"/>
  </r>
  <r>
    <s v="08/05/2025"/>
    <s v="D-514"/>
    <s v="GR986"/>
    <s v="KHAJUR BOX (M) 5"/>
    <s v="MDJL JUNR PREMIUM..."/>
    <s v="1361105623"/>
    <n v="2308"/>
    <n v="210"/>
    <n v="5"/>
    <n v="1050"/>
    <x v="4"/>
    <s v="Medjoul-Junior"/>
    <s v="Junior"/>
    <x v="33"/>
    <x v="59"/>
    <x v="1"/>
    <x v="0"/>
    <s v="Bond"/>
    <s v="Hadiklaim"/>
    <x v="26"/>
    <n v="643650"/>
    <n v="145"/>
  </r>
  <r>
    <d v="2024-01-06T00:00:00"/>
    <s v="Rishi"/>
    <s v="Rishi Cold"/>
    <s v="Safawi Dates 20kg"/>
    <s v="Safawi"/>
    <s v="Safawi"/>
    <n v="105688"/>
    <n v="0"/>
    <n v="20"/>
    <n v="0"/>
    <x v="4"/>
    <s v="Safawi"/>
    <s v="Safawi"/>
    <x v="16"/>
    <x v="6"/>
    <x v="0"/>
    <x v="2"/>
    <s v="Rental"/>
    <s v="Local"/>
    <x v="6"/>
    <n v="0"/>
    <n v="633"/>
  </r>
  <r>
    <d v="2024-01-09T00:00:00"/>
    <s v="Rishi"/>
    <s v="Rishi Cold"/>
    <s v="Safawi Dates 20kg"/>
    <s v="Safawi"/>
    <s v="Safawi"/>
    <n v="105768"/>
    <n v="94"/>
    <n v="20"/>
    <n v="1880"/>
    <x v="4"/>
    <s v="Safawi"/>
    <s v="Safawi"/>
    <x v="16"/>
    <x v="6"/>
    <x v="0"/>
    <x v="2"/>
    <s v="Rental"/>
    <s v="Local"/>
    <x v="6"/>
    <n v="1034000"/>
    <n v="630"/>
  </r>
  <r>
    <d v="2024-01-17T00:00:00"/>
    <s v="Rishi"/>
    <s v="Rishi Cold"/>
    <s v="AL BARAKAH MARYAM DATES 5KGS"/>
    <s v="Maryan"/>
    <s v="Maryam"/>
    <n v="105943"/>
    <n v="2"/>
    <n v="5"/>
    <n v="10"/>
    <x v="4"/>
    <s v="Maryam"/>
    <s v="Maryam"/>
    <x v="95"/>
    <x v="84"/>
    <x v="0"/>
    <x v="2"/>
    <s v="Rental"/>
    <s v="AL BARAKAH"/>
    <x v="84"/>
    <n v="4450"/>
    <n v="622"/>
  </r>
  <r>
    <d v="2024-03-11T00:00:00"/>
    <s v="Rishi"/>
    <s v="Rishi Cold"/>
    <s v="Safawi Dates 10kg"/>
    <s v="Safawi"/>
    <s v="Safawi"/>
    <n v="107030"/>
    <n v="0"/>
    <n v="10"/>
    <n v="0"/>
    <x v="4"/>
    <s v="Safawi"/>
    <s v="Safawi"/>
    <x v="14"/>
    <x v="6"/>
    <x v="0"/>
    <x v="2"/>
    <s v="Rental"/>
    <s v="Local"/>
    <x v="6"/>
    <n v="0"/>
    <n v="568"/>
  </r>
  <r>
    <d v="2024-03-21T00:00:00"/>
    <s v="Rishi"/>
    <s v="Rishi Cold"/>
    <s v="Dry Dates 12kg"/>
    <s v="Dry Dates"/>
    <s v="Dry Dates"/>
    <n v="107268"/>
    <n v="49"/>
    <n v="12"/>
    <n v="588"/>
    <x v="3"/>
    <s v="Dry Dates"/>
    <s v="Local"/>
    <x v="96"/>
    <x v="85"/>
    <x v="0"/>
    <x v="2"/>
    <s v="Rental"/>
    <s v="Local"/>
    <x v="7"/>
    <n v="147000"/>
    <n v="558"/>
  </r>
  <r>
    <d v="2024-11-08T00:00:00"/>
    <s v="Rishi"/>
    <s v="Rishi Cold"/>
    <s v="WET DATES BOX 10KG"/>
    <s v="Fard"/>
    <s v="-"/>
    <n v="113174"/>
    <n v="2631"/>
    <n v="10"/>
    <n v="26310"/>
    <x v="1"/>
    <s v="Fard-Std"/>
    <s v="Standard"/>
    <x v="97"/>
    <x v="10"/>
    <x v="0"/>
    <x v="2"/>
    <s v="Rental"/>
    <s v="AL BARAKAH"/>
    <x v="85"/>
    <n v="5130450"/>
    <n v="326"/>
  </r>
  <r>
    <d v="2024-12-03T00:00:00"/>
    <s v="Rishi"/>
    <s v="Rishi Cold"/>
    <s v="AL BARAKAH KHALAS DATES Premium 10kgs"/>
    <s v="Khalas"/>
    <s v="-"/>
    <n v="113940"/>
    <n v="57"/>
    <n v="10"/>
    <n v="570"/>
    <x v="1"/>
    <s v="Khalas"/>
    <s v="Premium"/>
    <x v="98"/>
    <x v="86"/>
    <x v="0"/>
    <x v="2"/>
    <s v="Rental"/>
    <s v="AL BARAKAH"/>
    <x v="12"/>
    <n v="66120"/>
    <n v="301"/>
  </r>
  <r>
    <d v="2024-12-10T00:00:00"/>
    <s v="Rishi"/>
    <s v="Rishi Cold"/>
    <s v="WET DATES BOX 10KG"/>
    <s v="Fard Premium"/>
    <s v="-"/>
    <n v="114156"/>
    <n v="198"/>
    <n v="10"/>
    <n v="1980"/>
    <x v="1"/>
    <s v="Fard-Std"/>
    <s v="Standard"/>
    <x v="11"/>
    <x v="10"/>
    <x v="0"/>
    <x v="2"/>
    <s v="Rental"/>
    <s v="AL BARAKAH"/>
    <x v="10"/>
    <n v="411840"/>
    <n v="294"/>
  </r>
  <r>
    <d v="2024-12-10T00:00:00"/>
    <s v="Rishi"/>
    <s v="Rishi Cold"/>
    <s v="AL BARAKAH KHALAS DATES Premium 10kgs"/>
    <s v="Khalas"/>
    <s v="-"/>
    <n v="114157"/>
    <n v="1521"/>
    <n v="10"/>
    <n v="15210"/>
    <x v="1"/>
    <s v="Khalas"/>
    <s v="Premium"/>
    <x v="98"/>
    <x v="86"/>
    <x v="0"/>
    <x v="2"/>
    <s v="Rental"/>
    <s v="AL BARAKAH"/>
    <x v="12"/>
    <n v="1764360"/>
    <n v="294"/>
  </r>
  <r>
    <d v="2024-12-10T00:00:00"/>
    <s v="Rishi"/>
    <s v="Rishi Cold"/>
    <s v="AL BARAKAH SUFRI DATES Premium 10kgs"/>
    <s v="Sufri"/>
    <s v="-"/>
    <n v="114158"/>
    <n v="340"/>
    <n v="10"/>
    <n v="3400"/>
    <x v="1"/>
    <s v="Sufri"/>
    <s v="Premium"/>
    <x v="99"/>
    <x v="87"/>
    <x v="0"/>
    <x v="2"/>
    <s v="Rental"/>
    <s v="AL BARAKAH"/>
    <x v="86"/>
    <n v="387600"/>
    <n v="294"/>
  </r>
  <r>
    <d v="2024-12-13T00:00:00"/>
    <s v="Rishi"/>
    <s v="Rishi Cold"/>
    <s v="AL BARAKAH KHALAS DATES Premium 10kgs"/>
    <s v="Khalas"/>
    <s v="-"/>
    <n v="114238"/>
    <n v="568"/>
    <n v="10"/>
    <n v="5680"/>
    <x v="1"/>
    <s v="Khalas"/>
    <s v="Premium"/>
    <x v="98"/>
    <x v="86"/>
    <x v="0"/>
    <x v="2"/>
    <s v="Rental"/>
    <s v="AL BARAKAH"/>
    <x v="12"/>
    <n v="658880"/>
    <n v="291"/>
  </r>
  <r>
    <d v="2024-12-13T00:00:00"/>
    <s v="Rishi"/>
    <s v="Rishi Cold"/>
    <s v="AL BARAKAH KHALAS DATES Premium 10kgs"/>
    <s v="Khalas"/>
    <s v="-"/>
    <n v="114268"/>
    <n v="2573"/>
    <n v="10"/>
    <n v="25730"/>
    <x v="1"/>
    <s v="Khalas"/>
    <s v="Premium"/>
    <x v="98"/>
    <x v="86"/>
    <x v="0"/>
    <x v="2"/>
    <s v="Rental"/>
    <s v="AL BARAKAH"/>
    <x v="12"/>
    <n v="2984680"/>
    <n v="291"/>
  </r>
  <r>
    <d v="2024-12-14T00:00:00"/>
    <s v="Rishi"/>
    <s v="Rishi Cold"/>
    <s v="AL BARAKAH KHALAS DATES Premium 10kgs"/>
    <s v="Khalas"/>
    <s v="-"/>
    <n v="114290"/>
    <n v="2595"/>
    <n v="10"/>
    <n v="25950"/>
    <x v="1"/>
    <s v="Khalas"/>
    <s v="Premium"/>
    <x v="98"/>
    <x v="86"/>
    <x v="0"/>
    <x v="2"/>
    <s v="Rental"/>
    <s v="AL BARAKAH"/>
    <x v="12"/>
    <n v="3010200"/>
    <n v="290"/>
  </r>
  <r>
    <d v="2024-12-14T00:00:00"/>
    <s v="Rishi"/>
    <s v="Rishi Cold"/>
    <s v="AL BARAKAH KHALAS DATES Premium 10kgs"/>
    <s v="Khalas"/>
    <s v="-"/>
    <n v="114308"/>
    <n v="1627"/>
    <n v="10"/>
    <n v="16270"/>
    <x v="1"/>
    <s v="Khalas"/>
    <s v="Premium"/>
    <x v="98"/>
    <x v="86"/>
    <x v="0"/>
    <x v="2"/>
    <s v="Rental"/>
    <s v="AL BARAKAH"/>
    <x v="12"/>
    <n v="1887320"/>
    <n v="290"/>
  </r>
  <r>
    <d v="2024-12-21T00:00:00"/>
    <s v="Rishi"/>
    <s v="Rishi Cold"/>
    <s v="AL BARAKAH KHALAS DATES Premium 10kgs"/>
    <s v="Khalas"/>
    <s v="-"/>
    <n v="114483"/>
    <n v="1985"/>
    <n v="10"/>
    <n v="19850"/>
    <x v="1"/>
    <s v="Khalas"/>
    <s v="Premium"/>
    <x v="98"/>
    <x v="86"/>
    <x v="0"/>
    <x v="2"/>
    <s v="Rental"/>
    <s v="AL BARAKAH"/>
    <x v="12"/>
    <n v="2302600"/>
    <n v="283"/>
  </r>
  <r>
    <d v="2024-12-30T00:00:00"/>
    <s v="Rishi"/>
    <s v="Rishi Cold"/>
    <s v="10KG AL BARAKAH FARD DATES - STANDARD"/>
    <s v="Fard Standard"/>
    <s v="Reliance Rejected"/>
    <n v="114748"/>
    <n v="350"/>
    <n v="10"/>
    <n v="3500"/>
    <x v="1"/>
    <s v="Fard-Std"/>
    <s v="Standard"/>
    <x v="11"/>
    <x v="10"/>
    <x v="0"/>
    <x v="2"/>
    <s v="Rental"/>
    <s v="AL BARAKAH"/>
    <x v="10"/>
    <n v="728000"/>
    <n v="274"/>
  </r>
  <r>
    <d v="2024-12-31T00:00:00"/>
    <s v="Rishi"/>
    <s v="Rishi Cold"/>
    <s v="10KG AL BARAKAH FARD DATES - STANDARD"/>
    <s v="FARAD STANDRAD"/>
    <m/>
    <n v="114755"/>
    <n v="147"/>
    <n v="10"/>
    <n v="1470"/>
    <x v="1"/>
    <s v="Fard-Std"/>
    <s v="Standard"/>
    <x v="11"/>
    <x v="10"/>
    <x v="0"/>
    <x v="2"/>
    <s v="Rental"/>
    <s v="AL BARAKAH"/>
    <x v="10"/>
    <n v="305760"/>
    <n v="273"/>
  </r>
  <r>
    <d v="2024-12-31T00:00:00"/>
    <s v="Rishi"/>
    <s v="Rishi Cold"/>
    <s v="AL BARAKAH KHALAS DATES Premium 10kgs"/>
    <s v="KHALAS"/>
    <m/>
    <n v="114757"/>
    <n v="200"/>
    <n v="10"/>
    <n v="2000"/>
    <x v="1"/>
    <s v="Khalas"/>
    <s v="Premium"/>
    <x v="98"/>
    <x v="86"/>
    <x v="0"/>
    <x v="2"/>
    <s v="Rental"/>
    <s v="AL BARAKAH"/>
    <x v="12"/>
    <n v="232000"/>
    <n v="273"/>
  </r>
  <r>
    <d v="2025-01-11T00:00:00"/>
    <s v="Rishi"/>
    <s v="Rishi Cold"/>
    <s v="AL-BARKHA"/>
    <s v="AL-BARKHA"/>
    <m/>
    <n v="114981"/>
    <n v="0"/>
    <n v="10"/>
    <n v="0"/>
    <x v="1"/>
    <s v="Khalas"/>
    <s v="Seedless"/>
    <x v="100"/>
    <x v="88"/>
    <x v="0"/>
    <x v="2"/>
    <s v="Rental"/>
    <s v="AL BARAKAH"/>
    <x v="87"/>
    <n v="0"/>
    <n v="262"/>
  </r>
  <r>
    <d v="2025-01-15T00:00:00"/>
    <s v="Rishi"/>
    <s v="Rishi Cold"/>
    <s v="FARD STAND"/>
    <s v="FARD STAND"/>
    <m/>
    <n v="115101"/>
    <n v="90"/>
    <n v="10"/>
    <n v="900"/>
    <x v="1"/>
    <s v="Fard-Std"/>
    <s v="Standard"/>
    <x v="11"/>
    <x v="10"/>
    <x v="0"/>
    <x v="2"/>
    <s v="Rental"/>
    <s v="AL BARAKAH"/>
    <x v="10"/>
    <n v="187200"/>
    <n v="258"/>
  </r>
  <r>
    <d v="2025-01-27T00:00:00"/>
    <s v="Rishi"/>
    <s v="Rishi Cold"/>
    <s v="WHITE"/>
    <s v="WHITE"/>
    <m/>
    <n v="115342"/>
    <n v="26"/>
    <n v="20"/>
    <n v="520"/>
    <x v="4"/>
    <s v="Safawi"/>
    <s v="Safawi"/>
    <x v="101"/>
    <x v="6"/>
    <x v="0"/>
    <x v="2"/>
    <s v="Rental"/>
    <s v="Local"/>
    <x v="6"/>
    <n v="286000"/>
    <n v="246"/>
  </r>
  <r>
    <d v="2025-01-30T00:00:00"/>
    <s v="Rishi"/>
    <s v="Rishi Cold"/>
    <s v="FARD-STAND"/>
    <s v="FARD-STAND"/>
    <m/>
    <n v="115424"/>
    <n v="1350"/>
    <n v="10"/>
    <n v="13500"/>
    <x v="1"/>
    <s v="Fard-Std"/>
    <s v="Standard"/>
    <x v="11"/>
    <x v="10"/>
    <x v="0"/>
    <x v="2"/>
    <s v="Rental"/>
    <s v="AL BARAKAH"/>
    <x v="10"/>
    <n v="2808000"/>
    <n v="243"/>
  </r>
  <r>
    <d v="2025-02-02T00:00:00"/>
    <s v="Rishi"/>
    <s v="Rishi Cold"/>
    <s v="WET DATES BOX 10KG"/>
    <s v="AL - BARAKH"/>
    <m/>
    <n v="115505"/>
    <n v="763"/>
    <n v="10"/>
    <n v="7630"/>
    <x v="1"/>
    <s v="Reziz"/>
    <s v="Standard"/>
    <x v="102"/>
    <x v="89"/>
    <x v="0"/>
    <x v="2"/>
    <s v="Rental"/>
    <s v="AL BARAKAH"/>
    <x v="88"/>
    <n v="669151"/>
    <n v="240"/>
  </r>
  <r>
    <d v="2025-02-16T00:00:00"/>
    <s v="Rishi"/>
    <s v="Rishi Cold"/>
    <s v="WET DATES BOX 10KG"/>
    <s v="FARD-STAND"/>
    <m/>
    <n v="115795"/>
    <n v="724"/>
    <n v="10"/>
    <n v="7240"/>
    <x v="1"/>
    <s v="Fard-Std"/>
    <s v="Standard"/>
    <x v="11"/>
    <x v="10"/>
    <x v="0"/>
    <x v="2"/>
    <s v="Rental"/>
    <s v="AL BARAKAH"/>
    <x v="10"/>
    <n v="1505920"/>
    <n v="226"/>
  </r>
  <r>
    <d v="2025-02-26T00:00:00"/>
    <s v="Rishi"/>
    <s v="Rishi Cold"/>
    <s v="WET DATES BOX 10KG"/>
    <s v="FARD - STAND"/>
    <m/>
    <n v="115988"/>
    <n v="427"/>
    <n v="10"/>
    <n v="4270"/>
    <x v="1"/>
    <s v="Fard-Std"/>
    <s v="Standard"/>
    <x v="11"/>
    <x v="10"/>
    <x v="0"/>
    <x v="2"/>
    <s v="Rental"/>
    <s v="AL BARAKAH"/>
    <x v="10"/>
    <n v="888160"/>
    <n v="216"/>
  </r>
  <r>
    <d v="2025-03-01T00:00:00"/>
    <s v="Rishi"/>
    <s v="Rishi Cold"/>
    <s v="WET DATES BOX 10KG"/>
    <s v="KHALAS"/>
    <m/>
    <n v="116061"/>
    <n v="700"/>
    <n v="10"/>
    <n v="7000"/>
    <x v="1"/>
    <s v="Khalas"/>
    <s v="Premium"/>
    <x v="98"/>
    <x v="90"/>
    <x v="0"/>
    <x v="2"/>
    <s v="Rental"/>
    <s v="AL BARAKAH"/>
    <x v="12"/>
    <n v="812000"/>
    <n v="213"/>
  </r>
  <r>
    <d v="2025-03-03T00:00:00"/>
    <s v="Rishi"/>
    <s v="Rishi Cold"/>
    <s v="WET DATES BOX 10KG"/>
    <s v="FARD - STAND"/>
    <m/>
    <n v="116095"/>
    <n v="285"/>
    <n v="10"/>
    <n v="2850"/>
    <x v="1"/>
    <s v="Fard-Std"/>
    <s v="Standard"/>
    <x v="11"/>
    <x v="10"/>
    <x v="0"/>
    <x v="2"/>
    <s v="Rental"/>
    <s v="AL BARAKAH"/>
    <x v="10"/>
    <n v="592800"/>
    <n v="211"/>
  </r>
  <r>
    <d v="2025-03-04T00:00:00"/>
    <s v="Rishi"/>
    <s v="Rishi Cold"/>
    <s v="WET DATES BOX 10KG"/>
    <s v="FARD - STAND"/>
    <m/>
    <n v="116119"/>
    <n v="99"/>
    <n v="10"/>
    <n v="990"/>
    <x v="1"/>
    <s v="Fard-Std"/>
    <s v="Standard"/>
    <x v="11"/>
    <x v="10"/>
    <x v="0"/>
    <x v="2"/>
    <s v="Rental"/>
    <s v="AL BARAKAH"/>
    <x v="10"/>
    <n v="205920"/>
    <n v="210"/>
  </r>
  <r>
    <d v="2025-03-04T00:00:00"/>
    <s v="Rishi"/>
    <s v="Rishi Cold"/>
    <s v="WET DATES BOX 10KG"/>
    <s v="KHALAS"/>
    <m/>
    <n v="116121"/>
    <n v="500"/>
    <n v="10"/>
    <n v="5000"/>
    <x v="1"/>
    <s v="Khalas"/>
    <s v="Premium"/>
    <x v="98"/>
    <x v="90"/>
    <x v="0"/>
    <x v="2"/>
    <s v="Rental"/>
    <s v="AL BARAKAH"/>
    <x v="12"/>
    <n v="580000"/>
    <n v="210"/>
  </r>
  <r>
    <d v="2025-03-04T00:00:00"/>
    <s v="Rishi"/>
    <s v="Rishi Cold"/>
    <s v="WET DATES BOX 10KG"/>
    <s v="FARD - PREMI"/>
    <m/>
    <n v="116101"/>
    <n v="49"/>
    <n v="10"/>
    <n v="490"/>
    <x v="1"/>
    <s v="Fard-Prem"/>
    <s v="Premium"/>
    <x v="17"/>
    <x v="14"/>
    <x v="0"/>
    <x v="2"/>
    <s v="Rental"/>
    <s v="AL BARAKAH"/>
    <x v="14"/>
    <n v="114170"/>
    <n v="210"/>
  </r>
  <r>
    <d v="2025-03-05T00:00:00"/>
    <s v="Rishi"/>
    <s v="Rishi Cold"/>
    <s v="WET DATES BOX 10KG"/>
    <s v="FARD - STAND"/>
    <m/>
    <n v="116140"/>
    <n v="2270"/>
    <n v="10"/>
    <n v="22700"/>
    <x v="1"/>
    <s v="Fard-Std"/>
    <s v="Standard"/>
    <x v="11"/>
    <x v="10"/>
    <x v="0"/>
    <x v="2"/>
    <s v="Rental"/>
    <s v="AL BARAKAH"/>
    <x v="10"/>
    <n v="4721600"/>
    <n v="209"/>
  </r>
  <r>
    <d v="2025-03-21T00:00:00"/>
    <s v="Rishi"/>
    <s v="Rishi Cold"/>
    <s v="WET DATES BOX 10KG"/>
    <s v="FARD - STAND"/>
    <m/>
    <n v="116495"/>
    <n v="1"/>
    <n v="10"/>
    <n v="10"/>
    <x v="1"/>
    <s v="Fard-Std"/>
    <s v="Standard"/>
    <x v="11"/>
    <x v="10"/>
    <x v="0"/>
    <x v="2"/>
    <s v="Rental"/>
    <s v="AL BARAKAH"/>
    <x v="10"/>
    <n v="2080"/>
    <n v="193"/>
  </r>
  <r>
    <d v="2025-03-21T00:00:00"/>
    <s v="Rishi"/>
    <s v="Rishi Cold"/>
    <s v="WET DATES BOX 10KG"/>
    <s v="FARD - PREMI"/>
    <m/>
    <n v="116496"/>
    <n v="305"/>
    <n v="10"/>
    <n v="3050"/>
    <x v="1"/>
    <s v="Fard-Std"/>
    <s v="Standard"/>
    <x v="11"/>
    <x v="10"/>
    <x v="0"/>
    <x v="2"/>
    <s v="Rental"/>
    <s v="AL BARAKAH"/>
    <x v="10"/>
    <n v="634400"/>
    <n v="193"/>
  </r>
  <r>
    <d v="2025-03-25T00:00:00"/>
    <s v="Rishi"/>
    <s v="Rishi Cold"/>
    <s v="WET DATES BOX 10KG"/>
    <s v="Reziz"/>
    <m/>
    <n v="116640"/>
    <n v="132"/>
    <n v="10"/>
    <n v="1320"/>
    <x v="1"/>
    <s v="Reziz"/>
    <s v="Standard"/>
    <x v="102"/>
    <x v="89"/>
    <x v="0"/>
    <x v="2"/>
    <s v="Rental"/>
    <s v="AL BARAKAH"/>
    <x v="88"/>
    <n v="115764"/>
    <n v="189"/>
  </r>
  <r>
    <d v="2025-04-04T00:00:00"/>
    <s v="Rishi"/>
    <s v="Rishi Cold"/>
    <s v="WET DATES BOX 10KG"/>
    <s v="KHALAS"/>
    <m/>
    <n v="116793"/>
    <n v="1894"/>
    <n v="10"/>
    <n v="18940"/>
    <x v="1"/>
    <s v="Khalas"/>
    <s v="Premium"/>
    <x v="98"/>
    <x v="86"/>
    <x v="0"/>
    <x v="2"/>
    <s v="Rental"/>
    <s v="AL BARAKAH"/>
    <x v="12"/>
    <n v="2197040"/>
    <n v="179"/>
  </r>
  <r>
    <d v="2025-04-04T00:00:00"/>
    <s v="Rishi"/>
    <s v="Rishi Cold"/>
    <s v="WET DATES BOX 10KG"/>
    <s v="KHALAS"/>
    <m/>
    <n v="116794"/>
    <n v="134"/>
    <n v="10"/>
    <n v="1340"/>
    <x v="1"/>
    <s v="Khalas"/>
    <s v="Premium"/>
    <x v="98"/>
    <x v="86"/>
    <x v="0"/>
    <x v="2"/>
    <s v="Rental"/>
    <s v="AL BARAKAH"/>
    <x v="12"/>
    <n v="155440"/>
    <n v="179"/>
  </r>
  <r>
    <d v="2025-04-04T00:00:00"/>
    <s v="Rishi"/>
    <s v="Rishi Cold"/>
    <s v="WET DATES BOX 10KG"/>
    <s v="BARAHI"/>
    <m/>
    <n v="116799"/>
    <n v="507"/>
    <n v="10"/>
    <n v="5070"/>
    <x v="1"/>
    <s v="Barhi"/>
    <s v="BARHI"/>
    <x v="103"/>
    <x v="91"/>
    <x v="0"/>
    <x v="2"/>
    <s v="Rental"/>
    <s v="AL BARAKAH"/>
    <x v="89"/>
    <n v="458835"/>
    <n v="179"/>
  </r>
  <r>
    <d v="2025-04-05T00:00:00"/>
    <s v="Rishi"/>
    <s v="Rishi Cold"/>
    <s v="WET DATES BOX 10KG"/>
    <s v="BARAHI"/>
    <m/>
    <n v="116835"/>
    <n v="2596"/>
    <n v="10"/>
    <n v="25960"/>
    <x v="1"/>
    <s v="Barhi"/>
    <s v="BARHI"/>
    <x v="103"/>
    <x v="91"/>
    <x v="0"/>
    <x v="2"/>
    <s v="Rental"/>
    <s v="AL BARAKAH"/>
    <x v="89"/>
    <n v="2349380"/>
    <n v="178"/>
  </r>
  <r>
    <d v="2025-04-05T00:00:00"/>
    <s v="Rishi"/>
    <s v="Rishi Cold"/>
    <s v="WET DATES BOX 10KG"/>
    <s v="KHALAS"/>
    <m/>
    <n v="116843"/>
    <n v="0"/>
    <n v="10"/>
    <n v="0"/>
    <x v="1"/>
    <s v="Khalas"/>
    <s v="Premium"/>
    <x v="98"/>
    <x v="86"/>
    <x v="0"/>
    <x v="2"/>
    <s v="Rental"/>
    <s v="AL BARAKAH"/>
    <x v="12"/>
    <n v="0"/>
    <n v="178"/>
  </r>
  <r>
    <d v="2025-04-08T00:00:00"/>
    <s v="Rishi"/>
    <s v="Rishi Cold"/>
    <s v="WET DATES BOX 10KG"/>
    <s v="KHALAS"/>
    <m/>
    <n v="116927"/>
    <n v="250"/>
    <n v="10"/>
    <n v="2500"/>
    <x v="1"/>
    <s v="Khalas"/>
    <s v="Premium"/>
    <x v="98"/>
    <x v="86"/>
    <x v="0"/>
    <x v="2"/>
    <s v="Rental"/>
    <s v="AL BARAKAH"/>
    <x v="12"/>
    <n v="290000"/>
    <n v="175"/>
  </r>
  <r>
    <d v="2025-04-12T00:00:00"/>
    <s v="Rishi"/>
    <s v="Rishi Cold"/>
    <s v="WET DATES BOX 10KG"/>
    <s v="KHALAS"/>
    <m/>
    <n v="117041"/>
    <n v="26"/>
    <n v="10"/>
    <n v="260"/>
    <x v="1"/>
    <s v="Khalas"/>
    <s v="Premium"/>
    <x v="98"/>
    <x v="86"/>
    <x v="0"/>
    <x v="2"/>
    <s v="Rental"/>
    <s v="AL BARAKAH"/>
    <x v="12"/>
    <n v="30160"/>
    <n v="171"/>
  </r>
  <r>
    <d v="2025-04-12T00:00:00"/>
    <s v="Rishi"/>
    <s v="Rishi Cold"/>
    <s v="WET DATES BOX 10KG"/>
    <s v="KHALAS"/>
    <m/>
    <n v="117042"/>
    <n v="284"/>
    <n v="10"/>
    <n v="2840"/>
    <x v="1"/>
    <s v="Khalas"/>
    <s v="Premium"/>
    <x v="98"/>
    <x v="86"/>
    <x v="0"/>
    <x v="2"/>
    <s v="Rental"/>
    <s v="AL BARAKAH"/>
    <x v="12"/>
    <n v="329440"/>
    <n v="171"/>
  </r>
  <r>
    <d v="2025-04-13T00:00:00"/>
    <s v="Rishi"/>
    <s v="Rishi Cold"/>
    <s v="WET DATES BOX 10KG"/>
    <s v="KHALAS"/>
    <m/>
    <n v="117074"/>
    <n v="2080"/>
    <n v="10"/>
    <n v="20800"/>
    <x v="1"/>
    <s v="Khalas"/>
    <s v="Premium"/>
    <x v="98"/>
    <x v="86"/>
    <x v="0"/>
    <x v="2"/>
    <s v="Rental"/>
    <s v="AL BARAKAH"/>
    <x v="12"/>
    <n v="2412800"/>
    <n v="170"/>
  </r>
  <r>
    <d v="2025-04-12T00:00:00"/>
    <s v="Rishi"/>
    <s v="Rishi Cold"/>
    <s v="WET DATES BOX 10KG"/>
    <s v="FARD"/>
    <s v="Orange Box"/>
    <n v="117075"/>
    <n v="1628"/>
    <n v="10"/>
    <n v="16280"/>
    <x v="1"/>
    <s v="Fard-Prem"/>
    <s v="Premium"/>
    <x v="17"/>
    <x v="14"/>
    <x v="0"/>
    <x v="2"/>
    <s v="Rental"/>
    <s v="AL BARAKAH"/>
    <x v="14"/>
    <n v="3793240"/>
    <n v="171"/>
  </r>
  <r>
    <d v="2025-04-12T00:00:00"/>
    <s v="Rishi"/>
    <s v="Rishi Cold"/>
    <s v="WET DATES BOX 10KG"/>
    <s v="FARD"/>
    <s v="Orange Box"/>
    <n v="117076"/>
    <n v="2560"/>
    <n v="10"/>
    <n v="25600"/>
    <x v="1"/>
    <s v="Fard-Prem"/>
    <s v="Premium"/>
    <x v="17"/>
    <x v="14"/>
    <x v="0"/>
    <x v="2"/>
    <s v="Rental"/>
    <s v="AL BARAKAH"/>
    <x v="14"/>
    <n v="5964800"/>
    <n v="171"/>
  </r>
  <r>
    <d v="2025-04-15T00:00:00"/>
    <s v="Rishi"/>
    <s v="Rishi Cold"/>
    <s v="WET DATES BOX 10KG"/>
    <s v="EMIRAT-BLA"/>
    <m/>
    <n v="117122"/>
    <n v="34"/>
    <n v="10"/>
    <n v="340"/>
    <x v="1"/>
    <s v="Khalas"/>
    <s v="Premium"/>
    <x v="98"/>
    <x v="86"/>
    <x v="0"/>
    <x v="2"/>
    <s v="Rental"/>
    <s v="AL BARAKAH"/>
    <x v="12"/>
    <n v="39440"/>
    <n v="168"/>
  </r>
  <r>
    <d v="2025-04-19T00:00:00"/>
    <s v="Rishi"/>
    <s v="Rishi Cold"/>
    <s v="WET DATES BOX 10KG"/>
    <s v="KHALAS"/>
    <m/>
    <n v="117236"/>
    <n v="0"/>
    <n v="10"/>
    <n v="0"/>
    <x v="1"/>
    <s v="Khalas"/>
    <s v="Premium"/>
    <x v="98"/>
    <x v="86"/>
    <x v="0"/>
    <x v="2"/>
    <s v="Rental"/>
    <s v="AL BARAKAH"/>
    <x v="12"/>
    <n v="0"/>
    <n v="164"/>
  </r>
  <r>
    <d v="2025-04-27T00:00:00"/>
    <s v="Rishi"/>
    <s v="Rishi Cold"/>
    <s v="WET DATES BOX 10KG"/>
    <s v="FARD"/>
    <s v="Orange Box"/>
    <n v="117407"/>
    <n v="2598"/>
    <n v="10"/>
    <n v="25980"/>
    <x v="1"/>
    <s v="Fard-Prem"/>
    <s v="Premium"/>
    <x v="17"/>
    <x v="14"/>
    <x v="0"/>
    <x v="2"/>
    <s v="Rental"/>
    <s v="AL BARAKAH"/>
    <x v="14"/>
    <n v="6053340"/>
    <n v="156"/>
  </r>
  <r>
    <d v="2025-04-27T00:00:00"/>
    <s v="Rishi"/>
    <s v="Rishi Cold"/>
    <s v="WET DATES BOX 10KG"/>
    <s v="FARD"/>
    <s v="Orange Box"/>
    <n v="117411"/>
    <n v="1098"/>
    <n v="10"/>
    <n v="10980"/>
    <x v="1"/>
    <s v="Fard-Prem"/>
    <s v="Premium"/>
    <x v="17"/>
    <x v="14"/>
    <x v="0"/>
    <x v="2"/>
    <s v="Rental"/>
    <s v="AL BARAKAH"/>
    <x v="14"/>
    <n v="2558340"/>
    <n v="156"/>
  </r>
  <r>
    <d v="2025-04-28T00:00:00"/>
    <s v="Rishi"/>
    <s v="Rishi Cold"/>
    <s v="WET DATES BOX 10KG"/>
    <s v="FARD"/>
    <s v="Orange Box"/>
    <n v="117413"/>
    <n v="2348"/>
    <n v="10"/>
    <n v="23480"/>
    <x v="1"/>
    <s v="Fard-Prem"/>
    <s v="Premium"/>
    <x v="17"/>
    <x v="14"/>
    <x v="0"/>
    <x v="2"/>
    <s v="Rental"/>
    <s v="AL BARAKAH"/>
    <x v="14"/>
    <n v="5470840"/>
    <n v="155"/>
  </r>
  <r>
    <d v="2025-04-29T00:00:00"/>
    <s v="Rishi"/>
    <s v="Rishi Cold"/>
    <s v="WET DATES BOX 10KG"/>
    <s v="BARHI"/>
    <m/>
    <n v="117456"/>
    <n v="67"/>
    <n v="10"/>
    <n v="670"/>
    <x v="1"/>
    <s v="Barhi"/>
    <s v="Barhi"/>
    <x v="103"/>
    <x v="91"/>
    <x v="0"/>
    <x v="2"/>
    <s v="Rental"/>
    <s v="AL BARAKAH"/>
    <x v="89"/>
    <n v="60635"/>
    <n v="154"/>
  </r>
  <r>
    <d v="2025-05-10T00:00:00"/>
    <s v="Rishi"/>
    <s v="Rishi Cold"/>
    <s v="WET DATES BOX 10KG"/>
    <s v="KHALAS"/>
    <m/>
    <n v="117769"/>
    <n v="175"/>
    <n v="10"/>
    <n v="1750"/>
    <x v="1"/>
    <s v="Khalas"/>
    <s v="Seedless"/>
    <x v="100"/>
    <x v="88"/>
    <x v="0"/>
    <x v="2"/>
    <s v="Rental"/>
    <s v="AL BARAKAH"/>
    <x v="87"/>
    <n v="220500"/>
    <n v="143"/>
  </r>
  <r>
    <d v="2025-05-13T00:00:00"/>
    <s v="Rishi"/>
    <s v="Rishi Cold"/>
    <s v="WET DATES BOX 10KG"/>
    <s v="DRY - CHURA"/>
    <m/>
    <n v="117833"/>
    <n v="37"/>
    <n v="10"/>
    <n v="370"/>
    <x v="3"/>
    <s v="Oman"/>
    <s v="Dry Dates"/>
    <x v="3"/>
    <x v="3"/>
    <x v="0"/>
    <x v="2"/>
    <s v="Rental"/>
    <s v="NAKHEEL"/>
    <x v="3"/>
    <n v="89170"/>
    <n v="140"/>
  </r>
  <r>
    <d v="2025-05-31T00:00:00"/>
    <s v="Rishi"/>
    <s v="Rishi Cold"/>
    <s v="WET DATES BOX 10KG"/>
    <s v="KHALAS"/>
    <m/>
    <n v="118277"/>
    <n v="375"/>
    <n v="10"/>
    <n v="3750"/>
    <x v="1"/>
    <s v="Khalas"/>
    <s v="Khalas"/>
    <x v="98"/>
    <x v="86"/>
    <x v="0"/>
    <x v="2"/>
    <s v="Rental"/>
    <s v="AL BARAKAH"/>
    <x v="12"/>
    <n v="435000"/>
    <n v="122"/>
  </r>
  <r>
    <d v="2025-05-31T00:00:00"/>
    <s v="Rishi"/>
    <s v="Rishi Cold"/>
    <s v="WET DATES BOX 10KG"/>
    <s v="BROWN"/>
    <m/>
    <n v="118283"/>
    <n v="175"/>
    <n v="10"/>
    <n v="1750"/>
    <x v="1"/>
    <s v="Sufri"/>
    <s v="Sufri"/>
    <x v="104"/>
    <x v="87"/>
    <x v="0"/>
    <x v="2"/>
    <s v="Rental"/>
    <s v="Local"/>
    <x v="90"/>
    <n v="201250"/>
    <n v="122"/>
  </r>
  <r>
    <d v="2025-05-31T00:00:00"/>
    <s v="Rishi"/>
    <s v="Rishi Cold"/>
    <s v="WET DATES BOX 15KG"/>
    <s v="BROWN"/>
    <m/>
    <n v="118284"/>
    <n v="9"/>
    <n v="16"/>
    <n v="144"/>
    <x v="1"/>
    <s v="Sufri"/>
    <s v="Sufri"/>
    <x v="104"/>
    <x v="87"/>
    <x v="0"/>
    <x v="2"/>
    <s v="Rental"/>
    <s v="Local"/>
    <x v="90"/>
    <n v="16560"/>
    <n v="122"/>
  </r>
  <r>
    <d v="2025-05-31T00:00:00"/>
    <s v="Rishi"/>
    <s v="Rishi Cold"/>
    <s v="WET DATES BOX 10KG"/>
    <s v="BROWN"/>
    <m/>
    <n v="118285"/>
    <n v="215"/>
    <n v="10"/>
    <n v="2150"/>
    <x v="1"/>
    <s v="Sufri"/>
    <s v="Sufri"/>
    <x v="104"/>
    <x v="87"/>
    <x v="0"/>
    <x v="2"/>
    <s v="Rental"/>
    <s v="Local"/>
    <x v="90"/>
    <n v="247250"/>
    <n v="122"/>
  </r>
  <r>
    <d v="2025-06-03T00:00:00"/>
    <s v="Rishi"/>
    <s v="Rishi Cold"/>
    <s v="WET DATES BOX 15KG"/>
    <s v="BROWN"/>
    <m/>
    <n v="118351"/>
    <n v="17"/>
    <n v="15"/>
    <n v="255"/>
    <x v="1"/>
    <s v="Sufri"/>
    <s v="Sufri"/>
    <x v="104"/>
    <x v="87"/>
    <x v="0"/>
    <x v="2"/>
    <s v="Rental"/>
    <s v="Local"/>
    <x v="90"/>
    <n v="29325"/>
    <n v="119"/>
  </r>
  <r>
    <d v="2025-06-03T00:00:00"/>
    <s v="Rishi"/>
    <s v="Rishi Cold"/>
    <s v="WET DATES BOX 12KG"/>
    <s v="BROWN"/>
    <m/>
    <n v="118352"/>
    <n v="5"/>
    <n v="13"/>
    <n v="65"/>
    <x v="1"/>
    <s v="Sufri"/>
    <s v="Sufri"/>
    <x v="104"/>
    <x v="87"/>
    <x v="0"/>
    <x v="2"/>
    <s v="Rental"/>
    <s v="Local"/>
    <x v="90"/>
    <n v="7475"/>
    <n v="119"/>
  </r>
  <r>
    <d v="2025-06-03T00:00:00"/>
    <s v="Rishi"/>
    <s v="Rishi Cold"/>
    <s v="WET DATES BOX 20KG"/>
    <s v="BROWN"/>
    <m/>
    <n v="118353"/>
    <n v="2"/>
    <n v="18"/>
    <n v="36"/>
    <x v="1"/>
    <s v="Sufri"/>
    <s v="Sufri"/>
    <x v="104"/>
    <x v="87"/>
    <x v="0"/>
    <x v="2"/>
    <s v="Rental"/>
    <s v="Local"/>
    <x v="90"/>
    <n v="4140"/>
    <n v="119"/>
  </r>
  <r>
    <d v="2025-06-14T00:00:00"/>
    <s v="Rishi"/>
    <s v="Rishi Cold"/>
    <s v="DATE SYRUP BUCKET 25KG"/>
    <s v="Al Barakah"/>
    <m/>
    <n v="118641"/>
    <n v="8"/>
    <n v="25"/>
    <n v="200"/>
    <x v="6"/>
    <s v="Bucket 25Kg"/>
    <s v="AL BARAKAH"/>
    <x v="57"/>
    <x v="45"/>
    <x v="0"/>
    <x v="2"/>
    <s v="Rental"/>
    <s v="AL BARAKAH"/>
    <x v="39"/>
    <n v="21160"/>
    <n v="108"/>
  </r>
  <r>
    <d v="2025-06-30T00:00:00"/>
    <s v="Rishi"/>
    <s v="Rishi Cold"/>
    <s v="WET DATES BOX 10KG"/>
    <s v="Al Barakah"/>
    <s v="RTV Sunirse"/>
    <n v="119002"/>
    <n v="46"/>
    <n v="15"/>
    <n v="690"/>
    <x v="1"/>
    <s v="Barhi"/>
    <s v="BARHI"/>
    <x v="105"/>
    <x v="91"/>
    <x v="0"/>
    <x v="2"/>
    <s v="Rental"/>
    <s v="AL BARAKAH"/>
    <x v="89"/>
    <n v="62445"/>
    <n v="92"/>
  </r>
  <r>
    <d v="2025-07-03T00:00:00"/>
    <s v="Rishi"/>
    <s v="Rishi Cold"/>
    <s v="WET DATES BOX 10KG"/>
    <s v="FARD"/>
    <m/>
    <n v="119096"/>
    <n v="16"/>
    <n v="10"/>
    <n v="160"/>
    <x v="1"/>
    <s v="Fard-Prem"/>
    <s v="Premium"/>
    <x v="17"/>
    <x v="14"/>
    <x v="0"/>
    <x v="2"/>
    <s v="Rental"/>
    <s v="AL BARAKAH"/>
    <x v="14"/>
    <n v="37280"/>
    <n v="89"/>
  </r>
  <r>
    <d v="2025-07-07T00:00:00"/>
    <s v="Rishi"/>
    <s v="Rishi Cold"/>
    <s v="WET DATES BOX 5KG"/>
    <s v="Mazafati"/>
    <m/>
    <n v="119224"/>
    <n v="2803"/>
    <n v="5"/>
    <n v="14015"/>
    <x v="1"/>
    <s v="Mazafati"/>
    <s v="Mazafati"/>
    <x v="106"/>
    <x v="92"/>
    <x v="0"/>
    <x v="2"/>
    <s v="Rental"/>
    <s v="Local"/>
    <x v="91"/>
    <n v="2774970"/>
    <n v="85"/>
  </r>
  <r>
    <d v="2025-07-11T00:00:00"/>
    <s v="Rishi"/>
    <s v="Rishi Cold"/>
    <s v="WET DATES BOX 12KG"/>
    <s v="ROYAL ARABIAN"/>
    <m/>
    <n v="119299"/>
    <n v="705"/>
    <n v="12"/>
    <n v="8460"/>
    <x v="1"/>
    <s v="Khalas"/>
    <s v="Delmonte 500g"/>
    <x v="107"/>
    <x v="93"/>
    <x v="0"/>
    <x v="2"/>
    <s v="Rental"/>
    <s v="AL BARAKAH"/>
    <x v="12"/>
    <n v="981360"/>
    <n v="81"/>
  </r>
  <r>
    <d v="2025-07-16T00:00:00"/>
    <s v="Rishi"/>
    <s v="Rishi Cold"/>
    <s v="WET DATES BOX 5KG"/>
    <s v="Mazafati"/>
    <m/>
    <n v="119491"/>
    <n v="462"/>
    <n v="5"/>
    <n v="2310"/>
    <x v="1"/>
    <s v="Mazafati"/>
    <s v="Mazafati"/>
    <x v="106"/>
    <x v="92"/>
    <x v="0"/>
    <x v="2"/>
    <s v="Rental"/>
    <s v="Local"/>
    <x v="91"/>
    <n v="457380"/>
    <n v="76"/>
  </r>
  <r>
    <d v="2025-07-23T00:00:00"/>
    <s v="Rishi"/>
    <s v="Rishi Cold"/>
    <s v="WET DATES BOX 5KG"/>
    <s v="Bam-Kimia"/>
    <m/>
    <n v="119639"/>
    <n v="498"/>
    <n v="5"/>
    <n v="2490"/>
    <x v="1"/>
    <s v="Mazafati"/>
    <s v="Mazafati"/>
    <x v="106"/>
    <x v="92"/>
    <x v="0"/>
    <x v="2"/>
    <s v="Rental"/>
    <s v="Local"/>
    <x v="92"/>
    <n v="597600"/>
    <n v="69"/>
  </r>
  <r>
    <d v="2025-08-01T00:00:00"/>
    <s v="Rishi"/>
    <s v="Rishi Cold"/>
    <s v="WET DATES BOX 10KG"/>
    <s v="MIX"/>
    <m/>
    <n v="119869"/>
    <n v="110.5"/>
    <n v="10"/>
    <n v="1105"/>
    <x v="1"/>
    <s v="Khalas"/>
    <s v="Seedless"/>
    <x v="100"/>
    <x v="88"/>
    <x v="0"/>
    <x v="2"/>
    <s v="Rental"/>
    <s v="AL BARAKAH"/>
    <x v="87"/>
    <n v="139230"/>
    <n v="60"/>
  </r>
  <r>
    <d v="2025-08-23T00:00:00"/>
    <s v="Rishi"/>
    <s v="Rishi Cold"/>
    <s v="WET DATES BOX 5KG"/>
    <s v="PREMIUM"/>
    <m/>
    <n v="120372"/>
    <n v="185"/>
    <n v="5"/>
    <n v="925"/>
    <x v="1"/>
    <s v="Mazafati"/>
    <s v="Mazafati"/>
    <x v="106"/>
    <x v="92"/>
    <x v="0"/>
    <x v="2"/>
    <s v="Rental"/>
    <s v="Local"/>
    <x v="92"/>
    <n v="222000"/>
    <n v="38"/>
  </r>
  <r>
    <d v="2025-08-25T00:00:00"/>
    <s v="Rishi"/>
    <s v="Rishi Cold"/>
    <s v="WET DATES BOX 12KG"/>
    <s v="ROYAL ARABIAN"/>
    <m/>
    <n v="120409"/>
    <n v="937"/>
    <n v="12"/>
    <n v="11244"/>
    <x v="1"/>
    <s v="Khalas"/>
    <s v="Delmonte 500g"/>
    <x v="107"/>
    <x v="93"/>
    <x v="0"/>
    <x v="2"/>
    <s v="Rental"/>
    <s v="AL BARAKAH"/>
    <x v="12"/>
    <n v="1304304"/>
    <n v="36"/>
  </r>
  <r>
    <d v="2025-08-25T00:00:00"/>
    <s v="Rishi"/>
    <s v="Rishi Cold"/>
    <s v="WET DATES BOX 12KG"/>
    <s v="ROYAL ARABIAN"/>
    <m/>
    <n v="120409"/>
    <n v="50"/>
    <n v="7.2"/>
    <n v="360"/>
    <x v="1"/>
    <s v="Khalas"/>
    <s v="Delmonte 500g"/>
    <x v="107"/>
    <x v="93"/>
    <x v="0"/>
    <x v="2"/>
    <s v="Rental"/>
    <s v="AL BARAKAH"/>
    <x v="12"/>
    <n v="41760"/>
    <n v="36"/>
  </r>
  <r>
    <d v="2025-08-28T00:00:00"/>
    <s v="Rishi"/>
    <s v="Rishi Cold"/>
    <s v="WET DATES BOX 10KG"/>
    <s v="FARD-RTV RETRANZ"/>
    <m/>
    <n v="120463"/>
    <n v="200"/>
    <n v="10"/>
    <n v="2000"/>
    <x v="1"/>
    <s v="Fard-Prem"/>
    <s v="Premium"/>
    <x v="108"/>
    <x v="14"/>
    <x v="0"/>
    <x v="2"/>
    <s v="Rental"/>
    <s v="AL BARAKAH"/>
    <x v="14"/>
    <n v="466000"/>
    <n v="33"/>
  </r>
  <r>
    <d v="2025-08-30T00:00:00"/>
    <s v="Rishi"/>
    <s v="Rishi Cold"/>
    <s v="WET DATES BOX 10KG"/>
    <s v="KHALAS-Makhana Foods"/>
    <m/>
    <n v="120553"/>
    <n v="0"/>
    <n v="10"/>
    <n v="0"/>
    <x v="1"/>
    <s v="Khalas"/>
    <s v="Khalas"/>
    <x v="109"/>
    <x v="86"/>
    <x v="0"/>
    <x v="2"/>
    <s v="Rental"/>
    <s v="AL BARAKAH"/>
    <x v="12"/>
    <n v="0"/>
    <n v="31"/>
  </r>
  <r>
    <d v="2025-09-09T00:00:00"/>
    <s v="Rishi"/>
    <s v="Rishi Cold"/>
    <s v="WET DATES BOX 10KG"/>
    <s v="FARD"/>
    <m/>
    <n v="120802"/>
    <n v="100"/>
    <n v="10"/>
    <n v="1000"/>
    <x v="1"/>
    <s v="Fard-Prem"/>
    <s v="Premium"/>
    <x v="108"/>
    <x v="14"/>
    <x v="0"/>
    <x v="2"/>
    <s v="Rental"/>
    <s v="AL BARAKAH"/>
    <x v="14"/>
    <n v="233000"/>
    <n v="21"/>
  </r>
  <r>
    <d v="2025-09-12T00:00:00"/>
    <s v="Rishi"/>
    <s v="Rishi Cold"/>
    <s v="WET DATES BOX 10KG"/>
    <s v="KHALAS"/>
    <m/>
    <n v="120861"/>
    <n v="1469"/>
    <n v="10"/>
    <n v="14690"/>
    <x v="1"/>
    <s v="Khalas"/>
    <s v="Khalas"/>
    <x v="98"/>
    <x v="86"/>
    <x v="0"/>
    <x v="2"/>
    <s v="Rental"/>
    <s v="AL BARAKAH"/>
    <x v="12"/>
    <n v="1704040"/>
    <n v="18"/>
  </r>
  <r>
    <d v="2025-09-22T00:00:00"/>
    <s v="Rishi"/>
    <s v="Rishi Cold"/>
    <s v="WET DATES BOX 5KG"/>
    <s v="MARYAM"/>
    <m/>
    <n v="121119"/>
    <n v="0"/>
    <n v="10"/>
    <n v="0"/>
    <x v="4"/>
    <s v="Maryam"/>
    <s v="Premium"/>
    <x v="110"/>
    <x v="84"/>
    <x v="0"/>
    <x v="2"/>
    <s v="Rental"/>
    <s v="AL BARAKAH"/>
    <x v="84"/>
    <n v="0"/>
    <n v="8"/>
  </r>
  <r>
    <d v="2025-09-22T00:00:00"/>
    <s v="Rishi"/>
    <s v="Rishi Cold"/>
    <s v="WET DATES BOX 10KG"/>
    <s v="SAFAWI"/>
    <m/>
    <n v="121120"/>
    <n v="464"/>
    <n v="5"/>
    <n v="2320"/>
    <x v="4"/>
    <s v="Safawi"/>
    <s v="Safawi"/>
    <x v="14"/>
    <x v="6"/>
    <x v="0"/>
    <x v="2"/>
    <s v="Rental"/>
    <s v="Local"/>
    <x v="6"/>
    <n v="1276000"/>
    <n v="8"/>
  </r>
  <r>
    <m/>
    <s v="A-185"/>
    <s v="185 Cold"/>
    <s v="Almond Blanched, whole"/>
    <s v="Almond Blanched, whole"/>
    <m/>
    <s v="A-185"/>
    <n v="40"/>
    <n v="1"/>
    <n v="40"/>
    <x v="22"/>
    <s v="Blanched Whole"/>
    <s v="WHole"/>
    <x v="111"/>
    <x v="94"/>
    <x v="1"/>
    <x v="3"/>
    <s v="Factory"/>
    <n v="0"/>
    <x v="62"/>
    <n v="26000"/>
    <m/>
  </r>
  <r>
    <m/>
    <s v="A-185"/>
    <s v="185 Cold"/>
    <s v="Smoked Almonds"/>
    <s v="Smoke Almond"/>
    <m/>
    <s v="A-185"/>
    <n v="541"/>
    <n v="1"/>
    <n v="541"/>
    <x v="22"/>
    <s v="Smoked"/>
    <s v="Kernels"/>
    <x v="112"/>
    <x v="95"/>
    <x v="1"/>
    <x v="3"/>
    <s v="Factory"/>
    <n v="0"/>
    <x v="93"/>
    <n v="321895"/>
    <m/>
  </r>
  <r>
    <m/>
    <s v="A-185"/>
    <s v="185 Cold"/>
    <s v="American Almonds Kernel 20-22 count"/>
    <s v="Sp Almond (Unazo)"/>
    <m/>
    <s v="A-185"/>
    <n v="727"/>
    <n v="1"/>
    <n v="727"/>
    <x v="22"/>
    <s v="20-22"/>
    <s v="Kernels"/>
    <x v="113"/>
    <x v="96"/>
    <x v="1"/>
    <x v="3"/>
    <s v="Factory"/>
    <n v="0"/>
    <x v="94"/>
    <n v="545250"/>
    <m/>
  </r>
  <r>
    <m/>
    <s v="A-185"/>
    <s v="185 Cold"/>
    <s v="Dried Anjeer 200gm"/>
    <s v="Dried Anjeer"/>
    <m/>
    <s v="A-185"/>
    <n v="10.4"/>
    <n v="1"/>
    <n v="10.4"/>
    <x v="23"/>
    <s v="Anjeer"/>
    <s v="200g"/>
    <x v="114"/>
    <x v="97"/>
    <x v="1"/>
    <x v="3"/>
    <s v="Factory"/>
    <n v="0"/>
    <x v="95"/>
    <n v="11440"/>
    <m/>
  </r>
  <r>
    <m/>
    <s v="A-185"/>
    <s v="185 Cold"/>
    <s v="Afghan Apricot 1*2"/>
    <s v="Jardalu"/>
    <m/>
    <s v="A-185"/>
    <n v="18"/>
    <n v="1"/>
    <n v="18"/>
    <x v="16"/>
    <s v="Jardalu"/>
    <s v="1*2"/>
    <x v="115"/>
    <x v="98"/>
    <x v="1"/>
    <x v="3"/>
    <s v="Factory"/>
    <n v="0"/>
    <x v="96"/>
    <n v="6840"/>
    <m/>
  </r>
  <r>
    <m/>
    <s v="A-185"/>
    <s v="185 Cold"/>
    <s v="Dried Black Currant"/>
    <s v="Blackcurrent"/>
    <m/>
    <s v="A-185"/>
    <n v="134.1"/>
    <n v="1"/>
    <n v="134.1"/>
    <x v="15"/>
    <s v="BlackCurrant"/>
    <s v="Dried"/>
    <x v="80"/>
    <x v="67"/>
    <x v="1"/>
    <x v="3"/>
    <s v="Factory"/>
    <n v="0"/>
    <x v="61"/>
    <n v="65709"/>
    <m/>
  </r>
  <r>
    <m/>
    <s v="A-185"/>
    <s v="185 Cold"/>
    <s v="Dried Blueberry"/>
    <s v="Blueberry Plain"/>
    <m/>
    <s v="A-185"/>
    <n v="194.39999999999998"/>
    <n v="1"/>
    <n v="194.39999999999998"/>
    <x v="10"/>
    <s v="Blueberry"/>
    <s v="Plain"/>
    <x v="116"/>
    <x v="99"/>
    <x v="1"/>
    <x v="3"/>
    <s v="Factory"/>
    <s v="Tajir"/>
    <x v="97"/>
    <n v="219671.99999999997"/>
    <m/>
  </r>
  <r>
    <m/>
    <s v="A-185"/>
    <s v="185 Cold"/>
    <s v="Cashew Kernel"/>
    <s v="Cashew Mix Grade"/>
    <m/>
    <s v="A-185"/>
    <n v="39.299999999999997"/>
    <n v="1"/>
    <n v="39.299999999999997"/>
    <x v="24"/>
    <s v="Cashew Mix"/>
    <s v="Mix"/>
    <x v="117"/>
    <x v="100"/>
    <x v="1"/>
    <x v="3"/>
    <s v="Factory"/>
    <n v="0"/>
    <x v="34"/>
    <n v="28099.499999999996"/>
    <m/>
  </r>
  <r>
    <m/>
    <s v="A-185"/>
    <s v="185 Cold"/>
    <s v="Dried Cranberry Sliced"/>
    <s v="Cranberry Slice"/>
    <m/>
    <s v="A-185"/>
    <n v="4581"/>
    <n v="1"/>
    <n v="4581"/>
    <x v="13"/>
    <s v="Sliced"/>
    <s v="Sliced"/>
    <x v="83"/>
    <x v="70"/>
    <x v="1"/>
    <x v="3"/>
    <s v="Factory"/>
    <n v="0"/>
    <x v="65"/>
    <n v="1649160"/>
    <m/>
  </r>
  <r>
    <m/>
    <s v="A-185"/>
    <s v="185 Cold"/>
    <s v="Dried Cranberry Whole"/>
    <s v="Cranberry Whole"/>
    <m/>
    <s v="A-185"/>
    <n v="498.96000000000004"/>
    <n v="1"/>
    <n v="498.96000000000004"/>
    <x v="13"/>
    <s v="Whole"/>
    <s v="Whole"/>
    <x v="90"/>
    <x v="65"/>
    <x v="1"/>
    <x v="3"/>
    <s v="Factory"/>
    <n v="0"/>
    <x v="76"/>
    <n v="207068.40000000002"/>
    <m/>
  </r>
  <r>
    <m/>
    <s v="A-185"/>
    <s v="185 Cold"/>
    <s v="AL BARAKAH DEHYDRATED DATE POWDER - BULK PACK 10KG"/>
    <s v="Date Powder 10Kg"/>
    <m/>
    <s v="A-185"/>
    <n v="80"/>
    <n v="1"/>
    <n v="80"/>
    <x v="2"/>
    <s v="V1"/>
    <s v="AL BARAKAH"/>
    <x v="118"/>
    <x v="101"/>
    <x v="1"/>
    <x v="3"/>
    <s v="Factory"/>
    <n v="0"/>
    <x v="23"/>
    <n v="21600"/>
    <m/>
  </r>
  <r>
    <m/>
    <s v="A-185"/>
    <s v="185 Cold"/>
    <s v="Oriental Dates"/>
    <s v="Deri Dates"/>
    <m/>
    <s v="A-185"/>
    <n v="100"/>
    <n v="1"/>
    <n v="100"/>
    <x v="1"/>
    <s v="Deri"/>
    <s v="Deri"/>
    <x v="119"/>
    <x v="102"/>
    <x v="1"/>
    <x v="3"/>
    <s v="Factory"/>
    <n v="0"/>
    <x v="11"/>
    <n v="30300"/>
    <m/>
  </r>
  <r>
    <m/>
    <s v="A-185"/>
    <s v="185 Cold"/>
    <s v="Sayer Dates"/>
    <s v="Sayer Dates"/>
    <m/>
    <s v="A-185"/>
    <n v="10"/>
    <n v="1"/>
    <n v="10"/>
    <x v="1"/>
    <s v="Sayer"/>
    <s v="Unpitted"/>
    <x v="120"/>
    <x v="103"/>
    <x v="1"/>
    <x v="3"/>
    <s v="Factory"/>
    <n v="0"/>
    <x v="98"/>
    <n v="1000"/>
    <m/>
  </r>
  <r>
    <m/>
    <s v="A-185"/>
    <s v="185 Cold"/>
    <s v="Khalas  Dates"/>
    <s v="Khalas"/>
    <m/>
    <s v="A-185"/>
    <n v="57.7"/>
    <n v="1"/>
    <n v="57.7"/>
    <x v="1"/>
    <s v="Khalas"/>
    <s v="Premium"/>
    <x v="98"/>
    <x v="86"/>
    <x v="1"/>
    <x v="3"/>
    <s v="Factory"/>
    <n v="0"/>
    <x v="12"/>
    <n v="6693.2000000000007"/>
    <m/>
  </r>
  <r>
    <m/>
    <s v="A-185"/>
    <s v="185 Cold"/>
    <s v="Dried Orange Peel"/>
    <m/>
    <m/>
    <s v="A-185"/>
    <n v="30"/>
    <n v="1"/>
    <n v="30"/>
    <x v="18"/>
    <s v="Orange Peel"/>
    <s v="Dried"/>
    <x v="121"/>
    <x v="104"/>
    <x v="1"/>
    <x v="3"/>
    <s v="Factory"/>
    <n v="0"/>
    <x v="94"/>
    <n v="22500"/>
    <m/>
  </r>
  <r>
    <m/>
    <s v="A-185"/>
    <s v="185 Cold"/>
    <s v="Dired Kiwi"/>
    <s v="Kiwi"/>
    <m/>
    <s v="A-185"/>
    <n v="5"/>
    <n v="1"/>
    <n v="5"/>
    <x v="18"/>
    <s v="Kiwi"/>
    <s v="Dried"/>
    <x v="122"/>
    <x v="105"/>
    <x v="1"/>
    <x v="3"/>
    <s v="Factory"/>
    <n v="0"/>
    <x v="99"/>
    <n v="1650"/>
    <m/>
  </r>
  <r>
    <m/>
    <s v="A-185"/>
    <s v="185 Cold"/>
    <s v="Dried Mango Loose"/>
    <s v="Mango Cube cut"/>
    <m/>
    <s v="A-185"/>
    <n v="3.5"/>
    <n v="1"/>
    <n v="3.5"/>
    <x v="18"/>
    <s v="Mango"/>
    <s v="Cut"/>
    <x v="123"/>
    <x v="106"/>
    <x v="1"/>
    <x v="3"/>
    <s v="Factory"/>
    <n v="0"/>
    <x v="100"/>
    <n v="1627.5"/>
    <m/>
  </r>
  <r>
    <m/>
    <s v="A-185"/>
    <s v="185 Cold"/>
    <s v="Makhana Suta"/>
    <m/>
    <m/>
    <s v="A-185"/>
    <n v="0"/>
    <n v="1"/>
    <n v="0"/>
    <x v="25"/>
    <s v="Suta"/>
    <n v="4"/>
    <x v="124"/>
    <x v="107"/>
    <x v="1"/>
    <x v="3"/>
    <s v="Factory"/>
    <n v="0"/>
    <x v="101"/>
    <n v="0"/>
    <m/>
  </r>
  <r>
    <m/>
    <s v="A-185"/>
    <s v="185 Cold"/>
    <s v="PREGEFLO C 100 G"/>
    <m/>
    <m/>
    <s v="A-185"/>
    <n v="1300"/>
    <n v="1"/>
    <n v="1300"/>
    <x v="26"/>
    <s v="Pegeflo"/>
    <s v="C 100 G"/>
    <x v="125"/>
    <x v="108"/>
    <x v="1"/>
    <x v="3"/>
    <s v="Factory"/>
    <n v="0"/>
    <x v="23"/>
    <n v="351000"/>
    <m/>
  </r>
  <r>
    <m/>
    <s v="A-185"/>
    <s v="185 Cold"/>
    <s v="SIDCOT STARCH"/>
    <m/>
    <m/>
    <s v="A-185"/>
    <n v="375"/>
    <n v="1"/>
    <n v="375"/>
    <x v="26"/>
    <s v="STARCH"/>
    <s v="SIDCOT STA"/>
    <x v="126"/>
    <x v="109"/>
    <x v="1"/>
    <x v="3"/>
    <s v="Factory"/>
    <n v="0"/>
    <x v="7"/>
    <n v="93750"/>
    <m/>
  </r>
  <r>
    <m/>
    <s v="A-185"/>
    <s v="185 Cold"/>
    <s v="Sour Cream And Onion Seasoning"/>
    <m/>
    <m/>
    <s v="A-185"/>
    <n v="23"/>
    <n v="1"/>
    <n v="23"/>
    <x v="26"/>
    <s v="Seasoning"/>
    <s v="Onion Sea"/>
    <x v="127"/>
    <x v="110"/>
    <x v="1"/>
    <x v="3"/>
    <s v="Factory"/>
    <n v="0"/>
    <x v="102"/>
    <n v="10350"/>
    <m/>
  </r>
  <r>
    <m/>
    <s v="A-185"/>
    <s v="185 Cold"/>
    <s v="Peanuts Split"/>
    <m/>
    <m/>
    <s v="A-185"/>
    <n v="13.7"/>
    <n v="1"/>
    <n v="13.7"/>
    <x v="27"/>
    <s v="Blanched Split"/>
    <s v="Split"/>
    <x v="128"/>
    <x v="111"/>
    <x v="1"/>
    <x v="3"/>
    <s v="Factory"/>
    <n v="0"/>
    <x v="103"/>
    <n v="1534.3999999999999"/>
    <m/>
  </r>
  <r>
    <m/>
    <s v="A-185"/>
    <s v="185 Cold"/>
    <s v="Peanuts"/>
    <m/>
    <m/>
    <s v="A-185"/>
    <n v="650"/>
    <n v="1"/>
    <n v="650"/>
    <x v="27"/>
    <s v="Peanut"/>
    <s v="Whole"/>
    <x v="129"/>
    <x v="112"/>
    <x v="1"/>
    <x v="3"/>
    <s v="Factory"/>
    <n v="0"/>
    <x v="104"/>
    <n v="78000"/>
    <m/>
  </r>
  <r>
    <d v="2023-07-21T00:00:00"/>
    <s v="A-185"/>
    <s v="185 Cold"/>
    <s v="ROASTED BLANCHED PEANUT WHOLE"/>
    <s v="Blanched"/>
    <m/>
    <s v="A-185"/>
    <n v="1497"/>
    <n v="1"/>
    <n v="1497"/>
    <x v="27"/>
    <s v="Old Peanut"/>
    <s v="Blanched"/>
    <x v="130"/>
    <x v="113"/>
    <x v="1"/>
    <x v="3"/>
    <s v="Factory"/>
    <n v="0"/>
    <x v="23"/>
    <n v="404190"/>
    <n v="802"/>
  </r>
  <r>
    <m/>
    <s v="A-185"/>
    <s v="185 Cold"/>
    <s v="Pista Kernal Roasted and Salted"/>
    <s v="Kernel R&amp;S"/>
    <s v="Roasted"/>
    <s v="A-185"/>
    <n v="1249"/>
    <n v="1"/>
    <n v="1249"/>
    <x v="11"/>
    <s v="Kernels - R&amp;S"/>
    <s v="R &amp; S"/>
    <x v="131"/>
    <x v="114"/>
    <x v="1"/>
    <x v="3"/>
    <s v="Factory"/>
    <n v="0"/>
    <x v="62"/>
    <n v="811850"/>
    <m/>
  </r>
  <r>
    <m/>
    <s v="A-185"/>
    <s v="185 Cold"/>
    <s v="California Pista Inshell"/>
    <s v="Inshell"/>
    <s v="Pplain"/>
    <s v="A-185"/>
    <n v="16"/>
    <n v="1"/>
    <n v="16"/>
    <x v="11"/>
    <s v="Inshell - 21-25"/>
    <s v="Plain"/>
    <x v="132"/>
    <x v="115"/>
    <x v="1"/>
    <x v="3"/>
    <s v="Factory"/>
    <n v="0"/>
    <x v="105"/>
    <n v="13344"/>
    <m/>
  </r>
  <r>
    <m/>
    <s v="A-185"/>
    <s v="185 Cold"/>
    <s v="Pista Kernel"/>
    <s v="Kernel"/>
    <m/>
    <s v="A-185"/>
    <n v="295"/>
    <n v="1"/>
    <n v="295"/>
    <x v="11"/>
    <s v="Magaz"/>
    <s v="Kernels"/>
    <x v="133"/>
    <x v="116"/>
    <x v="1"/>
    <x v="3"/>
    <s v="Factory"/>
    <n v="0"/>
    <x v="71"/>
    <n v="442500"/>
    <m/>
  </r>
  <r>
    <m/>
    <s v="A-185"/>
    <s v="185 Cold"/>
    <s v="Brazil Nuts"/>
    <m/>
    <m/>
    <s v="A-185"/>
    <n v="8.8000000000000007"/>
    <n v="1"/>
    <n v="8.8000000000000007"/>
    <x v="19"/>
    <s v="Brazil Nuts"/>
    <s v="Kernels"/>
    <x v="87"/>
    <x v="75"/>
    <x v="1"/>
    <x v="3"/>
    <s v="Factory"/>
    <n v="0"/>
    <x v="106"/>
    <n v="24640.000000000004"/>
    <m/>
  </r>
  <r>
    <m/>
    <s v="A-185"/>
    <s v="185 Cold"/>
    <s v="Hazelnut Kernal"/>
    <s v="Blanched"/>
    <m/>
    <s v="A-185"/>
    <n v="11.7"/>
    <n v="1"/>
    <n v="11.7"/>
    <x v="14"/>
    <s v="Blanched"/>
    <s v="Kernels"/>
    <x v="76"/>
    <x v="66"/>
    <x v="1"/>
    <x v="3"/>
    <s v="Factory"/>
    <n v="0"/>
    <x v="107"/>
    <n v="14976"/>
    <m/>
  </r>
  <r>
    <m/>
    <s v="A-185"/>
    <s v="185 Cold"/>
    <s v="Macadamia Roasted - Size 4"/>
    <m/>
    <m/>
    <s v="A-185"/>
    <n v="55"/>
    <n v="1"/>
    <n v="55"/>
    <x v="8"/>
    <s v="Roasted Style-4"/>
    <s v="Size-4"/>
    <x v="88"/>
    <x v="117"/>
    <x v="1"/>
    <x v="3"/>
    <s v="Factory"/>
    <n v="0"/>
    <x v="71"/>
    <n v="82500"/>
    <m/>
  </r>
  <r>
    <m/>
    <s v="A-185"/>
    <s v="185 Cold"/>
    <s v="Macadamia Roasted - Size 6"/>
    <m/>
    <m/>
    <s v="A-185"/>
    <n v="11.34"/>
    <n v="1"/>
    <n v="11.34"/>
    <x v="8"/>
    <s v="Roasted Style-6"/>
    <s v="Size-6"/>
    <x v="59"/>
    <x v="47"/>
    <x v="1"/>
    <x v="3"/>
    <s v="Factory"/>
    <n v="0"/>
    <x v="45"/>
    <n v="10206"/>
    <m/>
  </r>
  <r>
    <m/>
    <s v="A-185"/>
    <s v="185 Cold"/>
    <s v="Macadamia Roasted NIS Sawn"/>
    <m/>
    <m/>
    <s v="A-185"/>
    <n v="0"/>
    <n v="1"/>
    <n v="0"/>
    <x v="8"/>
    <s v="NIS"/>
    <s v="NIS Swn"/>
    <x v="69"/>
    <x v="57"/>
    <x v="1"/>
    <x v="3"/>
    <s v="Factory"/>
    <n v="0"/>
    <x v="45"/>
    <n v="0"/>
    <m/>
  </r>
  <r>
    <m/>
    <s v="A-185"/>
    <s v="185 Cold"/>
    <s v="Pecan Nuts"/>
    <m/>
    <m/>
    <s v="A-185"/>
    <n v="186"/>
    <n v="1"/>
    <n v="186"/>
    <x v="12"/>
    <s v="Pecan"/>
    <s v="Pecan Nuts"/>
    <x v="134"/>
    <x v="63"/>
    <x v="1"/>
    <x v="3"/>
    <s v="Factory"/>
    <n v="0"/>
    <x v="108"/>
    <n v="267840"/>
    <m/>
  </r>
  <r>
    <m/>
    <s v="A-185"/>
    <s v="185 Cold"/>
    <s v="Dried Prunes (Pitted)"/>
    <m/>
    <m/>
    <s v="A-185"/>
    <n v="4486"/>
    <n v="1"/>
    <n v="4486"/>
    <x v="20"/>
    <s v="Pitted"/>
    <s v="Prunes"/>
    <x v="93"/>
    <x v="80"/>
    <x v="1"/>
    <x v="3"/>
    <s v="Factory"/>
    <n v="0"/>
    <x v="81"/>
    <n v="2108420"/>
    <m/>
  </r>
  <r>
    <m/>
    <s v="A-185"/>
    <s v="185 Cold"/>
    <s v="Afghan Black Raisins Seeded 1*2"/>
    <m/>
    <m/>
    <s v="A-185"/>
    <n v="599"/>
    <n v="1"/>
    <n v="599"/>
    <x v="7"/>
    <s v="Seeded 1*2"/>
    <s v="Raisin"/>
    <x v="135"/>
    <x v="49"/>
    <x v="1"/>
    <x v="3"/>
    <s v="Factory"/>
    <n v="0"/>
    <x v="47"/>
    <n v="159334"/>
    <m/>
  </r>
  <r>
    <m/>
    <s v="A-185"/>
    <s v="185 Cold"/>
    <s v="Afghan Black Raisins Seedless 1*2"/>
    <m/>
    <m/>
    <s v="A-185"/>
    <n v="588"/>
    <n v="1"/>
    <n v="588"/>
    <x v="7"/>
    <s v="Seedless 1*2"/>
    <s v="Raisin"/>
    <x v="136"/>
    <x v="118"/>
    <x v="1"/>
    <x v="3"/>
    <s v="Factory"/>
    <n v="0"/>
    <x v="109"/>
    <n v="217560"/>
    <m/>
  </r>
  <r>
    <m/>
    <s v="A-185"/>
    <s v="185 Cold"/>
    <s v="Afghan Munakka / Abjosh 1X2"/>
    <m/>
    <m/>
    <s v="A-185"/>
    <n v="32"/>
    <n v="1"/>
    <n v="32"/>
    <x v="7"/>
    <s v="Munakka"/>
    <s v="Abjosh 1x2"/>
    <x v="137"/>
    <x v="119"/>
    <x v="1"/>
    <x v="3"/>
    <s v="Factory"/>
    <n v="0"/>
    <x v="110"/>
    <n v="23200"/>
    <m/>
  </r>
  <r>
    <m/>
    <s v="A-185"/>
    <s v="185 Cold"/>
    <s v="Carnival Pan Raisin 100gm"/>
    <m/>
    <m/>
    <s v="A-185"/>
    <n v="7.5"/>
    <n v="1"/>
    <n v="7.5"/>
    <x v="7"/>
    <s v="Paan"/>
    <s v="Raisin"/>
    <x v="138"/>
    <x v="120"/>
    <x v="1"/>
    <x v="3"/>
    <s v="Factory"/>
    <n v="0"/>
    <x v="54"/>
    <n v="4500"/>
    <m/>
  </r>
  <r>
    <m/>
    <s v="A-185"/>
    <s v="185 Cold"/>
    <s v="Indian Green Raisins"/>
    <m/>
    <m/>
    <s v="A-185"/>
    <n v="0"/>
    <n v="1"/>
    <n v="0"/>
    <x v="7"/>
    <s v="Indian"/>
    <s v="Green"/>
    <x v="71"/>
    <x v="61"/>
    <x v="1"/>
    <x v="3"/>
    <s v="Factory"/>
    <n v="0"/>
    <x v="111"/>
    <n v="0"/>
    <m/>
  </r>
  <r>
    <m/>
    <s v="A-185"/>
    <s v="185 Cold"/>
    <s v="Indian Long Green Raisins"/>
    <m/>
    <m/>
    <s v="A-185"/>
    <n v="4.4000000000000004"/>
    <n v="1"/>
    <n v="4.4000000000000004"/>
    <x v="7"/>
    <s v="Indian"/>
    <s v="Long"/>
    <x v="139"/>
    <x v="121"/>
    <x v="1"/>
    <x v="3"/>
    <s v="Factory"/>
    <n v="0"/>
    <x v="56"/>
    <n v="1298"/>
    <m/>
  </r>
  <r>
    <m/>
    <s v="A-185"/>
    <s v="185 Cold"/>
    <s v="Anardana Churan"/>
    <m/>
    <m/>
    <s v="A-185"/>
    <n v="95"/>
    <n v="1"/>
    <n v="95"/>
    <x v="26"/>
    <s v="Anardana"/>
    <s v="Churan"/>
    <x v="140"/>
    <x v="122"/>
    <x v="1"/>
    <x v="3"/>
    <s v="Factory"/>
    <n v="0"/>
    <x v="112"/>
    <n v="24700"/>
    <m/>
  </r>
  <r>
    <m/>
    <s v="A-185"/>
    <s v="185 Cold"/>
    <s v="Anardana Powder"/>
    <m/>
    <m/>
    <s v="A-185"/>
    <n v="315"/>
    <n v="1"/>
    <n v="315"/>
    <x v="26"/>
    <s v="Anardana"/>
    <s v="Powder"/>
    <x v="141"/>
    <x v="123"/>
    <x v="1"/>
    <x v="3"/>
    <s v="Factory"/>
    <n v="0"/>
    <x v="113"/>
    <n v="72450"/>
    <m/>
  </r>
  <r>
    <m/>
    <s v="A-185"/>
    <s v="185 Cold"/>
    <s v="Barbeque seasoning"/>
    <m/>
    <m/>
    <s v="A-185"/>
    <n v="35"/>
    <n v="1"/>
    <n v="35"/>
    <x v="26"/>
    <s v="seasoning"/>
    <s v="Barbeque s"/>
    <x v="142"/>
    <x v="124"/>
    <x v="1"/>
    <x v="3"/>
    <s v="Factory"/>
    <n v="0"/>
    <x v="114"/>
    <n v="8925"/>
    <m/>
  </r>
  <r>
    <m/>
    <s v="A-185"/>
    <s v="185 Cold"/>
    <s v="Black Pepper Seasoning"/>
    <m/>
    <m/>
    <s v="A-185"/>
    <n v="107"/>
    <n v="1"/>
    <n v="107"/>
    <x v="26"/>
    <s v="seasoning"/>
    <s v="Pepper Sea"/>
    <x v="143"/>
    <x v="125"/>
    <x v="1"/>
    <x v="3"/>
    <s v="Factory"/>
    <n v="0"/>
    <x v="115"/>
    <n v="57780"/>
    <m/>
  </r>
  <r>
    <m/>
    <s v="A-185"/>
    <s v="185 Cold"/>
    <s v="Chilli Garlic Masala Seasoning"/>
    <m/>
    <m/>
    <s v="A-185"/>
    <n v="25"/>
    <n v="1"/>
    <n v="25"/>
    <x v="26"/>
    <s v="seasoning"/>
    <s v="Chilli Garlic"/>
    <x v="144"/>
    <x v="126"/>
    <x v="1"/>
    <x v="3"/>
    <s v="Factory"/>
    <n v="0"/>
    <x v="116"/>
    <n v="7500"/>
    <m/>
  </r>
  <r>
    <m/>
    <s v="A-185"/>
    <s v="185 Cold"/>
    <s v="Chipotle Honey Seasoning"/>
    <m/>
    <m/>
    <s v="A-185"/>
    <n v="100"/>
    <n v="1"/>
    <n v="100"/>
    <x v="26"/>
    <s v="seasoning"/>
    <s v="Honey"/>
    <x v="145"/>
    <x v="127"/>
    <x v="1"/>
    <x v="3"/>
    <s v="Factory"/>
    <n v="0"/>
    <x v="117"/>
    <n v="25900"/>
    <m/>
  </r>
  <r>
    <m/>
    <s v="A-185"/>
    <s v="185 Cold"/>
    <s v="Magic Masala Seasoning"/>
    <m/>
    <m/>
    <s v="A-185"/>
    <n v="50"/>
    <n v="1"/>
    <n v="50"/>
    <x v="26"/>
    <s v="seasoning"/>
    <s v="Masala Sea"/>
    <x v="146"/>
    <x v="128"/>
    <x v="1"/>
    <x v="3"/>
    <s v="Factory"/>
    <n v="0"/>
    <x v="118"/>
    <n v="10500"/>
    <m/>
  </r>
  <r>
    <m/>
    <s v="A-185"/>
    <s v="185 Cold"/>
    <s v="Pan Seasoning"/>
    <m/>
    <m/>
    <s v="A-185"/>
    <n v="25"/>
    <n v="1"/>
    <n v="25"/>
    <x v="26"/>
    <s v="seasoning"/>
    <s v="Pan"/>
    <x v="147"/>
    <x v="129"/>
    <x v="1"/>
    <x v="3"/>
    <s v="Factory"/>
    <n v="0"/>
    <x v="113"/>
    <n v="5750"/>
    <m/>
  </r>
  <r>
    <m/>
    <s v="A-185"/>
    <s v="185 Cold"/>
    <s v="Peri Peri Marination Seasoning"/>
    <m/>
    <m/>
    <s v="A-185"/>
    <n v="20"/>
    <n v="1"/>
    <n v="20"/>
    <x v="26"/>
    <s v="seasoning"/>
    <s v="Peri Peri"/>
    <x v="148"/>
    <x v="130"/>
    <x v="1"/>
    <x v="3"/>
    <s v="Factory"/>
    <n v="0"/>
    <x v="119"/>
    <n v="4340"/>
    <m/>
  </r>
  <r>
    <m/>
    <s v="A-185"/>
    <s v="185 Cold"/>
    <s v="Pudina seasoning"/>
    <m/>
    <m/>
    <s v="A-185"/>
    <n v="55"/>
    <n v="1"/>
    <n v="55"/>
    <x v="26"/>
    <s v="seasoning"/>
    <s v="Pudina sea"/>
    <x v="149"/>
    <x v="131"/>
    <x v="1"/>
    <x v="3"/>
    <s v="Factory"/>
    <n v="0"/>
    <x v="113"/>
    <n v="12650"/>
    <m/>
  </r>
  <r>
    <m/>
    <s v="A-185"/>
    <s v="185 Cold"/>
    <s v="Salt &amp; Pepper Seasoning"/>
    <m/>
    <m/>
    <s v="A-185"/>
    <n v="0"/>
    <n v="1"/>
    <n v="0"/>
    <x v="26"/>
    <s v="seasoning"/>
    <s v="Pepper Sea"/>
    <x v="150"/>
    <x v="132"/>
    <x v="1"/>
    <x v="3"/>
    <s v="Factory"/>
    <n v="0"/>
    <x v="120"/>
    <n v="0"/>
    <m/>
  </r>
  <r>
    <m/>
    <s v="A-185"/>
    <s v="185 Cold"/>
    <s v="Smoke Seasoning"/>
    <m/>
    <m/>
    <s v="A-185"/>
    <n v="150"/>
    <n v="1"/>
    <n v="150"/>
    <x v="26"/>
    <s v="seasoning"/>
    <s v="Smoke Seas"/>
    <x v="151"/>
    <x v="133"/>
    <x v="1"/>
    <x v="3"/>
    <s v="Factory"/>
    <n v="0"/>
    <x v="121"/>
    <n v="122250"/>
    <m/>
  </r>
  <r>
    <m/>
    <s v="A-185"/>
    <s v="185 Cold"/>
    <s v="SWEET THAI CHILLI SEASONING"/>
    <m/>
    <m/>
    <s v="A-185"/>
    <n v="20"/>
    <n v="1"/>
    <n v="20"/>
    <x v="26"/>
    <s v="seasoning"/>
    <s v="CHILLI SEA"/>
    <x v="152"/>
    <x v="134"/>
    <x v="1"/>
    <x v="3"/>
    <s v="Factory"/>
    <n v="0"/>
    <x v="118"/>
    <n v="4200"/>
    <m/>
  </r>
  <r>
    <m/>
    <s v="A-185"/>
    <s v="185 Cold"/>
    <s v="Tandoori Seasoning"/>
    <m/>
    <m/>
    <s v="A-185"/>
    <n v="50"/>
    <n v="1"/>
    <n v="50"/>
    <x v="26"/>
    <s v="seasoning"/>
    <s v="Tandoori S"/>
    <x v="153"/>
    <x v="135"/>
    <x v="1"/>
    <x v="3"/>
    <s v="Factory"/>
    <n v="0"/>
    <x v="112"/>
    <n v="13000"/>
    <m/>
  </r>
  <r>
    <m/>
    <s v="A-185"/>
    <s v="185 Cold"/>
    <s v="URBAN PLATTER ARABIC GUM POWDER"/>
    <m/>
    <m/>
    <s v="A-185"/>
    <n v="21"/>
    <n v="1"/>
    <n v="21"/>
    <x v="26"/>
    <s v="seasoning"/>
    <s v="GUM "/>
    <x v="154"/>
    <x v="136"/>
    <x v="1"/>
    <x v="3"/>
    <s v="Factory"/>
    <n v="0"/>
    <x v="122"/>
    <n v="3906"/>
    <m/>
  </r>
  <r>
    <m/>
    <s v="A-185"/>
    <s v="185 Cold"/>
    <s v="Urban Platter Mexican Chipotle Seasoning"/>
    <m/>
    <m/>
    <s v="A-185"/>
    <n v="0.9"/>
    <n v="1"/>
    <n v="0.9"/>
    <x v="26"/>
    <s v="seasoning"/>
    <s v="GUM "/>
    <x v="155"/>
    <x v="137"/>
    <x v="1"/>
    <x v="3"/>
    <s v="Factory"/>
    <n v="0"/>
    <x v="122"/>
    <n v="167.4"/>
    <m/>
  </r>
  <r>
    <m/>
    <s v="A-185"/>
    <s v="185 Cold"/>
    <s v="Urban Platter Tandoori Tikka Masala"/>
    <m/>
    <m/>
    <s v="A-185"/>
    <n v="1"/>
    <n v="1"/>
    <n v="1"/>
    <x v="26"/>
    <s v="seasoning"/>
    <s v="GUM "/>
    <x v="156"/>
    <x v="138"/>
    <x v="1"/>
    <x v="3"/>
    <s v="Factory"/>
    <n v="0"/>
    <x v="122"/>
    <n v="186"/>
    <m/>
  </r>
  <r>
    <m/>
    <s v="A-185"/>
    <s v="185 Cold"/>
    <s v="Urban Platter Soya Chaap Seasoning"/>
    <m/>
    <m/>
    <s v="A-185"/>
    <n v="3"/>
    <n v="1"/>
    <n v="3"/>
    <x v="26"/>
    <s v="seasoning"/>
    <s v="Soya Chaap"/>
    <x v="157"/>
    <x v="139"/>
    <x v="1"/>
    <x v="3"/>
    <s v="Factory"/>
    <n v="0"/>
    <x v="93"/>
    <n v="1785"/>
    <m/>
  </r>
  <r>
    <m/>
    <s v="A-185"/>
    <s v="185 Cold"/>
    <s v="Wasabi Seasoning AB343"/>
    <m/>
    <m/>
    <s v="A-185"/>
    <n v="60"/>
    <n v="1"/>
    <n v="60"/>
    <x v="26"/>
    <s v="seasoning"/>
    <s v="Wasabi"/>
    <x v="158"/>
    <x v="140"/>
    <x v="1"/>
    <x v="3"/>
    <s v="Factory"/>
    <n v="0"/>
    <x v="123"/>
    <n v="13680"/>
    <m/>
  </r>
  <r>
    <m/>
    <s v="A-185"/>
    <s v="185 Cold"/>
    <s v="Carnival Crunchy Caramel Trail Mix"/>
    <m/>
    <m/>
    <s v="A-185"/>
    <n v="38.9"/>
    <n v="1"/>
    <n v="38.9"/>
    <x v="28"/>
    <s v="Crunchy Caramel"/>
    <s v="Trail Mix"/>
    <x v="159"/>
    <x v="141"/>
    <x v="1"/>
    <x v="3"/>
    <s v="Factory"/>
    <n v="0"/>
    <x v="45"/>
    <n v="35010"/>
    <m/>
  </r>
  <r>
    <m/>
    <s v="A-185"/>
    <s v="185 Cold"/>
    <s v="Dates Mewa Classic 210gm"/>
    <m/>
    <m/>
    <s v="A-185"/>
    <n v="14"/>
    <n v="0.21"/>
    <n v="2.94"/>
    <x v="28"/>
    <s v="Date Mewa"/>
    <s v="Classic"/>
    <x v="160"/>
    <x v="142"/>
    <x v="1"/>
    <x v="3"/>
    <s v="Factory"/>
    <n v="0"/>
    <x v="124"/>
    <n v="1470"/>
    <m/>
  </r>
  <r>
    <m/>
    <s v="A-185"/>
    <s v="185 Cold"/>
    <s v="Chilean Walnut Inshell"/>
    <m/>
    <m/>
    <s v="A-185"/>
    <n v="50"/>
    <n v="1"/>
    <n v="50"/>
    <x v="17"/>
    <s v="Chilean Inshell"/>
    <s v="Chilean"/>
    <x v="161"/>
    <x v="143"/>
    <x v="1"/>
    <x v="3"/>
    <s v="Factory"/>
    <n v="0"/>
    <x v="125"/>
    <n v="24593.5"/>
    <m/>
  </r>
  <r>
    <m/>
    <s v="A-185"/>
    <s v="185 Cold"/>
    <s v="Chilean Walnut Kernel 2 pcs"/>
    <m/>
    <m/>
    <s v="A-185"/>
    <n v="130"/>
    <n v="1"/>
    <n v="130"/>
    <x v="17"/>
    <s v="Kernels 4pc"/>
    <s v="Chilean"/>
    <x v="162"/>
    <x v="144"/>
    <x v="1"/>
    <x v="3"/>
    <s v="Factory"/>
    <n v="0"/>
    <x v="40"/>
    <n v="123500"/>
    <m/>
  </r>
  <r>
    <m/>
    <s v="A-185"/>
    <s v="185 Cold"/>
    <s v="Kashmiri Walnut Kernels"/>
    <m/>
    <m/>
    <s v="A-185"/>
    <n v="30"/>
    <n v="1"/>
    <n v="30"/>
    <x v="17"/>
    <s v="Kashmiri"/>
    <s v="Kashmiri"/>
    <x v="163"/>
    <x v="145"/>
    <x v="1"/>
    <x v="3"/>
    <s v="Factory"/>
    <n v="0"/>
    <x v="126"/>
    <n v="23250"/>
    <m/>
  </r>
  <r>
    <d v="2023-12-06T00:00:00"/>
    <s v="A-185"/>
    <s v="185 Cold"/>
    <s v="Kharik"/>
    <m/>
    <m/>
    <s v="A-185"/>
    <n v="3549"/>
    <n v="1"/>
    <n v="3549"/>
    <x v="3"/>
    <s v="Oman"/>
    <s v="Kharik"/>
    <x v="3"/>
    <x v="3"/>
    <x v="1"/>
    <x v="3"/>
    <s v="Factory"/>
    <n v="0"/>
    <x v="3"/>
    <n v="855309"/>
    <n v="664"/>
  </r>
  <r>
    <m/>
    <s v="A-185"/>
    <s v="185 Cold"/>
    <s v="Chatpata Seasoning"/>
    <m/>
    <m/>
    <s v="A-185"/>
    <n v="50"/>
    <n v="1"/>
    <n v="50"/>
    <x v="26"/>
    <s v="Seasoning"/>
    <s v="Chatpata"/>
    <x v="164"/>
    <x v="146"/>
    <x v="1"/>
    <x v="3"/>
    <s v="Factory"/>
    <n v="0"/>
    <x v="7"/>
    <n v="12500"/>
    <m/>
  </r>
  <r>
    <m/>
    <s v="A-185"/>
    <s v="185 Cold"/>
    <s v="Amchur Powder"/>
    <m/>
    <m/>
    <s v="A-185"/>
    <n v="8"/>
    <n v="1"/>
    <n v="8"/>
    <x v="26"/>
    <s v="Seasoning"/>
    <s v="Amchur"/>
    <x v="165"/>
    <x v="147"/>
    <x v="1"/>
    <x v="3"/>
    <s v="Factory"/>
    <n v="0"/>
    <x v="127"/>
    <n v="2280"/>
    <m/>
  </r>
  <r>
    <m/>
    <s v="A-185"/>
    <s v="185 Cold"/>
    <s v="Roasted &amp; Salted Almonds"/>
    <m/>
    <m/>
    <s v="A-185"/>
    <n v="118.45"/>
    <n v="1"/>
    <n v="118.45"/>
    <x v="22"/>
    <s v="R &amp; S"/>
    <s v="Kernels"/>
    <x v="166"/>
    <x v="148"/>
    <x v="1"/>
    <x v="3"/>
    <s v="Factory"/>
    <n v="0"/>
    <x v="62"/>
    <n v="76992.5"/>
    <m/>
  </r>
  <r>
    <m/>
    <s v="A-185"/>
    <s v="185 Cold"/>
    <s v="BLACK PEPPER CASHEW"/>
    <m/>
    <m/>
    <s v="A-185"/>
    <n v="22.6"/>
    <n v="1"/>
    <n v="22.6"/>
    <x v="24"/>
    <s v="Black Pepper"/>
    <s v="Kernels"/>
    <x v="167"/>
    <x v="149"/>
    <x v="1"/>
    <x v="3"/>
    <s v="Factory"/>
    <n v="0"/>
    <x v="45"/>
    <n v="20340"/>
    <m/>
  </r>
  <r>
    <m/>
    <s v="A-185"/>
    <s v="185 Cold"/>
    <s v="Carnival Roasted &amp; Salted Cashew 200g"/>
    <m/>
    <m/>
    <s v="A-185"/>
    <n v="90"/>
    <n v="1"/>
    <n v="90"/>
    <x v="24"/>
    <s v="R&amp;S"/>
    <s v="Kernels"/>
    <x v="168"/>
    <x v="150"/>
    <x v="1"/>
    <x v="3"/>
    <s v="Factory"/>
    <n v="0"/>
    <x v="128"/>
    <n v="72000"/>
    <m/>
  </r>
  <r>
    <m/>
    <s v="A-185"/>
    <s v="185 Cold"/>
    <s v="Cheese Cashew"/>
    <m/>
    <m/>
    <s v="A-185"/>
    <n v="1"/>
    <n v="1"/>
    <n v="1"/>
    <x v="24"/>
    <s v="Cheese"/>
    <s v="Kernels"/>
    <x v="169"/>
    <x v="151"/>
    <x v="1"/>
    <x v="3"/>
    <s v="Factory"/>
    <n v="0"/>
    <x v="129"/>
    <n v="880"/>
    <m/>
  </r>
  <r>
    <m/>
    <s v="A-185"/>
    <s v="185 Cold"/>
    <s v="Roasted &amp; Salted Cashew"/>
    <m/>
    <m/>
    <s v="A-185"/>
    <n v="13.5"/>
    <n v="1"/>
    <n v="13.5"/>
    <x v="24"/>
    <s v="R&amp;S"/>
    <s v="Kernels"/>
    <x v="170"/>
    <x v="152"/>
    <x v="1"/>
    <x v="3"/>
    <s v="Factory"/>
    <n v="0"/>
    <x v="128"/>
    <n v="10800"/>
    <m/>
  </r>
  <r>
    <m/>
    <s v="A-185"/>
    <s v="185 Cold"/>
    <s v="Chatpata Cranberry"/>
    <m/>
    <m/>
    <s v="A-185"/>
    <n v="126.5"/>
    <n v="1"/>
    <n v="126.5"/>
    <x v="13"/>
    <s v="Chatpata"/>
    <s v="Chatpata"/>
    <x v="171"/>
    <x v="153"/>
    <x v="1"/>
    <x v="3"/>
    <s v="Factory"/>
    <n v="0"/>
    <x v="115"/>
    <n v="68310"/>
    <m/>
  </r>
  <r>
    <m/>
    <s v="A-185"/>
    <s v="185 Cold"/>
    <s v="Fresho Kimia Dates 500 Gm"/>
    <m/>
    <m/>
    <s v="A-185"/>
    <n v="29.5"/>
    <n v="1"/>
    <n v="29.5"/>
    <x v="1"/>
    <s v="Mazafati"/>
    <s v="500gm"/>
    <x v="172"/>
    <x v="154"/>
    <x v="1"/>
    <x v="3"/>
    <s v="Factory"/>
    <n v="0"/>
    <x v="130"/>
    <n v="4189"/>
    <m/>
  </r>
  <r>
    <m/>
    <s v="A-185"/>
    <s v="185 Cold"/>
    <s v="Mewa Mix Dryfruit Box 580gm"/>
    <m/>
    <m/>
    <s v="A-185"/>
    <n v="9"/>
    <n v="0.57999999999999996"/>
    <n v="5.22"/>
    <x v="29"/>
    <s v="Mewa Mix"/>
    <s v="580g"/>
    <x v="173"/>
    <x v="155"/>
    <x v="1"/>
    <x v="3"/>
    <s v="Factory"/>
    <n v="0"/>
    <x v="131"/>
    <n v="3419.1"/>
    <m/>
  </r>
  <r>
    <m/>
    <s v="A-185"/>
    <s v="185 Cold"/>
    <s v="SHUBHKAMANYEN 180gm"/>
    <m/>
    <m/>
    <s v="A-185"/>
    <n v="33"/>
    <n v="0.18"/>
    <n v="5.9399999999999995"/>
    <x v="29"/>
    <s v="Shubhkamnaye"/>
    <s v="180g"/>
    <x v="174"/>
    <x v="156"/>
    <x v="1"/>
    <x v="3"/>
    <s v="Factory"/>
    <n v="0"/>
    <x v="132"/>
    <n v="831.59999999999991"/>
    <m/>
  </r>
  <r>
    <m/>
    <s v="A-185"/>
    <s v="185 Cold"/>
    <s v="Coated Peanuts"/>
    <m/>
    <m/>
    <s v="A-185"/>
    <n v="9.6"/>
    <n v="1"/>
    <n v="9.6"/>
    <x v="27"/>
    <s v="Peanut"/>
    <s v="Coated"/>
    <x v="175"/>
    <x v="157"/>
    <x v="1"/>
    <x v="3"/>
    <s v="Factory"/>
    <n v="0"/>
    <x v="133"/>
    <n v="1248"/>
    <m/>
  </r>
  <r>
    <m/>
    <s v="A-185"/>
    <s v="185 Cold"/>
    <s v="Krack Nut Coated Peanuts Tandoori Toofan 1 Kg"/>
    <m/>
    <m/>
    <s v="A-185"/>
    <n v="13.2"/>
    <n v="1"/>
    <n v="13.2"/>
    <x v="27"/>
    <s v="Peanut"/>
    <s v="Coated"/>
    <x v="176"/>
    <x v="158"/>
    <x v="1"/>
    <x v="3"/>
    <s v="Factory"/>
    <n v="0"/>
    <x v="133"/>
    <n v="1716"/>
    <m/>
  </r>
  <r>
    <m/>
    <s v="A-185"/>
    <s v="185 Cold"/>
    <s v="Krack Nut Coated Peanuts Thai Firangi 85g"/>
    <m/>
    <m/>
    <s v="A-185"/>
    <n v="25.93"/>
    <n v="1"/>
    <n v="25.93"/>
    <x v="27"/>
    <s v="Peanut"/>
    <s v="Coated"/>
    <x v="177"/>
    <x v="159"/>
    <x v="1"/>
    <x v="3"/>
    <s v="Factory"/>
    <n v="0"/>
    <x v="133"/>
    <n v="3370.9"/>
    <m/>
  </r>
  <r>
    <m/>
    <s v="A-185"/>
    <s v="185 Cold"/>
    <s v="Kracknut Coated Peanuts-Pudhina Patakha 1kg"/>
    <m/>
    <m/>
    <s v="A-185"/>
    <n v="3.7"/>
    <n v="1"/>
    <n v="3.7"/>
    <x v="27"/>
    <s v="Peanut"/>
    <s v="Coated"/>
    <x v="178"/>
    <x v="160"/>
    <x v="1"/>
    <x v="3"/>
    <s v="Factory"/>
    <n v="0"/>
    <x v="133"/>
    <n v="481"/>
    <m/>
  </r>
  <r>
    <m/>
    <s v="A-185"/>
    <s v="185 Cold"/>
    <s v="snack amor Coated Peanuts Pudina Patakha 100g"/>
    <m/>
    <m/>
    <s v="A-185"/>
    <n v="0"/>
    <n v="1"/>
    <n v="0"/>
    <x v="27"/>
    <s v="Peanut"/>
    <s v="Coated"/>
    <x v="179"/>
    <x v="161"/>
    <x v="1"/>
    <x v="3"/>
    <s v="Factory"/>
    <n v="0"/>
    <x v="133"/>
    <n v="0"/>
    <m/>
  </r>
  <r>
    <m/>
    <s v="A-185"/>
    <s v="185 Cold"/>
    <s v="California Pista Inshell Roasted and Salted"/>
    <m/>
    <m/>
    <s v="A-185"/>
    <n v="114"/>
    <n v="1"/>
    <n v="114"/>
    <x v="11"/>
    <s v="Inshell - R&amp;S"/>
    <s v="R&amp;S"/>
    <x v="180"/>
    <x v="162"/>
    <x v="1"/>
    <x v="3"/>
    <s v="Factory"/>
    <n v="0"/>
    <x v="45"/>
    <n v="102600"/>
    <m/>
  </r>
  <r>
    <m/>
    <s v="A-185"/>
    <s v="185 Cold"/>
    <s v="Berry Mix"/>
    <m/>
    <m/>
    <s v="A-185"/>
    <n v="4.9000000000000004"/>
    <n v="1"/>
    <n v="4.9000000000000004"/>
    <x v="28"/>
    <s v="Berry Mix"/>
    <s v="Berry Mix"/>
    <x v="181"/>
    <x v="163"/>
    <x v="1"/>
    <x v="3"/>
    <s v="Factory"/>
    <n v="0"/>
    <x v="134"/>
    <n v="2597"/>
    <m/>
  </r>
  <r>
    <m/>
    <s v="A-185"/>
    <s v="185 Cold"/>
    <s v="Trail Mix"/>
    <m/>
    <m/>
    <s v="A-185"/>
    <n v="13.6"/>
    <n v="1"/>
    <n v="13.6"/>
    <x v="28"/>
    <s v="Trail Mix"/>
    <s v="Trail Mix"/>
    <x v="182"/>
    <x v="164"/>
    <x v="1"/>
    <x v="3"/>
    <s v="Factory"/>
    <n v="0"/>
    <x v="25"/>
    <n v="13600"/>
    <m/>
  </r>
  <r>
    <m/>
    <s v="A-185"/>
    <s v="185 Cold"/>
    <s v="Pan Cranberry"/>
    <m/>
    <m/>
    <s v="A-185"/>
    <n v="21.8"/>
    <n v="1"/>
    <n v="21.8"/>
    <x v="13"/>
    <s v="Pan"/>
    <s v="Pan"/>
    <x v="183"/>
    <x v="165"/>
    <x v="1"/>
    <x v="3"/>
    <s v="Factory"/>
    <n v="0"/>
    <x v="124"/>
    <n v="10900"/>
    <m/>
  </r>
  <r>
    <m/>
    <s v="A-185"/>
    <s v="185 Cold"/>
    <s v="Barbeque Coated Peanut"/>
    <m/>
    <m/>
    <s v="A-185"/>
    <n v="10.5"/>
    <n v="1"/>
    <n v="10.5"/>
    <x v="27"/>
    <s v="Peanut"/>
    <s v="Coated"/>
    <x v="184"/>
    <x v="166"/>
    <x v="1"/>
    <x v="3"/>
    <s v="Factory"/>
    <n v="0"/>
    <x v="133"/>
    <n v="1365"/>
    <m/>
  </r>
  <r>
    <m/>
    <s v="A-185"/>
    <s v="185 Cold"/>
    <s v="Honey Chipotle Coated Peanut"/>
    <m/>
    <m/>
    <s v="A-185"/>
    <n v="15.8"/>
    <n v="1"/>
    <n v="15.8"/>
    <x v="27"/>
    <s v="Peanut"/>
    <s v="Coated"/>
    <x v="185"/>
    <x v="167"/>
    <x v="1"/>
    <x v="3"/>
    <s v="Factory"/>
    <n v="0"/>
    <x v="133"/>
    <n v="2054"/>
    <m/>
  </r>
  <r>
    <m/>
    <s v="A-185"/>
    <s v="185 Cold"/>
    <s v="Pecan Nuts Inshell"/>
    <m/>
    <m/>
    <s v="A-185"/>
    <n v="90"/>
    <n v="1"/>
    <n v="90"/>
    <x v="12"/>
    <s v="Pecan Inshell"/>
    <s v="Inshell"/>
    <x v="186"/>
    <x v="168"/>
    <x v="1"/>
    <x v="3"/>
    <s v="Factory"/>
    <n v="0"/>
    <x v="135"/>
    <n v="41805"/>
    <m/>
  </r>
  <r>
    <m/>
    <s v="A-185"/>
    <s v="185 Cold"/>
    <s v="Choco Chips"/>
    <m/>
    <m/>
    <s v="A-185"/>
    <n v="8.75"/>
    <n v="1"/>
    <n v="8.75"/>
    <x v="26"/>
    <s v="Seasoning"/>
    <s v="Choco"/>
    <x v="187"/>
    <x v="169"/>
    <x v="1"/>
    <x v="3"/>
    <s v="Factory"/>
    <n v="0"/>
    <x v="136"/>
    <n v="2595.25"/>
    <m/>
  </r>
  <r>
    <m/>
    <s v="A-185"/>
    <s v="185 Cold"/>
    <s v="AL BARAKAH DATES SYRUP"/>
    <m/>
    <m/>
    <s v="A-185"/>
    <n v="2472"/>
    <n v="1"/>
    <n v="2472"/>
    <x v="6"/>
    <s v="1.15kg x 12"/>
    <s v="13.8Kg"/>
    <x v="188"/>
    <x v="170"/>
    <x v="1"/>
    <x v="3"/>
    <s v="Factory"/>
    <n v="0"/>
    <x v="137"/>
    <n v="469680"/>
    <m/>
  </r>
  <r>
    <m/>
    <s v="A-185"/>
    <s v="185 Cold"/>
    <s v="Butter Seassoning"/>
    <m/>
    <m/>
    <s v="A-185"/>
    <n v="25"/>
    <n v="1"/>
    <n v="25"/>
    <x v="26"/>
    <s v="seasoning"/>
    <s v="Butter"/>
    <x v="189"/>
    <x v="171"/>
    <x v="1"/>
    <x v="3"/>
    <s v="Factory"/>
    <n v="0"/>
    <x v="114"/>
    <n v="6375"/>
    <m/>
  </r>
  <r>
    <m/>
    <s v="A-185"/>
    <s v="185 Cold"/>
    <s v="Red Kharek Cut"/>
    <s v="Deseeded kharik"/>
    <m/>
    <s v="A-185"/>
    <n v="87"/>
    <n v="1"/>
    <n v="87"/>
    <x v="3"/>
    <s v="Seedless"/>
    <s v="Kharik"/>
    <x v="8"/>
    <x v="172"/>
    <x v="1"/>
    <x v="3"/>
    <s v="Factory"/>
    <n v="0"/>
    <x v="7"/>
    <n v="21750"/>
    <m/>
  </r>
  <r>
    <m/>
    <s v="A-185"/>
    <s v="185 Cold"/>
    <s v="Chia Seeds"/>
    <s v="Raw Chia"/>
    <m/>
    <s v="A-185"/>
    <n v="0"/>
    <n v="1"/>
    <n v="0"/>
    <x v="21"/>
    <s v="Chia"/>
    <s v="Seeds"/>
    <x v="190"/>
    <x v="173"/>
    <x v="1"/>
    <x v="3"/>
    <s v="Factory"/>
    <n v="0"/>
    <x v="138"/>
    <n v="0"/>
    <m/>
  </r>
  <r>
    <m/>
    <s v="A-185"/>
    <s v="185 Cold"/>
    <s v="Lemon Pepper Seasoning"/>
    <m/>
    <m/>
    <s v="A-185"/>
    <n v="2"/>
    <n v="1"/>
    <n v="2"/>
    <x v="26"/>
    <s v="seasoning"/>
    <s v="Lemon Pepper"/>
    <x v="191"/>
    <x v="174"/>
    <x v="1"/>
    <x v="3"/>
    <s v="Factory"/>
    <n v="0"/>
    <x v="7"/>
    <n v="500"/>
    <m/>
  </r>
  <r>
    <m/>
    <m/>
    <m/>
    <m/>
    <m/>
    <m/>
    <m/>
    <m/>
    <m/>
    <m/>
    <x v="30"/>
    <m/>
    <m/>
    <x v="192"/>
    <x v="175"/>
    <x v="2"/>
    <x v="4"/>
    <m/>
    <m/>
    <x v="139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5">
  <r>
    <s v="24/07/2023"/>
    <s v="D-39"/>
    <s v="GR5903"/>
    <s v="KHAJUR BOX 10"/>
    <s v="WHITE POWDER"/>
    <s v="V-2"/>
    <x v="0"/>
    <n v="45"/>
    <n v="10"/>
    <n v="450"/>
    <x v="0"/>
    <s v="V2"/>
    <s v="AL BARAKAH"/>
    <x v="0"/>
    <x v="0"/>
    <x v="0"/>
    <x v="0"/>
    <s v="Rental"/>
    <s v="AL BARAKAH"/>
    <n v="215"/>
    <n v="96750"/>
    <n v="822"/>
  </r>
  <r>
    <s v="06/12/2023"/>
    <s v="D-39"/>
    <s v="GR14501"/>
    <s v="KHAJUR BOX 8"/>
    <s v="BASOOR=OMAN DRY DATES"/>
    <s v="GRADE 2"/>
    <x v="1"/>
    <n v="14"/>
    <n v="7"/>
    <n v="98"/>
    <x v="1"/>
    <s v="Oman"/>
    <s v="Dry Dates"/>
    <x v="1"/>
    <x v="1"/>
    <x v="0"/>
    <x v="0"/>
    <s v="Rental"/>
    <s v="NAKHEEL"/>
    <n v="241"/>
    <n v="23618"/>
    <n v="687"/>
  </r>
  <r>
    <s v="06/12/2023"/>
    <s v="D-39"/>
    <s v="GR14501"/>
    <s v="KHAJUR BOX 8"/>
    <s v="BASOOR=OMAN DRY DATES"/>
    <s v="GRADE 2"/>
    <x v="1"/>
    <n v="1"/>
    <n v="7"/>
    <n v="7"/>
    <x v="1"/>
    <s v="Oman"/>
    <s v="Dry Dates"/>
    <x v="1"/>
    <x v="1"/>
    <x v="0"/>
    <x v="0"/>
    <s v="Rental"/>
    <s v="NAKHEEL"/>
    <n v="241"/>
    <n v="1687"/>
    <n v="687"/>
  </r>
  <r>
    <s v="06/12/2023"/>
    <s v="D-39"/>
    <s v="GR14501"/>
    <s v="KHAJUR BOX 8"/>
    <s v="BASOOR=OMAN DRY DATES"/>
    <s v="GRADE 2"/>
    <x v="1"/>
    <n v="9"/>
    <n v="7"/>
    <n v="63"/>
    <x v="1"/>
    <s v="Oman"/>
    <s v="Dry Dates"/>
    <x v="1"/>
    <x v="1"/>
    <x v="0"/>
    <x v="0"/>
    <s v="Rental"/>
    <s v="NAKHEEL"/>
    <n v="241"/>
    <n v="15183"/>
    <n v="687"/>
  </r>
  <r>
    <s v="06/12/2023"/>
    <s v="D-39"/>
    <s v="GR14501"/>
    <s v="KHAJUR BOX 8"/>
    <s v="BASOOR=OMAN DRY DATES"/>
    <s v="GRADE 2"/>
    <x v="1"/>
    <n v="49"/>
    <n v="7"/>
    <n v="343"/>
    <x v="1"/>
    <s v="Oman"/>
    <s v="Dry Dates"/>
    <x v="1"/>
    <x v="1"/>
    <x v="0"/>
    <x v="0"/>
    <s v="Rental"/>
    <s v="NAKHEEL"/>
    <n v="241"/>
    <n v="82663"/>
    <n v="687"/>
  </r>
  <r>
    <s v="06/12/2023"/>
    <s v="D-39"/>
    <s v="GR14501"/>
    <s v="KHAJUR BOX 8"/>
    <s v="BASOOR=OMAN DRY DATES"/>
    <s v="GRADE 2"/>
    <x v="1"/>
    <n v="5"/>
    <n v="7"/>
    <n v="35"/>
    <x v="1"/>
    <s v="Oman"/>
    <s v="Dry Dates"/>
    <x v="1"/>
    <x v="1"/>
    <x v="0"/>
    <x v="0"/>
    <s v="Rental"/>
    <s v="NAKHEEL"/>
    <n v="241"/>
    <n v="8435"/>
    <n v="687"/>
  </r>
  <r>
    <s v="09/12/2023"/>
    <s v="D-514"/>
    <s v="GR6307"/>
    <s v="KHAJUR BOX 5"/>
    <s v="ARSH RABIA REGULAR"/>
    <s v="-"/>
    <x v="2"/>
    <n v="89"/>
    <n v="5"/>
    <n v="445"/>
    <x v="2"/>
    <s v="Rabia"/>
    <s v="Rabia"/>
    <x v="2"/>
    <x v="2"/>
    <x v="0"/>
    <x v="0"/>
    <s v="Rental"/>
    <s v="Local"/>
    <n v="187.5"/>
    <n v="83437.5"/>
    <n v="684"/>
  </r>
  <r>
    <s v="21/12/2023"/>
    <s v="D-39"/>
    <s v="GR15378"/>
    <s v="KHAJUR BOX 10"/>
    <s v="LALU RED SAAD"/>
    <s v="-"/>
    <x v="3"/>
    <n v="220"/>
    <n v="10"/>
    <n v="2200"/>
    <x v="2"/>
    <s v="Lulu"/>
    <s v="Red"/>
    <x v="3"/>
    <x v="3"/>
    <x v="0"/>
    <x v="0"/>
    <s v="Rental"/>
    <s v="AL BARAKAH"/>
    <n v="157"/>
    <n v="345400"/>
    <n v="672"/>
  </r>
  <r>
    <s v="22/12/2023"/>
    <s v="D-39"/>
    <s v="GR15515"/>
    <s v="KHAJUR BOX 5"/>
    <s v="RABIA/RAWAT"/>
    <s v="-"/>
    <x v="4"/>
    <n v="5"/>
    <n v="5"/>
    <n v="25"/>
    <x v="2"/>
    <s v="Rabia"/>
    <s v="Rabia"/>
    <x v="2"/>
    <x v="2"/>
    <x v="0"/>
    <x v="0"/>
    <s v="Rental"/>
    <s v="Local"/>
    <n v="187.5"/>
    <n v="4687.5"/>
    <n v="671"/>
  </r>
  <r>
    <s v="22/12/2023"/>
    <s v="D-39"/>
    <s v="GR15493"/>
    <s v="KHAJUR BOX 10"/>
    <s v="AZMAH DATES"/>
    <s v="500GM"/>
    <x v="5"/>
    <n v="16"/>
    <n v="10"/>
    <n v="160"/>
    <x v="3"/>
    <s v="Safawi"/>
    <s v="Azmah 500gm"/>
    <x v="4"/>
    <x v="4"/>
    <x v="0"/>
    <x v="0"/>
    <s v="Fix (M2G) (+)"/>
    <s v="Local"/>
    <n v="550"/>
    <n v="88000"/>
    <n v="671"/>
  </r>
  <r>
    <s v="23/12/2023"/>
    <s v="D-39"/>
    <s v="GR15573"/>
    <s v="KHAJUR BOX 5"/>
    <s v="SAFAVI"/>
    <s v="-"/>
    <x v="6"/>
    <n v="1"/>
    <n v="5"/>
    <n v="5"/>
    <x v="3"/>
    <s v="Safawi"/>
    <s v="Safawi"/>
    <x v="5"/>
    <x v="4"/>
    <x v="0"/>
    <x v="0"/>
    <s v="Fix (M2G) (+)"/>
    <s v="Local"/>
    <n v="550"/>
    <n v="2750"/>
    <n v="670"/>
  </r>
  <r>
    <s v="25/12/2023"/>
    <s v="D-39"/>
    <s v="GR15667"/>
    <s v="KHAREK BOX 15"/>
    <s v="-"/>
    <s v="CUTT"/>
    <x v="7"/>
    <n v="6"/>
    <n v="15"/>
    <n v="90"/>
    <x v="1"/>
    <s v="KHAREK"/>
    <s v="RED KHAREK"/>
    <x v="6"/>
    <x v="5"/>
    <x v="0"/>
    <x v="0"/>
    <s v="Rental"/>
    <s v="Local"/>
    <n v="250"/>
    <n v="22500"/>
    <n v="668"/>
  </r>
  <r>
    <s v="27/03/2024"/>
    <s v="D-39"/>
    <s v="GR21140"/>
    <s v="KHAJUR BOX 5"/>
    <s v="SAFAVI DATES"/>
    <s v="WHITE"/>
    <x v="8"/>
    <n v="2"/>
    <n v="5"/>
    <n v="10"/>
    <x v="3"/>
    <s v="Safawi"/>
    <s v="Safawi"/>
    <x v="5"/>
    <x v="4"/>
    <x v="0"/>
    <x v="0"/>
    <s v="Fix (M2G) (+)"/>
    <s v="Local"/>
    <n v="550"/>
    <n v="5500"/>
    <n v="575"/>
  </r>
  <r>
    <s v="27/03/2024"/>
    <s v="D-39"/>
    <s v="GR21140"/>
    <s v="KHAJUR BOX 5"/>
    <s v="KALMI DATES"/>
    <s v="SAFAVI"/>
    <x v="9"/>
    <n v="2"/>
    <n v="5"/>
    <n v="10"/>
    <x v="3"/>
    <s v="Safawi"/>
    <s v="Safawi"/>
    <x v="5"/>
    <x v="4"/>
    <x v="0"/>
    <x v="0"/>
    <s v="Fix (M2G) (+)"/>
    <s v="Local"/>
    <n v="550"/>
    <n v="5500"/>
    <n v="575"/>
  </r>
  <r>
    <s v="27/03/2024"/>
    <s v="D-39"/>
    <s v="GR21140"/>
    <s v="KHAJUR BOX 10"/>
    <s v="BUMAN DATES"/>
    <s v="SAAD"/>
    <x v="10"/>
    <n v="3"/>
    <n v="10"/>
    <n v="30"/>
    <x v="2"/>
    <s v="Buman"/>
    <s v="Buman"/>
    <x v="7"/>
    <x v="6"/>
    <x v="0"/>
    <x v="0"/>
    <s v="Fix (M2G) (+)"/>
    <s v="AL BARAKAH"/>
    <n v="98.6"/>
    <n v="2958"/>
    <n v="575"/>
  </r>
  <r>
    <s v="29/03/2024"/>
    <s v="D-39"/>
    <s v="GR21245"/>
    <s v="KHAJUR BOX 10"/>
    <s v="EZAD GREEN"/>
    <s v="FARD"/>
    <x v="11"/>
    <n v="1089"/>
    <n v="10"/>
    <n v="10890"/>
    <x v="2"/>
    <s v="Fard-Ezad"/>
    <s v="Premium"/>
    <x v="8"/>
    <x v="7"/>
    <x v="0"/>
    <x v="0"/>
    <s v="Rental"/>
    <s v="AL BARAKAH"/>
    <n v="180.6"/>
    <n v="1966734"/>
    <n v="573"/>
  </r>
  <r>
    <s v="30/03/2024"/>
    <s v="D-39"/>
    <s v="GR21328"/>
    <s v="KHAJUR BOX 5"/>
    <s v="SAFAVI 5KG"/>
    <s v="ROYAL DELIGHT"/>
    <x v="12"/>
    <n v="3"/>
    <n v="5"/>
    <n v="15"/>
    <x v="3"/>
    <s v="Safawi"/>
    <s v="Safawi"/>
    <x v="5"/>
    <x v="4"/>
    <x v="0"/>
    <x v="0"/>
    <s v="Rental"/>
    <s v="Local"/>
    <n v="550"/>
    <n v="8250"/>
    <n v="572"/>
  </r>
  <r>
    <s v="09/05/2024"/>
    <s v="D-39"/>
    <s v="GR1909"/>
    <s v="KHAJUR BOX 10"/>
    <s v="FARAD STANDRAD"/>
    <s v="-"/>
    <x v="13"/>
    <n v="0"/>
    <n v="10"/>
    <n v="0"/>
    <x v="2"/>
    <s v="Fard-Std"/>
    <s v="Standard"/>
    <x v="9"/>
    <x v="8"/>
    <x v="0"/>
    <x v="0"/>
    <s v="Rental"/>
    <s v="AL BARAKAH"/>
    <n v="208"/>
    <n v="0"/>
    <n v="532"/>
  </r>
  <r>
    <s v="09/05/2024"/>
    <s v="D-39"/>
    <s v="GR1909"/>
    <s v="KHAJUR BOX 10"/>
    <s v="FARAD STANDRAD"/>
    <s v="-"/>
    <x v="13"/>
    <n v="0"/>
    <n v="10"/>
    <n v="0"/>
    <x v="2"/>
    <s v="Fard-Std"/>
    <s v="Standard"/>
    <x v="9"/>
    <x v="8"/>
    <x v="0"/>
    <x v="0"/>
    <s v="Rental"/>
    <s v="AL BARAKAH"/>
    <n v="208"/>
    <n v="0"/>
    <n v="532"/>
  </r>
  <r>
    <s v="15/05/2024"/>
    <s v="D-514"/>
    <s v="GR1179"/>
    <s v="KHAJUR BOX (M) 5"/>
    <s v="DERI BULK"/>
    <s v="1750105035"/>
    <x v="14"/>
    <n v="4"/>
    <n v="5"/>
    <n v="20"/>
    <x v="2"/>
    <s v="Deri"/>
    <s v="Deri"/>
    <x v="10"/>
    <x v="9"/>
    <x v="0"/>
    <x v="0"/>
    <s v="Rental"/>
    <s v="Hadiklaim"/>
    <n v="303"/>
    <n v="6060"/>
    <n v="526"/>
  </r>
  <r>
    <s v="28/05/2024"/>
    <s v="D-39"/>
    <s v="GR2954"/>
    <s v="KHAJUR BOX 10"/>
    <s v="500 GM KHALAS"/>
    <s v="CANDOR FOODS"/>
    <x v="15"/>
    <n v="11"/>
    <n v="10"/>
    <n v="110"/>
    <x v="2"/>
    <s v="Khalas"/>
    <s v="Premium"/>
    <x v="11"/>
    <x v="10"/>
    <x v="0"/>
    <x v="0"/>
    <s v="Fix (M2G) (+)"/>
    <s v="AL BARAKAH"/>
    <n v="116"/>
    <n v="12760"/>
    <n v="513"/>
  </r>
  <r>
    <s v="30/05/2024"/>
    <s v="D-514"/>
    <s v="GR1590"/>
    <s v="KHAJUR BOX 10"/>
    <s v="FARAD  WHITE BOX"/>
    <s v="-"/>
    <x v="16"/>
    <n v="5"/>
    <n v="10"/>
    <n v="50"/>
    <x v="2"/>
    <s v="Fard-Std"/>
    <s v="Standard"/>
    <x v="9"/>
    <x v="8"/>
    <x v="0"/>
    <x v="0"/>
    <s v="Rental"/>
    <s v="AL BARAKAH"/>
    <n v="208"/>
    <n v="10400"/>
    <n v="511"/>
  </r>
  <r>
    <s v="30/05/2024"/>
    <s v="D-39"/>
    <s v="GR3119"/>
    <s v="KHAJUR BOX 10"/>
    <s v="AL BARAKH"/>
    <s v="-"/>
    <x v="17"/>
    <n v="1"/>
    <n v="10"/>
    <n v="10"/>
    <x v="2"/>
    <s v="Fard-Prem"/>
    <s v="Premium"/>
    <x v="12"/>
    <x v="11"/>
    <x v="0"/>
    <x v="0"/>
    <s v="Fix (M2G) (+)"/>
    <s v="AL BARAKAH"/>
    <n v="233"/>
    <n v="2330"/>
    <n v="511"/>
  </r>
  <r>
    <s v="30/05/2024"/>
    <s v="D-514"/>
    <s v="GR1590"/>
    <s v="KHAJUR BOX 10"/>
    <s v="SAFAWI DATES BROWN BOX"/>
    <s v="-"/>
    <x v="18"/>
    <n v="1"/>
    <n v="10"/>
    <n v="10"/>
    <x v="3"/>
    <s v="Safawi"/>
    <s v="Safawi"/>
    <x v="13"/>
    <x v="4"/>
    <x v="0"/>
    <x v="0"/>
    <s v="Rental"/>
    <s v="Local"/>
    <n v="550"/>
    <n v="5500"/>
    <n v="511"/>
  </r>
  <r>
    <s v="30/05/2024"/>
    <s v="D-514"/>
    <s v="GR1590"/>
    <s v="KHAJUR BOX 20"/>
    <s v="SAFAWI DATES"/>
    <s v="BROWN &amp; WHITE"/>
    <x v="19"/>
    <n v="1"/>
    <n v="20"/>
    <n v="20"/>
    <x v="3"/>
    <s v="Safawi"/>
    <s v="Safawi"/>
    <x v="14"/>
    <x v="4"/>
    <x v="0"/>
    <x v="0"/>
    <s v="Rental"/>
    <s v="Local"/>
    <n v="550"/>
    <n v="11000"/>
    <n v="511"/>
  </r>
  <r>
    <s v="30/05/2024"/>
    <s v="D-514"/>
    <s v="GR1590"/>
    <s v="KHAJUR BOX 10"/>
    <s v="KHANAIZI AL BARKAH"/>
    <s v="PINK BOX"/>
    <x v="20"/>
    <n v="1"/>
    <n v="10"/>
    <n v="10"/>
    <x v="2"/>
    <s v="Khanezi"/>
    <s v="Khanezi"/>
    <x v="15"/>
    <x v="12"/>
    <x v="0"/>
    <x v="0"/>
    <s v="Rental"/>
    <s v="AL BARAKAH"/>
    <n v="205"/>
    <n v="2050"/>
    <n v="511"/>
  </r>
  <r>
    <s v="06/06/2024"/>
    <s v="D-39"/>
    <s v="GR3498"/>
    <s v="KHAJUR BOX 12"/>
    <s v="BROWN"/>
    <s v="-"/>
    <x v="21"/>
    <n v="1"/>
    <n v="10.896000000000001"/>
    <n v="10.896000000000001"/>
    <x v="3"/>
    <s v="DEGLET NOUR"/>
    <s v="DEGLET NOUR"/>
    <x v="16"/>
    <x v="13"/>
    <x v="0"/>
    <x v="0"/>
    <s v="Rental"/>
    <s v="Hadiklaim"/>
    <n v="522"/>
    <n v="5687.7120000000004"/>
    <n v="504"/>
  </r>
  <r>
    <s v="12/06/2024"/>
    <s v="D-514"/>
    <s v="GR1968"/>
    <s v="KHAJUR BOX 10"/>
    <s v="SAFAWI WHITE BOX"/>
    <s v="-"/>
    <x v="22"/>
    <n v="1"/>
    <n v="10"/>
    <n v="10"/>
    <x v="3"/>
    <s v="Safawi"/>
    <s v="Safawi"/>
    <x v="13"/>
    <x v="4"/>
    <x v="0"/>
    <x v="0"/>
    <s v="Rental"/>
    <s v="Local"/>
    <n v="550"/>
    <n v="5500"/>
    <n v="498"/>
  </r>
  <r>
    <s v="12/06/2024"/>
    <s v="D-514"/>
    <s v="GR1968"/>
    <s v="KHAJUR BOX 20"/>
    <s v="SAFAWI WHITE"/>
    <s v="-"/>
    <x v="23"/>
    <n v="1"/>
    <n v="20"/>
    <n v="20"/>
    <x v="3"/>
    <s v="Safawi"/>
    <s v="Safawi"/>
    <x v="14"/>
    <x v="4"/>
    <x v="0"/>
    <x v="0"/>
    <s v="Rental"/>
    <s v="Local"/>
    <n v="550"/>
    <n v="11000"/>
    <n v="498"/>
  </r>
  <r>
    <s v="03/07/2024"/>
    <s v="D-514"/>
    <s v="GR2527"/>
    <s v="KHAJUR BOX 5"/>
    <s v="FARAD DATES"/>
    <s v="ROYAL DELIGHT"/>
    <x v="24"/>
    <n v="23"/>
    <n v="5"/>
    <n v="115"/>
    <x v="2"/>
    <s v="Fard-Prem"/>
    <s v="Premium"/>
    <x v="17"/>
    <x v="14"/>
    <x v="0"/>
    <x v="0"/>
    <s v="Rental"/>
    <s v="AL BARAKAH"/>
    <n v="233"/>
    <n v="26795"/>
    <n v="477"/>
  </r>
  <r>
    <s v="06/07/2024"/>
    <s v="D-514"/>
    <s v="GR2603"/>
    <s v="KHAJUR BOX (M) 5"/>
    <s v="DERI BULK"/>
    <s v="1750105035"/>
    <x v="25"/>
    <n v="5"/>
    <n v="5"/>
    <n v="25"/>
    <x v="2"/>
    <s v="Deri"/>
    <s v="Deri"/>
    <x v="10"/>
    <x v="9"/>
    <x v="0"/>
    <x v="0"/>
    <s v="Fix (202 F1) (-)"/>
    <s v="Hadiklaim"/>
    <n v="303"/>
    <n v="7575"/>
    <n v="474"/>
  </r>
  <r>
    <s v="27/07/2024"/>
    <s v="D-39"/>
    <s v="GR6534"/>
    <s v="KHAJUR POWDER BOX 10"/>
    <s v="WHITE"/>
    <s v="V-2"/>
    <x v="26"/>
    <n v="78"/>
    <n v="10"/>
    <n v="780"/>
    <x v="0"/>
    <s v="V2"/>
    <s v="AL BARAKAH"/>
    <x v="0"/>
    <x v="0"/>
    <x v="0"/>
    <x v="0"/>
    <s v="Rental"/>
    <s v="AL BARAKAH"/>
    <n v="215"/>
    <n v="167700"/>
    <n v="453"/>
  </r>
  <r>
    <s v="27/07/2024"/>
    <s v="D-39"/>
    <s v="GR6534"/>
    <s v="KHAJUR POWDER BOX 10"/>
    <s v="WHITE"/>
    <s v="V-2"/>
    <x v="26"/>
    <n v="114"/>
    <n v="10"/>
    <n v="1140"/>
    <x v="0"/>
    <s v="V2"/>
    <s v="AL BARAKAH"/>
    <x v="0"/>
    <x v="0"/>
    <x v="0"/>
    <x v="0"/>
    <s v="Rental"/>
    <s v="AL BARAKAH"/>
    <n v="215"/>
    <n v="245100"/>
    <n v="453"/>
  </r>
  <r>
    <s v="27/07/2024"/>
    <s v="D-39"/>
    <s v="GR6534"/>
    <s v="KHAJUR POWDER BOX 10"/>
    <s v="WHITE"/>
    <s v="V-2"/>
    <x v="26"/>
    <n v="6"/>
    <n v="10"/>
    <n v="60"/>
    <x v="0"/>
    <s v="V2"/>
    <s v="AL BARAKAH"/>
    <x v="0"/>
    <x v="0"/>
    <x v="0"/>
    <x v="0"/>
    <s v="Rental"/>
    <s v="AL BARAKAH"/>
    <n v="215"/>
    <n v="12900"/>
    <n v="453"/>
  </r>
  <r>
    <s v="30/07/2024"/>
    <s v="D-514"/>
    <s v="GR3264"/>
    <s v="KHAJUR BOX (M) 5"/>
    <s v="MEDJOUL SUPER JUMBO"/>
    <s v="AJFAN RTV SP"/>
    <x v="27"/>
    <n v="27"/>
    <n v="5"/>
    <n v="135"/>
    <x v="3"/>
    <s v="Medjoul-Sup.Jumbo"/>
    <s v="S.JUMBO"/>
    <x v="18"/>
    <x v="15"/>
    <x v="0"/>
    <x v="0"/>
    <s v="Fix (202 F1) (-)"/>
    <s v="Hadiklaim"/>
    <n v="1139"/>
    <n v="153765"/>
    <n v="450"/>
  </r>
  <r>
    <s v="23/08/2024"/>
    <s v="D-39"/>
    <s v="GR8325"/>
    <s v="KHAJUR BOX 10"/>
    <s v="CANDOR FOODS"/>
    <s v="SAFAVI 500GM"/>
    <x v="28"/>
    <n v="34"/>
    <n v="10"/>
    <n v="340"/>
    <x v="3"/>
    <s v="Safawi"/>
    <s v="Safawi(500gX20)"/>
    <x v="19"/>
    <x v="4"/>
    <x v="0"/>
    <x v="0"/>
    <s v="Rental"/>
    <s v="Local"/>
    <n v="550"/>
    <n v="187000"/>
    <n v="426"/>
  </r>
  <r>
    <s v="27/09/2024"/>
    <s v="D-39"/>
    <s v="GR10651"/>
    <s v="KHAJUR BOX 10"/>
    <s v="WHITE"/>
    <s v="-"/>
    <x v="29"/>
    <n v="98"/>
    <n v="10"/>
    <n v="980"/>
    <x v="1"/>
    <s v="Chopped Date"/>
    <s v="AL BARAKAH"/>
    <x v="20"/>
    <x v="16"/>
    <x v="0"/>
    <x v="0"/>
    <s v="Fix (M2G) (+)"/>
    <s v="AL BARAKAH"/>
    <n v="110"/>
    <n v="107800"/>
    <n v="391"/>
  </r>
  <r>
    <s v="30/09/2024"/>
    <s v="D-39"/>
    <s v="GR10973"/>
    <s v="KHAJUR BOX 10"/>
    <s v="SAAD REAM"/>
    <s v="-"/>
    <x v="30"/>
    <n v="20"/>
    <n v="10"/>
    <n v="200"/>
    <x v="2"/>
    <s v="Lulu"/>
    <s v="Red"/>
    <x v="3"/>
    <x v="3"/>
    <x v="0"/>
    <x v="0"/>
    <s v="Rental"/>
    <s v="AL BARAKAH"/>
    <n v="157"/>
    <n v="31400"/>
    <n v="388"/>
  </r>
  <r>
    <s v="02/10/2024"/>
    <s v="D-514"/>
    <s v="GR4750"/>
    <s v="KHAJUR BOX (M) 5"/>
    <s v="DEGLET NOUR BRANCHES"/>
    <s v="1299205412"/>
    <x v="31"/>
    <n v="7"/>
    <n v="5"/>
    <n v="35"/>
    <x v="3"/>
    <s v="DEGLET NOUR"/>
    <s v="DEGLET NOUR"/>
    <x v="21"/>
    <x v="13"/>
    <x v="0"/>
    <x v="0"/>
    <s v="Fix (202 F1) (-)"/>
    <s v="Hadiklaim"/>
    <n v="510"/>
    <n v="17850"/>
    <n v="386"/>
  </r>
  <r>
    <s v="02/10/2024"/>
    <s v="D-514"/>
    <s v="GR4752"/>
    <s v="KHAJUR BOX 12"/>
    <s v="ARSH SUKKARY PREMIUM"/>
    <s v="4.3 KG"/>
    <x v="32"/>
    <n v="114"/>
    <n v="12"/>
    <n v="1368"/>
    <x v="2"/>
    <s v="Sukkary"/>
    <s v="Standard"/>
    <x v="22"/>
    <x v="17"/>
    <x v="0"/>
    <x v="0"/>
    <s v="Rental"/>
    <s v="Local"/>
    <n v="350"/>
    <n v="478800"/>
    <n v="386"/>
  </r>
  <r>
    <s v="30/10/2024"/>
    <s v="D-39"/>
    <s v="GR13179"/>
    <s v="KHAJUR BOX 10"/>
    <s v="AZMAH DATES"/>
    <s v="500 GM"/>
    <x v="5"/>
    <n v="3"/>
    <n v="10"/>
    <n v="30"/>
    <x v="3"/>
    <s v="Safawi"/>
    <s v="Azmah 500gm"/>
    <x v="4"/>
    <x v="4"/>
    <x v="0"/>
    <x v="0"/>
    <s v="Fix (M2G) (+)"/>
    <s v="Local"/>
    <n v="550"/>
    <n v="16500"/>
    <n v="358"/>
  </r>
  <r>
    <s v="25/11/2024"/>
    <s v="D-39"/>
    <s v="GR14538"/>
    <s v="KHAJUR BOX 10"/>
    <s v="SAAD/ BROWN"/>
    <s v="BLACK"/>
    <x v="33"/>
    <n v="17"/>
    <n v="10"/>
    <n v="170"/>
    <x v="2"/>
    <s v="Lulu"/>
    <s v="Black"/>
    <x v="23"/>
    <x v="18"/>
    <x v="0"/>
    <x v="0"/>
    <s v="Rental"/>
    <s v="AL BARAKAH"/>
    <n v="182"/>
    <n v="30940"/>
    <n v="332"/>
  </r>
  <r>
    <s v="01/12/2024"/>
    <s v="D-39"/>
    <s v="GR14927"/>
    <s v="KHAJUR BOX 20"/>
    <s v="SAFAVI DATES"/>
    <s v="-"/>
    <x v="34"/>
    <n v="3"/>
    <n v="20"/>
    <n v="60"/>
    <x v="3"/>
    <s v="Safawi"/>
    <s v="Safawi"/>
    <x v="14"/>
    <x v="4"/>
    <x v="0"/>
    <x v="0"/>
    <s v="Rental"/>
    <s v="Local"/>
    <n v="550"/>
    <n v="33000"/>
    <n v="326"/>
  </r>
  <r>
    <s v="10/12/2024"/>
    <s v="D-39"/>
    <s v="GR15535"/>
    <s v="KHAJUR BOX 10"/>
    <s v="DATE CRUSHED"/>
    <s v="WHITE"/>
    <x v="35"/>
    <n v="60"/>
    <n v="10"/>
    <n v="600"/>
    <x v="1"/>
    <s v="Crushed Date"/>
    <s v="AL BARAKAH"/>
    <x v="24"/>
    <x v="19"/>
    <x v="0"/>
    <x v="0"/>
    <s v="Rental"/>
    <s v="AL BARAKAH"/>
    <n v="116.6"/>
    <n v="69960"/>
    <n v="317"/>
  </r>
  <r>
    <s v="10/12/2024"/>
    <s v="D-39"/>
    <s v="GR15535"/>
    <s v="KHAJUR BOX 10"/>
    <s v="DATE POWDER V2"/>
    <s v="WHITE"/>
    <x v="36"/>
    <n v="924"/>
    <n v="10"/>
    <n v="9240"/>
    <x v="0"/>
    <s v="V2"/>
    <s v="AL BARAKAH"/>
    <x v="0"/>
    <x v="0"/>
    <x v="0"/>
    <x v="0"/>
    <s v="Rental"/>
    <s v="AL BARAKAH"/>
    <n v="215"/>
    <n v="1986600"/>
    <n v="317"/>
  </r>
  <r>
    <s v="26/12/2024"/>
    <s v="D-514"/>
    <s v="GR6596"/>
    <s v="KHAJUR BOX (M) 8"/>
    <s v="MEDJOUL AL BARAKHA"/>
    <s v="500 GM"/>
    <x v="37"/>
    <n v="4"/>
    <n v="8"/>
    <n v="32"/>
    <x v="3"/>
    <s v="Medjoul-Medium"/>
    <s v="Medium"/>
    <x v="25"/>
    <x v="20"/>
    <x v="0"/>
    <x v="0"/>
    <s v="Fix (202 F1) (-)"/>
    <s v="AL BARAKAH"/>
    <n v="401"/>
    <n v="12832"/>
    <n v="301"/>
  </r>
  <r>
    <s v="08/01/2025"/>
    <s v="D-39"/>
    <s v="GR17533"/>
    <s v="KHAJUR POWDER BOX 10"/>
    <s v="-"/>
    <s v="-"/>
    <x v="38"/>
    <n v="1276"/>
    <n v="10"/>
    <n v="12760"/>
    <x v="0"/>
    <s v="V1"/>
    <s v="AL BARAKAH"/>
    <x v="26"/>
    <x v="21"/>
    <x v="0"/>
    <x v="0"/>
    <s v="Rental"/>
    <s v="AL BARAKAH"/>
    <n v="270"/>
    <n v="3445200"/>
    <n v="288"/>
  </r>
  <r>
    <s v="15/01/2025"/>
    <s v="D-514"/>
    <s v="GR7072"/>
    <s v="KHAJUR BOX 5"/>
    <s v="ARSH MABROOM REGULAR"/>
    <s v="77150"/>
    <x v="39"/>
    <n v="42"/>
    <n v="5"/>
    <n v="210"/>
    <x v="3"/>
    <s v="Mabroom"/>
    <s v="Premium"/>
    <x v="27"/>
    <x v="22"/>
    <x v="0"/>
    <x v="0"/>
    <s v="Rental"/>
    <s v="Local"/>
    <n v="1000"/>
    <n v="210000"/>
    <n v="281"/>
  </r>
  <r>
    <s v="15/01/2025"/>
    <s v="D-514"/>
    <s v="GR7072"/>
    <s v="KHAJUR BOX 5"/>
    <s v="ARSH SAFAWI REGULAR"/>
    <s v="77152"/>
    <x v="40"/>
    <n v="126"/>
    <n v="5"/>
    <n v="630"/>
    <x v="3"/>
    <s v="Safawi"/>
    <s v="Standard"/>
    <x v="5"/>
    <x v="4"/>
    <x v="0"/>
    <x v="0"/>
    <s v="Rental"/>
    <s v="Local"/>
    <n v="550"/>
    <n v="346500"/>
    <n v="281"/>
  </r>
  <r>
    <s v="15/01/2025"/>
    <s v="D-514"/>
    <s v="GR7072"/>
    <s v="KHAJUR BOX 5"/>
    <s v="SIAFA  AJWA G"/>
    <s v="74228"/>
    <x v="41"/>
    <n v="62"/>
    <n v="5"/>
    <n v="310"/>
    <x v="3"/>
    <s v="Ajwa"/>
    <s v="Premium"/>
    <x v="28"/>
    <x v="23"/>
    <x v="0"/>
    <x v="0"/>
    <s v="Rental"/>
    <s v="Local"/>
    <n v="980"/>
    <n v="303800"/>
    <n v="281"/>
  </r>
  <r>
    <s v="15/01/2025"/>
    <s v="D-514"/>
    <s v="GR7072"/>
    <s v="KHAJUR BOX 5"/>
    <s v="SIFA  AJWA S"/>
    <s v="74229"/>
    <x v="42"/>
    <n v="44"/>
    <n v="5"/>
    <n v="220"/>
    <x v="3"/>
    <s v="Ajwa"/>
    <s v="Premium"/>
    <x v="28"/>
    <x v="23"/>
    <x v="0"/>
    <x v="0"/>
    <s v="Rental"/>
    <s v="Local"/>
    <n v="980"/>
    <n v="215600"/>
    <n v="281"/>
  </r>
  <r>
    <s v="24/01/2025"/>
    <s v="D-39"/>
    <s v="GR18618"/>
    <s v="KHAJUR POWDER BOX 10"/>
    <s v="AL BARAKAH DATES"/>
    <s v="DATES POWDER"/>
    <x v="43"/>
    <n v="2350"/>
    <n v="10"/>
    <n v="23500"/>
    <x v="0"/>
    <s v="V1"/>
    <s v="AL BARAKAH"/>
    <x v="26"/>
    <x v="21"/>
    <x v="0"/>
    <x v="0"/>
    <s v="Rental"/>
    <s v="AL BARAKAH"/>
    <n v="270"/>
    <n v="6345000"/>
    <n v="272"/>
  </r>
  <r>
    <s v="27/01/2025"/>
    <s v="D-39"/>
    <s v="GR18793"/>
    <s v="KHAJUR BOX 5"/>
    <s v="SAFAVI NATINAOL"/>
    <s v="-"/>
    <x v="44"/>
    <n v="40"/>
    <n v="5"/>
    <n v="200"/>
    <x v="3"/>
    <s v="Safawi"/>
    <s v="Premium"/>
    <x v="29"/>
    <x v="4"/>
    <x v="0"/>
    <x v="0"/>
    <s v="Fix (M2G) (+)"/>
    <s v="Local"/>
    <n v="550"/>
    <n v="110000"/>
    <n v="269"/>
  </r>
  <r>
    <s v="30/01/2025"/>
    <s v="D-514"/>
    <s v="GR7423"/>
    <s v="KHAJUR BOX 5"/>
    <s v="ARSH SAFAWI REGULAR 73729"/>
    <s v="-"/>
    <x v="45"/>
    <n v="27"/>
    <n v="5"/>
    <n v="135"/>
    <x v="3"/>
    <s v="Safawi"/>
    <s v="Premium"/>
    <x v="30"/>
    <x v="4"/>
    <x v="0"/>
    <x v="0"/>
    <s v="Rental"/>
    <s v="Local"/>
    <n v="550"/>
    <n v="74250"/>
    <n v="266"/>
  </r>
  <r>
    <s v="07/02/2025"/>
    <s v="D-514"/>
    <s v="GR7620"/>
    <s v="KHAJUR BOX (M) 5"/>
    <s v="MEDJOUL MEDIUM PREMIUM"/>
    <s v="602410204"/>
    <x v="46"/>
    <n v="4"/>
    <n v="5"/>
    <n v="20"/>
    <x v="3"/>
    <s v="Medjoul-Medium"/>
    <s v="Medium"/>
    <x v="31"/>
    <x v="24"/>
    <x v="0"/>
    <x v="0"/>
    <s v="Rental"/>
    <s v="Hadiklaim"/>
    <n v="712"/>
    <n v="14240"/>
    <n v="258"/>
  </r>
  <r>
    <s v="10/02/2025"/>
    <s v="D-514"/>
    <s v="GR7683"/>
    <s v="KHAJUR BOX (M) 8"/>
    <s v="DATE MEDJOUL KING SOLOMON"/>
    <s v="1 KG"/>
    <x v="47"/>
    <n v="7"/>
    <n v="8"/>
    <n v="56"/>
    <x v="3"/>
    <s v="Medjoul-Jumbo"/>
    <s v="JUMBO"/>
    <x v="32"/>
    <x v="25"/>
    <x v="0"/>
    <x v="0"/>
    <s v="Rental"/>
    <s v="Hadiklaim"/>
    <n v="1045"/>
    <n v="58520"/>
    <n v="255"/>
  </r>
  <r>
    <s v="10/02/2025"/>
    <s v="D-514"/>
    <s v="GR7683"/>
    <s v="KHAJUR BOX (M) 8"/>
    <s v="DATE MEDJOUL KING SOLOMON"/>
    <s v="500 GM"/>
    <x v="48"/>
    <n v="59"/>
    <n v="8"/>
    <n v="472"/>
    <x v="3"/>
    <s v="Medjoul-Large"/>
    <s v="Large"/>
    <x v="33"/>
    <x v="26"/>
    <x v="0"/>
    <x v="0"/>
    <s v="Rental"/>
    <s v="Hadiklaim"/>
    <n v="817"/>
    <n v="385624"/>
    <n v="255"/>
  </r>
  <r>
    <s v="10/02/2025"/>
    <s v="D-514"/>
    <s v="GR7683"/>
    <s v="KHAJUR BOX 15"/>
    <s v="DATES WET MEDJOUL BABY"/>
    <s v="5KGX3"/>
    <x v="49"/>
    <n v="9"/>
    <n v="15"/>
    <n v="135"/>
    <x v="3"/>
    <s v="Medjoul-Mini"/>
    <s v="Mini"/>
    <x v="34"/>
    <x v="27"/>
    <x v="0"/>
    <x v="0"/>
    <s v="Rental"/>
    <s v="Hadiklaim"/>
    <n v="477"/>
    <n v="64395"/>
    <n v="255"/>
  </r>
  <r>
    <s v="11/02/2025"/>
    <s v="D-514"/>
    <s v="GR7699"/>
    <s v="KHAJUR BOX (M) 5"/>
    <s v="MEDJOUL SUPER JUMBO"/>
    <s v="NO.2"/>
    <x v="50"/>
    <n v="9"/>
    <n v="5"/>
    <n v="45"/>
    <x v="3"/>
    <s v="Medjoul-Sup.Jumbo"/>
    <s v="S.JUMBO"/>
    <x v="18"/>
    <x v="15"/>
    <x v="0"/>
    <x v="0"/>
    <s v="Rental"/>
    <s v="Hadiklaim"/>
    <n v="1139"/>
    <n v="51255"/>
    <n v="254"/>
  </r>
  <r>
    <s v="12/02/2025"/>
    <s v="D-39"/>
    <s v="GR19772"/>
    <s v="KHAJUR BOX (M) 5"/>
    <s v="AL BARAKAH"/>
    <s v="B"/>
    <x v="51"/>
    <n v="1461"/>
    <n v="5"/>
    <n v="7305"/>
    <x v="3"/>
    <s v="Medjoul-ABD-B"/>
    <s v="AL BARAKAH"/>
    <x v="35"/>
    <x v="28"/>
    <x v="0"/>
    <x v="0"/>
    <s v="Rental"/>
    <s v="AL BARAKAH"/>
    <n v="401"/>
    <n v="2929305"/>
    <n v="253"/>
  </r>
  <r>
    <s v="26/02/2025"/>
    <s v="D-39"/>
    <s v="GR20724"/>
    <s v="KHAJUR BOX 10"/>
    <s v="-"/>
    <s v="KING SOLOMON"/>
    <x v="52"/>
    <n v="119"/>
    <n v="5"/>
    <n v="595"/>
    <x v="3"/>
    <s v="Medjoul-Large"/>
    <s v="Large"/>
    <x v="36"/>
    <x v="29"/>
    <x v="0"/>
    <x v="0"/>
    <s v="Rental"/>
    <s v="Hadiklaim"/>
    <n v="817"/>
    <n v="486115"/>
    <n v="239"/>
  </r>
  <r>
    <s v="28/02/2025"/>
    <s v="D-39"/>
    <s v="GR20841"/>
    <s v="KHAJUR BOX (M) 5"/>
    <s v="DEGLET NOUR BRANCHES"/>
    <s v="1299205412"/>
    <x v="53"/>
    <n v="1"/>
    <n v="5"/>
    <n v="5"/>
    <x v="3"/>
    <s v="DEGLET NOUR"/>
    <s v="DEGLET NOUR"/>
    <x v="21"/>
    <x v="13"/>
    <x v="0"/>
    <x v="0"/>
    <s v="Rental"/>
    <s v="Hadiklaim"/>
    <n v="510"/>
    <n v="2550"/>
    <n v="237"/>
  </r>
  <r>
    <s v="05/03/2025"/>
    <s v="D-39"/>
    <s v="GR21205"/>
    <s v="KHAJUR POWDER BOX 10"/>
    <s v="AL-BARKAH DATE"/>
    <s v="-"/>
    <x v="54"/>
    <n v="1762"/>
    <n v="10"/>
    <n v="17620"/>
    <x v="0"/>
    <s v="V1"/>
    <s v="AL BARAKAH"/>
    <x v="37"/>
    <x v="21"/>
    <x v="0"/>
    <x v="0"/>
    <s v="Rental"/>
    <s v="AL BARAKAH"/>
    <n v="270"/>
    <n v="4757400"/>
    <n v="232"/>
  </r>
  <r>
    <s v="05/03/2025"/>
    <s v="D-39"/>
    <s v="GR21205"/>
    <s v="KHAJUR POWDER BOX 10"/>
    <s v="AL-BARKAH DATE"/>
    <s v="-"/>
    <x v="54"/>
    <n v="518"/>
    <n v="10"/>
    <n v="5180"/>
    <x v="0"/>
    <s v="V1"/>
    <s v="AL BARAKAH"/>
    <x v="37"/>
    <x v="21"/>
    <x v="0"/>
    <x v="0"/>
    <s v="Rental"/>
    <s v="AL BARAKAH"/>
    <n v="270"/>
    <n v="1398600"/>
    <n v="232"/>
  </r>
  <r>
    <s v="05/03/2025"/>
    <s v="D-39"/>
    <s v="GR21205"/>
    <s v="KHAJUR POWDER BOX 10"/>
    <s v="AL-BARKAH DATE"/>
    <s v="-"/>
    <x v="54"/>
    <n v="120"/>
    <n v="10"/>
    <n v="1200"/>
    <x v="0"/>
    <s v="V1"/>
    <s v="AL BARAKAH"/>
    <x v="37"/>
    <x v="21"/>
    <x v="0"/>
    <x v="0"/>
    <s v="Rental"/>
    <s v="AL BARAKAH"/>
    <n v="270"/>
    <n v="324000"/>
    <n v="232"/>
  </r>
  <r>
    <s v="07/03/2025"/>
    <s v="D-39"/>
    <s v="GR21347"/>
    <s v="KHAJUR POWDER BOX 10"/>
    <s v="AL BARAKAH"/>
    <s v="DATE POWDER"/>
    <x v="55"/>
    <n v="370"/>
    <n v="10"/>
    <n v="3700"/>
    <x v="0"/>
    <s v="V1"/>
    <s v="AL BARAKAH"/>
    <x v="37"/>
    <x v="21"/>
    <x v="0"/>
    <x v="0"/>
    <s v="Fix (M2G) (+)"/>
    <s v="AL BARAKAH"/>
    <n v="270"/>
    <n v="999000"/>
    <n v="230"/>
  </r>
  <r>
    <s v="19/03/2025"/>
    <s v="D-514"/>
    <s v="GR8554"/>
    <s v="KHAJUR BOX (M) 5"/>
    <s v="MDJL LARGE"/>
    <s v="NO-2"/>
    <x v="56"/>
    <n v="4"/>
    <n v="5"/>
    <n v="20"/>
    <x v="3"/>
    <s v="Medjoul-Rej"/>
    <s v="Large"/>
    <x v="38"/>
    <x v="26"/>
    <x v="0"/>
    <x v="0"/>
    <s v="Fix (202 F1) (-)"/>
    <s v="Hadiklaim"/>
    <n v="200"/>
    <n v="4000"/>
    <n v="218"/>
  </r>
  <r>
    <s v="21/03/2025"/>
    <s v="D-514"/>
    <s v="GR8597"/>
    <s v="KHAJUR BOX 5"/>
    <s v="ROYAL DELIGHT"/>
    <s v="MABROOM"/>
    <x v="57"/>
    <n v="70"/>
    <n v="5"/>
    <n v="350"/>
    <x v="3"/>
    <s v="Mabroom"/>
    <s v="5kg"/>
    <x v="39"/>
    <x v="30"/>
    <x v="0"/>
    <x v="0"/>
    <s v="Rental"/>
    <s v="Local"/>
    <n v="1000"/>
    <n v="350000"/>
    <n v="216"/>
  </r>
  <r>
    <s v="21/03/2025"/>
    <s v="D-514"/>
    <s v="GR8597"/>
    <s v="KHAJUR BOX 5"/>
    <s v="ROYAL DELIGHT"/>
    <s v="AJWA"/>
    <x v="58"/>
    <n v="73"/>
    <n v="5"/>
    <n v="365"/>
    <x v="3"/>
    <s v="Ajwa"/>
    <s v="RTV"/>
    <x v="40"/>
    <x v="31"/>
    <x v="0"/>
    <x v="0"/>
    <s v="Rental"/>
    <s v="Local"/>
    <n v="980"/>
    <n v="357700"/>
    <n v="216"/>
  </r>
  <r>
    <s v="24/03/2025"/>
    <s v="D-39"/>
    <s v="GR22314"/>
    <s v="KHAJUR BOX 8"/>
    <s v="ROYAL DELIGHT"/>
    <s v="ARABIAN 250G"/>
    <x v="59"/>
    <n v="10"/>
    <n v="8"/>
    <n v="80"/>
    <x v="2"/>
    <s v="Khalas"/>
    <s v="RTV"/>
    <x v="41"/>
    <x v="32"/>
    <x v="0"/>
    <x v="0"/>
    <s v="Rental"/>
    <s v="AL BARAKAH"/>
    <n v="116"/>
    <n v="9280"/>
    <n v="213"/>
  </r>
  <r>
    <s v="24/03/2025"/>
    <s v="D-39"/>
    <s v="GR22314"/>
    <s v="KHAJUR BOX 10"/>
    <s v="AL BARAKAH"/>
    <s v="SAFAVI 500G"/>
    <x v="60"/>
    <n v="3"/>
    <n v="10"/>
    <n v="30"/>
    <x v="3"/>
    <s v="Safawi"/>
    <s v="RTV"/>
    <x v="42"/>
    <x v="33"/>
    <x v="0"/>
    <x v="0"/>
    <s v="Rental"/>
    <s v="AL BARAKAH"/>
    <n v="700"/>
    <n v="21000"/>
    <n v="213"/>
  </r>
  <r>
    <s v="24/03/2025"/>
    <s v="D-39"/>
    <s v="GR22314"/>
    <s v="KHAJUR BOX 5"/>
    <s v="RD SAFAVI"/>
    <s v="250GM"/>
    <x v="61"/>
    <n v="17"/>
    <n v="5"/>
    <n v="85"/>
    <x v="3"/>
    <s v="Safawi"/>
    <s v="RTV"/>
    <x v="43"/>
    <x v="34"/>
    <x v="0"/>
    <x v="0"/>
    <s v="Rental"/>
    <s v="Local"/>
    <n v="550"/>
    <n v="46750"/>
    <n v="213"/>
  </r>
  <r>
    <s v="31/03/2025"/>
    <s v="D-514"/>
    <s v="GR8855"/>
    <s v="KHAJUR BOX (M) 5"/>
    <s v="DEGLET BROWN BOX"/>
    <s v="500 GM"/>
    <x v="62"/>
    <n v="10"/>
    <n v="5"/>
    <n v="50"/>
    <x v="3"/>
    <s v="DEGLET NOUR"/>
    <s v="DEGLET NOUR"/>
    <x v="16"/>
    <x v="13"/>
    <x v="0"/>
    <x v="0"/>
    <s v="Rental"/>
    <s v="Hadiklaim"/>
    <n v="510"/>
    <n v="25500"/>
    <n v="206"/>
  </r>
  <r>
    <s v="31/03/2025"/>
    <s v="D-514"/>
    <s v="GR8855"/>
    <s v="KHAJUR BOX (M)12"/>
    <s v="KHIDRI"/>
    <s v="12.5 KG"/>
    <x v="63"/>
    <n v="1"/>
    <n v="12.5"/>
    <n v="12.5"/>
    <x v="4"/>
    <s v="Org Khidri-Med"/>
    <s v="Medium"/>
    <x v="44"/>
    <x v="35"/>
    <x v="0"/>
    <x v="0"/>
    <s v="Rental"/>
    <s v="NAKHEEL"/>
    <n v="403"/>
    <n v="5037.5"/>
    <n v="206"/>
  </r>
  <r>
    <s v="31/03/2025"/>
    <s v="D-514"/>
    <s v="GR8856"/>
    <s v="KHAJUR BOX 10"/>
    <s v="ROYAL MEDJOUL DATES"/>
    <s v="800 GM"/>
    <x v="64"/>
    <n v="25"/>
    <n v="10"/>
    <n v="250"/>
    <x v="3"/>
    <s v="Medjoul-Medium"/>
    <s v="Medium"/>
    <x v="45"/>
    <x v="36"/>
    <x v="0"/>
    <x v="0"/>
    <s v="Rental"/>
    <s v="Hadiklaim"/>
    <n v="712"/>
    <n v="178000"/>
    <n v="206"/>
  </r>
  <r>
    <s v="31/03/2025"/>
    <s v="D-514"/>
    <s v="GR8855"/>
    <s v="KHAJUR BOX 10"/>
    <s v="SUKHARI BROWN BOX"/>
    <s v="1 KG"/>
    <x v="65"/>
    <n v="1"/>
    <n v="10"/>
    <n v="10"/>
    <x v="2"/>
    <s v="Sukkary"/>
    <s v="Standard"/>
    <x v="22"/>
    <x v="17"/>
    <x v="0"/>
    <x v="0"/>
    <s v="Rental"/>
    <s v="Local"/>
    <n v="350"/>
    <n v="3500"/>
    <n v="206"/>
  </r>
  <r>
    <s v="31/03/2025"/>
    <s v="D-514"/>
    <s v="GR8855"/>
    <s v="KHAJUR BOX 10"/>
    <s v="EMRATES AL BARAKH"/>
    <s v="10KG"/>
    <x v="66"/>
    <n v="2"/>
    <n v="10"/>
    <n v="20"/>
    <x v="2"/>
    <s v="Emirates"/>
    <s v="Black"/>
    <x v="46"/>
    <x v="37"/>
    <x v="0"/>
    <x v="0"/>
    <s v="Rental"/>
    <s v="AL BARAKAH"/>
    <n v="172"/>
    <n v="3440"/>
    <n v="206"/>
  </r>
  <r>
    <s v="31/03/2025"/>
    <s v="D-514"/>
    <s v="GR8855"/>
    <s v="KHAJUR BOX 10"/>
    <s v="WANAN DATES"/>
    <s v="12.5 KG"/>
    <x v="67"/>
    <n v="3"/>
    <n v="12.5"/>
    <n v="37.5"/>
    <x v="4"/>
    <s v="Org Wanan-Large"/>
    <s v="Large"/>
    <x v="47"/>
    <x v="38"/>
    <x v="0"/>
    <x v="0"/>
    <s v="Rental"/>
    <s v="NAKHEEL"/>
    <n v="715"/>
    <n v="26812.5"/>
    <n v="206"/>
  </r>
  <r>
    <s v="31/03/2025"/>
    <s v="D-514"/>
    <s v="GR8855"/>
    <s v="KHAJUR BOX 10"/>
    <s v="MEJOUL MEDIUM"/>
    <s v="1 KG"/>
    <x v="68"/>
    <n v="6"/>
    <n v="10"/>
    <n v="60"/>
    <x v="3"/>
    <s v="Medjoul-Medium"/>
    <s v="Medium"/>
    <x v="48"/>
    <x v="24"/>
    <x v="0"/>
    <x v="0"/>
    <s v="Rental"/>
    <s v="Hadiklaim"/>
    <n v="712"/>
    <n v="42720"/>
    <n v="206"/>
  </r>
  <r>
    <s v="31/03/2025"/>
    <s v="D-514"/>
    <s v="GR8855"/>
    <s v="KHAJUR BOX (M)12"/>
    <s v="SEQEE DATES"/>
    <s v="12.5 KG"/>
    <x v="69"/>
    <n v="3"/>
    <n v="12.5"/>
    <n v="37.5"/>
    <x v="4"/>
    <s v="Org Seqee-Large"/>
    <s v="Large"/>
    <x v="49"/>
    <x v="39"/>
    <x v="0"/>
    <x v="0"/>
    <s v="Rental"/>
    <s v="NAKHEEL"/>
    <n v="641"/>
    <n v="24037.5"/>
    <n v="206"/>
  </r>
  <r>
    <s v="02/04/2025"/>
    <s v="D-39"/>
    <s v="GR118"/>
    <s v="KHAJUR BOX 10"/>
    <s v="WHITE"/>
    <s v="-"/>
    <x v="70"/>
    <n v="62"/>
    <n v="5"/>
    <n v="310"/>
    <x v="2"/>
    <s v="Fard-Std"/>
    <s v="RTV"/>
    <x v="50"/>
    <x v="14"/>
    <x v="0"/>
    <x v="0"/>
    <s v="Rental"/>
    <s v="AL BARAKAH"/>
    <n v="208"/>
    <n v="64480"/>
    <n v="204"/>
  </r>
  <r>
    <s v="07/04/2025"/>
    <s v="D-39"/>
    <s v="GR465"/>
    <s v="KHAJUR BOX 10"/>
    <s v="CRUSHED WHITE"/>
    <s v="-"/>
    <x v="71"/>
    <n v="3"/>
    <n v="10"/>
    <n v="30"/>
    <x v="1"/>
    <s v="Crushed Date"/>
    <s v="AL BARAKAH"/>
    <x v="24"/>
    <x v="19"/>
    <x v="0"/>
    <x v="0"/>
    <s v="Fix (M2G) (+)"/>
    <s v="AL BARAKAH"/>
    <n v="127"/>
    <n v="3810"/>
    <n v="199"/>
  </r>
  <r>
    <s v="07/04/2025"/>
    <s v="D-514"/>
    <s v="GR117"/>
    <s v="KHAJUR BOX (M)12"/>
    <s v="ORGANIC WANAN"/>
    <s v="PR.JUMBO"/>
    <x v="72"/>
    <n v="11"/>
    <n v="12.5"/>
    <n v="137.5"/>
    <x v="4"/>
    <s v="Org Wanan-Jumbo"/>
    <s v="JUMBO"/>
    <x v="51"/>
    <x v="40"/>
    <x v="0"/>
    <x v="0"/>
    <s v="Fix (202 F1) (-)"/>
    <s v="NAKHEEL"/>
    <n v="938"/>
    <n v="128975"/>
    <n v="199"/>
  </r>
  <r>
    <s v="07/04/2025"/>
    <s v="D-514"/>
    <s v="GR117"/>
    <s v="KHAJUR BOX (M)12"/>
    <s v="ORGANIC WANAN"/>
    <s v="PR.LARGE"/>
    <x v="73"/>
    <n v="10"/>
    <n v="12.5"/>
    <n v="125"/>
    <x v="4"/>
    <s v="Org Wanan-Large"/>
    <s v="Large"/>
    <x v="47"/>
    <x v="38"/>
    <x v="0"/>
    <x v="0"/>
    <s v="Fix (202 F1) (-)"/>
    <s v="NAKHEEL"/>
    <n v="715"/>
    <n v="89375"/>
    <n v="199"/>
  </r>
  <r>
    <s v="30/04/2025"/>
    <s v="D-514"/>
    <s v="GR748"/>
    <s v="KHAJUR BOX 5"/>
    <s v="RABIA DETLAND DATES"/>
    <s v="-"/>
    <x v="74"/>
    <n v="5"/>
    <n v="5"/>
    <n v="25"/>
    <x v="2"/>
    <s v="Rabia"/>
    <s v="Rabia"/>
    <x v="2"/>
    <x v="2"/>
    <x v="0"/>
    <x v="0"/>
    <s v="Rental"/>
    <s v="Local"/>
    <n v="187.5"/>
    <n v="4687.5"/>
    <n v="176"/>
  </r>
  <r>
    <s v="16/05/2025"/>
    <s v="D-39"/>
    <s v="GR3027"/>
    <s v="KHAJUR BOX 10"/>
    <s v="DATE POWDER"/>
    <s v="-"/>
    <x v="75"/>
    <n v="50"/>
    <n v="10"/>
    <n v="500"/>
    <x v="0"/>
    <s v="V1"/>
    <s v="AL BARAKAH"/>
    <x v="52"/>
    <x v="21"/>
    <x v="0"/>
    <x v="0"/>
    <s v="Fix (M2G) (+)"/>
    <s v="AL BARAKAH"/>
    <n v="270"/>
    <n v="135000"/>
    <n v="160"/>
  </r>
  <r>
    <s v="09/06/2025"/>
    <s v="D-514"/>
    <s v="GR1825"/>
    <s v="KHAJUR BOX (M) 5"/>
    <s v="MEDJOUL LARGE MIX BOX"/>
    <s v="NO 2"/>
    <x v="76"/>
    <n v="58"/>
    <n v="5"/>
    <n v="290"/>
    <x v="3"/>
    <s v="Medjoul-Rej"/>
    <s v="Large"/>
    <x v="38"/>
    <x v="26"/>
    <x v="0"/>
    <x v="0"/>
    <s v="Fix (202 F1) (-)"/>
    <s v="Hadiklaim"/>
    <n v="200"/>
    <n v="58000"/>
    <n v="136"/>
  </r>
  <r>
    <s v="29/06/2025"/>
    <s v="D-39"/>
    <s v="GR5609"/>
    <s v="KHAJUR POWDER BOX 10"/>
    <s v="AL BARAKAH"/>
    <s v="MIX"/>
    <x v="77"/>
    <n v="32"/>
    <n v="10"/>
    <n v="320"/>
    <x v="0"/>
    <s v="V1"/>
    <s v="AL BARAKAH"/>
    <x v="26"/>
    <x v="21"/>
    <x v="0"/>
    <x v="0"/>
    <s v="Rental"/>
    <s v="AL BARAKAH"/>
    <n v="270"/>
    <n v="86400"/>
    <n v="116"/>
  </r>
  <r>
    <s v="10/07/2025"/>
    <s v="D-39"/>
    <s v="GR6308"/>
    <s v="KHAJUR SYRUP BUCKET 25"/>
    <s v="WHITE"/>
    <s v="-"/>
    <x v="78"/>
    <n v="15"/>
    <n v="25"/>
    <n v="375"/>
    <x v="5"/>
    <s v="Bucket 25Kg"/>
    <s v="AL BARAKAH"/>
    <x v="53"/>
    <x v="41"/>
    <x v="0"/>
    <x v="0"/>
    <s v="Rental"/>
    <s v="AL BARAKAH"/>
    <n v="105.8"/>
    <n v="39675"/>
    <n v="105"/>
  </r>
  <r>
    <s v="19/07/2025"/>
    <s v="D-514"/>
    <s v="GR2898"/>
    <s v="KHAJUR BOX 5"/>
    <s v="SIAFA AJWA REGULAR (2929)"/>
    <s v="-"/>
    <x v="79"/>
    <n v="4"/>
    <n v="5"/>
    <n v="20"/>
    <x v="3"/>
    <s v="Ajwa"/>
    <s v="Premium"/>
    <x v="28"/>
    <x v="23"/>
    <x v="0"/>
    <x v="0"/>
    <s v="Rental"/>
    <n v="0"/>
    <n v="950"/>
    <n v="19000"/>
    <n v="96"/>
  </r>
  <r>
    <s v="29/08/2025"/>
    <s v="D-39"/>
    <s v="GR9228"/>
    <s v="KHAJUR SYRUP BUCKET 25"/>
    <s v="AL BARAKAN"/>
    <s v="-"/>
    <x v="80"/>
    <n v="468"/>
    <n v="25"/>
    <n v="11700"/>
    <x v="5"/>
    <s v="Bucket 25Kg"/>
    <s v="AL BARAKAH"/>
    <x v="53"/>
    <x v="41"/>
    <x v="0"/>
    <x v="0"/>
    <s v="Rental"/>
    <s v="AL BARAKAH"/>
    <n v="109.8"/>
    <n v="1284660"/>
    <n v="55"/>
  </r>
  <r>
    <s v="31/08/2025"/>
    <s v="D-39"/>
    <s v="GR9292"/>
    <s v="KHAJUR SYRUP BUCKET 25"/>
    <s v="AL BARAKH"/>
    <s v="-"/>
    <x v="81"/>
    <n v="1007"/>
    <n v="25"/>
    <n v="25175"/>
    <x v="5"/>
    <s v="Bucket 25Kg"/>
    <s v="AL BARAKAH"/>
    <x v="53"/>
    <x v="41"/>
    <x v="0"/>
    <x v="0"/>
    <s v="Rental"/>
    <s v="AL BARAKAH"/>
    <n v="109.8"/>
    <n v="2764215"/>
    <n v="53"/>
  </r>
  <r>
    <s v="24/09/2025"/>
    <s v="D-39"/>
    <s v="GR10777"/>
    <s v="KHAJUR POWDER BOX 10"/>
    <s v="AL BARAKAH"/>
    <s v="-"/>
    <x v="82"/>
    <n v="2601"/>
    <n v="10"/>
    <n v="26010"/>
    <x v="0"/>
    <s v="V1"/>
    <s v="AL BARAKAH"/>
    <x v="26"/>
    <x v="21"/>
    <x v="0"/>
    <x v="0"/>
    <s v="Rental"/>
    <s v="AL BARAKAH"/>
    <n v="280"/>
    <n v="7282800"/>
    <n v="29"/>
  </r>
  <r>
    <s v="26/09/2025"/>
    <s v="D-39"/>
    <s v="GR11006"/>
    <s v="KHAJUR BOX 5"/>
    <s v="SYRUP 400 GM"/>
    <s v="-"/>
    <x v="83"/>
    <n v="189"/>
    <n v="4.8"/>
    <n v="907.19999999999993"/>
    <x v="5"/>
    <s v="400g x 12"/>
    <s v="AL BARAKAH"/>
    <x v="54"/>
    <x v="42"/>
    <x v="0"/>
    <x v="0"/>
    <s v="Rental"/>
    <s v="AL BARAKAH"/>
    <n v="343.2"/>
    <n v="311351.03999999998"/>
    <n v="27"/>
  </r>
  <r>
    <s v="04/10/2025"/>
    <s v="D-39"/>
    <s v="GR11598"/>
    <s v="KHAJUR BOX 10"/>
    <s v="AL BARAKAH"/>
    <s v="-"/>
    <x v="84"/>
    <n v="749"/>
    <n v="10"/>
    <n v="7490"/>
    <x v="2"/>
    <s v="Sayer"/>
    <s v="AL BARAKAH"/>
    <x v="55"/>
    <x v="43"/>
    <x v="0"/>
    <x v="0"/>
    <s v="Rental"/>
    <s v="AL BARAKAH"/>
    <n v="99"/>
    <n v="741510"/>
    <n v="19"/>
  </r>
  <r>
    <s v="10/10/2025"/>
    <s v="D-39"/>
    <s v="GR12077"/>
    <s v="KHAJUR BOX 5"/>
    <s v="AL BARAKAH 400GM"/>
    <s v="DATE SYRUP"/>
    <x v="85"/>
    <n v="670"/>
    <n v="4.8"/>
    <n v="3216"/>
    <x v="5"/>
    <s v="400g x 12"/>
    <s v="AL BARAKAH"/>
    <x v="54"/>
    <x v="42"/>
    <x v="0"/>
    <x v="0"/>
    <s v="Rental"/>
    <s v="AL BARAKAH"/>
    <n v="343.2"/>
    <n v="1103731.2"/>
    <n v="13"/>
  </r>
  <r>
    <s v="10/10/2025"/>
    <s v="D-39"/>
    <s v="GR12090"/>
    <s v="KHAJUR PASTE BOX 12"/>
    <s v="AL BARAKAH"/>
    <s v="-"/>
    <x v="86"/>
    <n v="1335"/>
    <n v="12.5"/>
    <n v="16687.5"/>
    <x v="6"/>
    <s v="Date Paste"/>
    <s v="12.5kg"/>
    <x v="56"/>
    <x v="44"/>
    <x v="0"/>
    <x v="0"/>
    <s v="Rental"/>
    <s v="AL BARAKAH"/>
    <n v="85"/>
    <n v="1418437.5"/>
    <n v="13"/>
  </r>
  <r>
    <s v="10/10/2025"/>
    <s v="D-39"/>
    <s v="GR12082"/>
    <s v="KHAJUR SYRUP BUCKET 25"/>
    <s v="AL BARAKAH"/>
    <s v="-"/>
    <x v="87"/>
    <n v="1008"/>
    <n v="25"/>
    <n v="25200"/>
    <x v="5"/>
    <s v="Bucket 25Kg"/>
    <s v="AL BARAKAH"/>
    <x v="53"/>
    <x v="41"/>
    <x v="0"/>
    <x v="0"/>
    <s v="Rental"/>
    <s v="AL BARAKAH"/>
    <n v="105.8"/>
    <n v="2666160"/>
    <n v="13"/>
  </r>
  <r>
    <s v="10/10/2025"/>
    <s v="D-39"/>
    <s v="GR12077"/>
    <s v="KHAJUR SYRUP BUCKET 25"/>
    <s v="AL BARAKAH"/>
    <s v="-"/>
    <x v="88"/>
    <n v="768"/>
    <n v="25"/>
    <n v="19200"/>
    <x v="5"/>
    <s v="Bucket 25Kg"/>
    <s v="AL BARAKAH"/>
    <x v="53"/>
    <x v="41"/>
    <x v="0"/>
    <x v="0"/>
    <s v="Rental"/>
    <s v="AL BARAKAH"/>
    <n v="105.8"/>
    <n v="2031360"/>
    <n v="13"/>
  </r>
  <r>
    <s v="10/10/2025"/>
    <s v="D-39"/>
    <s v="GR12077"/>
    <s v="KHAJUR BOX 10"/>
    <s v="AL BARAKAH"/>
    <s v="KHENAIZI"/>
    <x v="89"/>
    <n v="22"/>
    <n v="10"/>
    <n v="220"/>
    <x v="2"/>
    <s v="Khanezi"/>
    <s v="Khaneizi"/>
    <x v="15"/>
    <x v="12"/>
    <x v="0"/>
    <x v="0"/>
    <s v="Rental"/>
    <s v="AL BARAKAH"/>
    <n v="205"/>
    <n v="45100"/>
    <n v="13"/>
  </r>
  <r>
    <s v="16/10/2025"/>
    <s v="D-39"/>
    <s v="GR12461"/>
    <s v="KHAJUR PASTE BOX 12"/>
    <s v="AL BARAKAH"/>
    <s v="-"/>
    <x v="90"/>
    <n v="990"/>
    <n v="12.5"/>
    <n v="12375"/>
    <x v="6"/>
    <s v="Date Paste"/>
    <s v="12.5kg"/>
    <x v="56"/>
    <x v="44"/>
    <x v="0"/>
    <x v="0"/>
    <s v="Rental"/>
    <s v="AL BARAKAH"/>
    <n v="85"/>
    <n v="1051875"/>
    <n v="7"/>
  </r>
  <r>
    <s v="16/10/2025"/>
    <s v="D-39"/>
    <s v="GR12461"/>
    <s v="KHAJUR PASTE BOX 12"/>
    <s v="AL BARAKAH"/>
    <s v="-"/>
    <x v="90"/>
    <n v="1090"/>
    <n v="12.5"/>
    <n v="13625"/>
    <x v="6"/>
    <s v="Date Paste"/>
    <s v="12.5kg"/>
    <x v="56"/>
    <x v="44"/>
    <x v="0"/>
    <x v="0"/>
    <s v="Rental"/>
    <s v="AL BARAKAH"/>
    <n v="85"/>
    <n v="1158125"/>
    <n v="7"/>
  </r>
  <r>
    <s v="16/10/2025"/>
    <s v="D-514"/>
    <s v="GR5011"/>
    <s v="KHAJUR BOX K 6"/>
    <s v="IRAN BAM MIX"/>
    <s v="-"/>
    <x v="91"/>
    <n v="850"/>
    <n v="6.9"/>
    <n v="5865"/>
    <x v="2"/>
    <s v="Mazafati"/>
    <s v="Iran"/>
    <x v="57"/>
    <x v="45"/>
    <x v="0"/>
    <x v="0"/>
    <s v="Rental"/>
    <n v="0"/>
    <n v="240"/>
    <n v="1407600"/>
    <n v="7"/>
  </r>
  <r>
    <s v="17/10/2025"/>
    <s v="D-39"/>
    <s v="GR12518"/>
    <s v="KHAJUR PASTE BOX 12"/>
    <s v="AL BARAKH- PASTE"/>
    <s v="-"/>
    <x v="92"/>
    <n v="2080"/>
    <n v="12.5"/>
    <n v="26000"/>
    <x v="6"/>
    <s v="Date Paste"/>
    <s v="12.5kg"/>
    <x v="56"/>
    <x v="44"/>
    <x v="0"/>
    <x v="0"/>
    <s v="Rental"/>
    <s v="AL BARAKAH"/>
    <n v="85"/>
    <n v="2210000"/>
    <n v="6"/>
  </r>
  <r>
    <s v="19/10/2025"/>
    <s v="D-39"/>
    <s v="GR12655"/>
    <s v="KHAJUR BOX (M) 5"/>
    <s v="PREMIUM JUMBO"/>
    <s v="-"/>
    <x v="93"/>
    <n v="869"/>
    <n v="5"/>
    <n v="4345"/>
    <x v="7"/>
    <m/>
    <m/>
    <x v="58"/>
    <x v="46"/>
    <x v="1"/>
    <x v="1"/>
    <m/>
    <m/>
    <m/>
    <n v="0"/>
    <n v="4"/>
  </r>
  <r>
    <s v="19/10/2025"/>
    <s v="D-39"/>
    <s v="GR12655"/>
    <s v="KHAJUR BOX (M) 5"/>
    <s v="PREMIUM LARGE"/>
    <s v="-"/>
    <x v="94"/>
    <n v="885"/>
    <n v="5"/>
    <n v="4425"/>
    <x v="7"/>
    <m/>
    <m/>
    <x v="58"/>
    <x v="46"/>
    <x v="1"/>
    <x v="1"/>
    <m/>
    <m/>
    <m/>
    <n v="0"/>
    <n v="4"/>
  </r>
  <r>
    <s v="20/10/2025"/>
    <s v="D-39"/>
    <s v="GR12738"/>
    <s v="KHAJUR BOX 5"/>
    <s v="MABROOM DATES"/>
    <s v="MABROOM REGUL"/>
    <x v="95"/>
    <n v="5"/>
    <n v="5"/>
    <n v="25"/>
    <x v="3"/>
    <s v="Mabroom"/>
    <s v="Mabroom"/>
    <x v="27"/>
    <x v="22"/>
    <x v="0"/>
    <x v="0"/>
    <s v="Rental"/>
    <n v="0"/>
    <n v="990"/>
    <n v="24750"/>
    <n v="3"/>
  </r>
  <r>
    <s v="22/10/2025"/>
    <s v="D-39"/>
    <s v="GR12770"/>
    <s v="KHAJUR PASTE BOX 12"/>
    <s v="AL BARAKH"/>
    <s v="-"/>
    <x v="96"/>
    <n v="2080"/>
    <n v="12.5"/>
    <n v="26000"/>
    <x v="6"/>
    <s v="Date Paste"/>
    <s v="12.5kg"/>
    <x v="56"/>
    <x v="44"/>
    <x v="0"/>
    <x v="0"/>
    <s v="Rental"/>
    <s v="AL BARAKAH"/>
    <n v="85"/>
    <n v="2210000"/>
    <n v="1"/>
  </r>
  <r>
    <s v="22/10/2025"/>
    <s v="D-39"/>
    <s v="GR12815"/>
    <s v="KHAJUR PASTE BOX 12"/>
    <s v="AL BARAKAH"/>
    <s v="-"/>
    <x v="97"/>
    <n v="2080"/>
    <n v="12.5"/>
    <n v="26000"/>
    <x v="6"/>
    <s v="Date Paste"/>
    <s v="12.5kg"/>
    <x v="56"/>
    <x v="44"/>
    <x v="0"/>
    <x v="0"/>
    <s v="Rental"/>
    <s v="AL BARAKAH"/>
    <n v="85"/>
    <n v="2210000"/>
    <n v="1"/>
  </r>
  <r>
    <s v="25/12/2023"/>
    <s v="D-39"/>
    <s v="GR15666"/>
    <s v="KISMISH BOX 10"/>
    <s v="AFGHAN"/>
    <s v="-"/>
    <x v="98"/>
    <n v="4"/>
    <n v="10"/>
    <n v="40"/>
    <x v="8"/>
    <s v="Afghan Green"/>
    <s v="Green Round"/>
    <x v="59"/>
    <x v="47"/>
    <x v="2"/>
    <x v="0"/>
    <s v="Rental"/>
    <n v="0"/>
    <n v="501"/>
    <n v="20040"/>
    <n v="668"/>
  </r>
  <r>
    <s v="27/02/2024"/>
    <s v="D-39"/>
    <s v="GR19491"/>
    <s v="MACADAMIA BOX 12"/>
    <s v="ROASTED"/>
    <s v="A-185-RMSIZE6"/>
    <x v="99"/>
    <n v="31"/>
    <n v="11.34"/>
    <n v="351.54"/>
    <x v="9"/>
    <s v="Roasted Style-6"/>
    <s v="Size-6"/>
    <x v="60"/>
    <x v="48"/>
    <x v="2"/>
    <x v="0"/>
    <s v="Fix (M2G) (+)"/>
    <n v="0"/>
    <n v="900"/>
    <n v="316386"/>
    <n v="604"/>
  </r>
  <r>
    <s v="28/02/2024"/>
    <s v="D-39"/>
    <s v="GR19567"/>
    <s v="MACADAMIA BOX 12"/>
    <s v="ROASTED NIS SAWN PASTE"/>
    <s v="A-185 RM"/>
    <x v="100"/>
    <n v="13"/>
    <n v="12"/>
    <n v="156"/>
    <x v="10"/>
    <s v="Paste-2kg"/>
    <s v="Paste"/>
    <x v="61"/>
    <x v="49"/>
    <x v="2"/>
    <x v="0"/>
    <s v="Fix (M2G) (+)"/>
    <n v="0"/>
    <n v="1676.8"/>
    <n v="261580.79999999999"/>
    <n v="603"/>
  </r>
  <r>
    <s v="09/10/2024"/>
    <s v="D-39"/>
    <s v="GR11739"/>
    <s v="BLUEBERRY BOX 10"/>
    <s v="WHOLE"/>
    <s v="APPLE INFUSED"/>
    <x v="101"/>
    <n v="5"/>
    <n v="9.08"/>
    <n v="45.4"/>
    <x v="11"/>
    <s v="Blueberry"/>
    <s v="Apple Infused"/>
    <x v="62"/>
    <x v="50"/>
    <x v="2"/>
    <x v="0"/>
    <s v="Rental"/>
    <s v="Tajir"/>
    <n v="1270"/>
    <n v="57658"/>
    <n v="379"/>
  </r>
  <r>
    <s v="26/10/2024"/>
    <s v="D-39"/>
    <s v="GR12937"/>
    <s v="MACADAMIA BOX 12"/>
    <s v="DRY ROASTED MACAAMIA"/>
    <s v="PASTE 2KG"/>
    <x v="102"/>
    <n v="2"/>
    <n v="12"/>
    <n v="24"/>
    <x v="10"/>
    <s v="Paste-2kg"/>
    <s v="Paste"/>
    <x v="61"/>
    <x v="49"/>
    <x v="2"/>
    <x v="0"/>
    <s v="Rental"/>
    <n v="0"/>
    <n v="1676.8"/>
    <n v="40243.199999999997"/>
    <n v="362"/>
  </r>
  <r>
    <s v="08/11/2024"/>
    <s v="D-514"/>
    <s v="GR5551"/>
    <s v="KHAJUR BOX (M) 5"/>
    <s v="ORGANIC MEDJOUL"/>
    <s v="PR.LARGE"/>
    <x v="103"/>
    <n v="15"/>
    <n v="5"/>
    <n v="75"/>
    <x v="4"/>
    <s v="Org Medjoul-Lar"/>
    <s v="Large"/>
    <x v="63"/>
    <x v="51"/>
    <x v="2"/>
    <x v="0"/>
    <s v="Rental"/>
    <s v="NAKHEEL"/>
    <n v="730"/>
    <n v="54750"/>
    <n v="349"/>
  </r>
  <r>
    <s v="08/11/2024"/>
    <s v="D-514"/>
    <s v="GR5551"/>
    <s v="KHAJUR BOX (M)12"/>
    <s v="ORGANIC KHIDRI"/>
    <s v="PR.LARGE"/>
    <x v="104"/>
    <n v="37"/>
    <n v="12.5"/>
    <n v="462.5"/>
    <x v="4"/>
    <s v="Org Khidri-Large"/>
    <s v="Large"/>
    <x v="64"/>
    <x v="52"/>
    <x v="2"/>
    <x v="0"/>
    <s v="Rental"/>
    <s v="NAKHEEL"/>
    <n v="462"/>
    <n v="213675"/>
    <n v="349"/>
  </r>
  <r>
    <s v="08/11/2024"/>
    <s v="D-514"/>
    <s v="GR5551"/>
    <s v="KHAJUR BOX (M)12"/>
    <s v="ORGANIC WANAN"/>
    <s v="PR.JUMBO"/>
    <x v="72"/>
    <n v="33"/>
    <n v="12.5"/>
    <n v="412.5"/>
    <x v="4"/>
    <s v="Org Wanan-Jumbo"/>
    <s v="Jumbo"/>
    <x v="51"/>
    <x v="40"/>
    <x v="0"/>
    <x v="0"/>
    <s v="Fix (202 F1) (-)"/>
    <s v="NAKHEEL"/>
    <n v="938"/>
    <n v="386925"/>
    <n v="349"/>
  </r>
  <r>
    <s v="08/11/2024"/>
    <s v="D-514"/>
    <s v="GR5551"/>
    <s v="KHAJUR BOX (M)12"/>
    <s v="ORGANIC WANAN"/>
    <s v="PR. LARGE"/>
    <x v="73"/>
    <n v="19"/>
    <n v="12.5"/>
    <n v="237.5"/>
    <x v="4"/>
    <s v="Org Wanan-Large"/>
    <s v="Large"/>
    <x v="47"/>
    <x v="38"/>
    <x v="0"/>
    <x v="0"/>
    <s v="Fix (202 F1) (-)"/>
    <s v="NAKHEEL"/>
    <n v="715"/>
    <n v="169812.5"/>
    <n v="349"/>
  </r>
  <r>
    <s v="08/11/2024"/>
    <s v="D-514"/>
    <s v="GR5551"/>
    <s v="KHAJUR BOX (M)12"/>
    <s v="ORGANIC SEQEE"/>
    <s v="PR.LARGE"/>
    <x v="105"/>
    <n v="10"/>
    <n v="12.5"/>
    <n v="125"/>
    <x v="4"/>
    <s v="Org Seqee-Large"/>
    <s v="Large"/>
    <x v="49"/>
    <x v="39"/>
    <x v="2"/>
    <x v="0"/>
    <s v="Rental"/>
    <s v="NAKHEEL"/>
    <n v="641"/>
    <n v="80125"/>
    <n v="349"/>
  </r>
  <r>
    <s v="08/11/2024"/>
    <s v="D-514"/>
    <s v="GR5550"/>
    <s v="KHAJUR BOX (M)12"/>
    <s v="ORGANIC KHIDRI"/>
    <s v="PR.MEDIUM"/>
    <x v="106"/>
    <n v="49"/>
    <n v="12.5"/>
    <n v="612.5"/>
    <x v="4"/>
    <s v="Org Khidri-Med"/>
    <s v="Medium"/>
    <x v="44"/>
    <x v="35"/>
    <x v="2"/>
    <x v="0"/>
    <s v="Fix (202 F1) (-)"/>
    <s v="NAKHEEL"/>
    <n v="403"/>
    <n v="246837.5"/>
    <n v="349"/>
  </r>
  <r>
    <s v="08/11/2024"/>
    <s v="D-514"/>
    <s v="GR5551"/>
    <s v="KHAJUR BOX (M)12"/>
    <s v="ORGANIC KHIDRI"/>
    <s v="SP.JUMBO"/>
    <x v="107"/>
    <n v="33"/>
    <n v="12.5"/>
    <n v="412.5"/>
    <x v="4"/>
    <s v="Org Khidri-Jumbo"/>
    <s v="Jumbo"/>
    <x v="65"/>
    <x v="53"/>
    <x v="2"/>
    <x v="0"/>
    <s v="Rental"/>
    <s v="NAKHEEL"/>
    <n v="821"/>
    <n v="338662.5"/>
    <n v="349"/>
  </r>
  <r>
    <s v="14/11/2024"/>
    <s v="D-39"/>
    <s v="GR13889"/>
    <s v="MACADAMIA BOX 12"/>
    <s v="MARAUIS"/>
    <s v="STYLE1 SALTED"/>
    <x v="108"/>
    <n v="2"/>
    <n v="11.34"/>
    <n v="22.68"/>
    <x v="9"/>
    <s v="R&amp;S Style-1"/>
    <s v="Rosted/Salted"/>
    <x v="66"/>
    <x v="54"/>
    <x v="2"/>
    <x v="0"/>
    <s v="Rental"/>
    <n v="0"/>
    <n v="1433"/>
    <n v="32500.44"/>
    <n v="343"/>
  </r>
  <r>
    <s v="14/11/2024"/>
    <s v="D-39"/>
    <s v="GR13889"/>
    <s v="MACADAMIA BOX 12"/>
    <s v="MARQUIS SAWN 22+SP VANILLA"/>
    <s v="-"/>
    <x v="109"/>
    <n v="12"/>
    <n v="10"/>
    <n v="120"/>
    <x v="9"/>
    <s v="NIS Vanilla"/>
    <s v="Vannilla"/>
    <x v="67"/>
    <x v="55"/>
    <x v="2"/>
    <x v="0"/>
    <s v="Rental"/>
    <n v="0"/>
    <n v="600"/>
    <n v="72000"/>
    <n v="343"/>
  </r>
  <r>
    <s v="14/11/2024"/>
    <s v="D-514"/>
    <s v="GR5704"/>
    <s v="KHAJUR BOX (M)12"/>
    <s v="ORAGNIC KHIDRI"/>
    <s v="PR.MEDIUM"/>
    <x v="106"/>
    <n v="38"/>
    <n v="12.5"/>
    <n v="475"/>
    <x v="4"/>
    <s v="Org Khidri-Med"/>
    <s v="Medium"/>
    <x v="44"/>
    <x v="35"/>
    <x v="2"/>
    <x v="0"/>
    <s v="Fix (202 F1) (-)"/>
    <s v="NAKHEEL"/>
    <n v="403"/>
    <n v="191425"/>
    <n v="343"/>
  </r>
  <r>
    <s v="14/11/2024"/>
    <s v="D-39"/>
    <s v="GR13889"/>
    <s v="MACADAMIA BOX 12"/>
    <s v="MARAUIS"/>
    <s v="STYLE4 SALTED"/>
    <x v="110"/>
    <n v="14"/>
    <n v="11.34"/>
    <n v="158.76"/>
    <x v="9"/>
    <s v="R&amp;S Style-4"/>
    <s v="Rosted/Salted"/>
    <x v="68"/>
    <x v="56"/>
    <x v="2"/>
    <x v="0"/>
    <s v="Rental"/>
    <n v="0"/>
    <n v="1277"/>
    <n v="202736.52"/>
    <n v="343"/>
  </r>
  <r>
    <s v="16/11/2024"/>
    <s v="D-514"/>
    <s v="GR5739"/>
    <s v="KHAJUR BOX (M)12"/>
    <s v="ORAGNIC SEQCE LARGE"/>
    <s v="LARGE"/>
    <x v="111"/>
    <n v="1"/>
    <n v="12.5"/>
    <n v="12.5"/>
    <x v="4"/>
    <s v="Org Seqee-Large"/>
    <s v="Large"/>
    <x v="49"/>
    <x v="39"/>
    <x v="2"/>
    <x v="0"/>
    <s v="Fix (202 F1) (-)"/>
    <s v="NAKHEEL"/>
    <n v="641"/>
    <n v="8012.5"/>
    <n v="341"/>
  </r>
  <r>
    <s v="16/11/2024"/>
    <s v="D-514"/>
    <s v="GR5739"/>
    <s v="KHAJUR BOX (M) 5"/>
    <s v="ORGANIC MEDJOUL LARGE"/>
    <s v="LARGE"/>
    <x v="112"/>
    <n v="1"/>
    <n v="5"/>
    <n v="5"/>
    <x v="4"/>
    <s v="Org Medjoul-Lar"/>
    <s v="Large"/>
    <x v="63"/>
    <x v="51"/>
    <x v="2"/>
    <x v="0"/>
    <s v="Fix (202 F1) (-)"/>
    <s v="NAKHEEL"/>
    <n v="730"/>
    <n v="3650"/>
    <n v="341"/>
  </r>
  <r>
    <s v="27/11/2024"/>
    <s v="D-514"/>
    <s v="GR5973"/>
    <s v="KHAJUR BOX (M)12"/>
    <s v="ORGANIC KHIDRI MEDIUM"/>
    <s v="-"/>
    <x v="113"/>
    <n v="1"/>
    <n v="12.5"/>
    <n v="12.5"/>
    <x v="4"/>
    <s v="Org Khidri-Med"/>
    <s v="Medium"/>
    <x v="44"/>
    <x v="35"/>
    <x v="2"/>
    <x v="0"/>
    <s v="Fix (202 F1) (-)"/>
    <s v="NAKHEEL"/>
    <n v="403"/>
    <n v="5037.5"/>
    <n v="330"/>
  </r>
  <r>
    <s v="27/11/2024"/>
    <s v="D-514"/>
    <s v="GR5973"/>
    <s v="KHAJUR BOX (M)12"/>
    <s v="ORGANIC KHIDRI LARGE"/>
    <s v="-"/>
    <x v="114"/>
    <n v="2"/>
    <n v="12.5"/>
    <n v="25"/>
    <x v="4"/>
    <s v="Org Khidri-Large"/>
    <s v="Large"/>
    <x v="64"/>
    <x v="52"/>
    <x v="2"/>
    <x v="0"/>
    <s v="Fix (202 F1) (-)"/>
    <s v="NAKHEEL"/>
    <n v="462"/>
    <n v="11550"/>
    <n v="330"/>
  </r>
  <r>
    <s v="01/12/2024"/>
    <s v="D-514"/>
    <s v="GR6074"/>
    <s v="KHAJUR BOX (M)12"/>
    <s v="ORGANIC SEQEE"/>
    <s v="PREMIUM LARGE"/>
    <x v="105"/>
    <n v="1"/>
    <n v="12.5"/>
    <n v="12.5"/>
    <x v="4"/>
    <s v="Org Seqee-Large"/>
    <s v="Large"/>
    <x v="49"/>
    <x v="39"/>
    <x v="2"/>
    <x v="0"/>
    <s v="Rental"/>
    <s v="NAKHEEL"/>
    <n v="641"/>
    <n v="8012.5"/>
    <n v="326"/>
  </r>
  <r>
    <s v="01/12/2024"/>
    <s v="D-514"/>
    <s v="GR6074"/>
    <s v="KHAJUR BOX (M)12"/>
    <s v="ORGANIC KHIDRI"/>
    <s v="PR. MEDIUM"/>
    <x v="106"/>
    <n v="1"/>
    <n v="12.5"/>
    <n v="12.5"/>
    <x v="4"/>
    <s v="Org Khidri-Med"/>
    <s v="Medium"/>
    <x v="44"/>
    <x v="35"/>
    <x v="2"/>
    <x v="0"/>
    <s v="Fix (202 F1) (-)"/>
    <s v="NAKHEEL"/>
    <n v="403"/>
    <n v="5037.5"/>
    <n v="326"/>
  </r>
  <r>
    <s v="01/12/2024"/>
    <s v="D-514"/>
    <s v="GR6074"/>
    <s v="KHAJUR BOX (M) 5"/>
    <s v="ORGANIC AJWA"/>
    <s v="PR. JUMBO"/>
    <x v="115"/>
    <n v="1"/>
    <n v="5"/>
    <n v="5"/>
    <x v="4"/>
    <s v="Org Ajwa-Jumbo"/>
    <s v="Jumbo"/>
    <x v="69"/>
    <x v="57"/>
    <x v="2"/>
    <x v="0"/>
    <s v="Fix (202 F1) (-)"/>
    <s v="NAKHEEL"/>
    <n v="789"/>
    <n v="3945"/>
    <n v="326"/>
  </r>
  <r>
    <s v="01/12/2024"/>
    <s v="D-39"/>
    <s v="GR14928"/>
    <s v="MACADAMIA BOX 12"/>
    <s v="MARQUIS"/>
    <s v="-"/>
    <x v="116"/>
    <n v="1"/>
    <n v="10"/>
    <n v="10"/>
    <x v="9"/>
    <s v="NIS"/>
    <s v="Plain"/>
    <x v="70"/>
    <x v="58"/>
    <x v="2"/>
    <x v="0"/>
    <s v="Rental"/>
    <n v="0"/>
    <n v="600"/>
    <n v="6000"/>
    <n v="326"/>
  </r>
  <r>
    <s v="04/12/2024"/>
    <s v="D-39"/>
    <s v="GR15092"/>
    <s v="BLUEBERRY BOX 10"/>
    <s v="WHOLE"/>
    <s v="APPLE INFUSEL"/>
    <x v="101"/>
    <n v="6"/>
    <n v="9.08"/>
    <n v="54.480000000000004"/>
    <x v="11"/>
    <s v="Blueberry"/>
    <s v="Apple Infused"/>
    <x v="62"/>
    <x v="50"/>
    <x v="2"/>
    <x v="0"/>
    <s v="Rental"/>
    <s v="Tajir"/>
    <n v="1270"/>
    <n v="69189.600000000006"/>
    <n v="323"/>
  </r>
  <r>
    <s v="07/12/2024"/>
    <s v="D-514"/>
    <s v="GR6199"/>
    <s v="KHAJUR BOX (M) 5"/>
    <s v="MEDJOUL JUNIER PREMIUM"/>
    <s v="712400021"/>
    <x v="117"/>
    <n v="24"/>
    <n v="5"/>
    <n v="120"/>
    <x v="3"/>
    <s v="Medjoul-Junior"/>
    <s v="Junior"/>
    <x v="71"/>
    <x v="59"/>
    <x v="2"/>
    <x v="0"/>
    <s v="Fix (202 F1) (-)"/>
    <s v="Hadiklaim"/>
    <n v="613"/>
    <n v="73560"/>
    <n v="320"/>
  </r>
  <r>
    <s v="18/01/2025"/>
    <s v="D-39"/>
    <s v="GR18187"/>
    <s v="KHAJUR BOX (M) 5"/>
    <s v="MDJL JUNR PRMIUM"/>
    <s v="602410309"/>
    <x v="118"/>
    <n v="20"/>
    <n v="5"/>
    <n v="100"/>
    <x v="3"/>
    <s v="Medjoul-Junior"/>
    <s v="Junior"/>
    <x v="71"/>
    <x v="59"/>
    <x v="2"/>
    <x v="0"/>
    <s v="Rental"/>
    <s v="Hadiklaim"/>
    <n v="613"/>
    <n v="61300"/>
    <n v="278"/>
  </r>
  <r>
    <s v="18/01/2025"/>
    <s v="D-39"/>
    <s v="GR18188"/>
    <s v="KHAJUR BOX (M) 5"/>
    <s v="MDJL MIDEUM PREMIUM"/>
    <s v="602410286"/>
    <x v="119"/>
    <n v="1"/>
    <n v="5"/>
    <n v="5"/>
    <x v="3"/>
    <s v="Medjoul-Medium"/>
    <s v="Medium"/>
    <x v="31"/>
    <x v="60"/>
    <x v="2"/>
    <x v="0"/>
    <s v="Rental"/>
    <s v="Hadiklaim"/>
    <n v="712"/>
    <n v="3560"/>
    <n v="278"/>
  </r>
  <r>
    <s v="20/01/2025"/>
    <s v="D-39"/>
    <s v="GR18282"/>
    <s v="KISMISH BOX (INDIAN) 15"/>
    <s v="BROWN"/>
    <s v="SRK-100-99"/>
    <x v="120"/>
    <n v="32"/>
    <n v="15"/>
    <n v="480"/>
    <x v="8"/>
    <s v="Indian"/>
    <s v="Raisin"/>
    <x v="72"/>
    <x v="61"/>
    <x v="2"/>
    <x v="0"/>
    <s v="Rental"/>
    <n v="0"/>
    <n v="295"/>
    <n v="141600"/>
    <n v="276"/>
  </r>
  <r>
    <s v="28/01/2025"/>
    <s v="D-39"/>
    <s v="GR18832"/>
    <s v="KISMISH BOX (INDIAN) 15"/>
    <s v="SRK-24"/>
    <s v="-"/>
    <x v="121"/>
    <n v="17"/>
    <n v="15"/>
    <n v="255"/>
    <x v="8"/>
    <s v="Indian"/>
    <s v="Raisin"/>
    <x v="72"/>
    <x v="61"/>
    <x v="2"/>
    <x v="0"/>
    <s v="Rental"/>
    <n v="0"/>
    <n v="295"/>
    <n v="75225"/>
    <n v="268"/>
  </r>
  <r>
    <s v="31/01/2025"/>
    <s v="D-514"/>
    <s v="GR7437"/>
    <s v="PISTA INSHELL BOX 10"/>
    <s v="CALIFORNIA PISTACHIOS"/>
    <s v="BROWN BOX"/>
    <x v="122"/>
    <n v="139"/>
    <n v="11.34"/>
    <n v="1576.26"/>
    <x v="12"/>
    <s v="Inshell - 18-20"/>
    <s v="18-20"/>
    <x v="73"/>
    <x v="62"/>
    <x v="2"/>
    <x v="0"/>
    <s v="Rental"/>
    <n v="0"/>
    <n v="876.66"/>
    <n v="1381844.0915999999"/>
    <n v="265"/>
  </r>
  <r>
    <s v="02/02/2025"/>
    <s v="D-39"/>
    <s v="GR19184"/>
    <s v="KHAJUR BOX (M) 5"/>
    <s v="KING SALOMONS"/>
    <s v="502461345"/>
    <x v="123"/>
    <n v="4"/>
    <n v="5"/>
    <n v="20"/>
    <x v="3"/>
    <s v="Medjoul-Medium"/>
    <s v="Medium"/>
    <x v="31"/>
    <x v="60"/>
    <x v="2"/>
    <x v="0"/>
    <s v="Rental"/>
    <s v="Hadiklaim"/>
    <n v="712"/>
    <n v="14240"/>
    <n v="263"/>
  </r>
  <r>
    <s v="02/02/2025"/>
    <s v="D-39"/>
    <s v="GR19184"/>
    <s v="KHAJUR BOX (M) 5"/>
    <s v="KING SALOMONS"/>
    <s v="602411646"/>
    <x v="124"/>
    <n v="7"/>
    <n v="5"/>
    <n v="35"/>
    <x v="3"/>
    <s v="Medjoul-Medium"/>
    <s v="Medium"/>
    <x v="31"/>
    <x v="60"/>
    <x v="2"/>
    <x v="0"/>
    <s v="Rental"/>
    <s v="Hadiklaim"/>
    <n v="712"/>
    <n v="24920"/>
    <n v="263"/>
  </r>
  <r>
    <s v="27/02/2025"/>
    <s v="D-39"/>
    <s v="GR20770"/>
    <s v="PECANS MAMMOTH BOX15"/>
    <s v="SGPC BROWN BOX"/>
    <s v="EX LARGE"/>
    <x v="125"/>
    <n v="34"/>
    <n v="13.6"/>
    <n v="462.4"/>
    <x v="13"/>
    <s v="Pecan"/>
    <s v="Tukda"/>
    <x v="74"/>
    <x v="63"/>
    <x v="2"/>
    <x v="0"/>
    <s v="Fix (M2G) (+)"/>
    <n v="0"/>
    <n v="1380"/>
    <n v="638112"/>
    <n v="238"/>
  </r>
  <r>
    <s v="04/03/2025"/>
    <s v="D-39"/>
    <s v="GR21100"/>
    <s v="PECANS MAMMOTH BOX15"/>
    <s v="SOUTH GEORGIA"/>
    <s v="LARGE"/>
    <x v="126"/>
    <n v="5"/>
    <n v="13.6"/>
    <n v="68"/>
    <x v="13"/>
    <s v="Pecan"/>
    <s v="Tukda"/>
    <x v="74"/>
    <x v="63"/>
    <x v="2"/>
    <x v="0"/>
    <s v="Rental"/>
    <n v="0"/>
    <n v="1380"/>
    <n v="93840"/>
    <n v="233"/>
  </r>
  <r>
    <s v="07/03/2025"/>
    <s v="D-39"/>
    <s v="GR21313"/>
    <s v="PECANS MAMMOTH BOX15"/>
    <s v="SOUTH GEORGIA"/>
    <s v="-"/>
    <x v="127"/>
    <n v="5"/>
    <n v="13.6"/>
    <n v="68"/>
    <x v="13"/>
    <s v="Pecan"/>
    <s v="Tukda"/>
    <x v="74"/>
    <x v="63"/>
    <x v="2"/>
    <x v="0"/>
    <s v="Rental"/>
    <n v="0"/>
    <n v="1380"/>
    <n v="93840"/>
    <n v="230"/>
  </r>
  <r>
    <s v="19/03/2025"/>
    <s v="D-514"/>
    <s v="GR8551"/>
    <s v="KHAJUR BOX 12"/>
    <s v="ORGANIC KHUDRI BROWN BOX"/>
    <s v="12 KG"/>
    <x v="128"/>
    <n v="6"/>
    <n v="12.5"/>
    <n v="75"/>
    <x v="4"/>
    <s v="Org Khidri-Large"/>
    <s v="Large"/>
    <x v="64"/>
    <x v="52"/>
    <x v="2"/>
    <x v="0"/>
    <s v="Rental"/>
    <s v="NAKHEEL"/>
    <n v="462"/>
    <n v="34650"/>
    <n v="218"/>
  </r>
  <r>
    <s v="20/03/2025"/>
    <s v="D-39"/>
    <s v="GR22089"/>
    <s v="KISMISH BOX (INDIAN) 15"/>
    <s v="SRK-28"/>
    <s v="-"/>
    <x v="129"/>
    <n v="10"/>
    <n v="15"/>
    <n v="150"/>
    <x v="8"/>
    <s v="Indian"/>
    <s v="Raisin"/>
    <x v="72"/>
    <x v="61"/>
    <x v="2"/>
    <x v="0"/>
    <s v="Rental"/>
    <n v="0"/>
    <n v="295"/>
    <n v="44250"/>
    <n v="217"/>
  </r>
  <r>
    <s v="29/03/2025"/>
    <s v="D-39"/>
    <s v="GR22729"/>
    <s v="MACADAMIA BOX 12"/>
    <s v="MARQUIS STYLE 4L COOKED P"/>
    <s v="-"/>
    <x v="130"/>
    <n v="63"/>
    <n v="11.34"/>
    <n v="714.42"/>
    <x v="9"/>
    <s v="Roasted Style-4L"/>
    <s v="Size-4L"/>
    <x v="75"/>
    <x v="64"/>
    <x v="2"/>
    <x v="0"/>
    <s v="Rental"/>
    <n v="0"/>
    <n v="1290"/>
    <n v="921601.79999999993"/>
    <n v="208"/>
  </r>
  <r>
    <s v="03/04/2025"/>
    <s v="D-39"/>
    <s v="GR162"/>
    <s v="CRANBERRY BOX 5"/>
    <s v="-"/>
    <s v="WHOLE"/>
    <x v="131"/>
    <n v="5"/>
    <n v="4.54"/>
    <n v="22.7"/>
    <x v="14"/>
    <s v="Meduri"/>
    <s v="Meduri"/>
    <x v="76"/>
    <x v="65"/>
    <x v="2"/>
    <x v="0"/>
    <s v="Fix (M2G) (+)"/>
    <s v="Tajir"/>
    <n v="730"/>
    <n v="16571"/>
    <n v="203"/>
  </r>
  <r>
    <s v="23/04/2025"/>
    <s v="D-39"/>
    <s v="GR1601"/>
    <s v="HAZELNUT BOX 10"/>
    <s v="DOST"/>
    <s v="6-8 MM"/>
    <x v="132"/>
    <n v="21"/>
    <n v="10"/>
    <n v="210"/>
    <x v="15"/>
    <s v="Blanched"/>
    <s v="Kernels"/>
    <x v="77"/>
    <x v="66"/>
    <x v="2"/>
    <x v="0"/>
    <s v="Rental"/>
    <n v="0"/>
    <n v="1060"/>
    <n v="222600"/>
    <n v="183"/>
  </r>
  <r>
    <s v="30/04/2025"/>
    <s v="D-514"/>
    <s v="GR747"/>
    <s v="KHAJUR BOX 8"/>
    <s v="KHUDRI LARGE"/>
    <s v="1 KG"/>
    <x v="133"/>
    <n v="1"/>
    <n v="16"/>
    <n v="16"/>
    <x v="4"/>
    <s v="Org Khidri-Large"/>
    <s v="Large"/>
    <x v="78"/>
    <x v="52"/>
    <x v="2"/>
    <x v="0"/>
    <s v="Rental"/>
    <s v="NAKHEEL"/>
    <n v="462"/>
    <n v="7392"/>
    <n v="176"/>
  </r>
  <r>
    <s v="30/04/2025"/>
    <s v="D-514"/>
    <s v="GR747"/>
    <s v="KHAJUR BOX 15"/>
    <s v="ORGANIC SEQEE LARGE"/>
    <s v="1 KG"/>
    <x v="134"/>
    <n v="1"/>
    <n v="12"/>
    <n v="12"/>
    <x v="4"/>
    <s v="Org Seqee-Large"/>
    <s v="Large"/>
    <x v="79"/>
    <x v="39"/>
    <x v="2"/>
    <x v="0"/>
    <s v="Rental"/>
    <s v="NAKHEEL"/>
    <n v="641"/>
    <n v="7692"/>
    <n v="176"/>
  </r>
  <r>
    <s v="30/04/2025"/>
    <s v="D-514"/>
    <s v="GR747"/>
    <s v="KHAJUR BOX 15"/>
    <s v="ORGANIC WANAN LARGE"/>
    <s v="1 KG"/>
    <x v="135"/>
    <n v="1"/>
    <n v="12"/>
    <n v="12"/>
    <x v="4"/>
    <s v="Org Wanan-Large"/>
    <s v="Large"/>
    <x v="80"/>
    <x v="38"/>
    <x v="2"/>
    <x v="0"/>
    <s v="Rental"/>
    <s v="NAKHEEL"/>
    <n v="715"/>
    <n v="8580"/>
    <n v="176"/>
  </r>
  <r>
    <s v="30/04/2025"/>
    <s v="D-514"/>
    <s v="GR747"/>
    <s v="KHAJUR BOX 8"/>
    <s v="KHIDRI LARGE ORGANIC"/>
    <s v="1 KG"/>
    <x v="136"/>
    <n v="1"/>
    <n v="8"/>
    <n v="8"/>
    <x v="4"/>
    <s v="Org Khidri-Large"/>
    <s v="Large"/>
    <x v="78"/>
    <x v="52"/>
    <x v="2"/>
    <x v="0"/>
    <s v="Rental"/>
    <s v="NAKHEEL"/>
    <n v="462"/>
    <n v="3696"/>
    <n v="176"/>
  </r>
  <r>
    <s v="08/05/2025"/>
    <s v="D-39"/>
    <s v="GR2588"/>
    <s v="DARK SEEDLESS RAISINS BOX 12"/>
    <s v="DARK SEEELESS"/>
    <s v="-"/>
    <x v="137"/>
    <n v="16"/>
    <n v="12.5"/>
    <n v="200"/>
    <x v="16"/>
    <s v="BlackCurrant"/>
    <s v="Medium"/>
    <x v="81"/>
    <x v="67"/>
    <x v="2"/>
    <x v="0"/>
    <s v="Rental"/>
    <n v="0"/>
    <n v="490"/>
    <n v="98000"/>
    <n v="168"/>
  </r>
  <r>
    <s v="10/05/2025"/>
    <s v="D-39"/>
    <s v="GR2702"/>
    <s v="PECANS MAMMOTH BOX15"/>
    <s v="SOUTH GEORGIA"/>
    <s v="133878"/>
    <x v="138"/>
    <n v="1"/>
    <n v="13.6"/>
    <n v="13.6"/>
    <x v="13"/>
    <s v="Pecan"/>
    <s v="Tukda"/>
    <x v="74"/>
    <x v="63"/>
    <x v="2"/>
    <x v="0"/>
    <s v="Rental"/>
    <n v="0"/>
    <n v="1380"/>
    <n v="18768"/>
    <n v="166"/>
  </r>
  <r>
    <s v="14/05/2025"/>
    <s v="D-39"/>
    <s v="GR2914"/>
    <s v="TURKEL BOX 10"/>
    <s v="TURKEL"/>
    <s v="JUMBO"/>
    <x v="139"/>
    <n v="26"/>
    <n v="12.5"/>
    <n v="325"/>
    <x v="17"/>
    <s v="Turkey"/>
    <s v="Jumbo"/>
    <x v="82"/>
    <x v="68"/>
    <x v="2"/>
    <x v="0"/>
    <s v="Rental"/>
    <n v="0"/>
    <n v="650"/>
    <n v="211250"/>
    <n v="162"/>
  </r>
  <r>
    <s v="20/05/2025"/>
    <s v="D-514"/>
    <s v="GR1302"/>
    <s v="KHAJUR BOX (M) 5"/>
    <s v="MDJL JUNIUR BLUE BOX"/>
    <s v="-"/>
    <x v="140"/>
    <n v="5"/>
    <n v="5"/>
    <n v="25"/>
    <x v="3"/>
    <s v="Medjoul-Junior"/>
    <s v="Junior"/>
    <x v="71"/>
    <x v="59"/>
    <x v="2"/>
    <x v="0"/>
    <s v="Fix (202 F1) (-)"/>
    <s v="Hadiklaim"/>
    <n v="613"/>
    <n v="15325"/>
    <n v="156"/>
  </r>
  <r>
    <s v="03/06/2025"/>
    <s v="D-39"/>
    <s v="GR3920"/>
    <s v="KISMISH BOX (INDIAN) 15"/>
    <s v="MAS-70-B -19"/>
    <s v="-"/>
    <x v="141"/>
    <n v="10"/>
    <n v="15"/>
    <n v="150"/>
    <x v="8"/>
    <s v="Indian"/>
    <s v="Raisin"/>
    <x v="72"/>
    <x v="61"/>
    <x v="2"/>
    <x v="0"/>
    <s v="Rental"/>
    <n v="0"/>
    <n v="288"/>
    <n v="43200"/>
    <n v="142"/>
  </r>
  <r>
    <s v="12/06/2025"/>
    <s v="D-39"/>
    <s v="GR4381"/>
    <s v="KISMISH BOX (INDIAN) 15"/>
    <s v="BOB-68-13"/>
    <s v="-"/>
    <x v="142"/>
    <n v="12"/>
    <n v="15"/>
    <n v="180"/>
    <x v="8"/>
    <s v="Indian"/>
    <s v="Raisin"/>
    <x v="72"/>
    <x v="61"/>
    <x v="2"/>
    <x v="0"/>
    <s v="Rental"/>
    <n v="0"/>
    <n v="288"/>
    <n v="51840"/>
    <n v="133"/>
  </r>
  <r>
    <s v="16/06/2025"/>
    <s v="D-39"/>
    <s v="GR4618"/>
    <s v="AKHROT KERNAL BOX JOTTA (15X2)"/>
    <s v="WHITE"/>
    <s v="-"/>
    <x v="143"/>
    <n v="5"/>
    <n v="29.6"/>
    <n v="148"/>
    <x v="18"/>
    <s v="Kernels 2pc"/>
    <s v="2pc"/>
    <x v="83"/>
    <x v="69"/>
    <x v="2"/>
    <x v="0"/>
    <s v="Rental"/>
    <n v="0"/>
    <n v="1285"/>
    <n v="190180"/>
    <n v="129"/>
  </r>
  <r>
    <s v="16/06/2025"/>
    <s v="D-39"/>
    <s v="GR4618"/>
    <s v="AKHROT KERNAL BOX 10"/>
    <s v="BROWN"/>
    <s v="-"/>
    <x v="144"/>
    <n v="1"/>
    <n v="10.199999999999999"/>
    <n v="10.199999999999999"/>
    <x v="18"/>
    <s v="Kernels 2pc"/>
    <s v="2pc"/>
    <x v="83"/>
    <x v="69"/>
    <x v="2"/>
    <x v="0"/>
    <s v="Rental"/>
    <n v="0"/>
    <n v="1285"/>
    <n v="13106.999999999998"/>
    <n v="129"/>
  </r>
  <r>
    <s v="07/07/2025"/>
    <s v="D-39"/>
    <s v="GR6127"/>
    <s v="TURKEL BOX"/>
    <s v="TURKEL"/>
    <s v="SIZE 4-400GRM"/>
    <x v="145"/>
    <n v="30"/>
    <n v="8"/>
    <n v="240"/>
    <x v="17"/>
    <s v="Turkey"/>
    <s v="No. 0"/>
    <x v="84"/>
    <x v="70"/>
    <x v="2"/>
    <x v="0"/>
    <s v="Rental"/>
    <n v="0"/>
    <n v="780"/>
    <n v="187200"/>
    <n v="108"/>
  </r>
  <r>
    <s v="07/07/2025"/>
    <s v="D-39"/>
    <s v="GR6126"/>
    <s v="TURKEL BOX 10"/>
    <s v="MEHMET"/>
    <s v="400 GRAM"/>
    <x v="146"/>
    <n v="31"/>
    <n v="8"/>
    <n v="248"/>
    <x v="17"/>
    <s v="Turkey"/>
    <s v="No. 0"/>
    <x v="84"/>
    <x v="70"/>
    <x v="2"/>
    <x v="0"/>
    <s v="Rental"/>
    <n v="0"/>
    <n v="780"/>
    <n v="193440"/>
    <n v="108"/>
  </r>
  <r>
    <s v="14/07/2025"/>
    <s v="D-39"/>
    <s v="GR6549"/>
    <s v="DRIED GOOSEBERRY BOX 10"/>
    <s v="GOJIBERRY"/>
    <s v="GOJIBERRY"/>
    <x v="147"/>
    <n v="8"/>
    <n v="8"/>
    <n v="64"/>
    <x v="19"/>
    <s v="Gojiberry"/>
    <s v="Dried"/>
    <x v="85"/>
    <x v="71"/>
    <x v="2"/>
    <x v="0"/>
    <s v="Rental"/>
    <n v="0"/>
    <n v="825"/>
    <n v="52800"/>
    <n v="101"/>
  </r>
  <r>
    <s v="16/07/2025"/>
    <s v="D-514"/>
    <s v="GR2804"/>
    <s v="KHAJUR BOX (M) 5"/>
    <s v="MEDJOUL JUMBO"/>
    <s v="6724527834"/>
    <x v="148"/>
    <n v="1"/>
    <n v="5"/>
    <n v="5"/>
    <x v="3"/>
    <s v="Medjoul-Jumbo"/>
    <s v="Jumbo"/>
    <x v="86"/>
    <x v="72"/>
    <x v="2"/>
    <x v="0"/>
    <s v="Rental"/>
    <s v="Hadiklaim"/>
    <n v="1045"/>
    <n v="5225"/>
    <n v="99"/>
  </r>
  <r>
    <s v="16/07/2025"/>
    <s v="D-514"/>
    <s v="GR2804"/>
    <s v="KHAJUR BOX (M) 5"/>
    <s v="DEGLET NOOR"/>
    <s v="552420399"/>
    <x v="149"/>
    <n v="190"/>
    <n v="5"/>
    <n v="950"/>
    <x v="3"/>
    <s v="DEGLET NOUR"/>
    <s v="DEGLET NOUR"/>
    <x v="16"/>
    <x v="73"/>
    <x v="2"/>
    <x v="0"/>
    <s v="Rental"/>
    <s v="Hadiklaim"/>
    <n v="510"/>
    <n v="484500"/>
    <n v="99"/>
  </r>
  <r>
    <s v="16/07/2025"/>
    <s v="D-514"/>
    <s v="GR2804"/>
    <s v="KHAJUR BOX (M) 5"/>
    <s v="DEGLET NOOR"/>
    <s v="552420401"/>
    <x v="150"/>
    <n v="127"/>
    <n v="5"/>
    <n v="635"/>
    <x v="3"/>
    <s v="DEGLET NOUR"/>
    <s v="DEGLET NOUR"/>
    <x v="16"/>
    <x v="73"/>
    <x v="2"/>
    <x v="0"/>
    <s v="Rental"/>
    <s v="Hadiklaim"/>
    <n v="510"/>
    <n v="323850"/>
    <n v="99"/>
  </r>
  <r>
    <s v="18/07/2025"/>
    <s v="D-39"/>
    <s v="GR6846"/>
    <s v="PECANS MAMMOTH BOX15"/>
    <s v="FANCY DRY ROASTED"/>
    <s v="SGP -BROWN"/>
    <x v="151"/>
    <n v="6"/>
    <n v="13.6"/>
    <n v="81.599999999999994"/>
    <x v="13"/>
    <s v="Pecan"/>
    <s v="Kernels"/>
    <x v="74"/>
    <x v="63"/>
    <x v="2"/>
    <x v="0"/>
    <s v="Rental"/>
    <n v="0"/>
    <n v="1380"/>
    <n v="112607.99999999999"/>
    <n v="97"/>
  </r>
  <r>
    <s v="22/07/2025"/>
    <s v="D-39"/>
    <s v="GR7028"/>
    <s v="BRAZIL NUT BOX 20"/>
    <s v="AMAZON NUTS"/>
    <s v="TINY"/>
    <x v="152"/>
    <n v="6"/>
    <n v="20"/>
    <n v="120"/>
    <x v="20"/>
    <s v="Brazil Nuts"/>
    <s v="Kernels"/>
    <x v="87"/>
    <x v="74"/>
    <x v="2"/>
    <x v="0"/>
    <s v="Rental"/>
    <n v="0"/>
    <n v="2700"/>
    <n v="324000"/>
    <n v="93"/>
  </r>
  <r>
    <s v="24/07/2025"/>
    <s v="D-514"/>
    <s v="GR3016"/>
    <s v="KHAJUR BOX (M) 5"/>
    <s v="MEDJOUL MIX"/>
    <s v="NO-2"/>
    <x v="153"/>
    <n v="119"/>
    <n v="5"/>
    <n v="595"/>
    <x v="3"/>
    <s v="Medjoul-Rej"/>
    <s v="Mix"/>
    <x v="38"/>
    <x v="75"/>
    <x v="2"/>
    <x v="0"/>
    <s v="Rental"/>
    <n v="0"/>
    <n v="200"/>
    <n v="119000"/>
    <n v="91"/>
  </r>
  <r>
    <s v="29/07/2025"/>
    <s v="D-39"/>
    <s v="GR7485"/>
    <s v="MACADAMIA BOX 12"/>
    <s v="MARQUIS SAWN 22+SP"/>
    <s v="-"/>
    <x v="154"/>
    <n v="64"/>
    <n v="10"/>
    <n v="640"/>
    <x v="9"/>
    <s v="NIS Vanilla"/>
    <s v="NIS"/>
    <x v="67"/>
    <x v="55"/>
    <x v="2"/>
    <x v="0"/>
    <s v="Rental"/>
    <n v="0"/>
    <n v="625"/>
    <n v="400000"/>
    <n v="86"/>
  </r>
  <r>
    <s v="29/07/2025"/>
    <s v="D-39"/>
    <s v="GR7485"/>
    <s v="MACADAMIA BOX 12"/>
    <s v="MARQUIS SAWN 22+SP"/>
    <s v="16.4KG"/>
    <x v="155"/>
    <n v="9"/>
    <n v="10"/>
    <n v="90"/>
    <x v="9"/>
    <s v="NIS"/>
    <s v="NIS"/>
    <x v="70"/>
    <x v="58"/>
    <x v="2"/>
    <x v="0"/>
    <s v="Rental"/>
    <n v="0"/>
    <n v="625"/>
    <n v="56250"/>
    <n v="86"/>
  </r>
  <r>
    <s v="30/07/2025"/>
    <s v="D-39"/>
    <s v="GR7579"/>
    <s v="MACADAMIA BOX 12"/>
    <s v="STYLE 4 L COOKED P"/>
    <s v="-"/>
    <x v="156"/>
    <n v="4"/>
    <n v="11.34"/>
    <n v="45.36"/>
    <x v="9"/>
    <s v="Roasted Style-4"/>
    <s v="Size-4"/>
    <x v="88"/>
    <x v="56"/>
    <x v="2"/>
    <x v="0"/>
    <s v="Rental"/>
    <n v="0"/>
    <n v="1500"/>
    <n v="68040"/>
    <n v="85"/>
  </r>
  <r>
    <s v="04/08/2025"/>
    <s v="D-39"/>
    <s v="GR7901"/>
    <s v="MACADAMIA BOX 12"/>
    <s v="DRY ROAST"/>
    <s v="STYLE -6"/>
    <x v="157"/>
    <n v="1"/>
    <n v="11.34"/>
    <n v="11.34"/>
    <x v="9"/>
    <s v="Roasted Style-6"/>
    <s v="Size-6"/>
    <x v="60"/>
    <x v="48"/>
    <x v="2"/>
    <x v="0"/>
    <s v="Rental"/>
    <n v="0"/>
    <n v="900"/>
    <n v="10206"/>
    <n v="80"/>
  </r>
  <r>
    <s v="05/08/2025"/>
    <s v="D-39"/>
    <s v="GR7967"/>
    <s v="CRANBERRY BOX 5"/>
    <s v="MEDURI"/>
    <s v="WHOLE"/>
    <x v="158"/>
    <n v="28"/>
    <n v="4.54"/>
    <n v="127.12"/>
    <x v="14"/>
    <s v="Meduri"/>
    <s v="Meduri"/>
    <x v="76"/>
    <x v="65"/>
    <x v="2"/>
    <x v="0"/>
    <s v="Rental"/>
    <s v="Tajir"/>
    <n v="890"/>
    <n v="113136.8"/>
    <n v="79"/>
  </r>
  <r>
    <s v="09/08/2025"/>
    <s v="D-39"/>
    <s v="GR8257"/>
    <s v="KISMISH BOX (INDIAN) 15"/>
    <s v="BROWN RAYECTION"/>
    <s v="MIX"/>
    <x v="159"/>
    <n v="13"/>
    <n v="15"/>
    <n v="195"/>
    <x v="8"/>
    <s v="Indian"/>
    <s v="Raisin"/>
    <x v="72"/>
    <x v="61"/>
    <x v="2"/>
    <x v="0"/>
    <s v="Rental"/>
    <n v="0"/>
    <n v="418.25"/>
    <n v="81558.75"/>
    <n v="75"/>
  </r>
  <r>
    <s v="12/08/2025"/>
    <s v="D-39"/>
    <s v="GR8361"/>
    <s v="PECANS MAMMOTH BOX15"/>
    <s v="CARTER PECAN -GREEN"/>
    <s v="SHELLED"/>
    <x v="160"/>
    <n v="1"/>
    <n v="13.6"/>
    <n v="13.6"/>
    <x v="13"/>
    <s v="Pecan"/>
    <s v="Kernels"/>
    <x v="89"/>
    <x v="63"/>
    <x v="2"/>
    <x v="0"/>
    <s v="Rental"/>
    <n v="0"/>
    <n v="1550"/>
    <n v="21080"/>
    <n v="72"/>
  </r>
  <r>
    <s v="24/08/2025"/>
    <s v="D-39"/>
    <s v="GR8960"/>
    <s v="KISMISH BOX (INDIAN) 15"/>
    <s v="TAS/48 ALPINO"/>
    <s v="48"/>
    <x v="161"/>
    <n v="5"/>
    <n v="15"/>
    <n v="75"/>
    <x v="8"/>
    <s v="Indian"/>
    <s v="Raisin"/>
    <x v="72"/>
    <x v="61"/>
    <x v="2"/>
    <x v="0"/>
    <s v="Rental"/>
    <n v="0"/>
    <n v="420"/>
    <n v="31500"/>
    <n v="60"/>
  </r>
  <r>
    <s v="24/08/2025"/>
    <s v="D-39"/>
    <s v="GR8960"/>
    <s v="KISMISH BOX (INDIAN) 15"/>
    <s v="AAK/52 ALPINO"/>
    <s v="52"/>
    <x v="162"/>
    <n v="4"/>
    <n v="15"/>
    <n v="60"/>
    <x v="8"/>
    <s v="Indian"/>
    <s v="Raisin"/>
    <x v="72"/>
    <x v="61"/>
    <x v="2"/>
    <x v="0"/>
    <s v="Rental"/>
    <n v="0"/>
    <n v="420"/>
    <n v="25200"/>
    <n v="60"/>
  </r>
  <r>
    <s v="26/08/2025"/>
    <s v="D-39"/>
    <s v="GR9080"/>
    <s v="MACADAMIA BOX 12"/>
    <s v="-"/>
    <s v="1L"/>
    <x v="163"/>
    <n v="10"/>
    <n v="11.34"/>
    <n v="113.4"/>
    <x v="9"/>
    <s v="Roasted Style-1"/>
    <s v="Size-1"/>
    <x v="90"/>
    <x v="76"/>
    <x v="2"/>
    <x v="0"/>
    <s v="Rental"/>
    <n v="0"/>
    <n v="1750"/>
    <n v="198450"/>
    <n v="58"/>
  </r>
  <r>
    <s v="26/08/2025"/>
    <s v="D-39"/>
    <s v="GR9080"/>
    <s v="MACADAMIA BOX 12"/>
    <s v="-"/>
    <s v="0 L"/>
    <x v="164"/>
    <n v="16"/>
    <n v="11.34"/>
    <n v="181.44"/>
    <x v="9"/>
    <s v="Roasted Style-0"/>
    <s v="Size-0"/>
    <x v="91"/>
    <x v="77"/>
    <x v="2"/>
    <x v="0"/>
    <s v="Rental"/>
    <n v="0"/>
    <n v="1790"/>
    <n v="324777.59999999998"/>
    <n v="58"/>
  </r>
  <r>
    <s v="11/09/2025"/>
    <s v="D-39"/>
    <s v="GR9902"/>
    <s v="PRUNES BOX 10"/>
    <s v="WILBUR PITTED"/>
    <s v="-"/>
    <x v="165"/>
    <n v="235"/>
    <n v="11.34"/>
    <n v="2664.9"/>
    <x v="21"/>
    <s v="Pitted"/>
    <s v="Prunes"/>
    <x v="92"/>
    <x v="78"/>
    <x v="2"/>
    <x v="0"/>
    <s v="Factory"/>
    <n v="0"/>
    <n v="470"/>
    <n v="1252503"/>
    <n v="42"/>
  </r>
  <r>
    <s v="19/09/2025"/>
    <s v="D-39"/>
    <s v="GR10456"/>
    <s v="PRUNES BOX 10"/>
    <s v="WILBUR PITTED"/>
    <s v="-"/>
    <x v="166"/>
    <n v="97"/>
    <n v="11.34"/>
    <n v="1099.98"/>
    <x v="21"/>
    <s v="Pitted"/>
    <s v="Wilbur"/>
    <x v="92"/>
    <x v="78"/>
    <x v="2"/>
    <x v="0"/>
    <s v="Rental"/>
    <n v="0"/>
    <n v="470"/>
    <n v="516990.60000000003"/>
    <n v="34"/>
  </r>
  <r>
    <s v="22/09/2025"/>
    <s v="D-39"/>
    <s v="GR10642"/>
    <s v="PECANS MAMMOTH BOX15"/>
    <s v="PECAN MAMMOTH HALVES DR"/>
    <s v="-"/>
    <x v="167"/>
    <n v="4"/>
    <n v="13.6"/>
    <n v="54.4"/>
    <x v="13"/>
    <s v="Pecan"/>
    <s v="Kernels"/>
    <x v="89"/>
    <x v="63"/>
    <x v="2"/>
    <x v="0"/>
    <s v="Rental"/>
    <s v="Tajir"/>
    <n v="1550"/>
    <n v="84320"/>
    <n v="31"/>
  </r>
  <r>
    <s v="29/09/2025"/>
    <s v="D-514"/>
    <s v="GR4577"/>
    <s v="KHAJUR BOX (M) 5"/>
    <s v="DERI BULK(6908)"/>
    <s v="1750105035"/>
    <x v="168"/>
    <n v="176"/>
    <n v="5"/>
    <n v="880"/>
    <x v="2"/>
    <s v="Deri"/>
    <s v="Deri"/>
    <x v="10"/>
    <x v="9"/>
    <x v="2"/>
    <x v="0"/>
    <s v="Rental"/>
    <s v="Hadiklaim"/>
    <n v="303"/>
    <n v="266640"/>
    <n v="24"/>
  </r>
  <r>
    <s v="29/09/2025"/>
    <s v="D-514"/>
    <s v="GR4577"/>
    <s v="KHAJUR BOX (M) 5"/>
    <s v="DERI BULK(6906)"/>
    <s v="1750105035"/>
    <x v="169"/>
    <n v="182"/>
    <n v="5"/>
    <n v="910"/>
    <x v="2"/>
    <s v="Deri"/>
    <s v="Deri"/>
    <x v="10"/>
    <x v="9"/>
    <x v="2"/>
    <x v="0"/>
    <s v="Rental"/>
    <s v="Hadiklaim"/>
    <n v="303"/>
    <n v="275730"/>
    <n v="24"/>
  </r>
  <r>
    <s v="29/09/2025"/>
    <s v="D-514"/>
    <s v="GR4577"/>
    <s v="KHAJUR BOX (M) 5"/>
    <s v="DERI BULK(6905)"/>
    <s v="1750105035)"/>
    <x v="170"/>
    <n v="198"/>
    <n v="5"/>
    <n v="990"/>
    <x v="2"/>
    <s v="Deri"/>
    <s v="Deri"/>
    <x v="10"/>
    <x v="9"/>
    <x v="2"/>
    <x v="0"/>
    <s v="Rental"/>
    <s v="Hadiklaim"/>
    <n v="303"/>
    <n v="299970"/>
    <n v="24"/>
  </r>
  <r>
    <s v="29/09/2025"/>
    <s v="D-514"/>
    <s v="GR4577"/>
    <s v="KHAJUR BOX (M) 5"/>
    <s v="DERI BULK (6904)"/>
    <s v="672440301"/>
    <x v="171"/>
    <n v="160"/>
    <n v="5"/>
    <n v="800"/>
    <x v="2"/>
    <s v="Deri"/>
    <s v="Deri"/>
    <x v="10"/>
    <x v="9"/>
    <x v="2"/>
    <x v="0"/>
    <s v="Rental"/>
    <s v="Hadiklaim"/>
    <n v="303"/>
    <n v="242400"/>
    <n v="24"/>
  </r>
  <r>
    <s v="29/09/2025"/>
    <s v="D-514"/>
    <s v="GR4577"/>
    <s v="KHAJUR BOX (M) 5"/>
    <s v="DEGL.NOOR BRANCH(6903"/>
    <s v="502420403"/>
    <x v="172"/>
    <n v="198"/>
    <n v="5"/>
    <n v="990"/>
    <x v="3"/>
    <s v="DEGLET NOUR"/>
    <s v="DEGLET NOUR"/>
    <x v="16"/>
    <x v="73"/>
    <x v="2"/>
    <x v="0"/>
    <s v="Rental"/>
    <s v="Hadiklaim"/>
    <n v="527"/>
    <n v="521730"/>
    <n v="24"/>
  </r>
  <r>
    <s v="29/09/2025"/>
    <s v="D-514"/>
    <s v="GR4577"/>
    <s v="KHAJUR BOX (M) 5"/>
    <s v="DEGL.NOOR BRANCH(6902"/>
    <s v="552420400"/>
    <x v="173"/>
    <n v="198"/>
    <n v="5"/>
    <n v="990"/>
    <x v="3"/>
    <s v="DEGLET NOUR"/>
    <s v="DEGLET NOUR"/>
    <x v="16"/>
    <x v="73"/>
    <x v="2"/>
    <x v="0"/>
    <s v="Rental"/>
    <s v="Hadiklaim"/>
    <n v="527"/>
    <n v="521730"/>
    <n v="24"/>
  </r>
  <r>
    <s v="29/09/2025"/>
    <s v="D-514"/>
    <s v="GR4583"/>
    <s v="KHAJUR BOX (M) 5"/>
    <s v="MDJL. MINI (6893"/>
    <s v="4002433001"/>
    <x v="174"/>
    <n v="208"/>
    <n v="5"/>
    <n v="1040"/>
    <x v="3"/>
    <s v="Medjoul-Mini"/>
    <s v="Mini"/>
    <x v="34"/>
    <x v="79"/>
    <x v="2"/>
    <x v="0"/>
    <s v="Rental"/>
    <s v="Hadiklaim"/>
    <n v="477"/>
    <n v="496080"/>
    <n v="24"/>
  </r>
  <r>
    <s v="29/09/2025"/>
    <s v="D-514"/>
    <s v="GR4583"/>
    <s v="KHAJUR BOX (M) 5"/>
    <s v="MDJL.MINI (6894"/>
    <s v="402433002"/>
    <x v="175"/>
    <n v="91"/>
    <n v="5"/>
    <n v="455"/>
    <x v="3"/>
    <s v="Medjoul-Mini"/>
    <s v="Mini"/>
    <x v="34"/>
    <x v="79"/>
    <x v="2"/>
    <x v="0"/>
    <s v="Rental"/>
    <s v="Hadiklaim"/>
    <n v="477"/>
    <n v="217035"/>
    <n v="24"/>
  </r>
  <r>
    <s v="06/10/2025"/>
    <s v="D-39"/>
    <s v="GR11759"/>
    <s v="SUNFLOWER SEEDS BOX 25"/>
    <s v="BROWN"/>
    <s v="-"/>
    <x v="176"/>
    <n v="280"/>
    <n v="25"/>
    <n v="7000"/>
    <x v="22"/>
    <s v="Sunflower"/>
    <s v="Seeds 25"/>
    <x v="93"/>
    <x v="80"/>
    <x v="2"/>
    <x v="0"/>
    <s v="Rental"/>
    <n v="0"/>
    <n v="138.5"/>
    <n v="969500"/>
    <n v="17"/>
  </r>
  <r>
    <s v="07/10/2025"/>
    <s v="D-39"/>
    <s v="GR11790"/>
    <s v="PISTA INSHELL BOX 10"/>
    <s v="CALIFORNIA PISTACHIOS"/>
    <s v="-"/>
    <x v="177"/>
    <n v="1318"/>
    <n v="11.34"/>
    <n v="14946.119999999999"/>
    <x v="12"/>
    <s v="Inshell - 21-25"/>
    <s v="Inshell"/>
    <x v="94"/>
    <x v="81"/>
    <x v="2"/>
    <x v="0"/>
    <s v="Rental"/>
    <s v="VKC"/>
    <n v="852.78"/>
    <n v="12745752.213599999"/>
    <n v="16"/>
  </r>
  <r>
    <s v="07/10/2025"/>
    <s v="D-514"/>
    <s v="GR4773"/>
    <s v="KHAJUR BOX (M) 5"/>
    <s v="MEDJOUL SUPER JUMBO"/>
    <s v="1350205472"/>
    <x v="178"/>
    <n v="183"/>
    <n v="5"/>
    <n v="915"/>
    <x v="3"/>
    <s v="Medjoul-Jumbo"/>
    <s v="Jumbo"/>
    <x v="86"/>
    <x v="72"/>
    <x v="2"/>
    <x v="0"/>
    <s v="Rental"/>
    <s v="Hadiklaim"/>
    <n v="1045"/>
    <n v="956175"/>
    <n v="16"/>
  </r>
  <r>
    <s v="07/10/2025"/>
    <s v="D-39"/>
    <s v="GR11789"/>
    <s v="CRANBERRY BOX 10"/>
    <s v="OCEAN SPRAY"/>
    <s v="WHOLE"/>
    <x v="179"/>
    <n v="143"/>
    <n v="11.34"/>
    <n v="1621.62"/>
    <x v="14"/>
    <s v="Whole"/>
    <s v="Whole"/>
    <x v="95"/>
    <x v="65"/>
    <x v="2"/>
    <x v="0"/>
    <s v="Rental"/>
    <s v="Tajir"/>
    <n v="415"/>
    <n v="672972.29999999993"/>
    <n v="16"/>
  </r>
  <r>
    <s v="09/10/2025"/>
    <s v="D-39"/>
    <s v="GR11994"/>
    <s v="CRANBERRY BOX 5"/>
    <s v="MEDURI"/>
    <s v="WHOLE 090191"/>
    <x v="180"/>
    <n v="30"/>
    <n v="4.54"/>
    <n v="136.19999999999999"/>
    <x v="14"/>
    <s v="Meduri"/>
    <s v="Meduri"/>
    <x v="76"/>
    <x v="65"/>
    <x v="2"/>
    <x v="0"/>
    <s v="Rental"/>
    <s v="Tajir"/>
    <n v="890"/>
    <n v="121217.99999999999"/>
    <n v="14"/>
  </r>
  <r>
    <s v="10/10/2025"/>
    <s v="D-514"/>
    <s v="GR4846"/>
    <s v="KHAJUR BOX (M) 5"/>
    <s v="MEDJOUL NO-2"/>
    <s v="MIX"/>
    <x v="181"/>
    <n v="250"/>
    <n v="5"/>
    <n v="1250"/>
    <x v="3"/>
    <s v="Medjoul-Rej"/>
    <s v="No-2"/>
    <x v="38"/>
    <x v="75"/>
    <x v="2"/>
    <x v="0"/>
    <s v="Rental"/>
    <n v="0"/>
    <n v="200"/>
    <n v="250000"/>
    <n v="13"/>
  </r>
  <r>
    <s v="12/10/2025"/>
    <s v="D-514"/>
    <s v="GR4898"/>
    <s v="KHAJUR BOX (M) 5"/>
    <s v="MDJL JUNIOR ,JTC(2311)"/>
    <s v="1361105623"/>
    <x v="182"/>
    <n v="115"/>
    <n v="5"/>
    <n v="575"/>
    <x v="3"/>
    <s v="Medjoul-Junior"/>
    <s v="Junior"/>
    <x v="71"/>
    <x v="59"/>
    <x v="2"/>
    <x v="0"/>
    <s v="Rental"/>
    <s v="Hadiklaim"/>
    <n v="613"/>
    <n v="352475"/>
    <n v="11"/>
  </r>
  <r>
    <s v="12/10/2025"/>
    <s v="D-514"/>
    <s v="GR4898"/>
    <s v="KHAJUR BOX (M) 5"/>
    <s v="MDJL JUNIOR ,RETAIL(2306)"/>
    <s v="1361105623"/>
    <x v="183"/>
    <n v="160"/>
    <n v="5"/>
    <n v="800"/>
    <x v="3"/>
    <s v="Medjoul-Junior"/>
    <s v="Junior"/>
    <x v="71"/>
    <x v="59"/>
    <x v="2"/>
    <x v="0"/>
    <s v="Rental"/>
    <s v="Hadiklaim"/>
    <n v="613"/>
    <n v="490400"/>
    <n v="11"/>
  </r>
  <r>
    <s v="12/10/2025"/>
    <s v="D-514"/>
    <s v="GR4898"/>
    <s v="KHAJUR BOX (M) 5"/>
    <s v="MDJL JUNIOR ,FLYBERRY(2308"/>
    <s v="1361105623"/>
    <x v="184"/>
    <n v="200"/>
    <n v="5"/>
    <n v="1000"/>
    <x v="3"/>
    <s v="Medjoul-Junior"/>
    <s v="Junior"/>
    <x v="71"/>
    <x v="59"/>
    <x v="2"/>
    <x v="0"/>
    <s v="Rental"/>
    <s v="Hadiklaim"/>
    <n v="613"/>
    <n v="613000"/>
    <n v="11"/>
  </r>
  <r>
    <s v="13/10/2025"/>
    <s v="D-39"/>
    <s v="GR12263"/>
    <s v="PRUNES BOX 10"/>
    <s v="WILBUR"/>
    <s v="60-70"/>
    <x v="185"/>
    <n v="300"/>
    <n v="11.34"/>
    <n v="3402"/>
    <x v="21"/>
    <s v="Pitted"/>
    <s v="Wilbur"/>
    <x v="92"/>
    <x v="78"/>
    <x v="2"/>
    <x v="0"/>
    <s v="Rental"/>
    <n v="0"/>
    <n v="470"/>
    <n v="1598940"/>
    <n v="10"/>
  </r>
  <r>
    <s v="14/10/2025"/>
    <s v="D-39"/>
    <s v="GR12327"/>
    <s v="KHAJUR BOX (M) 5"/>
    <s v="MEDJOUL JUMBO PREMIUM"/>
    <s v="1350905471"/>
    <x v="186"/>
    <n v="200"/>
    <n v="5"/>
    <n v="1000"/>
    <x v="3"/>
    <s v="Medjoul-Jumbo"/>
    <s v="Jumbo"/>
    <x v="86"/>
    <x v="72"/>
    <x v="2"/>
    <x v="0"/>
    <s v="Rental"/>
    <s v="Hadiklaim"/>
    <n v="1149.5"/>
    <n v="1149500"/>
    <n v="9"/>
  </r>
  <r>
    <s v="14/10/2025"/>
    <s v="D-39"/>
    <s v="GR12327"/>
    <s v="KHAJUR BOX (M) 5"/>
    <s v="MEDJOUL S JUM PREM"/>
    <s v="1350205472"/>
    <x v="187"/>
    <n v="400"/>
    <n v="5"/>
    <n v="2000"/>
    <x v="3"/>
    <s v="Medjoul-Sup.Jumbo"/>
    <s v="S.JUMBO"/>
    <x v="18"/>
    <x v="82"/>
    <x v="2"/>
    <x v="0"/>
    <s v="Rental"/>
    <s v="Hadiklaim"/>
    <n v="1252.9000000000001"/>
    <n v="2505800"/>
    <n v="9"/>
  </r>
  <r>
    <s v="14/10/2025"/>
    <s v="D-39"/>
    <s v="GR12327"/>
    <s v="KHAJUR BOX (M) 5"/>
    <s v="MEDJOUL LARGE"/>
    <s v="1350105480"/>
    <x v="188"/>
    <n v="165"/>
    <n v="5"/>
    <n v="825"/>
    <x v="3"/>
    <s v="Medjoul-Large"/>
    <s v="Large"/>
    <x v="33"/>
    <x v="26"/>
    <x v="2"/>
    <x v="0"/>
    <s v="Rental"/>
    <s v="Hadiklaim"/>
    <n v="898.7"/>
    <n v="741427.5"/>
    <n v="9"/>
  </r>
  <r>
    <s v="14/10/2025"/>
    <s v="D-39"/>
    <s v="GR12327"/>
    <s v="KHAJUR BOX (M) 5"/>
    <s v="MEDJOUL SUPER JUMBO"/>
    <s v="1350205472"/>
    <x v="189"/>
    <n v="190"/>
    <n v="5"/>
    <n v="950"/>
    <x v="3"/>
    <s v="Medjoul-Sup.Jumbo"/>
    <s v="S.JUMBO"/>
    <x v="18"/>
    <x v="82"/>
    <x v="2"/>
    <x v="0"/>
    <s v="Rental"/>
    <s v="Hadiklaim"/>
    <n v="1252.9000000000001"/>
    <n v="1190255"/>
    <n v="9"/>
  </r>
  <r>
    <s v="14/10/2025"/>
    <s v="D-39"/>
    <s v="GR12327"/>
    <s v="KHAJUR BOX (M) 5"/>
    <s v="MEDJOUL LARGE"/>
    <s v="1350105480"/>
    <x v="190"/>
    <n v="200"/>
    <n v="5"/>
    <n v="1000"/>
    <x v="3"/>
    <s v="Medjoul-Large"/>
    <s v="Large"/>
    <x v="33"/>
    <x v="26"/>
    <x v="2"/>
    <x v="0"/>
    <s v="Rental"/>
    <s v="Hadiklaim"/>
    <n v="898.7"/>
    <n v="898700"/>
    <n v="9"/>
  </r>
  <r>
    <s v="14/10/2025"/>
    <s v="D-39"/>
    <s v="GR12284"/>
    <s v="CRANBERRY BOX 10"/>
    <s v="OCEAN SPRAY"/>
    <s v="SLICE"/>
    <x v="191"/>
    <n v="100"/>
    <n v="11.34"/>
    <n v="1134"/>
    <x v="14"/>
    <s v="Sliced"/>
    <s v="Sliced"/>
    <x v="96"/>
    <x v="83"/>
    <x v="2"/>
    <x v="0"/>
    <s v="Rental"/>
    <s v="Tajir"/>
    <n v="375"/>
    <n v="425250"/>
    <n v="9"/>
  </r>
  <r>
    <s v="15/10/2025"/>
    <s v="D-514"/>
    <s v="GR4992"/>
    <s v="KHAJUR BOX (M) 5"/>
    <s v="MEDJOUL JUMBO"/>
    <s v="602504684"/>
    <x v="192"/>
    <n v="51"/>
    <n v="5"/>
    <n v="255"/>
    <x v="3"/>
    <s v="Medjoul-Jumbo"/>
    <s v="Jumbo"/>
    <x v="86"/>
    <x v="72"/>
    <x v="2"/>
    <x v="0"/>
    <s v="Rental"/>
    <s v="Hadiklaim"/>
    <n v="1149.5"/>
    <n v="293122.5"/>
    <n v="8"/>
  </r>
  <r>
    <s v="15/10/2025"/>
    <s v="D-39"/>
    <s v="GR12411"/>
    <s v="CRANBERRY BOX 10"/>
    <s v="OCEANSPRAY"/>
    <s v="SLICE"/>
    <x v="193"/>
    <n v="300"/>
    <n v="11.34"/>
    <n v="3402"/>
    <x v="14"/>
    <s v="Sliced"/>
    <s v="Sliced"/>
    <x v="96"/>
    <x v="83"/>
    <x v="2"/>
    <x v="0"/>
    <s v="Rental"/>
    <s v="Tajir"/>
    <n v="375"/>
    <n v="1275750"/>
    <n v="8"/>
  </r>
  <r>
    <s v="15/10/2025"/>
    <s v="D-514"/>
    <s v="GR4992"/>
    <s v="KHAJUR BOX (M) 5"/>
    <s v="MEDJOUL SUPER JUMBO"/>
    <s v="602504711"/>
    <x v="194"/>
    <n v="200"/>
    <n v="5"/>
    <n v="1000"/>
    <x v="3"/>
    <s v="Medjoul-Sup.Jumbo"/>
    <s v="S.JUMBO"/>
    <x v="18"/>
    <x v="82"/>
    <x v="2"/>
    <x v="0"/>
    <s v="Rental"/>
    <s v="Hadiklaim"/>
    <n v="1252.9000000000001"/>
    <n v="1252900"/>
    <n v="8"/>
  </r>
  <r>
    <s v="15/10/2025"/>
    <s v="D-514"/>
    <s v="GR4992"/>
    <s v="KHAJUR BOX (M) 5"/>
    <s v="MEDJOUL SUPER JUMBO"/>
    <s v="602505870"/>
    <x v="195"/>
    <n v="200"/>
    <n v="5"/>
    <n v="1000"/>
    <x v="3"/>
    <s v="Medjoul-Sup.Jumbo"/>
    <s v="S.JUMBO"/>
    <x v="18"/>
    <x v="82"/>
    <x v="2"/>
    <x v="0"/>
    <s v="Rental"/>
    <s v="Hadiklaim"/>
    <n v="1252.9000000000001"/>
    <n v="1252900"/>
    <n v="8"/>
  </r>
  <r>
    <s v="15/10/2025"/>
    <s v="D-514"/>
    <s v="GR5005"/>
    <s v="KHAJUR BOX (M) 5"/>
    <s v="MDJL BON BON ."/>
    <s v="XXL."/>
    <x v="196"/>
    <n v="48"/>
    <n v="3.5"/>
    <n v="168"/>
    <x v="3"/>
    <s v="Medjoul-BonBon"/>
    <s v="Bon Bon"/>
    <x v="97"/>
    <x v="84"/>
    <x v="2"/>
    <x v="0"/>
    <s v="Rental"/>
    <s v="Hadiklaim"/>
    <n v="1292.742"/>
    <n v="217180.65599999999"/>
    <n v="8"/>
  </r>
  <r>
    <s v="17/10/2025"/>
    <s v="D-39"/>
    <s v="GR12551"/>
    <s v="BLUEBERRY BOX 5"/>
    <s v="MEDURI FARM"/>
    <s v="WHOLE"/>
    <x v="197"/>
    <n v="200"/>
    <n v="4.54"/>
    <n v="908"/>
    <x v="11"/>
    <s v="Blueberry"/>
    <s v="Meduri"/>
    <x v="98"/>
    <x v="85"/>
    <x v="2"/>
    <x v="0"/>
    <s v="Rental"/>
    <s v="Tajir"/>
    <n v="1130"/>
    <n v="1026040"/>
    <n v="6"/>
  </r>
  <r>
    <s v="17/10/2025"/>
    <s v="D-39"/>
    <s v="GR12520"/>
    <s v="KALINGAR MAGAZ BAG 50"/>
    <s v="GURUJI"/>
    <s v="-"/>
    <x v="198"/>
    <n v="40"/>
    <n v="50"/>
    <n v="2000"/>
    <x v="22"/>
    <s v="Watermelon"/>
    <s v="Seeds 50"/>
    <x v="99"/>
    <x v="86"/>
    <x v="2"/>
    <x v="0"/>
    <s v="Rental"/>
    <n v="0"/>
    <n v="522"/>
    <n v="1044000"/>
    <n v="6"/>
  </r>
  <r>
    <s v="17/10/2025"/>
    <s v="D-39"/>
    <s v="GR12551"/>
    <s v="CRANBERRY BOX 10"/>
    <s v="OCEAN SPRAY"/>
    <s v="WHOLE"/>
    <x v="199"/>
    <n v="120"/>
    <n v="11.34"/>
    <n v="1360.8"/>
    <x v="14"/>
    <s v="Whole"/>
    <s v="Whole"/>
    <x v="95"/>
    <x v="65"/>
    <x v="2"/>
    <x v="0"/>
    <s v="Rental"/>
    <s v="Tajir"/>
    <n v="415"/>
    <n v="564732"/>
    <n v="6"/>
  </r>
  <r>
    <s v="17/10/2025"/>
    <s v="D-39"/>
    <s v="GR12520"/>
    <s v="KALINGAR MAGAZ BAG 50"/>
    <s v="KAKA"/>
    <s v="-"/>
    <x v="200"/>
    <n v="20"/>
    <n v="50"/>
    <n v="1000"/>
    <x v="22"/>
    <s v="Watermelon"/>
    <s v="Seeds 50"/>
    <x v="99"/>
    <x v="86"/>
    <x v="2"/>
    <x v="0"/>
    <s v="Rental"/>
    <n v="0"/>
    <n v="522"/>
    <n v="522000"/>
    <n v="6"/>
  </r>
  <r>
    <s v="17/10/2025"/>
    <s v="D-39"/>
    <s v="GR12520"/>
    <s v="KALINGAR MAGAZ BAG 50"/>
    <s v="GREEN DAIMOND"/>
    <s v="-"/>
    <x v="201"/>
    <n v="50"/>
    <n v="50"/>
    <n v="2500"/>
    <x v="22"/>
    <s v="Watermelon"/>
    <s v="Seeds 50"/>
    <x v="99"/>
    <x v="86"/>
    <x v="2"/>
    <x v="0"/>
    <s v="Rental"/>
    <n v="0"/>
    <n v="518"/>
    <n v="1295000"/>
    <n v="6"/>
  </r>
  <r>
    <s v="18/10/2025"/>
    <s v="D-39"/>
    <s v="GR12617"/>
    <s v="KISMISH BOX (INDIAN) 10"/>
    <s v="DEV RED BLUE"/>
    <s v="MIX"/>
    <x v="202"/>
    <n v="241"/>
    <n v="10"/>
    <n v="2410"/>
    <x v="8"/>
    <s v="Indian"/>
    <s v="Raisin"/>
    <x v="72"/>
    <x v="61"/>
    <x v="2"/>
    <x v="0"/>
    <s v="Rental"/>
    <n v="0"/>
    <n v="420"/>
    <n v="1012200"/>
    <n v="5"/>
  </r>
  <r>
    <s v="18/10/2025"/>
    <s v="D-514"/>
    <s v="GR5069"/>
    <s v="KHAJUR BOX (M) 8"/>
    <s v="MEDJOUL LARGE"/>
    <s v="500 GM"/>
    <x v="203"/>
    <n v="46"/>
    <n v="8"/>
    <n v="368"/>
    <x v="3"/>
    <s v="Medjoul-Large"/>
    <s v="500gm"/>
    <x v="100"/>
    <x v="87"/>
    <x v="2"/>
    <x v="0"/>
    <s v="Rental"/>
    <n v="0"/>
    <n v="898"/>
    <n v="330464"/>
    <n v="5"/>
  </r>
  <r>
    <s v="20/10/2025"/>
    <s v="D-39"/>
    <s v="GR12735"/>
    <s v="KISMISH BOX (INDIAN) 10"/>
    <s v="FANCY GOLD"/>
    <s v="PSP-86-129"/>
    <x v="204"/>
    <n v="2"/>
    <n v="10"/>
    <n v="20"/>
    <x v="8"/>
    <s v="Indian"/>
    <s v="Raisin"/>
    <x v="72"/>
    <x v="61"/>
    <x v="2"/>
    <x v="0"/>
    <s v="Rental"/>
    <n v="0"/>
    <n v="420"/>
    <n v="8400"/>
    <n v="3"/>
  </r>
  <r>
    <s v="20/10/2025"/>
    <s v="D-39"/>
    <s v="GR12735"/>
    <s v="KISMISH BOX (INDIAN) 15"/>
    <s v="GDT-26"/>
    <s v="-"/>
    <x v="205"/>
    <n v="6"/>
    <n v="15"/>
    <n v="90"/>
    <x v="8"/>
    <s v="Indian"/>
    <s v="Raisin"/>
    <x v="72"/>
    <x v="61"/>
    <x v="2"/>
    <x v="0"/>
    <s v="Rental"/>
    <n v="0"/>
    <n v="420"/>
    <n v="37800"/>
    <n v="3"/>
  </r>
  <r>
    <s v="08/05/2025"/>
    <s v="D-514"/>
    <s v="GR986"/>
    <s v="KHAJUR BOX (M) 5"/>
    <s v="MDJL JUNR PREMIUM"/>
    <s v="1361105623"/>
    <x v="206"/>
    <n v="210"/>
    <n v="5"/>
    <n v="1050"/>
    <x v="3"/>
    <s v="Medjoul-Junior"/>
    <s v="Junior"/>
    <x v="71"/>
    <x v="59"/>
    <x v="2"/>
    <x v="2"/>
    <s v="Bond"/>
    <s v="Hadiklaim"/>
    <n v="613"/>
    <n v="643650"/>
    <n v="168"/>
  </r>
  <r>
    <s v="08/05/2025"/>
    <s v="D-514"/>
    <s v="GR986"/>
    <s v="KHAJUR BOX (M) 5"/>
    <s v="MDJL JUNR PREMIUM,"/>
    <s v="1361105623"/>
    <x v="207"/>
    <n v="210"/>
    <n v="5"/>
    <n v="1050"/>
    <x v="3"/>
    <s v="Medjoul-Junior"/>
    <s v="Junior"/>
    <x v="71"/>
    <x v="59"/>
    <x v="2"/>
    <x v="2"/>
    <s v="Bond"/>
    <s v="Hadiklaim"/>
    <n v="613"/>
    <n v="643650"/>
    <n v="168"/>
  </r>
  <r>
    <s v="08/05/2025"/>
    <s v="D-514"/>
    <s v="GR986"/>
    <s v="KHAJUR BOX (M) 5"/>
    <s v="MDJL JUNR PREMIUM"/>
    <s v="1361105623"/>
    <x v="208"/>
    <n v="10"/>
    <n v="5"/>
    <n v="50"/>
    <x v="3"/>
    <s v="Medjoul-Junior"/>
    <s v="Junior"/>
    <x v="71"/>
    <x v="59"/>
    <x v="2"/>
    <x v="2"/>
    <s v="Bond"/>
    <s v="Hadiklaim"/>
    <n v="613"/>
    <n v="30650"/>
    <n v="168"/>
  </r>
  <r>
    <s v="08/05/2025"/>
    <s v="D-514"/>
    <s v="GR986"/>
    <s v="KHAJUR BOX (M) 5"/>
    <s v="MDJL JUNR PREMIUM..."/>
    <s v="1361105623."/>
    <x v="209"/>
    <n v="210"/>
    <n v="5"/>
    <n v="1050"/>
    <x v="3"/>
    <s v="Medjoul-Junior"/>
    <s v="Junior"/>
    <x v="71"/>
    <x v="59"/>
    <x v="2"/>
    <x v="2"/>
    <s v="Bond"/>
    <s v="Hadiklaim"/>
    <n v="613"/>
    <n v="643650"/>
    <n v="168"/>
  </r>
  <r>
    <s v="08/05/2025"/>
    <s v="D-514"/>
    <s v="GR986"/>
    <s v="KHAJUR BOX (M) 5"/>
    <s v="MDJL JUNR PREMIUM"/>
    <s v="1361105623"/>
    <x v="210"/>
    <n v="210"/>
    <n v="5"/>
    <n v="1050"/>
    <x v="3"/>
    <s v="Medjoul-Junior"/>
    <s v="Junior"/>
    <x v="71"/>
    <x v="59"/>
    <x v="2"/>
    <x v="2"/>
    <s v="Bond"/>
    <s v="Hadiklaim"/>
    <n v="613"/>
    <n v="643650"/>
    <n v="168"/>
  </r>
  <r>
    <s v="08/05/2025"/>
    <s v="D-514"/>
    <s v="GR986"/>
    <s v="KHAJUR BOX (M) 5"/>
    <s v="MDJL JUNR PREMIUM..."/>
    <s v="1361105623"/>
    <x v="211"/>
    <n v="10"/>
    <n v="5"/>
    <n v="50"/>
    <x v="3"/>
    <s v="Medjoul-Junior"/>
    <s v="Junior"/>
    <x v="71"/>
    <x v="59"/>
    <x v="2"/>
    <x v="2"/>
    <s v="Bond"/>
    <s v="Hadiklaim"/>
    <n v="613"/>
    <n v="30650"/>
    <n v="168"/>
  </r>
  <r>
    <s v="08/05/2025"/>
    <s v="D-514"/>
    <s v="GR986"/>
    <s v="KHAJUR BOX (M) 5"/>
    <s v="MDJL JUNR PREMIUM"/>
    <s v="1361105623..."/>
    <x v="212"/>
    <n v="210"/>
    <n v="5"/>
    <n v="1050"/>
    <x v="3"/>
    <s v="Medjoul-Junior"/>
    <s v="Junior"/>
    <x v="71"/>
    <x v="59"/>
    <x v="2"/>
    <x v="2"/>
    <s v="Bond"/>
    <s v="Hadiklaim"/>
    <n v="613"/>
    <n v="643650"/>
    <n v="168"/>
  </r>
  <r>
    <s v="08/05/2025"/>
    <s v="D-514"/>
    <s v="GR986"/>
    <s v="KHAJUR BOX (M) 5"/>
    <s v="MDJL JUNR PREMIUM."/>
    <s v="1361105623"/>
    <x v="213"/>
    <n v="10"/>
    <n v="5"/>
    <n v="50"/>
    <x v="3"/>
    <s v="Medjoul-Junior"/>
    <s v="Junior"/>
    <x v="71"/>
    <x v="59"/>
    <x v="2"/>
    <x v="2"/>
    <s v="Bond"/>
    <s v="Hadiklaim"/>
    <n v="613"/>
    <n v="30650"/>
    <n v="168"/>
  </r>
  <r>
    <s v="08/05/2025"/>
    <s v="D-514"/>
    <s v="GR986"/>
    <s v="KHAJUR BOX (M) 5"/>
    <s v="MDJL JUNR PREMIUM"/>
    <s v="1361105623.."/>
    <x v="214"/>
    <n v="210"/>
    <n v="5"/>
    <n v="1050"/>
    <x v="3"/>
    <s v="Medjoul-Junior"/>
    <s v="Junior"/>
    <x v="71"/>
    <x v="59"/>
    <x v="2"/>
    <x v="2"/>
    <s v="Bond"/>
    <s v="Hadiklaim"/>
    <n v="613"/>
    <n v="643650"/>
    <n v="168"/>
  </r>
  <r>
    <s v="08/05/2025"/>
    <s v="D-514"/>
    <s v="GR986"/>
    <s v="KHAJUR BOX (M) 5"/>
    <s v="MDJL JUNR PREMIUM."/>
    <s v="1361105623..."/>
    <x v="215"/>
    <n v="210"/>
    <n v="5"/>
    <n v="1050"/>
    <x v="3"/>
    <s v="Medjoul-Junior"/>
    <s v="Junior"/>
    <x v="71"/>
    <x v="59"/>
    <x v="2"/>
    <x v="2"/>
    <s v="Bond"/>
    <s v="Hadiklaim"/>
    <n v="613"/>
    <n v="643650"/>
    <n v="168"/>
  </r>
  <r>
    <d v="2024-01-09T00:00:00"/>
    <s v="Rishi"/>
    <s v="Rishi Cold"/>
    <s v="Safawi Dates 20kg"/>
    <s v="Safawi"/>
    <s v="Safawi"/>
    <x v="216"/>
    <n v="94"/>
    <n v="20"/>
    <n v="1880"/>
    <x v="3"/>
    <s v="Safawi"/>
    <s v="Safawi"/>
    <x v="14"/>
    <x v="4"/>
    <x v="0"/>
    <x v="3"/>
    <s v="Rental"/>
    <s v="Local"/>
    <n v="550"/>
    <n v="1034000"/>
    <n v="653"/>
  </r>
  <r>
    <d v="2024-03-21T00:00:00"/>
    <s v="Rishi"/>
    <s v="Rishi Cold"/>
    <s v="Dry Dates 12kg"/>
    <s v="Dry Dates"/>
    <s v="Dry Dates"/>
    <x v="217"/>
    <n v="49"/>
    <n v="12"/>
    <n v="588"/>
    <x v="1"/>
    <s v="Dry Dates"/>
    <s v="Local"/>
    <x v="101"/>
    <x v="88"/>
    <x v="0"/>
    <x v="3"/>
    <s v="Rental"/>
    <s v="Local"/>
    <n v="250"/>
    <n v="147000"/>
    <n v="581"/>
  </r>
  <r>
    <d v="2024-11-08T00:00:00"/>
    <s v="Rishi"/>
    <s v="Rishi Cold"/>
    <s v="WET DATES BOX 10KG"/>
    <s v="Fard"/>
    <s v="-"/>
    <x v="218"/>
    <n v="2631"/>
    <n v="10"/>
    <n v="26310"/>
    <x v="2"/>
    <s v="Fard-Std"/>
    <s v="Standard"/>
    <x v="102"/>
    <x v="8"/>
    <x v="0"/>
    <x v="3"/>
    <s v="Rental"/>
    <s v="AL BARAKAH"/>
    <n v="195"/>
    <n v="5130450"/>
    <n v="349"/>
  </r>
  <r>
    <d v="2024-12-03T00:00:00"/>
    <s v="Rishi"/>
    <s v="Rishi Cold"/>
    <s v="AL BARAKAH KHALAS DATES Premium 10kgs"/>
    <s v="Khalas"/>
    <s v="-"/>
    <x v="219"/>
    <n v="0"/>
    <n v="10"/>
    <n v="0"/>
    <x v="2"/>
    <s v="Khalas"/>
    <s v="Premium"/>
    <x v="103"/>
    <x v="89"/>
    <x v="0"/>
    <x v="3"/>
    <s v="Rental"/>
    <s v="AL BARAKAH"/>
    <n v="116"/>
    <n v="0"/>
    <n v="324"/>
  </r>
  <r>
    <d v="2024-12-10T00:00:00"/>
    <s v="Rishi"/>
    <s v="Rishi Cold"/>
    <s v="WET DATES BOX 10KG"/>
    <s v="Fard Premium"/>
    <s v="-"/>
    <x v="220"/>
    <n v="0"/>
    <n v="10"/>
    <n v="0"/>
    <x v="2"/>
    <s v="Fard-Std"/>
    <s v="Standard"/>
    <x v="9"/>
    <x v="8"/>
    <x v="0"/>
    <x v="3"/>
    <s v="Rental"/>
    <s v="AL BARAKAH"/>
    <n v="208"/>
    <n v="0"/>
    <n v="317"/>
  </r>
  <r>
    <d v="2024-12-10T00:00:00"/>
    <s v="Rishi"/>
    <s v="Rishi Cold"/>
    <s v="AL BARAKAH KHALAS DATES Premium 10kgs"/>
    <s v="Khalas"/>
    <s v="-"/>
    <x v="221"/>
    <n v="1301"/>
    <n v="10"/>
    <n v="13010"/>
    <x v="2"/>
    <s v="Khalas"/>
    <s v="Premium"/>
    <x v="103"/>
    <x v="89"/>
    <x v="0"/>
    <x v="3"/>
    <s v="Rental"/>
    <s v="AL BARAKAH"/>
    <n v="116"/>
    <n v="1509160"/>
    <n v="317"/>
  </r>
  <r>
    <d v="2024-12-10T00:00:00"/>
    <s v="Rishi"/>
    <s v="Rishi Cold"/>
    <s v="AL BARAKAH SUFRI DATES Premium 10kgs"/>
    <s v="Sufri"/>
    <s v="-"/>
    <x v="222"/>
    <n v="340"/>
    <n v="10"/>
    <n v="3400"/>
    <x v="2"/>
    <s v="Sufri"/>
    <s v="Premium"/>
    <x v="104"/>
    <x v="90"/>
    <x v="0"/>
    <x v="3"/>
    <s v="Rental"/>
    <s v="AL BARAKAH"/>
    <n v="114"/>
    <n v="387600"/>
    <n v="317"/>
  </r>
  <r>
    <d v="2024-12-13T00:00:00"/>
    <s v="Rishi"/>
    <s v="Rishi Cold"/>
    <s v="AL BARAKAH KHALAS DATES Premium 10kgs"/>
    <s v="Khalas"/>
    <s v="-"/>
    <x v="223"/>
    <n v="568"/>
    <n v="10"/>
    <n v="5680"/>
    <x v="2"/>
    <s v="Khalas"/>
    <s v="Premium"/>
    <x v="103"/>
    <x v="89"/>
    <x v="0"/>
    <x v="3"/>
    <s v="Rental"/>
    <s v="AL BARAKAH"/>
    <n v="116"/>
    <n v="658880"/>
    <n v="314"/>
  </r>
  <r>
    <d v="2024-12-13T00:00:00"/>
    <s v="Rishi"/>
    <s v="Rishi Cold"/>
    <s v="AL BARAKAH KHALAS DATES Premium 10kgs"/>
    <s v="Khalas"/>
    <s v="-"/>
    <x v="224"/>
    <n v="1573"/>
    <n v="10"/>
    <n v="15730"/>
    <x v="2"/>
    <s v="Khalas"/>
    <s v="Premium"/>
    <x v="103"/>
    <x v="89"/>
    <x v="0"/>
    <x v="3"/>
    <s v="Rental"/>
    <s v="AL BARAKAH"/>
    <n v="116"/>
    <n v="1824680"/>
    <n v="314"/>
  </r>
  <r>
    <d v="2024-12-14T00:00:00"/>
    <s v="Rishi"/>
    <s v="Rishi Cold"/>
    <s v="AL BARAKAH KHALAS DATES Premium 10kgs"/>
    <s v="Khalas"/>
    <s v="-"/>
    <x v="225"/>
    <n v="2595"/>
    <n v="10"/>
    <n v="25950"/>
    <x v="2"/>
    <s v="Khalas"/>
    <s v="Premium"/>
    <x v="103"/>
    <x v="89"/>
    <x v="0"/>
    <x v="3"/>
    <s v="Rental"/>
    <s v="AL BARAKAH"/>
    <n v="116"/>
    <n v="3010200"/>
    <n v="313"/>
  </r>
  <r>
    <d v="2024-12-14T00:00:00"/>
    <s v="Rishi"/>
    <s v="Rishi Cold"/>
    <s v="AL BARAKAH KHALAS DATES Premium 10kgs"/>
    <s v="Khalas"/>
    <s v="-"/>
    <x v="226"/>
    <n v="1627"/>
    <n v="10"/>
    <n v="16270"/>
    <x v="2"/>
    <s v="Khalas"/>
    <s v="Premium"/>
    <x v="103"/>
    <x v="89"/>
    <x v="0"/>
    <x v="3"/>
    <s v="Rental"/>
    <s v="AL BARAKAH"/>
    <n v="116"/>
    <n v="1887320"/>
    <n v="313"/>
  </r>
  <r>
    <d v="2024-12-21T00:00:00"/>
    <s v="Rishi"/>
    <s v="Rishi Cold"/>
    <s v="AL BARAKAH KHALAS DATES Premium 10kgs"/>
    <s v="Khalas"/>
    <s v="-"/>
    <x v="227"/>
    <n v="1985"/>
    <n v="10"/>
    <n v="19850"/>
    <x v="2"/>
    <s v="Khalas"/>
    <s v="Premium"/>
    <x v="103"/>
    <x v="89"/>
    <x v="0"/>
    <x v="3"/>
    <s v="Rental"/>
    <s v="AL BARAKAH"/>
    <n v="116"/>
    <n v="2302600"/>
    <n v="306"/>
  </r>
  <r>
    <d v="2024-12-30T00:00:00"/>
    <s v="Rishi"/>
    <s v="Rishi Cold"/>
    <s v="10KG AL BARAKAH FARD DATES - STANDARD"/>
    <s v="Fard Standard"/>
    <s v="Reliance Rejected"/>
    <x v="228"/>
    <n v="248"/>
    <n v="10"/>
    <n v="2480"/>
    <x v="2"/>
    <s v="Fard-Std"/>
    <s v="Standard"/>
    <x v="9"/>
    <x v="8"/>
    <x v="0"/>
    <x v="3"/>
    <s v="Rental"/>
    <s v="AL BARAKAH"/>
    <n v="208"/>
    <n v="515840"/>
    <n v="297"/>
  </r>
  <r>
    <d v="2024-12-31T00:00:00"/>
    <s v="Rishi"/>
    <s v="Rishi Cold"/>
    <s v="10KG AL BARAKAH FARD DATES - STANDARD"/>
    <s v="FARAD STANDRAD"/>
    <m/>
    <x v="229"/>
    <n v="52"/>
    <n v="10"/>
    <n v="520"/>
    <x v="2"/>
    <s v="Fard-Std"/>
    <s v="Standard"/>
    <x v="9"/>
    <x v="8"/>
    <x v="0"/>
    <x v="3"/>
    <s v="Rental"/>
    <s v="AL BARAKAH"/>
    <n v="208"/>
    <n v="108160"/>
    <n v="296"/>
  </r>
  <r>
    <d v="2024-12-31T00:00:00"/>
    <s v="Rishi"/>
    <s v="Rishi Cold"/>
    <s v="AL BARAKAH KHALAS DATES Premium 10kgs"/>
    <s v="KHALAS"/>
    <m/>
    <x v="230"/>
    <n v="77"/>
    <n v="10"/>
    <n v="770"/>
    <x v="2"/>
    <s v="Khalas"/>
    <s v="Premium"/>
    <x v="103"/>
    <x v="89"/>
    <x v="0"/>
    <x v="3"/>
    <s v="Rental"/>
    <s v="AL BARAKAH"/>
    <n v="116"/>
    <n v="89320"/>
    <n v="296"/>
  </r>
  <r>
    <d v="2025-01-15T00:00:00"/>
    <s v="Rishi"/>
    <s v="Rishi Cold"/>
    <s v="FARD STAND"/>
    <s v="FARD STAND"/>
    <m/>
    <x v="231"/>
    <n v="0"/>
    <n v="10"/>
    <n v="0"/>
    <x v="2"/>
    <s v="Fard-Std"/>
    <s v="Standard"/>
    <x v="9"/>
    <x v="8"/>
    <x v="0"/>
    <x v="3"/>
    <s v="Rental"/>
    <s v="AL BARAKAH"/>
    <n v="208"/>
    <n v="0"/>
    <n v="281"/>
  </r>
  <r>
    <d v="2025-01-27T00:00:00"/>
    <s v="Rishi"/>
    <s v="Rishi Cold"/>
    <s v="WHITE"/>
    <s v="WHITE"/>
    <m/>
    <x v="232"/>
    <n v="26"/>
    <n v="20"/>
    <n v="520"/>
    <x v="3"/>
    <s v="Safawi"/>
    <s v="Safawi"/>
    <x v="105"/>
    <x v="4"/>
    <x v="0"/>
    <x v="3"/>
    <s v="Rental"/>
    <s v="Local"/>
    <n v="550"/>
    <n v="286000"/>
    <n v="269"/>
  </r>
  <r>
    <d v="2025-01-30T00:00:00"/>
    <s v="Rishi"/>
    <s v="Rishi Cold"/>
    <s v="FARD-STAND"/>
    <s v="FARD-STAND"/>
    <m/>
    <x v="233"/>
    <n v="1350"/>
    <n v="10"/>
    <n v="13500"/>
    <x v="2"/>
    <s v="Fard-Std"/>
    <s v="Standard"/>
    <x v="9"/>
    <x v="8"/>
    <x v="0"/>
    <x v="3"/>
    <s v="Rental"/>
    <s v="AL BARAKAH"/>
    <n v="208"/>
    <n v="2808000"/>
    <n v="266"/>
  </r>
  <r>
    <d v="2025-02-02T00:00:00"/>
    <s v="Rishi"/>
    <s v="Rishi Cold"/>
    <s v="WET DATES BOX 10KG"/>
    <s v="AL - BARAKH"/>
    <m/>
    <x v="234"/>
    <n v="763"/>
    <n v="10"/>
    <n v="7630"/>
    <x v="2"/>
    <s v="Reziz"/>
    <s v="Standard"/>
    <x v="106"/>
    <x v="91"/>
    <x v="0"/>
    <x v="3"/>
    <s v="Rental"/>
    <s v="AL BARAKAH"/>
    <n v="87.7"/>
    <n v="669151"/>
    <n v="263"/>
  </r>
  <r>
    <d v="2025-02-16T00:00:00"/>
    <s v="Rishi"/>
    <s v="Rishi Cold"/>
    <s v="WET DATES BOX 10KG"/>
    <s v="FARD-STAND"/>
    <m/>
    <x v="235"/>
    <n v="387"/>
    <n v="10"/>
    <n v="3870"/>
    <x v="2"/>
    <s v="Fard-Std"/>
    <s v="Standard"/>
    <x v="9"/>
    <x v="8"/>
    <x v="0"/>
    <x v="3"/>
    <s v="Rental"/>
    <s v="AL BARAKAH"/>
    <n v="208"/>
    <n v="804960"/>
    <n v="249"/>
  </r>
  <r>
    <d v="2025-02-26T00:00:00"/>
    <s v="Rishi"/>
    <s v="Rishi Cold"/>
    <s v="WET DATES BOX 10KG"/>
    <s v="FARD - STAND"/>
    <m/>
    <x v="236"/>
    <n v="407"/>
    <n v="10"/>
    <n v="4070"/>
    <x v="2"/>
    <s v="Fard-Std"/>
    <s v="Standard"/>
    <x v="9"/>
    <x v="8"/>
    <x v="0"/>
    <x v="3"/>
    <s v="Rental"/>
    <s v="AL BARAKAH"/>
    <n v="208"/>
    <n v="846560"/>
    <n v="239"/>
  </r>
  <r>
    <d v="2025-03-01T00:00:00"/>
    <s v="Rishi"/>
    <s v="Rishi Cold"/>
    <s v="WET DATES BOX 10KG"/>
    <s v="KHALAS"/>
    <m/>
    <x v="237"/>
    <n v="700"/>
    <n v="10"/>
    <n v="7000"/>
    <x v="2"/>
    <s v="Khalas"/>
    <s v="Premium"/>
    <x v="103"/>
    <x v="92"/>
    <x v="0"/>
    <x v="3"/>
    <s v="Rental"/>
    <s v="AL BARAKAH"/>
    <n v="116"/>
    <n v="812000"/>
    <n v="236"/>
  </r>
  <r>
    <d v="2025-03-03T00:00:00"/>
    <s v="Rishi"/>
    <s v="Rishi Cold"/>
    <s v="WET DATES BOX 10KG"/>
    <s v="FARD - STAND"/>
    <m/>
    <x v="238"/>
    <n v="285"/>
    <n v="10"/>
    <n v="2850"/>
    <x v="2"/>
    <s v="Fard-Std"/>
    <s v="Standard"/>
    <x v="9"/>
    <x v="8"/>
    <x v="0"/>
    <x v="3"/>
    <s v="Rental"/>
    <s v="AL BARAKAH"/>
    <n v="208"/>
    <n v="592800"/>
    <n v="234"/>
  </r>
  <r>
    <d v="2025-03-04T00:00:00"/>
    <s v="Rishi"/>
    <s v="Rishi Cold"/>
    <s v="WET DATES BOX 10KG"/>
    <s v="FARD - STAND"/>
    <m/>
    <x v="239"/>
    <n v="91"/>
    <n v="10"/>
    <n v="910"/>
    <x v="2"/>
    <s v="Fard-Std"/>
    <s v="Standard"/>
    <x v="9"/>
    <x v="8"/>
    <x v="0"/>
    <x v="3"/>
    <s v="Rental"/>
    <s v="AL BARAKAH"/>
    <n v="208"/>
    <n v="189280"/>
    <n v="233"/>
  </r>
  <r>
    <d v="2025-03-04T00:00:00"/>
    <s v="Rishi"/>
    <s v="Rishi Cold"/>
    <s v="WET DATES BOX 10KG"/>
    <s v="KHALAS"/>
    <m/>
    <x v="240"/>
    <n v="500"/>
    <n v="10"/>
    <n v="5000"/>
    <x v="2"/>
    <s v="Khalas"/>
    <s v="Premium"/>
    <x v="103"/>
    <x v="92"/>
    <x v="0"/>
    <x v="3"/>
    <s v="Rental"/>
    <s v="AL BARAKAH"/>
    <n v="116"/>
    <n v="580000"/>
    <n v="233"/>
  </r>
  <r>
    <d v="2025-03-04T00:00:00"/>
    <s v="Rishi"/>
    <s v="Rishi Cold"/>
    <s v="WET DATES BOX 10KG"/>
    <s v="FARD - PREMI"/>
    <m/>
    <x v="241"/>
    <n v="49"/>
    <n v="10"/>
    <n v="490"/>
    <x v="2"/>
    <s v="Fard-Prem"/>
    <s v="Premium"/>
    <x v="12"/>
    <x v="11"/>
    <x v="0"/>
    <x v="3"/>
    <s v="Rental"/>
    <s v="AL BARAKAH"/>
    <n v="233"/>
    <n v="114170"/>
    <n v="233"/>
  </r>
  <r>
    <d v="2025-03-05T00:00:00"/>
    <s v="Rishi"/>
    <s v="Rishi Cold"/>
    <s v="WET DATES BOX 10KG"/>
    <s v="FARD - STAND"/>
    <m/>
    <x v="242"/>
    <n v="2270"/>
    <n v="10"/>
    <n v="22700"/>
    <x v="2"/>
    <s v="Fard-Std"/>
    <s v="Standard"/>
    <x v="9"/>
    <x v="8"/>
    <x v="0"/>
    <x v="3"/>
    <s v="Rental"/>
    <s v="AL BARAKAH"/>
    <n v="208"/>
    <n v="4721600"/>
    <n v="232"/>
  </r>
  <r>
    <d v="2025-03-21T00:00:00"/>
    <s v="Rishi"/>
    <s v="Rishi Cold"/>
    <s v="WET DATES BOX 10KG"/>
    <s v="FARD - STAND"/>
    <m/>
    <x v="243"/>
    <n v="1"/>
    <n v="10"/>
    <n v="10"/>
    <x v="2"/>
    <s v="Fard-Std"/>
    <s v="Standard"/>
    <x v="9"/>
    <x v="8"/>
    <x v="0"/>
    <x v="3"/>
    <s v="Rental"/>
    <s v="AL BARAKAH"/>
    <n v="208"/>
    <n v="2080"/>
    <n v="216"/>
  </r>
  <r>
    <d v="2025-03-21T00:00:00"/>
    <s v="Rishi"/>
    <s v="Rishi Cold"/>
    <s v="WET DATES BOX 10KG"/>
    <s v="FARD - PREMI"/>
    <m/>
    <x v="244"/>
    <n v="305"/>
    <n v="10"/>
    <n v="3050"/>
    <x v="2"/>
    <s v="Fard-Std"/>
    <s v="Standard"/>
    <x v="9"/>
    <x v="8"/>
    <x v="0"/>
    <x v="3"/>
    <s v="Rental"/>
    <s v="AL BARAKAH"/>
    <n v="208"/>
    <n v="634400"/>
    <n v="216"/>
  </r>
  <r>
    <d v="2025-03-25T00:00:00"/>
    <s v="Rishi"/>
    <s v="Rishi Cold"/>
    <s v="WET DATES BOX 10KG"/>
    <s v="Reziz"/>
    <m/>
    <x v="245"/>
    <n v="132"/>
    <n v="10"/>
    <n v="1320"/>
    <x v="2"/>
    <s v="Reziz"/>
    <s v="Standard"/>
    <x v="106"/>
    <x v="91"/>
    <x v="0"/>
    <x v="3"/>
    <s v="Rental"/>
    <s v="AL BARAKAH"/>
    <n v="87.7"/>
    <n v="115764"/>
    <n v="212"/>
  </r>
  <r>
    <d v="2025-04-04T00:00:00"/>
    <s v="Rishi"/>
    <s v="Rishi Cold"/>
    <s v="WET DATES BOX 10KG"/>
    <s v="KHALAS"/>
    <m/>
    <x v="246"/>
    <n v="1894"/>
    <n v="10"/>
    <n v="18940"/>
    <x v="2"/>
    <s v="Khalas"/>
    <s v="Premium"/>
    <x v="103"/>
    <x v="89"/>
    <x v="0"/>
    <x v="3"/>
    <s v="Rental"/>
    <s v="AL BARAKAH"/>
    <n v="116"/>
    <n v="2197040"/>
    <n v="202"/>
  </r>
  <r>
    <d v="2025-04-04T00:00:00"/>
    <s v="Rishi"/>
    <s v="Rishi Cold"/>
    <s v="WET DATES BOX 10KG"/>
    <s v="KHALAS"/>
    <m/>
    <x v="247"/>
    <n v="0"/>
    <n v="10"/>
    <n v="0"/>
    <x v="2"/>
    <s v="Khalas"/>
    <s v="Premium"/>
    <x v="103"/>
    <x v="89"/>
    <x v="0"/>
    <x v="3"/>
    <s v="Rental"/>
    <s v="AL BARAKAH"/>
    <n v="116"/>
    <n v="0"/>
    <n v="202"/>
  </r>
  <r>
    <d v="2025-04-04T00:00:00"/>
    <s v="Rishi"/>
    <s v="Rishi Cold"/>
    <s v="WET DATES BOX 10KG"/>
    <s v="BARAHI"/>
    <m/>
    <x v="248"/>
    <n v="0"/>
    <n v="10"/>
    <n v="0"/>
    <x v="2"/>
    <s v="Barhi"/>
    <s v="BARHI"/>
    <x v="107"/>
    <x v="93"/>
    <x v="0"/>
    <x v="3"/>
    <s v="Rental"/>
    <s v="AL BARAKAH"/>
    <n v="90.5"/>
    <n v="0"/>
    <n v="202"/>
  </r>
  <r>
    <d v="2025-04-05T00:00:00"/>
    <s v="Rishi"/>
    <s v="Rishi Cold"/>
    <s v="WET DATES BOX 10KG"/>
    <s v="BARAHI"/>
    <m/>
    <x v="249"/>
    <n v="2400"/>
    <n v="10"/>
    <n v="24000"/>
    <x v="2"/>
    <s v="Barhi"/>
    <s v="BARHI"/>
    <x v="107"/>
    <x v="93"/>
    <x v="0"/>
    <x v="3"/>
    <s v="Rental"/>
    <s v="AL BARAKAH"/>
    <n v="90.5"/>
    <n v="2172000"/>
    <n v="201"/>
  </r>
  <r>
    <d v="2025-04-08T00:00:00"/>
    <s v="Rishi"/>
    <s v="Rishi Cold"/>
    <s v="WET DATES BOX 10KG"/>
    <s v="KHALAS"/>
    <m/>
    <x v="250"/>
    <n v="250"/>
    <n v="10"/>
    <n v="2500"/>
    <x v="2"/>
    <s v="Khalas"/>
    <s v="Premium"/>
    <x v="103"/>
    <x v="89"/>
    <x v="0"/>
    <x v="3"/>
    <s v="Rental"/>
    <s v="AL BARAKAH"/>
    <n v="116"/>
    <n v="290000"/>
    <n v="198"/>
  </r>
  <r>
    <d v="2025-04-12T00:00:00"/>
    <s v="Rishi"/>
    <s v="Rishi Cold"/>
    <s v="WET DATES BOX 10KG"/>
    <s v="KHALAS"/>
    <m/>
    <x v="251"/>
    <n v="0"/>
    <n v="10"/>
    <n v="0"/>
    <x v="2"/>
    <s v="Khalas"/>
    <s v="Premium"/>
    <x v="103"/>
    <x v="89"/>
    <x v="0"/>
    <x v="3"/>
    <s v="Rental"/>
    <s v="AL BARAKAH"/>
    <n v="116"/>
    <n v="0"/>
    <n v="194"/>
  </r>
  <r>
    <d v="2025-04-12T00:00:00"/>
    <s v="Rishi"/>
    <s v="Rishi Cold"/>
    <s v="WET DATES BOX 10KG"/>
    <s v="KHALAS"/>
    <m/>
    <x v="252"/>
    <n v="284"/>
    <n v="10"/>
    <n v="2840"/>
    <x v="2"/>
    <s v="Khalas"/>
    <s v="Premium"/>
    <x v="103"/>
    <x v="89"/>
    <x v="0"/>
    <x v="3"/>
    <s v="Rental"/>
    <s v="AL BARAKAH"/>
    <n v="116"/>
    <n v="329440"/>
    <n v="194"/>
  </r>
  <r>
    <d v="2025-04-13T00:00:00"/>
    <s v="Rishi"/>
    <s v="Rishi Cold"/>
    <s v="WET DATES BOX 10KG"/>
    <s v="KHALAS"/>
    <m/>
    <x v="253"/>
    <n v="2080"/>
    <n v="10"/>
    <n v="20800"/>
    <x v="2"/>
    <s v="Khalas"/>
    <s v="Premium"/>
    <x v="103"/>
    <x v="89"/>
    <x v="0"/>
    <x v="3"/>
    <s v="Rental"/>
    <s v="AL BARAKAH"/>
    <n v="116"/>
    <n v="2412800"/>
    <n v="193"/>
  </r>
  <r>
    <d v="2025-04-12T00:00:00"/>
    <s v="Rishi"/>
    <s v="Rishi Cold"/>
    <s v="WET DATES BOX 10KG"/>
    <s v="FARD"/>
    <s v="Orange Box"/>
    <x v="254"/>
    <n v="1289"/>
    <n v="10"/>
    <n v="12890"/>
    <x v="2"/>
    <s v="Fard-Prem"/>
    <s v="Premium"/>
    <x v="12"/>
    <x v="11"/>
    <x v="0"/>
    <x v="3"/>
    <s v="Rental"/>
    <s v="AL BARAKAH"/>
    <n v="233"/>
    <n v="3003370"/>
    <n v="194"/>
  </r>
  <r>
    <d v="2025-04-12T00:00:00"/>
    <s v="Rishi"/>
    <s v="Rishi Cold"/>
    <s v="WET DATES BOX 10KG"/>
    <s v="FARD"/>
    <s v="Orange Box"/>
    <x v="255"/>
    <n v="2560"/>
    <n v="10"/>
    <n v="25600"/>
    <x v="2"/>
    <s v="Fard-Prem"/>
    <s v="Premium"/>
    <x v="12"/>
    <x v="11"/>
    <x v="0"/>
    <x v="3"/>
    <s v="Rental"/>
    <s v="AL BARAKAH"/>
    <n v="233"/>
    <n v="5964800"/>
    <n v="194"/>
  </r>
  <r>
    <d v="2025-04-15T00:00:00"/>
    <s v="Rishi"/>
    <s v="Rishi Cold"/>
    <s v="WET DATES BOX 10KG"/>
    <s v="EMIRAT-BLA"/>
    <m/>
    <x v="256"/>
    <n v="34"/>
    <n v="10"/>
    <n v="340"/>
    <x v="2"/>
    <s v="Khalas"/>
    <s v="Premium"/>
    <x v="103"/>
    <x v="89"/>
    <x v="0"/>
    <x v="3"/>
    <s v="Rental"/>
    <s v="AL BARAKAH"/>
    <n v="116"/>
    <n v="39440"/>
    <n v="191"/>
  </r>
  <r>
    <d v="2025-04-27T00:00:00"/>
    <s v="Rishi"/>
    <s v="Rishi Cold"/>
    <s v="WET DATES BOX 10KG"/>
    <s v="FARD"/>
    <s v="Orange Box"/>
    <x v="257"/>
    <n v="2598"/>
    <n v="10"/>
    <n v="25980"/>
    <x v="2"/>
    <s v="Fard-Prem"/>
    <s v="Premium"/>
    <x v="12"/>
    <x v="11"/>
    <x v="0"/>
    <x v="3"/>
    <s v="Rental"/>
    <s v="AL BARAKAH"/>
    <n v="233"/>
    <n v="6053340"/>
    <n v="179"/>
  </r>
  <r>
    <d v="2025-04-27T00:00:00"/>
    <s v="Rishi"/>
    <s v="Rishi Cold"/>
    <s v="WET DATES BOX 10KG"/>
    <s v="FARD"/>
    <s v="Orange Box"/>
    <x v="258"/>
    <n v="1098"/>
    <n v="10"/>
    <n v="10980"/>
    <x v="2"/>
    <s v="Fard-Prem"/>
    <s v="Premium"/>
    <x v="12"/>
    <x v="11"/>
    <x v="0"/>
    <x v="3"/>
    <s v="Rental"/>
    <s v="AL BARAKAH"/>
    <n v="233"/>
    <n v="2558340"/>
    <n v="179"/>
  </r>
  <r>
    <d v="2025-04-28T00:00:00"/>
    <s v="Rishi"/>
    <s v="Rishi Cold"/>
    <s v="WET DATES BOX 10KG"/>
    <s v="FARD"/>
    <s v="Orange Box"/>
    <x v="259"/>
    <n v="2348"/>
    <n v="10"/>
    <n v="23480"/>
    <x v="2"/>
    <s v="Fard-Prem"/>
    <s v="Premium"/>
    <x v="12"/>
    <x v="11"/>
    <x v="0"/>
    <x v="3"/>
    <s v="Rental"/>
    <s v="AL BARAKAH"/>
    <n v="233"/>
    <n v="5470840"/>
    <n v="178"/>
  </r>
  <r>
    <d v="2025-04-29T00:00:00"/>
    <s v="Rishi"/>
    <s v="Rishi Cold"/>
    <s v="WET DATES BOX 10KG"/>
    <s v="BARHI"/>
    <m/>
    <x v="260"/>
    <n v="0"/>
    <n v="10"/>
    <n v="0"/>
    <x v="2"/>
    <s v="Barhi"/>
    <s v="Barhi"/>
    <x v="107"/>
    <x v="93"/>
    <x v="0"/>
    <x v="3"/>
    <s v="Rental"/>
    <s v="AL BARAKAH"/>
    <n v="90.5"/>
    <n v="0"/>
    <n v="177"/>
  </r>
  <r>
    <d v="2025-05-10T00:00:00"/>
    <s v="Rishi"/>
    <s v="Rishi Cold"/>
    <s v="WET DATES BOX 10KG"/>
    <s v="KHALAS"/>
    <m/>
    <x v="261"/>
    <n v="175"/>
    <n v="10"/>
    <n v="1750"/>
    <x v="2"/>
    <s v="Khalas"/>
    <s v="Seedless"/>
    <x v="108"/>
    <x v="94"/>
    <x v="0"/>
    <x v="3"/>
    <s v="Rental"/>
    <s v="AL BARAKAH"/>
    <n v="126"/>
    <n v="220500"/>
    <n v="166"/>
  </r>
  <r>
    <d v="2025-05-13T00:00:00"/>
    <s v="Rishi"/>
    <s v="Rishi Cold"/>
    <s v="WET DATES BOX 10KG"/>
    <s v="DRY - CHURA"/>
    <m/>
    <x v="262"/>
    <n v="37"/>
    <n v="10"/>
    <n v="370"/>
    <x v="1"/>
    <s v="Oman"/>
    <s v="Dry Dates"/>
    <x v="1"/>
    <x v="1"/>
    <x v="0"/>
    <x v="3"/>
    <s v="Rental"/>
    <s v="NAKHEEL"/>
    <n v="241"/>
    <n v="89170"/>
    <n v="163"/>
  </r>
  <r>
    <d v="2025-05-31T00:00:00"/>
    <s v="Rishi"/>
    <s v="Rishi Cold"/>
    <s v="WET DATES BOX 10KG"/>
    <s v="KHALAS"/>
    <m/>
    <x v="263"/>
    <n v="375"/>
    <n v="10"/>
    <n v="3750"/>
    <x v="2"/>
    <s v="Khalas"/>
    <s v="Khalas"/>
    <x v="103"/>
    <x v="89"/>
    <x v="0"/>
    <x v="3"/>
    <s v="Rental"/>
    <s v="AL BARAKAH"/>
    <n v="116"/>
    <n v="435000"/>
    <n v="145"/>
  </r>
  <r>
    <d v="2025-05-31T00:00:00"/>
    <s v="Rishi"/>
    <s v="Rishi Cold"/>
    <s v="WET DATES BOX 10KG"/>
    <s v="BROWN"/>
    <m/>
    <x v="264"/>
    <n v="175"/>
    <n v="10"/>
    <n v="1750"/>
    <x v="2"/>
    <s v="Sufri"/>
    <s v="Sufri"/>
    <x v="109"/>
    <x v="90"/>
    <x v="0"/>
    <x v="3"/>
    <s v="Rental"/>
    <s v="Local"/>
    <n v="115"/>
    <n v="201250"/>
    <n v="145"/>
  </r>
  <r>
    <d v="2025-05-31T00:00:00"/>
    <s v="Rishi"/>
    <s v="Rishi Cold"/>
    <s v="WET DATES BOX 15KG"/>
    <s v="BROWN"/>
    <m/>
    <x v="265"/>
    <n v="9"/>
    <n v="16"/>
    <n v="144"/>
    <x v="2"/>
    <s v="Sufri"/>
    <s v="Sufri"/>
    <x v="109"/>
    <x v="90"/>
    <x v="0"/>
    <x v="3"/>
    <s v="Rental"/>
    <s v="Local"/>
    <n v="115"/>
    <n v="16560"/>
    <n v="145"/>
  </r>
  <r>
    <d v="2025-05-31T00:00:00"/>
    <s v="Rishi"/>
    <s v="Rishi Cold"/>
    <s v="WET DATES BOX 10KG"/>
    <s v="BROWN"/>
    <m/>
    <x v="266"/>
    <n v="215"/>
    <n v="10"/>
    <n v="2150"/>
    <x v="2"/>
    <s v="Sufri"/>
    <s v="Sufri"/>
    <x v="109"/>
    <x v="90"/>
    <x v="0"/>
    <x v="3"/>
    <s v="Rental"/>
    <s v="Local"/>
    <n v="115"/>
    <n v="247250"/>
    <n v="145"/>
  </r>
  <r>
    <d v="2025-06-03T00:00:00"/>
    <s v="Rishi"/>
    <s v="Rishi Cold"/>
    <s v="WET DATES BOX 15KG"/>
    <s v="BROWN"/>
    <m/>
    <x v="267"/>
    <n v="17"/>
    <n v="15"/>
    <n v="255"/>
    <x v="2"/>
    <s v="Sufri"/>
    <s v="Sufri"/>
    <x v="109"/>
    <x v="90"/>
    <x v="0"/>
    <x v="3"/>
    <s v="Rental"/>
    <s v="Local"/>
    <n v="115"/>
    <n v="29325"/>
    <n v="142"/>
  </r>
  <r>
    <d v="2025-06-03T00:00:00"/>
    <s v="Rishi"/>
    <s v="Rishi Cold"/>
    <s v="WET DATES BOX 12KG"/>
    <s v="BROWN"/>
    <m/>
    <x v="268"/>
    <n v="5"/>
    <n v="13"/>
    <n v="65"/>
    <x v="2"/>
    <s v="Sufri"/>
    <s v="Sufri"/>
    <x v="109"/>
    <x v="90"/>
    <x v="0"/>
    <x v="3"/>
    <s v="Rental"/>
    <s v="Local"/>
    <n v="115"/>
    <n v="7475"/>
    <n v="142"/>
  </r>
  <r>
    <d v="2025-06-03T00:00:00"/>
    <s v="Rishi"/>
    <s v="Rishi Cold"/>
    <s v="WET DATES BOX 20KG"/>
    <s v="BROWN"/>
    <m/>
    <x v="269"/>
    <n v="2"/>
    <n v="18"/>
    <n v="36"/>
    <x v="2"/>
    <s v="Sufri"/>
    <s v="Sufri"/>
    <x v="109"/>
    <x v="90"/>
    <x v="0"/>
    <x v="3"/>
    <s v="Rental"/>
    <s v="Local"/>
    <n v="115"/>
    <n v="4140"/>
    <n v="142"/>
  </r>
  <r>
    <d v="2025-06-14T00:00:00"/>
    <s v="Rishi"/>
    <s v="Rishi Cold"/>
    <s v="DATE SYRUP BUCKET 25KG"/>
    <s v="Al Barakah"/>
    <m/>
    <x v="270"/>
    <n v="8"/>
    <n v="25"/>
    <n v="200"/>
    <x v="5"/>
    <s v="Bucket 25Kg"/>
    <s v="AL BARAKAH"/>
    <x v="53"/>
    <x v="41"/>
    <x v="0"/>
    <x v="3"/>
    <s v="Rental"/>
    <s v="AL BARAKAH"/>
    <n v="105.8"/>
    <n v="21160"/>
    <n v="131"/>
  </r>
  <r>
    <d v="2025-06-30T00:00:00"/>
    <s v="Rishi"/>
    <s v="Rishi Cold"/>
    <s v="WET DATES BOX 10KG"/>
    <s v="Al Barakah"/>
    <s v="RTV Sunirse"/>
    <x v="271"/>
    <n v="46"/>
    <n v="15"/>
    <n v="690"/>
    <x v="2"/>
    <s v="Barhi"/>
    <s v="BARHI"/>
    <x v="110"/>
    <x v="93"/>
    <x v="0"/>
    <x v="3"/>
    <s v="Rental"/>
    <s v="AL BARAKAH"/>
    <n v="90.5"/>
    <n v="62445"/>
    <n v="115"/>
  </r>
  <r>
    <d v="2025-07-03T00:00:00"/>
    <s v="Rishi"/>
    <s v="Rishi Cold"/>
    <s v="WET DATES BOX 10KG"/>
    <s v="FARD"/>
    <m/>
    <x v="272"/>
    <n v="16"/>
    <n v="10"/>
    <n v="160"/>
    <x v="2"/>
    <s v="Fard-Prem"/>
    <s v="Premium"/>
    <x v="12"/>
    <x v="11"/>
    <x v="0"/>
    <x v="3"/>
    <s v="Rental"/>
    <s v="AL BARAKAH"/>
    <n v="233"/>
    <n v="37280"/>
    <n v="112"/>
  </r>
  <r>
    <d v="2025-07-07T00:00:00"/>
    <s v="Rishi"/>
    <s v="Rishi Cold"/>
    <s v="WET DATES BOX 5KG"/>
    <s v="Mazafati"/>
    <m/>
    <x v="273"/>
    <n v="2335"/>
    <n v="5"/>
    <n v="11675"/>
    <x v="2"/>
    <s v="Mazafati"/>
    <s v="Mazafati"/>
    <x v="111"/>
    <x v="45"/>
    <x v="0"/>
    <x v="3"/>
    <s v="Rental"/>
    <s v="Local"/>
    <n v="198"/>
    <n v="2311650"/>
    <n v="108"/>
  </r>
  <r>
    <d v="2025-07-11T00:00:00"/>
    <s v="Rishi"/>
    <s v="Rishi Cold"/>
    <s v="WET DATES BOX 12KG"/>
    <s v="ROYAL ARABIAN"/>
    <m/>
    <x v="274"/>
    <n v="90"/>
    <n v="12"/>
    <n v="1080"/>
    <x v="2"/>
    <s v="Khalas"/>
    <s v="Delmonte 500g"/>
    <x v="112"/>
    <x v="95"/>
    <x v="0"/>
    <x v="3"/>
    <s v="Rental"/>
    <s v="AL BARAKAH"/>
    <n v="116"/>
    <n v="125280"/>
    <n v="104"/>
  </r>
  <r>
    <d v="2025-07-16T00:00:00"/>
    <s v="Rishi"/>
    <s v="Rishi Cold"/>
    <s v="WET DATES BOX 5KG"/>
    <s v="Mazafati"/>
    <m/>
    <x v="275"/>
    <n v="462"/>
    <n v="5"/>
    <n v="2310"/>
    <x v="2"/>
    <s v="Mazafati"/>
    <s v="Mazafati"/>
    <x v="111"/>
    <x v="45"/>
    <x v="0"/>
    <x v="3"/>
    <s v="Rental"/>
    <s v="Local"/>
    <n v="198"/>
    <n v="457380"/>
    <n v="99"/>
  </r>
  <r>
    <d v="2025-07-23T00:00:00"/>
    <s v="Rishi"/>
    <s v="Rishi Cold"/>
    <s v="WET DATES BOX 5KG"/>
    <s v="Bam-Kimia"/>
    <m/>
    <x v="276"/>
    <n v="428"/>
    <n v="5"/>
    <n v="2140"/>
    <x v="2"/>
    <s v="Mazafati"/>
    <s v="Mazafati"/>
    <x v="111"/>
    <x v="45"/>
    <x v="0"/>
    <x v="3"/>
    <s v="Rental"/>
    <s v="Local"/>
    <n v="240"/>
    <n v="513600"/>
    <n v="92"/>
  </r>
  <r>
    <d v="2025-08-01T00:00:00"/>
    <s v="Rishi"/>
    <s v="Rishi Cold"/>
    <s v="WET DATES BOX 10KG"/>
    <s v="MIX"/>
    <m/>
    <x v="277"/>
    <n v="110.5"/>
    <n v="10"/>
    <n v="1105"/>
    <x v="2"/>
    <s v="Khalas"/>
    <s v="Seedless"/>
    <x v="108"/>
    <x v="94"/>
    <x v="0"/>
    <x v="3"/>
    <s v="Rental"/>
    <s v="AL BARAKAH"/>
    <n v="126"/>
    <n v="139230"/>
    <n v="83"/>
  </r>
  <r>
    <d v="2025-08-23T00:00:00"/>
    <s v="Rishi"/>
    <s v="Rishi Cold"/>
    <s v="WET DATES BOX 5KG"/>
    <s v="PREMIUM"/>
    <m/>
    <x v="278"/>
    <n v="25"/>
    <n v="5"/>
    <n v="125"/>
    <x v="2"/>
    <s v="Mazafati"/>
    <s v="Mazafati"/>
    <x v="111"/>
    <x v="45"/>
    <x v="0"/>
    <x v="3"/>
    <s v="Rental"/>
    <s v="Local"/>
    <n v="240"/>
    <n v="30000"/>
    <n v="61"/>
  </r>
  <r>
    <d v="2025-08-25T00:00:00"/>
    <s v="Rishi"/>
    <s v="Rishi Cold"/>
    <s v="WET DATES BOX 12KG"/>
    <s v="ROYAL ARABIAN"/>
    <m/>
    <x v="279"/>
    <n v="937"/>
    <n v="12"/>
    <n v="11244"/>
    <x v="2"/>
    <s v="Khalas"/>
    <s v="Delmonte 500g"/>
    <x v="112"/>
    <x v="95"/>
    <x v="0"/>
    <x v="3"/>
    <s v="Rental"/>
    <s v="AL BARAKAH"/>
    <n v="116"/>
    <n v="1304304"/>
    <n v="59"/>
  </r>
  <r>
    <d v="2025-08-25T00:00:00"/>
    <s v="Rishi"/>
    <s v="Rishi Cold"/>
    <s v="WET DATES BOX 12KG"/>
    <s v="ROYAL ARABIAN"/>
    <m/>
    <x v="279"/>
    <n v="50"/>
    <n v="7.2"/>
    <n v="360"/>
    <x v="2"/>
    <s v="Khalas"/>
    <s v="Delmonte 500g"/>
    <x v="112"/>
    <x v="95"/>
    <x v="0"/>
    <x v="3"/>
    <s v="Rental"/>
    <s v="AL BARAKAH"/>
    <n v="116"/>
    <n v="41760"/>
    <n v="59"/>
  </r>
  <r>
    <d v="2025-08-28T00:00:00"/>
    <s v="Rishi"/>
    <s v="Rishi Cold"/>
    <s v="WET DATES BOX 10KG"/>
    <s v="FARD-RTV RETRANZ"/>
    <m/>
    <x v="280"/>
    <n v="200"/>
    <n v="10"/>
    <n v="2000"/>
    <x v="2"/>
    <s v="Fard-Prem"/>
    <s v="Premium"/>
    <x v="113"/>
    <x v="11"/>
    <x v="0"/>
    <x v="3"/>
    <s v="Rental"/>
    <s v="AL BARAKAH"/>
    <n v="233"/>
    <n v="466000"/>
    <n v="56"/>
  </r>
  <r>
    <d v="2025-09-09T00:00:00"/>
    <s v="Rishi"/>
    <s v="Rishi Cold"/>
    <s v="WET DATES BOX 10KG"/>
    <s v="FARD"/>
    <m/>
    <x v="281"/>
    <n v="100"/>
    <n v="10"/>
    <n v="1000"/>
    <x v="2"/>
    <s v="Fard-Prem"/>
    <s v="Premium"/>
    <x v="113"/>
    <x v="11"/>
    <x v="0"/>
    <x v="3"/>
    <s v="Rental"/>
    <s v="AL BARAKAH"/>
    <n v="233"/>
    <n v="233000"/>
    <n v="44"/>
  </r>
  <r>
    <d v="2025-09-12T00:00:00"/>
    <s v="Rishi"/>
    <s v="Rishi Cold"/>
    <s v="WET DATES BOX 10KG"/>
    <s v="KHALAS"/>
    <m/>
    <x v="282"/>
    <n v="229"/>
    <n v="10"/>
    <n v="2290"/>
    <x v="2"/>
    <s v="Khalas"/>
    <s v="Khalas"/>
    <x v="103"/>
    <x v="89"/>
    <x v="0"/>
    <x v="3"/>
    <s v="Rental"/>
    <s v="AL BARAKAH"/>
    <n v="116"/>
    <n v="265640"/>
    <n v="41"/>
  </r>
  <r>
    <d v="2025-09-22T00:00:00"/>
    <s v="Rishi"/>
    <s v="Rishi Cold"/>
    <s v="WET DATES BOX 10KG"/>
    <s v="SAFAWI"/>
    <m/>
    <x v="283"/>
    <n v="464"/>
    <n v="5"/>
    <n v="2320"/>
    <x v="3"/>
    <s v="Safawi"/>
    <s v="Safawi"/>
    <x v="13"/>
    <x v="4"/>
    <x v="0"/>
    <x v="3"/>
    <s v="Rental"/>
    <s v="Local"/>
    <n v="550"/>
    <n v="1276000"/>
    <n v="31"/>
  </r>
  <r>
    <d v="2025-10-05T00:00:00"/>
    <s v="Rishi"/>
    <s v="Rishi Cold"/>
    <s v="WET DATES BOX 10KG"/>
    <s v="BARAHI"/>
    <m/>
    <x v="284"/>
    <n v="0"/>
    <n v="10"/>
    <n v="0"/>
    <x v="2"/>
    <s v="Barhi"/>
    <s v="BARHI"/>
    <x v="107"/>
    <x v="93"/>
    <x v="0"/>
    <x v="3"/>
    <s v="Rental"/>
    <s v="Local"/>
    <n v="90.5"/>
    <n v="0"/>
    <n v="18"/>
  </r>
  <r>
    <d v="2025-10-06T00:00:00"/>
    <s v="Rishi"/>
    <s v="Rishi Cold"/>
    <s v="WET DATES BOX 10KG"/>
    <s v="KHALAS"/>
    <s v="AAT IMPEX"/>
    <x v="285"/>
    <n v="1099"/>
    <n v="10"/>
    <n v="10990"/>
    <x v="2"/>
    <s v="Khalas"/>
    <s v="RTV"/>
    <x v="103"/>
    <x v="89"/>
    <x v="0"/>
    <x v="3"/>
    <s v="Rental"/>
    <s v="AL BARAKAH"/>
    <n v="116"/>
    <n v="1274840"/>
    <n v="17"/>
  </r>
  <r>
    <d v="2025-10-14T00:00:00"/>
    <s v="Rishi"/>
    <s v="Rishi Cold"/>
    <s v="WET DATES BOX 10KG"/>
    <s v="BARAHI"/>
    <m/>
    <x v="286"/>
    <n v="2598"/>
    <n v="10"/>
    <n v="25980"/>
    <x v="2"/>
    <s v="Barhi"/>
    <s v="Barhi"/>
    <x v="107"/>
    <x v="93"/>
    <x v="0"/>
    <x v="3"/>
    <s v="Rental"/>
    <s v="AL BARAKAH"/>
    <n v="90.5"/>
    <n v="2351190"/>
    <n v="9"/>
  </r>
  <r>
    <m/>
    <s v="A-185"/>
    <s v="185 Cold"/>
    <s v="Almond Blanched, whole"/>
    <s v="Almond Blanched, whole"/>
    <m/>
    <x v="287"/>
    <n v="40"/>
    <n v="1"/>
    <n v="40"/>
    <x v="23"/>
    <s v="Blanched Whole"/>
    <s v="WHole"/>
    <x v="114"/>
    <x v="96"/>
    <x v="2"/>
    <x v="4"/>
    <s v="Factory"/>
    <n v="0"/>
    <n v="650"/>
    <n v="26000"/>
    <m/>
  </r>
  <r>
    <m/>
    <s v="A-185"/>
    <s v="185 Cold"/>
    <s v="Smoked Almonds"/>
    <s v="Smoke Almond"/>
    <m/>
    <x v="287"/>
    <n v="570"/>
    <n v="1"/>
    <n v="570"/>
    <x v="23"/>
    <s v="Smoked"/>
    <s v="Kernels"/>
    <x v="115"/>
    <x v="97"/>
    <x v="2"/>
    <x v="4"/>
    <s v="Factory"/>
    <n v="0"/>
    <n v="595"/>
    <n v="339150"/>
    <m/>
  </r>
  <r>
    <m/>
    <s v="A-185"/>
    <s v="185 Cold"/>
    <s v="American Almonds Kernel 20-22 count"/>
    <s v="Sp Almond (Unazo)"/>
    <m/>
    <x v="287"/>
    <n v="300"/>
    <n v="1"/>
    <n v="300"/>
    <x v="23"/>
    <s v="20-22"/>
    <s v="Kernels"/>
    <x v="116"/>
    <x v="98"/>
    <x v="2"/>
    <x v="4"/>
    <s v="Factory"/>
    <n v="0"/>
    <n v="750"/>
    <n v="225000"/>
    <m/>
  </r>
  <r>
    <m/>
    <s v="A-185"/>
    <s v="185 Cold"/>
    <s v="American Almonds Running 25-27 count"/>
    <s v="Sp Almond (Unazo)"/>
    <m/>
    <x v="287"/>
    <n v="24"/>
    <n v="1"/>
    <n v="24"/>
    <x v="23"/>
    <s v="25-27"/>
    <s v="Kernels"/>
    <x v="117"/>
    <x v="99"/>
    <x v="2"/>
    <x v="4"/>
    <s v="Factory"/>
    <n v="0"/>
    <n v="750"/>
    <n v="18000"/>
    <m/>
  </r>
  <r>
    <m/>
    <s v="A-185"/>
    <s v="185 Cold"/>
    <s v="Dried Black Currant"/>
    <s v="Blackcurrent"/>
    <m/>
    <x v="287"/>
    <n v="40"/>
    <n v="1"/>
    <n v="40"/>
    <x v="16"/>
    <s v="BlackCurrant"/>
    <s v="Dried"/>
    <x v="81"/>
    <x v="67"/>
    <x v="2"/>
    <x v="4"/>
    <s v="Factory"/>
    <n v="0"/>
    <n v="490"/>
    <n v="19600"/>
    <m/>
  </r>
  <r>
    <m/>
    <s v="A-185"/>
    <s v="185 Cold"/>
    <s v="Dried Blueberry"/>
    <s v="Blueberry Plain"/>
    <m/>
    <x v="287"/>
    <n v="1098.6799999999998"/>
    <n v="1"/>
    <n v="1098.6799999999998"/>
    <x v="11"/>
    <s v="Blueberry"/>
    <s v="Plain"/>
    <x v="118"/>
    <x v="85"/>
    <x v="2"/>
    <x v="4"/>
    <s v="Factory"/>
    <s v="Tajir"/>
    <n v="1130"/>
    <n v="1241508.3999999999"/>
    <m/>
  </r>
  <r>
    <m/>
    <s v="A-185"/>
    <s v="185 Cold"/>
    <s v="Cashew Kernel"/>
    <s v="Cashew Mix Grade"/>
    <m/>
    <x v="287"/>
    <n v="0"/>
    <n v="1"/>
    <n v="0"/>
    <x v="24"/>
    <s v="Cashew Mix"/>
    <s v="Mix"/>
    <x v="119"/>
    <x v="100"/>
    <x v="2"/>
    <x v="4"/>
    <s v="Factory"/>
    <n v="0"/>
    <n v="715"/>
    <n v="0"/>
    <m/>
  </r>
  <r>
    <m/>
    <s v="A-185"/>
    <s v="185 Cold"/>
    <s v="Dried Cranberry Sliced"/>
    <s v="Cranberry Slice"/>
    <m/>
    <x v="287"/>
    <n v="4456.62"/>
    <n v="1"/>
    <n v="4456.62"/>
    <x v="14"/>
    <s v="Sliced"/>
    <s v="Sliced"/>
    <x v="96"/>
    <x v="83"/>
    <x v="2"/>
    <x v="4"/>
    <s v="Factory"/>
    <n v="0"/>
    <n v="360"/>
    <n v="1604383.2"/>
    <m/>
  </r>
  <r>
    <m/>
    <s v="A-185"/>
    <s v="185 Cold"/>
    <s v="Dried Cranberry Whole"/>
    <s v="Cranberry Whole"/>
    <m/>
    <x v="287"/>
    <n v="2787.5"/>
    <n v="1"/>
    <n v="2787.5"/>
    <x v="14"/>
    <s v="Whole"/>
    <s v="Whole"/>
    <x v="95"/>
    <x v="65"/>
    <x v="2"/>
    <x v="4"/>
    <s v="Factory"/>
    <n v="0"/>
    <n v="415"/>
    <n v="1156812.5"/>
    <m/>
  </r>
  <r>
    <m/>
    <s v="A-185"/>
    <s v="185 Cold"/>
    <s v="AL BARAKAH DEHYDRATED DATE POWDER - BULK PACK 10KG"/>
    <s v="Date Powder 10Kg"/>
    <m/>
    <x v="287"/>
    <n v="80"/>
    <n v="1"/>
    <n v="80"/>
    <x v="0"/>
    <s v="V1"/>
    <s v="AL BARAKAH"/>
    <x v="120"/>
    <x v="101"/>
    <x v="2"/>
    <x v="4"/>
    <s v="Factory"/>
    <n v="0"/>
    <n v="270"/>
    <n v="21600"/>
    <m/>
  </r>
  <r>
    <m/>
    <s v="A-185"/>
    <s v="185 Cold"/>
    <s v="Oriental Dates"/>
    <s v="Deri Dates"/>
    <m/>
    <x v="287"/>
    <n v="50"/>
    <n v="1"/>
    <n v="50"/>
    <x v="2"/>
    <s v="Deri"/>
    <s v="Deri"/>
    <x v="121"/>
    <x v="102"/>
    <x v="2"/>
    <x v="4"/>
    <s v="Factory"/>
    <n v="0"/>
    <n v="303"/>
    <n v="15150"/>
    <m/>
  </r>
  <r>
    <m/>
    <s v="A-185"/>
    <s v="185 Cold"/>
    <s v="Sayer Dates"/>
    <s v="Sayer Dates"/>
    <m/>
    <x v="287"/>
    <n v="40"/>
    <n v="1"/>
    <n v="40"/>
    <x v="2"/>
    <s v="Sayer"/>
    <s v="Unpitted"/>
    <x v="122"/>
    <x v="103"/>
    <x v="2"/>
    <x v="4"/>
    <s v="Factory"/>
    <n v="0"/>
    <n v="100"/>
    <n v="4000"/>
    <m/>
  </r>
  <r>
    <m/>
    <s v="A-185"/>
    <s v="185 Cold"/>
    <s v="Khalas  Dates"/>
    <s v="Khalas"/>
    <m/>
    <x v="287"/>
    <n v="57.7"/>
    <n v="1"/>
    <n v="57.7"/>
    <x v="2"/>
    <s v="Khalas"/>
    <s v="Premium"/>
    <x v="103"/>
    <x v="89"/>
    <x v="2"/>
    <x v="4"/>
    <s v="Factory"/>
    <n v="0"/>
    <n v="116"/>
    <n v="6693.2000000000007"/>
    <m/>
  </r>
  <r>
    <m/>
    <s v="A-185"/>
    <s v="185 Cold"/>
    <s v="Dried Orange Peel"/>
    <m/>
    <m/>
    <x v="287"/>
    <n v="7"/>
    <n v="1"/>
    <n v="7"/>
    <x v="19"/>
    <s v="Orange Peel"/>
    <s v="Dried"/>
    <x v="123"/>
    <x v="104"/>
    <x v="2"/>
    <x v="4"/>
    <s v="Factory"/>
    <n v="0"/>
    <n v="750"/>
    <n v="5250"/>
    <m/>
  </r>
  <r>
    <m/>
    <s v="A-185"/>
    <s v="185 Cold"/>
    <s v="Dried Mango Loose"/>
    <s v="Mango Cube cut"/>
    <m/>
    <x v="287"/>
    <n v="10"/>
    <n v="1"/>
    <n v="10"/>
    <x v="19"/>
    <s v="Mango"/>
    <s v="Cut"/>
    <x v="124"/>
    <x v="105"/>
    <x v="2"/>
    <x v="4"/>
    <s v="Factory"/>
    <n v="0"/>
    <n v="465"/>
    <n v="4650"/>
    <m/>
  </r>
  <r>
    <m/>
    <s v="A-185"/>
    <s v="185 Cold"/>
    <s v="Makhana Suta"/>
    <m/>
    <m/>
    <x v="287"/>
    <n v="110"/>
    <n v="1"/>
    <n v="110"/>
    <x v="25"/>
    <s v="Suta"/>
    <n v="4"/>
    <x v="125"/>
    <x v="106"/>
    <x v="2"/>
    <x v="4"/>
    <s v="Factory"/>
    <n v="0"/>
    <n v="1235"/>
    <n v="135850"/>
    <m/>
  </r>
  <r>
    <m/>
    <s v="A-185"/>
    <s v="185 Cold"/>
    <s v="PREGEFLO C 100 G"/>
    <m/>
    <m/>
    <x v="287"/>
    <n v="720"/>
    <n v="1"/>
    <n v="720"/>
    <x v="26"/>
    <s v="Pegeflo"/>
    <s v="C 100 G"/>
    <x v="126"/>
    <x v="107"/>
    <x v="2"/>
    <x v="4"/>
    <s v="Factory"/>
    <n v="0"/>
    <n v="270"/>
    <n v="194400"/>
    <m/>
  </r>
  <r>
    <m/>
    <s v="A-185"/>
    <s v="185 Cold"/>
    <s v="SIDCOT STARCH"/>
    <m/>
    <m/>
    <x v="287"/>
    <n v="0"/>
    <n v="1"/>
    <n v="0"/>
    <x v="26"/>
    <s v="STARCH"/>
    <s v="SIDCOT STA"/>
    <x v="127"/>
    <x v="108"/>
    <x v="2"/>
    <x v="4"/>
    <s v="Factory"/>
    <n v="0"/>
    <n v="250"/>
    <n v="0"/>
    <m/>
  </r>
  <r>
    <m/>
    <s v="A-185"/>
    <s v="185 Cold"/>
    <s v="Sour Cream And Onion Seasoning"/>
    <m/>
    <m/>
    <x v="287"/>
    <n v="25"/>
    <n v="1"/>
    <n v="25"/>
    <x v="26"/>
    <s v="Seasoning"/>
    <s v="Onion Sea"/>
    <x v="128"/>
    <x v="109"/>
    <x v="2"/>
    <x v="4"/>
    <s v="Factory"/>
    <n v="0"/>
    <n v="450"/>
    <n v="11250"/>
    <m/>
  </r>
  <r>
    <m/>
    <s v="A-185"/>
    <s v="185 Cold"/>
    <s v="Peanuts Split"/>
    <m/>
    <m/>
    <x v="287"/>
    <n v="10"/>
    <n v="1"/>
    <n v="10"/>
    <x v="27"/>
    <s v="Blanched Split"/>
    <s v="Split"/>
    <x v="129"/>
    <x v="110"/>
    <x v="2"/>
    <x v="4"/>
    <s v="Factory"/>
    <n v="0"/>
    <n v="112"/>
    <n v="1120"/>
    <m/>
  </r>
  <r>
    <m/>
    <s v="A-185"/>
    <s v="185 Cold"/>
    <s v="Peanuts"/>
    <m/>
    <m/>
    <x v="287"/>
    <n v="700"/>
    <n v="1"/>
    <n v="700"/>
    <x v="27"/>
    <s v="Peanut"/>
    <s v="Whole"/>
    <x v="130"/>
    <x v="111"/>
    <x v="2"/>
    <x v="4"/>
    <s v="Factory"/>
    <n v="0"/>
    <n v="120"/>
    <n v="84000"/>
    <m/>
  </r>
  <r>
    <d v="2023-07-21T00:00:00"/>
    <s v="A-185"/>
    <s v="185 Cold"/>
    <s v="ROASTED BLANCHED PEANUT WHOLE"/>
    <s v="Blanched"/>
    <m/>
    <x v="287"/>
    <n v="1575"/>
    <n v="1"/>
    <n v="1575"/>
    <x v="27"/>
    <s v="Old Peanut"/>
    <s v="Blanched"/>
    <x v="131"/>
    <x v="112"/>
    <x v="2"/>
    <x v="4"/>
    <s v="Factory"/>
    <n v="0"/>
    <n v="270"/>
    <n v="425250"/>
    <n v="825"/>
  </r>
  <r>
    <m/>
    <s v="A-185"/>
    <s v="185 Cold"/>
    <s v="Pista Kernal Roasted and Salted"/>
    <s v="Kernel R&amp;S"/>
    <s v="Roasted"/>
    <x v="287"/>
    <n v="127"/>
    <n v="1"/>
    <n v="127"/>
    <x v="12"/>
    <s v="Kernels - R&amp;S"/>
    <s v="R &amp; S"/>
    <x v="132"/>
    <x v="113"/>
    <x v="2"/>
    <x v="4"/>
    <s v="Factory"/>
    <n v="0"/>
    <n v="650"/>
    <n v="82550"/>
    <m/>
  </r>
  <r>
    <m/>
    <s v="A-185"/>
    <s v="185 Cold"/>
    <s v="California Pista Inshell"/>
    <s v="Inshell"/>
    <s v="Pplain"/>
    <x v="287"/>
    <n v="110"/>
    <n v="1"/>
    <n v="110"/>
    <x v="12"/>
    <s v="Inshell - 21-25"/>
    <s v="Plain"/>
    <x v="133"/>
    <x v="81"/>
    <x v="2"/>
    <x v="4"/>
    <s v="Factory"/>
    <n v="0"/>
    <n v="834"/>
    <n v="91740"/>
    <m/>
  </r>
  <r>
    <m/>
    <s v="A-185"/>
    <s v="185 Cold"/>
    <s v="Pista Kernel"/>
    <s v="Kernel"/>
    <m/>
    <x v="287"/>
    <n v="825"/>
    <n v="1"/>
    <n v="825"/>
    <x v="12"/>
    <s v="Magaz"/>
    <s v="Kernels"/>
    <x v="134"/>
    <x v="114"/>
    <x v="2"/>
    <x v="4"/>
    <s v="Factory"/>
    <n v="0"/>
    <n v="1500"/>
    <n v="1237500"/>
    <m/>
  </r>
  <r>
    <m/>
    <s v="A-185"/>
    <s v="185 Cold"/>
    <s v="Brazil Nuts"/>
    <m/>
    <m/>
    <x v="287"/>
    <n v="8.8000000000000007"/>
    <n v="1"/>
    <n v="8.8000000000000007"/>
    <x v="20"/>
    <s v="Brazil Nuts"/>
    <s v="Kernels"/>
    <x v="87"/>
    <x v="74"/>
    <x v="2"/>
    <x v="4"/>
    <s v="Factory"/>
    <n v="0"/>
    <n v="2800"/>
    <n v="24640.000000000004"/>
    <m/>
  </r>
  <r>
    <m/>
    <s v="A-185"/>
    <s v="185 Cold"/>
    <s v="Hazelnut Kernal"/>
    <s v="Blanched"/>
    <m/>
    <x v="287"/>
    <n v="8"/>
    <n v="1"/>
    <n v="8"/>
    <x v="15"/>
    <s v="Blanched"/>
    <s v="Kernels"/>
    <x v="77"/>
    <x v="66"/>
    <x v="2"/>
    <x v="4"/>
    <s v="Factory"/>
    <n v="0"/>
    <n v="1280"/>
    <n v="10240"/>
    <m/>
  </r>
  <r>
    <m/>
    <s v="A-185"/>
    <s v="185 Cold"/>
    <s v="Macadamia Roasted - Size 4"/>
    <m/>
    <m/>
    <x v="287"/>
    <n v="55"/>
    <n v="1"/>
    <n v="55"/>
    <x v="9"/>
    <s v="Roasted Style-4"/>
    <s v="Size-4"/>
    <x v="88"/>
    <x v="115"/>
    <x v="2"/>
    <x v="4"/>
    <s v="Factory"/>
    <n v="0"/>
    <n v="1500"/>
    <n v="82500"/>
    <m/>
  </r>
  <r>
    <m/>
    <s v="A-185"/>
    <s v="185 Cold"/>
    <s v="Macadamia Roasted - Size 6"/>
    <m/>
    <m/>
    <x v="287"/>
    <n v="11.34"/>
    <n v="1"/>
    <n v="11.34"/>
    <x v="9"/>
    <s v="Roasted Style-6"/>
    <s v="Size-6"/>
    <x v="60"/>
    <x v="48"/>
    <x v="2"/>
    <x v="4"/>
    <s v="Factory"/>
    <n v="0"/>
    <n v="900"/>
    <n v="10206"/>
    <m/>
  </r>
  <r>
    <m/>
    <s v="A-185"/>
    <s v="185 Cold"/>
    <s v="Macadamia Roasted NIS Sawn"/>
    <m/>
    <m/>
    <x v="287"/>
    <n v="0"/>
    <n v="1"/>
    <n v="0"/>
    <x v="9"/>
    <s v="NIS"/>
    <s v="NIS Swn"/>
    <x v="70"/>
    <x v="58"/>
    <x v="2"/>
    <x v="4"/>
    <s v="Factory"/>
    <n v="0"/>
    <n v="900"/>
    <n v="0"/>
    <m/>
  </r>
  <r>
    <m/>
    <s v="A-185"/>
    <s v="185 Cold"/>
    <s v="Pecan Nuts"/>
    <m/>
    <m/>
    <x v="287"/>
    <n v="186"/>
    <n v="1"/>
    <n v="186"/>
    <x v="13"/>
    <s v="Pecan"/>
    <s v="Pecan Nuts"/>
    <x v="135"/>
    <x v="63"/>
    <x v="2"/>
    <x v="4"/>
    <s v="Factory"/>
    <n v="0"/>
    <n v="1440"/>
    <n v="267840"/>
    <m/>
  </r>
  <r>
    <m/>
    <s v="A-185"/>
    <s v="185 Cold"/>
    <s v="Dried Prunes (Pitted)"/>
    <m/>
    <m/>
    <x v="287"/>
    <n v="1836.68"/>
    <n v="1"/>
    <n v="1836.68"/>
    <x v="21"/>
    <s v="Pitted"/>
    <s v="Prunes"/>
    <x v="92"/>
    <x v="78"/>
    <x v="2"/>
    <x v="4"/>
    <s v="Factory"/>
    <n v="0"/>
    <n v="470"/>
    <n v="863239.6"/>
    <m/>
  </r>
  <r>
    <m/>
    <s v="A-185"/>
    <s v="185 Cold"/>
    <s v="Afghan Black Raisins Seeded 1*2"/>
    <m/>
    <m/>
    <x v="287"/>
    <n v="15"/>
    <n v="1"/>
    <n v="15"/>
    <x v="8"/>
    <s v="Seeded 1*2"/>
    <s v="Raisin"/>
    <x v="136"/>
    <x v="116"/>
    <x v="2"/>
    <x v="4"/>
    <s v="Factory"/>
    <n v="0"/>
    <n v="266"/>
    <n v="3990"/>
    <m/>
  </r>
  <r>
    <m/>
    <s v="A-185"/>
    <s v="185 Cold"/>
    <s v="Afghan Black Raisins Seedless 1*2"/>
    <m/>
    <m/>
    <x v="287"/>
    <n v="1319"/>
    <n v="1"/>
    <n v="1319"/>
    <x v="8"/>
    <s v="Seedless 1*2"/>
    <s v="Raisin"/>
    <x v="137"/>
    <x v="117"/>
    <x v="2"/>
    <x v="4"/>
    <s v="Factory"/>
    <n v="0"/>
    <n v="370"/>
    <n v="488030"/>
    <m/>
  </r>
  <r>
    <m/>
    <s v="A-185"/>
    <s v="185 Cold"/>
    <s v="Afghan Munakka / Abjosh 1X2"/>
    <m/>
    <m/>
    <x v="287"/>
    <n v="67"/>
    <n v="1"/>
    <n v="67"/>
    <x v="8"/>
    <s v="Munakka"/>
    <s v="Abjosh 1x2"/>
    <x v="138"/>
    <x v="118"/>
    <x v="2"/>
    <x v="4"/>
    <s v="Factory"/>
    <n v="0"/>
    <n v="725"/>
    <n v="48575"/>
    <m/>
  </r>
  <r>
    <m/>
    <s v="A-185"/>
    <s v="185 Cold"/>
    <s v="Pan Raisin"/>
    <m/>
    <m/>
    <x v="287"/>
    <n v="7.5"/>
    <n v="1"/>
    <n v="7.5"/>
    <x v="8"/>
    <s v="Paan"/>
    <s v="Raisin"/>
    <x v="139"/>
    <x v="119"/>
    <x v="2"/>
    <x v="4"/>
    <s v="Factory"/>
    <n v="0"/>
    <n v="600"/>
    <n v="4500"/>
    <m/>
  </r>
  <r>
    <m/>
    <s v="A-185"/>
    <s v="185 Cold"/>
    <s v="Indian Green Raisins"/>
    <m/>
    <m/>
    <x v="287"/>
    <n v="3064"/>
    <n v="1"/>
    <n v="3064"/>
    <x v="8"/>
    <s v="Indian"/>
    <s v="Green"/>
    <x v="72"/>
    <x v="61"/>
    <x v="2"/>
    <x v="4"/>
    <s v="Factory"/>
    <n v="0"/>
    <n v="400"/>
    <n v="1225600"/>
    <m/>
  </r>
  <r>
    <m/>
    <s v="A-185"/>
    <s v="185 Cold"/>
    <s v="Indian Long Green Raisins"/>
    <m/>
    <m/>
    <x v="287"/>
    <n v="4.4000000000000004"/>
    <n v="1"/>
    <n v="4.4000000000000004"/>
    <x v="8"/>
    <s v="Indian"/>
    <s v="Long"/>
    <x v="140"/>
    <x v="120"/>
    <x v="2"/>
    <x v="4"/>
    <s v="Factory"/>
    <n v="0"/>
    <n v="295"/>
    <n v="1298"/>
    <m/>
  </r>
  <r>
    <m/>
    <s v="A-185"/>
    <s v="185 Cold"/>
    <s v="Anardana Churan"/>
    <m/>
    <m/>
    <x v="287"/>
    <n v="0"/>
    <n v="1"/>
    <n v="0"/>
    <x v="26"/>
    <s v="Anardana"/>
    <s v="Churan"/>
    <x v="141"/>
    <x v="121"/>
    <x v="2"/>
    <x v="4"/>
    <s v="Factory"/>
    <n v="0"/>
    <n v="260"/>
    <n v="0"/>
    <m/>
  </r>
  <r>
    <m/>
    <s v="A-185"/>
    <s v="185 Cold"/>
    <s v="Anardana Powder"/>
    <m/>
    <m/>
    <x v="287"/>
    <n v="160"/>
    <n v="1"/>
    <n v="160"/>
    <x v="26"/>
    <s v="Anardana"/>
    <s v="Powder"/>
    <x v="142"/>
    <x v="122"/>
    <x v="2"/>
    <x v="4"/>
    <s v="Factory"/>
    <n v="0"/>
    <n v="230"/>
    <n v="36800"/>
    <m/>
  </r>
  <r>
    <m/>
    <s v="A-185"/>
    <s v="185 Cold"/>
    <s v="Barbeque seasoning"/>
    <m/>
    <m/>
    <x v="287"/>
    <n v="130"/>
    <n v="1"/>
    <n v="130"/>
    <x v="26"/>
    <s v="seasoning"/>
    <s v="Barbeque s"/>
    <x v="143"/>
    <x v="123"/>
    <x v="2"/>
    <x v="4"/>
    <s v="Factory"/>
    <n v="0"/>
    <n v="255"/>
    <n v="33150"/>
    <m/>
  </r>
  <r>
    <m/>
    <s v="A-185"/>
    <s v="185 Cold"/>
    <s v="Black Pepper Seasoning"/>
    <m/>
    <m/>
    <x v="287"/>
    <n v="250"/>
    <n v="1"/>
    <n v="250"/>
    <x v="26"/>
    <s v="seasoning"/>
    <s v="Pepper Sea"/>
    <x v="144"/>
    <x v="124"/>
    <x v="2"/>
    <x v="4"/>
    <s v="Factory"/>
    <n v="0"/>
    <n v="540"/>
    <n v="135000"/>
    <m/>
  </r>
  <r>
    <m/>
    <s v="A-185"/>
    <s v="185 Cold"/>
    <s v="Chilli Garlic Masala Seasoning"/>
    <m/>
    <m/>
    <x v="287"/>
    <n v="25"/>
    <n v="1"/>
    <n v="25"/>
    <x v="26"/>
    <s v="seasoning"/>
    <s v="Chilli Garlic"/>
    <x v="145"/>
    <x v="125"/>
    <x v="2"/>
    <x v="4"/>
    <s v="Factory"/>
    <n v="0"/>
    <n v="300"/>
    <n v="7500"/>
    <m/>
  </r>
  <r>
    <m/>
    <s v="A-185"/>
    <s v="185 Cold"/>
    <s v="Chipotle Honey Seasoning"/>
    <m/>
    <m/>
    <x v="287"/>
    <n v="0"/>
    <n v="1"/>
    <n v="0"/>
    <x v="26"/>
    <s v="seasoning"/>
    <s v="Honey"/>
    <x v="146"/>
    <x v="126"/>
    <x v="2"/>
    <x v="4"/>
    <s v="Factory"/>
    <n v="0"/>
    <n v="259"/>
    <n v="0"/>
    <m/>
  </r>
  <r>
    <m/>
    <s v="A-185"/>
    <s v="185 Cold"/>
    <s v="Magic Masala Seasoning"/>
    <m/>
    <m/>
    <x v="287"/>
    <n v="38"/>
    <n v="1"/>
    <n v="38"/>
    <x v="26"/>
    <s v="seasoning"/>
    <s v="Masala Sea"/>
    <x v="147"/>
    <x v="127"/>
    <x v="2"/>
    <x v="4"/>
    <s v="Factory"/>
    <n v="0"/>
    <n v="210"/>
    <n v="7980"/>
    <m/>
  </r>
  <r>
    <m/>
    <s v="A-185"/>
    <s v="185 Cold"/>
    <s v="Pan Seasoning"/>
    <m/>
    <m/>
    <x v="287"/>
    <n v="25"/>
    <n v="1"/>
    <n v="25"/>
    <x v="26"/>
    <s v="seasoning"/>
    <s v="Pan"/>
    <x v="148"/>
    <x v="128"/>
    <x v="2"/>
    <x v="4"/>
    <s v="Factory"/>
    <n v="0"/>
    <n v="230"/>
    <n v="5750"/>
    <m/>
  </r>
  <r>
    <m/>
    <s v="A-185"/>
    <s v="185 Cold"/>
    <s v="Peri Peri Marination Seasoning"/>
    <m/>
    <m/>
    <x v="287"/>
    <n v="100"/>
    <n v="1"/>
    <n v="100"/>
    <x v="26"/>
    <s v="seasoning"/>
    <s v="Peri Peri"/>
    <x v="149"/>
    <x v="129"/>
    <x v="2"/>
    <x v="4"/>
    <s v="Factory"/>
    <n v="0"/>
    <n v="217"/>
    <n v="21700"/>
    <m/>
  </r>
  <r>
    <m/>
    <s v="A-185"/>
    <s v="185 Cold"/>
    <s v="Pudina seasoning"/>
    <m/>
    <m/>
    <x v="287"/>
    <n v="143"/>
    <n v="1"/>
    <n v="143"/>
    <x v="26"/>
    <s v="seasoning"/>
    <s v="Pudina sea"/>
    <x v="150"/>
    <x v="130"/>
    <x v="2"/>
    <x v="4"/>
    <s v="Factory"/>
    <n v="0"/>
    <n v="230"/>
    <n v="32890"/>
    <m/>
  </r>
  <r>
    <m/>
    <s v="A-185"/>
    <s v="185 Cold"/>
    <s v="Salt &amp; Pepper Seasoning"/>
    <m/>
    <m/>
    <x v="287"/>
    <n v="25"/>
    <n v="1"/>
    <n v="25"/>
    <x v="26"/>
    <s v="seasoning"/>
    <s v="Pepper Sea"/>
    <x v="151"/>
    <x v="131"/>
    <x v="2"/>
    <x v="4"/>
    <s v="Factory"/>
    <n v="0"/>
    <n v="245"/>
    <n v="6125"/>
    <m/>
  </r>
  <r>
    <m/>
    <s v="A-185"/>
    <s v="185 Cold"/>
    <s v="Smoke Seasoning"/>
    <m/>
    <m/>
    <x v="287"/>
    <n v="195"/>
    <n v="1"/>
    <n v="195"/>
    <x v="26"/>
    <s v="seasoning"/>
    <s v="Smoke Seas"/>
    <x v="152"/>
    <x v="132"/>
    <x v="2"/>
    <x v="4"/>
    <s v="Factory"/>
    <n v="0"/>
    <n v="815"/>
    <n v="158925"/>
    <m/>
  </r>
  <r>
    <m/>
    <s v="A-185"/>
    <s v="185 Cold"/>
    <s v="SWEET THAI CHILLI SEASONING"/>
    <m/>
    <m/>
    <x v="287"/>
    <n v="40"/>
    <n v="1"/>
    <n v="40"/>
    <x v="26"/>
    <s v="seasoning"/>
    <s v="CHILLI SEA"/>
    <x v="153"/>
    <x v="133"/>
    <x v="2"/>
    <x v="4"/>
    <s v="Factory"/>
    <n v="0"/>
    <n v="210"/>
    <n v="8400"/>
    <m/>
  </r>
  <r>
    <m/>
    <s v="A-185"/>
    <s v="185 Cold"/>
    <s v="Tandoori Seasoning"/>
    <m/>
    <m/>
    <x v="287"/>
    <n v="0"/>
    <n v="1"/>
    <n v="0"/>
    <x v="26"/>
    <s v="seasoning"/>
    <s v="Tandoori S"/>
    <x v="154"/>
    <x v="134"/>
    <x v="2"/>
    <x v="4"/>
    <s v="Factory"/>
    <n v="0"/>
    <n v="260"/>
    <n v="0"/>
    <m/>
  </r>
  <r>
    <m/>
    <s v="A-185"/>
    <s v="185 Cold"/>
    <s v="URBAN PLATTER ARABIC GUM POWDER"/>
    <m/>
    <m/>
    <x v="287"/>
    <n v="11"/>
    <n v="1"/>
    <n v="11"/>
    <x v="26"/>
    <s v="seasoning"/>
    <s v="GUM "/>
    <x v="155"/>
    <x v="135"/>
    <x v="2"/>
    <x v="4"/>
    <s v="Factory"/>
    <n v="0"/>
    <n v="186"/>
    <n v="2046"/>
    <m/>
  </r>
  <r>
    <m/>
    <s v="A-185"/>
    <s v="185 Cold"/>
    <s v="Urban Platter Mexican Chipotle Seasoning"/>
    <m/>
    <m/>
    <x v="287"/>
    <n v="0.9"/>
    <n v="1"/>
    <n v="0.9"/>
    <x v="26"/>
    <s v="seasoning"/>
    <s v="GUM "/>
    <x v="156"/>
    <x v="136"/>
    <x v="2"/>
    <x v="4"/>
    <s v="Factory"/>
    <n v="0"/>
    <n v="186"/>
    <n v="167.4"/>
    <m/>
  </r>
  <r>
    <m/>
    <s v="A-185"/>
    <s v="185 Cold"/>
    <s v="Urban Platter Tandoori Tikka Masala"/>
    <m/>
    <m/>
    <x v="287"/>
    <n v="1"/>
    <n v="1"/>
    <n v="1"/>
    <x v="26"/>
    <s v="seasoning"/>
    <s v="GUM "/>
    <x v="157"/>
    <x v="137"/>
    <x v="2"/>
    <x v="4"/>
    <s v="Factory"/>
    <n v="0"/>
    <n v="186"/>
    <n v="186"/>
    <m/>
  </r>
  <r>
    <m/>
    <s v="A-185"/>
    <s v="185 Cold"/>
    <s v="Urban Platter Soya Chaap Seasoning"/>
    <m/>
    <m/>
    <x v="287"/>
    <n v="5.6"/>
    <n v="1"/>
    <n v="5.6"/>
    <x v="26"/>
    <s v="seasoning"/>
    <s v="Soya Chaap"/>
    <x v="158"/>
    <x v="138"/>
    <x v="2"/>
    <x v="4"/>
    <s v="Factory"/>
    <n v="0"/>
    <n v="595"/>
    <n v="3332"/>
    <m/>
  </r>
  <r>
    <m/>
    <s v="A-185"/>
    <s v="185 Cold"/>
    <s v="Wasabi Seasoning AB343"/>
    <m/>
    <m/>
    <x v="287"/>
    <n v="25"/>
    <n v="1"/>
    <n v="25"/>
    <x v="26"/>
    <s v="seasoning"/>
    <s v="Wasabi"/>
    <x v="159"/>
    <x v="139"/>
    <x v="2"/>
    <x v="4"/>
    <s v="Factory"/>
    <n v="0"/>
    <n v="228"/>
    <n v="5700"/>
    <m/>
  </r>
  <r>
    <m/>
    <s v="A-185"/>
    <s v="185 Cold"/>
    <s v="Carnival Crunchy Caramel Trail Mix"/>
    <m/>
    <m/>
    <x v="287"/>
    <n v="28"/>
    <n v="1"/>
    <n v="28"/>
    <x v="28"/>
    <s v="Crunchy Caramel"/>
    <s v="Trail Mix"/>
    <x v="160"/>
    <x v="140"/>
    <x v="2"/>
    <x v="4"/>
    <s v="Factory"/>
    <n v="0"/>
    <n v="900"/>
    <n v="25200"/>
    <m/>
  </r>
  <r>
    <m/>
    <s v="A-185"/>
    <s v="185 Cold"/>
    <s v="Chilean Walnut Inshell"/>
    <m/>
    <m/>
    <x v="287"/>
    <n v="50"/>
    <n v="1"/>
    <n v="50"/>
    <x v="18"/>
    <s v="Chilean Inshell"/>
    <s v="Chilean"/>
    <x v="161"/>
    <x v="141"/>
    <x v="2"/>
    <x v="4"/>
    <s v="Factory"/>
    <n v="0"/>
    <n v="491.87"/>
    <n v="24593.5"/>
    <m/>
  </r>
  <r>
    <m/>
    <s v="A-185"/>
    <s v="185 Cold"/>
    <s v="Chilean Walnut Kernel 2 pcs"/>
    <m/>
    <m/>
    <x v="287"/>
    <n v="30"/>
    <n v="1"/>
    <n v="30"/>
    <x v="18"/>
    <s v="Kernels 2pc"/>
    <s v="Chilean"/>
    <x v="83"/>
    <x v="69"/>
    <x v="2"/>
    <x v="4"/>
    <s v="Factory"/>
    <n v="0"/>
    <n v="1230"/>
    <n v="36900"/>
    <m/>
  </r>
  <r>
    <d v="2023-12-06T00:00:00"/>
    <s v="A-185"/>
    <s v="185 Cold"/>
    <s v="Kharik"/>
    <m/>
    <m/>
    <x v="287"/>
    <n v="3530"/>
    <n v="1"/>
    <n v="3530"/>
    <x v="1"/>
    <s v="Oman"/>
    <s v="Kharik"/>
    <x v="1"/>
    <x v="1"/>
    <x v="2"/>
    <x v="4"/>
    <s v="Factory"/>
    <n v="0"/>
    <n v="241"/>
    <n v="850730"/>
    <n v="687"/>
  </r>
  <r>
    <m/>
    <s v="A-185"/>
    <s v="185 Cold"/>
    <s v="Chatpata Seasoning"/>
    <m/>
    <m/>
    <x v="287"/>
    <n v="327.9"/>
    <n v="1"/>
    <n v="327.9"/>
    <x v="26"/>
    <s v="Seasoning"/>
    <s v="Chatpata"/>
    <x v="162"/>
    <x v="142"/>
    <x v="2"/>
    <x v="4"/>
    <s v="Factory"/>
    <n v="0"/>
    <n v="250"/>
    <n v="81975"/>
    <m/>
  </r>
  <r>
    <m/>
    <s v="A-185"/>
    <s v="185 Cold"/>
    <s v="Amchur Powder"/>
    <m/>
    <m/>
    <x v="287"/>
    <n v="7"/>
    <n v="1"/>
    <n v="7"/>
    <x v="26"/>
    <s v="Seasoning"/>
    <s v="Amchur"/>
    <x v="163"/>
    <x v="143"/>
    <x v="2"/>
    <x v="4"/>
    <s v="Factory"/>
    <n v="0"/>
    <n v="285"/>
    <n v="1995"/>
    <m/>
  </r>
  <r>
    <m/>
    <s v="A-185"/>
    <s v="185 Cold"/>
    <s v="Roasted &amp; Salted Almonds"/>
    <m/>
    <m/>
    <x v="287"/>
    <n v="12"/>
    <n v="1"/>
    <n v="12"/>
    <x v="23"/>
    <s v="R &amp; S"/>
    <s v="Kernels"/>
    <x v="164"/>
    <x v="144"/>
    <x v="2"/>
    <x v="4"/>
    <s v="Factory"/>
    <n v="0"/>
    <n v="650"/>
    <n v="7800"/>
    <m/>
  </r>
  <r>
    <m/>
    <s v="A-185"/>
    <s v="185 Cold"/>
    <s v="BLACK PEPPER CASHEW"/>
    <m/>
    <m/>
    <x v="287"/>
    <n v="10"/>
    <n v="1"/>
    <n v="10"/>
    <x v="24"/>
    <s v="Black Pepper"/>
    <s v="Kernels"/>
    <x v="165"/>
    <x v="145"/>
    <x v="2"/>
    <x v="4"/>
    <s v="Factory"/>
    <n v="0"/>
    <n v="900"/>
    <n v="9000"/>
    <m/>
  </r>
  <r>
    <m/>
    <s v="A-185"/>
    <s v="185 Cold"/>
    <s v="Roasted &amp; Salted Cashew"/>
    <m/>
    <m/>
    <x v="287"/>
    <n v="10"/>
    <n v="1"/>
    <n v="10"/>
    <x v="24"/>
    <s v="R&amp;S"/>
    <s v="Kernels"/>
    <x v="166"/>
    <x v="146"/>
    <x v="2"/>
    <x v="4"/>
    <s v="Factory"/>
    <n v="0"/>
    <n v="800"/>
    <n v="8000"/>
    <m/>
  </r>
  <r>
    <m/>
    <s v="A-185"/>
    <s v="185 Cold"/>
    <s v="Chatpata Cranberry"/>
    <m/>
    <m/>
    <x v="287"/>
    <n v="31.5"/>
    <n v="1"/>
    <n v="31.5"/>
    <x v="14"/>
    <s v="Chatpata"/>
    <s v="Chatpata"/>
    <x v="167"/>
    <x v="147"/>
    <x v="2"/>
    <x v="4"/>
    <s v="Factory"/>
    <n v="0"/>
    <n v="540"/>
    <n v="17010"/>
    <m/>
  </r>
  <r>
    <m/>
    <s v="A-185"/>
    <s v="185 Cold"/>
    <s v="Fresho Kimia Dates 500 Gm"/>
    <m/>
    <m/>
    <x v="287"/>
    <n v="45"/>
    <n v="1"/>
    <n v="45"/>
    <x v="2"/>
    <s v="Mazafati"/>
    <s v="500gm"/>
    <x v="168"/>
    <x v="148"/>
    <x v="2"/>
    <x v="4"/>
    <s v="Factory"/>
    <n v="0"/>
    <n v="142"/>
    <n v="6390"/>
    <m/>
  </r>
  <r>
    <m/>
    <s v="A-185"/>
    <s v="185 Cold"/>
    <s v="Pan Cranberry"/>
    <m/>
    <m/>
    <x v="287"/>
    <n v="21.8"/>
    <n v="1"/>
    <n v="21.8"/>
    <x v="14"/>
    <s v="Pan"/>
    <s v="Pan"/>
    <x v="169"/>
    <x v="149"/>
    <x v="2"/>
    <x v="4"/>
    <s v="Factory"/>
    <n v="0"/>
    <n v="500"/>
    <n v="10900"/>
    <m/>
  </r>
  <r>
    <m/>
    <s v="A-185"/>
    <s v="185 Cold"/>
    <s v="Pecan Nuts Inshell"/>
    <m/>
    <m/>
    <x v="287"/>
    <n v="90"/>
    <n v="1"/>
    <n v="90"/>
    <x v="13"/>
    <s v="Pecan Inshell"/>
    <s v="Inshell"/>
    <x v="170"/>
    <x v="150"/>
    <x v="2"/>
    <x v="4"/>
    <s v="Factory"/>
    <n v="0"/>
    <n v="464.5"/>
    <n v="41805"/>
    <m/>
  </r>
  <r>
    <m/>
    <s v="A-185"/>
    <s v="185 Cold"/>
    <s v="AL BARAKAH DATES SYRUP"/>
    <m/>
    <m/>
    <x v="287"/>
    <n v="3105"/>
    <n v="1"/>
    <n v="3105"/>
    <x v="5"/>
    <s v="1.15kg x 12"/>
    <s v="13.8Kg"/>
    <x v="171"/>
    <x v="151"/>
    <x v="2"/>
    <x v="4"/>
    <s v="Factory"/>
    <n v="0"/>
    <n v="190"/>
    <n v="589950"/>
    <m/>
  </r>
  <r>
    <m/>
    <s v="A-185"/>
    <s v="185 Cold"/>
    <s v="Butter Seassoning"/>
    <m/>
    <m/>
    <x v="287"/>
    <n v="25"/>
    <n v="1"/>
    <n v="25"/>
    <x v="26"/>
    <s v="seasoning"/>
    <s v="Butter"/>
    <x v="172"/>
    <x v="152"/>
    <x v="2"/>
    <x v="4"/>
    <s v="Factory"/>
    <n v="0"/>
    <n v="255"/>
    <n v="6375"/>
    <m/>
  </r>
  <r>
    <m/>
    <s v="A-185"/>
    <s v="185 Cold"/>
    <s v="Red Kharek Cut"/>
    <s v="Deseeded kharik"/>
    <m/>
    <x v="287"/>
    <n v="80"/>
    <n v="1"/>
    <n v="80"/>
    <x v="1"/>
    <s v="Seedless"/>
    <s v="Kharik"/>
    <x v="6"/>
    <x v="153"/>
    <x v="2"/>
    <x v="4"/>
    <s v="Factory"/>
    <n v="0"/>
    <n v="250"/>
    <n v="20000"/>
    <m/>
  </r>
  <r>
    <m/>
    <s v="A-185"/>
    <s v="185 Cold"/>
    <s v="Hemp Seeds"/>
    <s v="Hemp"/>
    <m/>
    <x v="287"/>
    <n v="60"/>
    <n v="1"/>
    <n v="60"/>
    <x v="22"/>
    <s v="Hemp"/>
    <s v="Seeds"/>
    <x v="173"/>
    <x v="154"/>
    <x v="2"/>
    <x v="4"/>
    <s v="Factory"/>
    <n v="0"/>
    <n v="240"/>
    <n v="14400"/>
    <m/>
  </r>
  <r>
    <m/>
    <s v="A-185"/>
    <s v="185 Cold"/>
    <s v="Lemon Pepper Seasoning"/>
    <m/>
    <m/>
    <x v="287"/>
    <n v="11"/>
    <n v="1"/>
    <n v="11"/>
    <x v="26"/>
    <s v="seasoning"/>
    <s v="Lemon Pepper"/>
    <x v="174"/>
    <x v="155"/>
    <x v="2"/>
    <x v="4"/>
    <s v="Factory"/>
    <n v="0"/>
    <n v="250"/>
    <n v="2750"/>
    <m/>
  </r>
  <r>
    <m/>
    <s v="A-185"/>
    <s v="185 Cold"/>
    <s v="Black Salt, Kala Namak - Crystal"/>
    <m/>
    <m/>
    <x v="287"/>
    <n v="45"/>
    <n v="1"/>
    <n v="45"/>
    <x v="26"/>
    <s v="seasoning"/>
    <s v="Black Salt"/>
    <x v="175"/>
    <x v="156"/>
    <x v="2"/>
    <x v="4"/>
    <s v="Factory"/>
    <n v="0"/>
    <n v="32"/>
    <n v="1440"/>
    <m/>
  </r>
  <r>
    <m/>
    <s v="A-185"/>
    <s v="185 Cold"/>
    <s v="TANGY TOMATO SEASONING"/>
    <m/>
    <m/>
    <x v="287"/>
    <n v="11"/>
    <n v="1"/>
    <n v="11"/>
    <x v="26"/>
    <s v="seasoning"/>
    <s v="Lemon Pepper"/>
    <x v="176"/>
    <x v="157"/>
    <x v="2"/>
    <x v="4"/>
    <s v="Factory"/>
    <n v="0"/>
    <n v="178"/>
    <n v="1958"/>
    <m/>
  </r>
  <r>
    <m/>
    <s v="A-185"/>
    <s v="185 Cold"/>
    <s v="Black Pepper Powder"/>
    <m/>
    <m/>
    <x v="287"/>
    <n v="5"/>
    <n v="1"/>
    <n v="5"/>
    <x v="26"/>
    <s v="seasoning"/>
    <s v="Lemon Pepper"/>
    <x v="177"/>
    <x v="158"/>
    <x v="2"/>
    <x v="4"/>
    <s v="Factory"/>
    <n v="0"/>
    <n v="361.9"/>
    <n v="1809.5"/>
    <m/>
  </r>
  <r>
    <m/>
    <s v="A-185"/>
    <s v="185 Cold"/>
    <s v="AL BARAKAH DATES SYRUP (400G Packing)"/>
    <m/>
    <m/>
    <x v="287"/>
    <n v="684"/>
    <n v="1"/>
    <n v="684"/>
    <x v="5"/>
    <s v="400g x 12"/>
    <s v="4.8g"/>
    <x v="178"/>
    <x v="159"/>
    <x v="2"/>
    <x v="4"/>
    <s v="Factory"/>
    <n v="0"/>
    <n v="216"/>
    <n v="147744"/>
    <m/>
  </r>
  <r>
    <m/>
    <m/>
    <m/>
    <m/>
    <m/>
    <m/>
    <x v="288"/>
    <m/>
    <m/>
    <m/>
    <x v="7"/>
    <m/>
    <m/>
    <x v="58"/>
    <x v="46"/>
    <x v="1"/>
    <x v="1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7558E8-6B64-42D3-9DFB-E6C5C9CF531F}" name="PivotTable28" cacheId="2" applyNumberFormats="0" applyBorderFormats="0" applyFontFormats="0" applyPatternFormats="0" applyAlignmentFormats="0" applyWidthHeightFormats="1" dataCaption="Values" updatedVersion="8" minRefreshableVersion="3" useAutoFormatting="1" createdVersion="5" indent="0" compact="0" compactData="0" gridDropZones="1" multipleFieldFilters="0">
  <location ref="A3:F144" firstHeaderRow="1" firstDataRow="2" firstDataCol="2" rowPageCount="1" colPageCount="1"/>
  <pivotFields count="2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ubtotalTop="0" showAll="0">
      <items count="38">
        <item m="1" x="29"/>
        <item x="17"/>
        <item x="11"/>
        <item x="24"/>
        <item x="14"/>
        <item x="6"/>
        <item x="0"/>
        <item x="5"/>
        <item x="19"/>
        <item x="1"/>
        <item x="2"/>
        <item x="15"/>
        <item m="1" x="34"/>
        <item x="10"/>
        <item x="4"/>
        <item x="27"/>
        <item x="13"/>
        <item x="12"/>
        <item x="3"/>
        <item x="21"/>
        <item x="8"/>
        <item m="1" x="32"/>
        <item m="1" x="31"/>
        <item x="7"/>
        <item x="16"/>
        <item x="23"/>
        <item x="26"/>
        <item m="1" x="30"/>
        <item x="25"/>
        <item m="1" x="36"/>
        <item x="22"/>
        <item x="28"/>
        <item x="18"/>
        <item x="20"/>
        <item m="1" x="35"/>
        <item x="9"/>
        <item m="1" x="33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260">
        <item x="21"/>
        <item x="0"/>
        <item x="41"/>
        <item m="1" x="161"/>
        <item x="116"/>
        <item m="1" x="214"/>
        <item m="1" x="223"/>
        <item x="47"/>
        <item x="93"/>
        <item x="16"/>
        <item x="19"/>
        <item x="44"/>
        <item m="1" x="209"/>
        <item m="1" x="200"/>
        <item x="37"/>
        <item x="7"/>
        <item x="8"/>
        <item x="92"/>
        <item x="10"/>
        <item x="89"/>
        <item x="12"/>
        <item x="18"/>
        <item x="3"/>
        <item m="1" x="185"/>
        <item x="20"/>
        <item x="91"/>
        <item x="43"/>
        <item m="1" x="203"/>
        <item x="90"/>
        <item m="1" x="236"/>
        <item m="1" x="196"/>
        <item x="6"/>
        <item x="81"/>
        <item m="1" x="205"/>
        <item m="1" x="204"/>
        <item m="1" x="206"/>
        <item m="1" x="190"/>
        <item m="1" x="188"/>
        <item x="85"/>
        <item x="50"/>
        <item x="83"/>
        <item x="65"/>
        <item m="1" x="246"/>
        <item x="78"/>
        <item m="1" x="247"/>
        <item x="1"/>
        <item m="1" x="189"/>
        <item x="66"/>
        <item x="61"/>
        <item x="49"/>
        <item x="76"/>
        <item x="64"/>
        <item x="48"/>
        <item x="54"/>
        <item x="56"/>
        <item x="55"/>
        <item x="58"/>
        <item x="84"/>
        <item m="1" x="187"/>
        <item x="57"/>
        <item m="1" x="207"/>
        <item x="52"/>
        <item x="35"/>
        <item x="53"/>
        <item m="1" x="218"/>
        <item x="51"/>
        <item x="39"/>
        <item x="40"/>
        <item x="38"/>
        <item m="1" x="221"/>
        <item x="5"/>
        <item m="1" x="191"/>
        <item m="1" x="195"/>
        <item x="22"/>
        <item x="45"/>
        <item m="1" x="220"/>
        <item x="2"/>
        <item x="17"/>
        <item x="23"/>
        <item x="14"/>
        <item m="1" x="199"/>
        <item m="1" x="193"/>
        <item m="1" x="186"/>
        <item x="15"/>
        <item x="26"/>
        <item x="24"/>
        <item x="27"/>
        <item x="25"/>
        <item m="1" x="183"/>
        <item x="4"/>
        <item x="94"/>
        <item m="1" x="197"/>
        <item x="63"/>
        <item x="46"/>
        <item x="67"/>
        <item x="62"/>
        <item m="1" x="201"/>
        <item x="30"/>
        <item x="31"/>
        <item m="1" x="213"/>
        <item m="1" x="212"/>
        <item x="29"/>
        <item x="36"/>
        <item m="1" x="192"/>
        <item x="9"/>
        <item x="11"/>
        <item m="1" x="194"/>
        <item x="13"/>
        <item x="28"/>
        <item x="32"/>
        <item x="33"/>
        <item m="1" x="211"/>
        <item x="34"/>
        <item m="1" x="198"/>
        <item x="120"/>
        <item x="59"/>
        <item x="87"/>
        <item x="72"/>
        <item x="60"/>
        <item x="79"/>
        <item m="1" x="219"/>
        <item x="70"/>
        <item x="88"/>
        <item m="1" x="238"/>
        <item m="1" x="240"/>
        <item x="97"/>
        <item m="1" x="215"/>
        <item m="1" x="160"/>
        <item m="1" x="241"/>
        <item x="101"/>
        <item m="1" x="242"/>
        <item m="1" x="243"/>
        <item x="102"/>
        <item m="1" x="244"/>
        <item m="1" x="245"/>
        <item x="104"/>
        <item m="1" x="248"/>
        <item x="106"/>
        <item m="1" x="225"/>
        <item m="1" x="249"/>
        <item m="1" x="250"/>
        <item x="107"/>
        <item x="108"/>
        <item x="109"/>
        <item m="1" x="226"/>
        <item x="111"/>
        <item x="112"/>
        <item x="113"/>
        <item x="114"/>
        <item m="1" x="251"/>
        <item x="115"/>
        <item m="1" x="252"/>
        <item x="117"/>
        <item x="118"/>
        <item m="1" x="163"/>
        <item x="121"/>
        <item x="122"/>
        <item x="123"/>
        <item x="124"/>
        <item m="1" x="253"/>
        <item x="125"/>
        <item x="126"/>
        <item m="1" x="181"/>
        <item x="127"/>
        <item x="129"/>
        <item x="130"/>
        <item x="131"/>
        <item x="132"/>
        <item m="1" x="254"/>
        <item m="1" x="227"/>
        <item x="133"/>
        <item x="134"/>
        <item x="135"/>
        <item m="1" x="255"/>
        <item x="139"/>
        <item x="154"/>
        <item m="1" x="256"/>
        <item m="1" x="257"/>
        <item m="1" x="229"/>
        <item m="1" x="230"/>
        <item m="1" x="164"/>
        <item x="141"/>
        <item x="69"/>
        <item m="1" x="165"/>
        <item x="152"/>
        <item m="1" x="258"/>
        <item m="1" x="234"/>
        <item m="1" x="237"/>
        <item x="42"/>
        <item m="1" x="224"/>
        <item m="1" x="239"/>
        <item x="68"/>
        <item x="103"/>
        <item m="1" x="208"/>
        <item x="142"/>
        <item x="143"/>
        <item x="74"/>
        <item m="1" x="210"/>
        <item x="96"/>
        <item m="1" x="217"/>
        <item m="1" x="162"/>
        <item x="105"/>
        <item x="110"/>
        <item x="128"/>
        <item m="1" x="228"/>
        <item x="138"/>
        <item x="140"/>
        <item m="1" x="231"/>
        <item x="144"/>
        <item x="145"/>
        <item m="1" x="167"/>
        <item m="1" x="168"/>
        <item x="146"/>
        <item x="147"/>
        <item x="148"/>
        <item m="1" x="169"/>
        <item m="1" x="171"/>
        <item m="1" x="232"/>
        <item m="1" x="173"/>
        <item m="1" x="174"/>
        <item m="1" x="175"/>
        <item m="1" x="176"/>
        <item m="1" x="177"/>
        <item m="1" x="178"/>
        <item x="149"/>
        <item m="1" x="233"/>
        <item m="1" x="179"/>
        <item m="1" x="180"/>
        <item x="150"/>
        <item x="151"/>
        <item m="1" x="235"/>
        <item x="98"/>
        <item m="1" x="222"/>
        <item x="100"/>
        <item m="1" x="216"/>
        <item m="1" x="166"/>
        <item m="1" x="170"/>
        <item m="1" x="172"/>
        <item x="153"/>
        <item x="95"/>
        <item m="1" x="182"/>
        <item x="71"/>
        <item x="73"/>
        <item x="75"/>
        <item x="77"/>
        <item m="1" x="202"/>
        <item x="136"/>
        <item x="137"/>
        <item x="155"/>
        <item x="80"/>
        <item m="1" x="184"/>
        <item x="86"/>
        <item x="82"/>
        <item x="99"/>
        <item x="119"/>
        <item x="156"/>
        <item x="157"/>
        <item x="158"/>
        <item x="159"/>
        <item t="default"/>
      </items>
    </pivotField>
    <pivotField axis="axisPage" compact="0" outline="0" multipleItemSelectionAllowed="1" showAll="0">
      <items count="5">
        <item h="1" x="0"/>
        <item x="2"/>
        <item h="1" x="1"/>
        <item h="1" m="1" x="3"/>
        <item t="default"/>
      </items>
    </pivotField>
    <pivotField axis="axisCol" compact="0" outline="0" showAll="0">
      <items count="7">
        <item x="4"/>
        <item x="3"/>
        <item x="0"/>
        <item x="2"/>
        <item m="1" x="5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10"/>
    <field x="14"/>
  </rowFields>
  <rowItems count="140">
    <i>
      <x v="1"/>
      <x v="121"/>
    </i>
    <i r="1">
      <x v="191"/>
    </i>
    <i t="default">
      <x v="1"/>
    </i>
    <i>
      <x v="2"/>
      <x v="38"/>
    </i>
    <i r="1">
      <x v="39"/>
    </i>
    <i t="default">
      <x v="2"/>
    </i>
    <i>
      <x v="3"/>
      <x v="209"/>
    </i>
    <i r="1">
      <x v="212"/>
    </i>
    <i r="1">
      <x v="233"/>
    </i>
    <i t="default">
      <x v="3"/>
    </i>
    <i>
      <x v="4"/>
      <x v="40"/>
    </i>
    <i r="1">
      <x v="41"/>
    </i>
    <i r="1">
      <x v="213"/>
    </i>
    <i r="1">
      <x v="224"/>
    </i>
    <i t="default">
      <x v="4"/>
    </i>
    <i>
      <x v="6"/>
      <x v="129"/>
    </i>
    <i t="default">
      <x v="6"/>
    </i>
    <i>
      <x v="7"/>
      <x v="229"/>
    </i>
    <i r="1">
      <x v="258"/>
    </i>
    <i t="default">
      <x v="7"/>
    </i>
    <i>
      <x v="8"/>
      <x v="135"/>
    </i>
    <i r="1">
      <x v="201"/>
    </i>
    <i r="1">
      <x v="241"/>
    </i>
    <i t="default">
      <x v="8"/>
    </i>
    <i>
      <x v="9"/>
      <x v="45"/>
    </i>
    <i r="1">
      <x v="238"/>
    </i>
    <i t="default">
      <x v="9"/>
    </i>
    <i>
      <x v="10"/>
      <x v="19"/>
    </i>
    <i r="1">
      <x v="104"/>
    </i>
    <i r="1">
      <x v="132"/>
    </i>
    <i r="1">
      <x v="192"/>
    </i>
    <i r="1">
      <x v="214"/>
    </i>
    <i t="default">
      <x v="10"/>
    </i>
    <i>
      <x v="11"/>
      <x v="47"/>
    </i>
    <i t="default">
      <x v="11"/>
    </i>
    <i>
      <x v="13"/>
      <x v="49"/>
    </i>
    <i t="default">
      <x v="13"/>
    </i>
    <i>
      <x v="14"/>
      <x v="59"/>
    </i>
    <i r="1">
      <x v="61"/>
    </i>
    <i r="1">
      <x v="62"/>
    </i>
    <i r="1">
      <x v="63"/>
    </i>
    <i r="1">
      <x v="65"/>
    </i>
    <i r="1">
      <x v="66"/>
    </i>
    <i r="1">
      <x v="68"/>
    </i>
    <i t="default">
      <x v="14"/>
    </i>
    <i>
      <x v="15"/>
      <x v="145"/>
    </i>
    <i r="1">
      <x v="146"/>
    </i>
    <i r="1">
      <x v="202"/>
    </i>
    <i t="default">
      <x v="15"/>
    </i>
    <i>
      <x v="16"/>
      <x v="92"/>
    </i>
    <i r="1">
      <x v="228"/>
    </i>
    <i t="default">
      <x v="16"/>
    </i>
    <i>
      <x v="17"/>
      <x v="32"/>
    </i>
    <i r="1">
      <x v="95"/>
    </i>
    <i r="1">
      <x v="147"/>
    </i>
    <i r="1">
      <x v="148"/>
    </i>
    <i t="default">
      <x v="17"/>
    </i>
    <i>
      <x v="18"/>
      <x v="57"/>
    </i>
    <i r="1">
      <x v="84"/>
    </i>
    <i r="1">
      <x v="115"/>
    </i>
    <i r="1">
      <x v="116"/>
    </i>
    <i r="1">
      <x v="117"/>
    </i>
    <i r="1">
      <x v="118"/>
    </i>
    <i r="1">
      <x v="119"/>
    </i>
    <i r="1">
      <x v="242"/>
    </i>
    <i r="1">
      <x v="243"/>
    </i>
    <i r="1">
      <x v="252"/>
    </i>
    <i t="default">
      <x v="18"/>
    </i>
    <i>
      <x v="19"/>
      <x v="43"/>
    </i>
    <i t="default">
      <x v="19"/>
    </i>
    <i>
      <x v="20"/>
      <x v="4"/>
    </i>
    <i r="1">
      <x v="7"/>
    </i>
    <i r="1">
      <x v="48"/>
    </i>
    <i r="1">
      <x v="114"/>
    </i>
    <i r="1">
      <x v="152"/>
    </i>
    <i r="1">
      <x v="153"/>
    </i>
    <i r="1">
      <x v="254"/>
    </i>
    <i t="default">
      <x v="20"/>
    </i>
    <i>
      <x v="24"/>
      <x v="94"/>
    </i>
    <i t="default">
      <x v="24"/>
    </i>
    <i>
      <x v="25"/>
      <x v="125"/>
    </i>
    <i r="1">
      <x v="198"/>
    </i>
    <i r="1">
      <x v="208"/>
    </i>
    <i r="1">
      <x v="231"/>
    </i>
    <i r="1">
      <x v="253"/>
    </i>
    <i t="default">
      <x v="25"/>
    </i>
    <i>
      <x v="26"/>
      <x v="141"/>
    </i>
    <i r="1">
      <x v="142"/>
    </i>
    <i r="1">
      <x v="143"/>
    </i>
    <i r="1">
      <x v="155"/>
    </i>
    <i r="1">
      <x v="156"/>
    </i>
    <i r="1">
      <x v="157"/>
    </i>
    <i r="1">
      <x v="158"/>
    </i>
    <i r="1">
      <x v="160"/>
    </i>
    <i r="1">
      <x v="161"/>
    </i>
    <i r="1">
      <x v="163"/>
    </i>
    <i r="1">
      <x v="164"/>
    </i>
    <i r="1">
      <x v="165"/>
    </i>
    <i r="1">
      <x v="166"/>
    </i>
    <i r="1">
      <x v="167"/>
    </i>
    <i r="1">
      <x v="170"/>
    </i>
    <i r="1">
      <x v="171"/>
    </i>
    <i r="1">
      <x v="172"/>
    </i>
    <i r="1">
      <x v="174"/>
    </i>
    <i r="1">
      <x v="184"/>
    </i>
    <i r="1">
      <x v="194"/>
    </i>
    <i r="1">
      <x v="195"/>
    </i>
    <i r="1">
      <x v="203"/>
    </i>
    <i r="1">
      <x v="205"/>
    </i>
    <i r="1">
      <x v="246"/>
    </i>
    <i r="1">
      <x v="247"/>
    </i>
    <i r="1">
      <x v="248"/>
    </i>
    <i r="1">
      <x v="255"/>
    </i>
    <i r="1">
      <x v="256"/>
    </i>
    <i r="1">
      <x v="257"/>
    </i>
    <i t="default">
      <x v="26"/>
    </i>
    <i>
      <x v="28"/>
      <x v="137"/>
    </i>
    <i t="default">
      <x v="28"/>
    </i>
    <i>
      <x v="30"/>
      <x v="175"/>
    </i>
    <i r="1">
      <x v="249"/>
    </i>
    <i r="1">
      <x v="251"/>
    </i>
    <i t="default">
      <x v="30"/>
    </i>
    <i>
      <x v="31"/>
      <x v="206"/>
    </i>
    <i t="default">
      <x v="31"/>
    </i>
    <i>
      <x v="32"/>
      <x v="181"/>
    </i>
    <i r="1">
      <x v="182"/>
    </i>
    <i t="default">
      <x v="32"/>
    </i>
    <i>
      <x v="33"/>
      <x v="196"/>
    </i>
    <i t="default">
      <x v="33"/>
    </i>
    <i>
      <x v="35"/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150"/>
    </i>
    <i r="1">
      <x v="244"/>
    </i>
    <i t="default">
      <x v="35"/>
    </i>
    <i t="grand">
      <x/>
    </i>
  </rowItems>
  <colFields count="1">
    <field x="16"/>
  </colFields>
  <colItems count="4">
    <i>
      <x/>
    </i>
    <i>
      <x v="2"/>
    </i>
    <i>
      <x v="3"/>
    </i>
    <i t="grand">
      <x/>
    </i>
  </colItems>
  <pageFields count="1">
    <pageField fld="15" hier="0"/>
  </pageFields>
  <dataFields count="1">
    <dataField name="Sum of Total Inventory Kgs" fld="9" baseField="0" baseItem="0"/>
  </dataFields>
  <formats count="166">
    <format dxfId="568">
      <pivotArea type="all" dataOnly="0" outline="0" fieldPosition="0"/>
    </format>
    <format>
      <pivotArea type="all" dataOnly="0" outline="0" fieldPosition="0"/>
    </format>
    <format dxfId="567">
      <pivotArea dataOnly="0" labelOnly="1" fieldPosition="0">
        <references count="1">
          <reference field="10" count="1" defaultSubtotal="1">
            <x v="0"/>
          </reference>
        </references>
      </pivotArea>
    </format>
    <format dxfId="566">
      <pivotArea dataOnly="0" labelOnly="1" fieldPosition="0">
        <references count="1">
          <reference field="10" count="1" defaultSubtotal="1">
            <x v="1"/>
          </reference>
        </references>
      </pivotArea>
    </format>
    <format dxfId="565">
      <pivotArea dataOnly="0" labelOnly="1" fieldPosition="0">
        <references count="1">
          <reference field="10" count="0" defaultSubtotal="1"/>
        </references>
      </pivotArea>
    </format>
    <format dxfId="564">
      <pivotArea dataOnly="0" labelOnly="1" fieldPosition="0">
        <references count="1">
          <reference field="10" count="1" defaultSubtotal="1">
            <x v="2"/>
          </reference>
        </references>
      </pivotArea>
    </format>
    <format dxfId="563">
      <pivotArea dataOnly="0" labelOnly="1" fieldPosition="0">
        <references count="1">
          <reference field="10" count="0" defaultSubtotal="1"/>
        </references>
      </pivotArea>
    </format>
    <format dxfId="562">
      <pivotArea dataOnly="0" labelOnly="1" fieldPosition="0">
        <references count="1">
          <reference field="10" count="1" defaultSubtotal="1">
            <x v="3"/>
          </reference>
        </references>
      </pivotArea>
    </format>
    <format dxfId="561">
      <pivotArea dataOnly="0" labelOnly="1" fieldPosition="0">
        <references count="1">
          <reference field="10" count="1" defaultSubtotal="1">
            <x v="4"/>
          </reference>
        </references>
      </pivotArea>
    </format>
    <format dxfId="560">
      <pivotArea dataOnly="0" labelOnly="1" fieldPosition="0">
        <references count="1">
          <reference field="10" count="1" defaultSubtotal="1">
            <x v="8"/>
          </reference>
        </references>
      </pivotArea>
    </format>
    <format dxfId="559">
      <pivotArea dataOnly="0" labelOnly="1" fieldPosition="0">
        <references count="1">
          <reference field="10" count="1" defaultSubtotal="1">
            <x v="10"/>
          </reference>
        </references>
      </pivotArea>
    </format>
    <format dxfId="558">
      <pivotArea dataOnly="0" labelOnly="1" fieldPosition="0">
        <references count="1">
          <reference field="10" count="1" defaultSubtotal="1">
            <x v="11"/>
          </reference>
        </references>
      </pivotArea>
    </format>
    <format dxfId="557">
      <pivotArea dataOnly="0" labelOnly="1" fieldPosition="0">
        <references count="1">
          <reference field="10" count="1" defaultSubtotal="1">
            <x v="12"/>
          </reference>
        </references>
      </pivotArea>
    </format>
    <format dxfId="556">
      <pivotArea dataOnly="0" labelOnly="1" fieldPosition="0">
        <references count="1">
          <reference field="10" count="1" defaultSubtotal="1">
            <x v="13"/>
          </reference>
        </references>
      </pivotArea>
    </format>
    <format dxfId="555">
      <pivotArea dataOnly="0" labelOnly="1" fieldPosition="0">
        <references count="1">
          <reference field="10" count="1" defaultSubtotal="1">
            <x v="14"/>
          </reference>
        </references>
      </pivotArea>
    </format>
    <format dxfId="554">
      <pivotArea dataOnly="0" labelOnly="1" fieldPosition="0">
        <references count="1">
          <reference field="10" count="1" defaultSubtotal="1">
            <x v="15"/>
          </reference>
        </references>
      </pivotArea>
    </format>
    <format dxfId="553">
      <pivotArea dataOnly="0" labelOnly="1" fieldPosition="0">
        <references count="1">
          <reference field="10" count="1" defaultSubtotal="1">
            <x v="16"/>
          </reference>
        </references>
      </pivotArea>
    </format>
    <format dxfId="552">
      <pivotArea dataOnly="0" labelOnly="1" fieldPosition="0">
        <references count="1">
          <reference field="10" count="1" defaultSubtotal="1">
            <x v="17"/>
          </reference>
        </references>
      </pivotArea>
    </format>
    <format dxfId="551">
      <pivotArea dataOnly="0" labelOnly="1" fieldPosition="0">
        <references count="1">
          <reference field="10" count="1" defaultSubtotal="1">
            <x v="18"/>
          </reference>
        </references>
      </pivotArea>
    </format>
    <format dxfId="550">
      <pivotArea dataOnly="0" labelOnly="1" fieldPosition="0">
        <references count="1">
          <reference field="10" count="1" defaultSubtotal="1">
            <x v="19"/>
          </reference>
        </references>
      </pivotArea>
    </format>
    <format dxfId="549">
      <pivotArea dataOnly="0" labelOnly="1" fieldPosition="0">
        <references count="1">
          <reference field="10" count="1" defaultSubtotal="1">
            <x v="20"/>
          </reference>
        </references>
      </pivotArea>
    </format>
    <format dxfId="548">
      <pivotArea dataOnly="0" labelOnly="1" fieldPosition="0">
        <references count="1">
          <reference field="10" count="1" defaultSubtotal="1">
            <x v="21"/>
          </reference>
        </references>
      </pivotArea>
    </format>
    <format dxfId="547">
      <pivotArea dataOnly="0" labelOnly="1" fieldPosition="0">
        <references count="1">
          <reference field="10" count="0" defaultSubtotal="1"/>
        </references>
      </pivotArea>
    </format>
    <format dxfId="546">
      <pivotArea dataOnly="0" labelOnly="1" fieldPosition="0">
        <references count="1">
          <reference field="10" count="1" defaultSubtotal="1">
            <x v="22"/>
          </reference>
        </references>
      </pivotArea>
    </format>
    <format dxfId="545">
      <pivotArea collapsedLevelsAreSubtotals="1" fieldPosition="0">
        <references count="1">
          <reference field="10" count="1" selected="0" defaultSubtotal="1">
            <x v="0"/>
          </reference>
        </references>
      </pivotArea>
    </format>
    <format dxfId="544">
      <pivotArea collapsedLevelsAreSubtotals="1" fieldPosition="0">
        <references count="1">
          <reference field="10" count="1" selected="0" defaultSubtotal="1">
            <x v="1"/>
          </reference>
        </references>
      </pivotArea>
    </format>
    <format dxfId="543">
      <pivotArea collapsedLevelsAreSubtotals="1" fieldPosition="0">
        <references count="1">
          <reference field="10" count="0" selected="0" defaultSubtotal="1"/>
        </references>
      </pivotArea>
    </format>
    <format dxfId="542">
      <pivotArea collapsedLevelsAreSubtotals="1" fieldPosition="0">
        <references count="1">
          <reference field="10" count="1" selected="0" defaultSubtotal="1">
            <x v="2"/>
          </reference>
        </references>
      </pivotArea>
    </format>
    <format dxfId="541">
      <pivotArea collapsedLevelsAreSubtotals="1" fieldPosition="0">
        <references count="1">
          <reference field="10" count="0" selected="0" defaultSubtotal="1"/>
        </references>
      </pivotArea>
    </format>
    <format dxfId="540">
      <pivotArea collapsedLevelsAreSubtotals="1" fieldPosition="0">
        <references count="1">
          <reference field="10" count="1" selected="0" defaultSubtotal="1">
            <x v="3"/>
          </reference>
        </references>
      </pivotArea>
    </format>
    <format dxfId="539">
      <pivotArea collapsedLevelsAreSubtotals="1" fieldPosition="0">
        <references count="1">
          <reference field="10" count="1" selected="0" defaultSubtotal="1">
            <x v="4"/>
          </reference>
        </references>
      </pivotArea>
    </format>
    <format dxfId="538">
      <pivotArea collapsedLevelsAreSubtotals="1" fieldPosition="0">
        <references count="1">
          <reference field="10" count="1" selected="0" defaultSubtotal="1">
            <x v="8"/>
          </reference>
        </references>
      </pivotArea>
    </format>
    <format dxfId="537">
      <pivotArea collapsedLevelsAreSubtotals="1" fieldPosition="0">
        <references count="1">
          <reference field="10" count="1" selected="0" defaultSubtotal="1">
            <x v="10"/>
          </reference>
        </references>
      </pivotArea>
    </format>
    <format dxfId="536">
      <pivotArea collapsedLevelsAreSubtotals="1" fieldPosition="0">
        <references count="1">
          <reference field="10" count="1" selected="0" defaultSubtotal="1">
            <x v="11"/>
          </reference>
        </references>
      </pivotArea>
    </format>
    <format dxfId="535">
      <pivotArea collapsedLevelsAreSubtotals="1" fieldPosition="0">
        <references count="1">
          <reference field="10" count="1" selected="0" defaultSubtotal="1">
            <x v="12"/>
          </reference>
        </references>
      </pivotArea>
    </format>
    <format dxfId="534">
      <pivotArea collapsedLevelsAreSubtotals="1" fieldPosition="0">
        <references count="1">
          <reference field="10" count="1" selected="0" defaultSubtotal="1">
            <x v="13"/>
          </reference>
        </references>
      </pivotArea>
    </format>
    <format dxfId="533">
      <pivotArea collapsedLevelsAreSubtotals="1" fieldPosition="0">
        <references count="1">
          <reference field="10" count="1" selected="0" defaultSubtotal="1">
            <x v="14"/>
          </reference>
        </references>
      </pivotArea>
    </format>
    <format dxfId="532">
      <pivotArea collapsedLevelsAreSubtotals="1" fieldPosition="0">
        <references count="1">
          <reference field="10" count="1" selected="0" defaultSubtotal="1">
            <x v="15"/>
          </reference>
        </references>
      </pivotArea>
    </format>
    <format dxfId="531">
      <pivotArea collapsedLevelsAreSubtotals="1" fieldPosition="0">
        <references count="1">
          <reference field="10" count="1" selected="0" defaultSubtotal="1">
            <x v="16"/>
          </reference>
        </references>
      </pivotArea>
    </format>
    <format dxfId="530">
      <pivotArea collapsedLevelsAreSubtotals="1" fieldPosition="0">
        <references count="1">
          <reference field="10" count="1" selected="0" defaultSubtotal="1">
            <x v="17"/>
          </reference>
        </references>
      </pivotArea>
    </format>
    <format dxfId="529">
      <pivotArea collapsedLevelsAreSubtotals="1" fieldPosition="0">
        <references count="1">
          <reference field="10" count="1" selected="0" defaultSubtotal="1">
            <x v="18"/>
          </reference>
        </references>
      </pivotArea>
    </format>
    <format dxfId="528">
      <pivotArea collapsedLevelsAreSubtotals="1" fieldPosition="0">
        <references count="1">
          <reference field="10" count="1" selected="0" defaultSubtotal="1">
            <x v="19"/>
          </reference>
        </references>
      </pivotArea>
    </format>
    <format dxfId="527">
      <pivotArea collapsedLevelsAreSubtotals="1" fieldPosition="0">
        <references count="1">
          <reference field="10" count="1" selected="0" defaultSubtotal="1">
            <x v="20"/>
          </reference>
        </references>
      </pivotArea>
    </format>
    <format dxfId="526">
      <pivotArea collapsedLevelsAreSubtotals="1" fieldPosition="0">
        <references count="1">
          <reference field="10" count="1" selected="0" defaultSubtotal="1">
            <x v="21"/>
          </reference>
        </references>
      </pivotArea>
    </format>
    <format dxfId="525">
      <pivotArea collapsedLevelsAreSubtotals="1" fieldPosition="0">
        <references count="1">
          <reference field="10" count="0" selected="0" defaultSubtotal="1"/>
        </references>
      </pivotArea>
    </format>
    <format dxfId="524">
      <pivotArea collapsedLevelsAreSubtotals="1" fieldPosition="0">
        <references count="1">
          <reference field="10" count="1" selected="0" defaultSubtotal="1">
            <x v="22"/>
          </reference>
        </references>
      </pivotArea>
    </format>
    <format dxfId="523">
      <pivotArea dataOnly="0" labelOnly="1" fieldPosition="0">
        <references count="1">
          <reference field="10" count="1" defaultSubtotal="1">
            <x v="0"/>
          </reference>
        </references>
      </pivotArea>
    </format>
    <format dxfId="522">
      <pivotArea dataOnly="0" labelOnly="1" fieldPosition="0">
        <references count="1">
          <reference field="10" count="1" defaultSubtotal="1">
            <x v="1"/>
          </reference>
        </references>
      </pivotArea>
    </format>
    <format dxfId="521">
      <pivotArea dataOnly="0" labelOnly="1" fieldPosition="0">
        <references count="1">
          <reference field="10" count="0" defaultSubtotal="1"/>
        </references>
      </pivotArea>
    </format>
    <format dxfId="520">
      <pivotArea dataOnly="0" labelOnly="1" fieldPosition="0">
        <references count="1">
          <reference field="10" count="1" defaultSubtotal="1">
            <x v="2"/>
          </reference>
        </references>
      </pivotArea>
    </format>
    <format dxfId="519">
      <pivotArea dataOnly="0" labelOnly="1" fieldPosition="0">
        <references count="1">
          <reference field="10" count="0" defaultSubtotal="1"/>
        </references>
      </pivotArea>
    </format>
    <format dxfId="518">
      <pivotArea dataOnly="0" labelOnly="1" fieldPosition="0">
        <references count="1">
          <reference field="10" count="1" defaultSubtotal="1">
            <x v="3"/>
          </reference>
        </references>
      </pivotArea>
    </format>
    <format dxfId="517">
      <pivotArea dataOnly="0" labelOnly="1" fieldPosition="0">
        <references count="1">
          <reference field="10" count="1" defaultSubtotal="1">
            <x v="4"/>
          </reference>
        </references>
      </pivotArea>
    </format>
    <format dxfId="516">
      <pivotArea dataOnly="0" labelOnly="1" fieldPosition="0">
        <references count="1">
          <reference field="10" count="1" defaultSubtotal="1">
            <x v="8"/>
          </reference>
        </references>
      </pivotArea>
    </format>
    <format dxfId="515">
      <pivotArea dataOnly="0" labelOnly="1" fieldPosition="0">
        <references count="1">
          <reference field="10" count="1" defaultSubtotal="1">
            <x v="10"/>
          </reference>
        </references>
      </pivotArea>
    </format>
    <format dxfId="514">
      <pivotArea dataOnly="0" labelOnly="1" fieldPosition="0">
        <references count="1">
          <reference field="10" count="1" defaultSubtotal="1">
            <x v="11"/>
          </reference>
        </references>
      </pivotArea>
    </format>
    <format dxfId="513">
      <pivotArea dataOnly="0" labelOnly="1" fieldPosition="0">
        <references count="1">
          <reference field="10" count="1" defaultSubtotal="1">
            <x v="12"/>
          </reference>
        </references>
      </pivotArea>
    </format>
    <format dxfId="512">
      <pivotArea dataOnly="0" labelOnly="1" fieldPosition="0">
        <references count="1">
          <reference field="10" count="1" defaultSubtotal="1">
            <x v="13"/>
          </reference>
        </references>
      </pivotArea>
    </format>
    <format dxfId="511">
      <pivotArea dataOnly="0" labelOnly="1" fieldPosition="0">
        <references count="1">
          <reference field="10" count="1" defaultSubtotal="1">
            <x v="14"/>
          </reference>
        </references>
      </pivotArea>
    </format>
    <format dxfId="510">
      <pivotArea dataOnly="0" labelOnly="1" fieldPosition="0">
        <references count="1">
          <reference field="10" count="1" defaultSubtotal="1">
            <x v="15"/>
          </reference>
        </references>
      </pivotArea>
    </format>
    <format dxfId="509">
      <pivotArea dataOnly="0" labelOnly="1" fieldPosition="0">
        <references count="1">
          <reference field="10" count="1" defaultSubtotal="1">
            <x v="16"/>
          </reference>
        </references>
      </pivotArea>
    </format>
    <format dxfId="508">
      <pivotArea dataOnly="0" labelOnly="1" fieldPosition="0">
        <references count="1">
          <reference field="10" count="1" defaultSubtotal="1">
            <x v="17"/>
          </reference>
        </references>
      </pivotArea>
    </format>
    <format dxfId="507">
      <pivotArea dataOnly="0" labelOnly="1" fieldPosition="0">
        <references count="1">
          <reference field="10" count="1" defaultSubtotal="1">
            <x v="18"/>
          </reference>
        </references>
      </pivotArea>
    </format>
    <format dxfId="506">
      <pivotArea dataOnly="0" labelOnly="1" fieldPosition="0">
        <references count="1">
          <reference field="10" count="1" defaultSubtotal="1">
            <x v="19"/>
          </reference>
        </references>
      </pivotArea>
    </format>
    <format dxfId="505">
      <pivotArea dataOnly="0" labelOnly="1" fieldPosition="0">
        <references count="1">
          <reference field="10" count="1" defaultSubtotal="1">
            <x v="20"/>
          </reference>
        </references>
      </pivotArea>
    </format>
    <format dxfId="504">
      <pivotArea dataOnly="0" labelOnly="1" fieldPosition="0">
        <references count="1">
          <reference field="10" count="1" defaultSubtotal="1">
            <x v="21"/>
          </reference>
        </references>
      </pivotArea>
    </format>
    <format dxfId="503">
      <pivotArea dataOnly="0" labelOnly="1" fieldPosition="0">
        <references count="1">
          <reference field="10" count="0" defaultSubtotal="1"/>
        </references>
      </pivotArea>
    </format>
    <format dxfId="502">
      <pivotArea dataOnly="0" labelOnly="1" fieldPosition="0">
        <references count="1">
          <reference field="10" count="1" defaultSubtotal="1">
            <x v="22"/>
          </reference>
        </references>
      </pivotArea>
    </format>
    <format dxfId="501">
      <pivotArea collapsedLevelsAreSubtotals="1" fieldPosition="0">
        <references count="1">
          <reference field="10" count="1" selected="0" defaultSubtotal="1">
            <x v="0"/>
          </reference>
        </references>
      </pivotArea>
    </format>
    <format dxfId="500">
      <pivotArea collapsedLevelsAreSubtotals="1" fieldPosition="0">
        <references count="1">
          <reference field="10" count="1" selected="0" defaultSubtotal="1">
            <x v="1"/>
          </reference>
        </references>
      </pivotArea>
    </format>
    <format dxfId="499">
      <pivotArea collapsedLevelsAreSubtotals="1" fieldPosition="0">
        <references count="1">
          <reference field="10" count="0" selected="0" defaultSubtotal="1"/>
        </references>
      </pivotArea>
    </format>
    <format dxfId="498">
      <pivotArea collapsedLevelsAreSubtotals="1" fieldPosition="0">
        <references count="1">
          <reference field="10" count="1" selected="0" defaultSubtotal="1">
            <x v="2"/>
          </reference>
        </references>
      </pivotArea>
    </format>
    <format dxfId="497">
      <pivotArea collapsedLevelsAreSubtotals="1" fieldPosition="0">
        <references count="1">
          <reference field="10" count="0" selected="0" defaultSubtotal="1"/>
        </references>
      </pivotArea>
    </format>
    <format dxfId="496">
      <pivotArea collapsedLevelsAreSubtotals="1" fieldPosition="0">
        <references count="1">
          <reference field="10" count="1" selected="0" defaultSubtotal="1">
            <x v="3"/>
          </reference>
        </references>
      </pivotArea>
    </format>
    <format dxfId="495">
      <pivotArea collapsedLevelsAreSubtotals="1" fieldPosition="0">
        <references count="1">
          <reference field="10" count="1" selected="0" defaultSubtotal="1">
            <x v="4"/>
          </reference>
        </references>
      </pivotArea>
    </format>
    <format dxfId="494">
      <pivotArea collapsedLevelsAreSubtotals="1" fieldPosition="0">
        <references count="1">
          <reference field="10" count="1" selected="0" defaultSubtotal="1">
            <x v="8"/>
          </reference>
        </references>
      </pivotArea>
    </format>
    <format dxfId="493">
      <pivotArea collapsedLevelsAreSubtotals="1" fieldPosition="0">
        <references count="1">
          <reference field="10" count="1" selected="0" defaultSubtotal="1">
            <x v="10"/>
          </reference>
        </references>
      </pivotArea>
    </format>
    <format dxfId="492">
      <pivotArea collapsedLevelsAreSubtotals="1" fieldPosition="0">
        <references count="1">
          <reference field="10" count="1" selected="0" defaultSubtotal="1">
            <x v="11"/>
          </reference>
        </references>
      </pivotArea>
    </format>
    <format dxfId="491">
      <pivotArea collapsedLevelsAreSubtotals="1" fieldPosition="0">
        <references count="1">
          <reference field="10" count="1" selected="0" defaultSubtotal="1">
            <x v="12"/>
          </reference>
        </references>
      </pivotArea>
    </format>
    <format dxfId="490">
      <pivotArea collapsedLevelsAreSubtotals="1" fieldPosition="0">
        <references count="1">
          <reference field="10" count="1" selected="0" defaultSubtotal="1">
            <x v="13"/>
          </reference>
        </references>
      </pivotArea>
    </format>
    <format dxfId="489">
      <pivotArea collapsedLevelsAreSubtotals="1" fieldPosition="0">
        <references count="1">
          <reference field="10" count="1" selected="0" defaultSubtotal="1">
            <x v="14"/>
          </reference>
        </references>
      </pivotArea>
    </format>
    <format dxfId="488">
      <pivotArea collapsedLevelsAreSubtotals="1" fieldPosition="0">
        <references count="1">
          <reference field="10" count="1" selected="0" defaultSubtotal="1">
            <x v="15"/>
          </reference>
        </references>
      </pivotArea>
    </format>
    <format dxfId="487">
      <pivotArea collapsedLevelsAreSubtotals="1" fieldPosition="0">
        <references count="1">
          <reference field="10" count="1" selected="0" defaultSubtotal="1">
            <x v="16"/>
          </reference>
        </references>
      </pivotArea>
    </format>
    <format dxfId="486">
      <pivotArea collapsedLevelsAreSubtotals="1" fieldPosition="0">
        <references count="1">
          <reference field="10" count="1" selected="0" defaultSubtotal="1">
            <x v="17"/>
          </reference>
        </references>
      </pivotArea>
    </format>
    <format dxfId="485">
      <pivotArea collapsedLevelsAreSubtotals="1" fieldPosition="0">
        <references count="1">
          <reference field="10" count="1" selected="0" defaultSubtotal="1">
            <x v="18"/>
          </reference>
        </references>
      </pivotArea>
    </format>
    <format dxfId="484">
      <pivotArea collapsedLevelsAreSubtotals="1" fieldPosition="0">
        <references count="1">
          <reference field="10" count="1" selected="0" defaultSubtotal="1">
            <x v="19"/>
          </reference>
        </references>
      </pivotArea>
    </format>
    <format dxfId="483">
      <pivotArea collapsedLevelsAreSubtotals="1" fieldPosition="0">
        <references count="1">
          <reference field="10" count="1" selected="0" defaultSubtotal="1">
            <x v="20"/>
          </reference>
        </references>
      </pivotArea>
    </format>
    <format dxfId="482">
      <pivotArea collapsedLevelsAreSubtotals="1" fieldPosition="0">
        <references count="1">
          <reference field="10" count="1" selected="0" defaultSubtotal="1">
            <x v="21"/>
          </reference>
        </references>
      </pivotArea>
    </format>
    <format dxfId="481">
      <pivotArea collapsedLevelsAreSubtotals="1" fieldPosition="0">
        <references count="1">
          <reference field="10" count="0" selected="0" defaultSubtotal="1"/>
        </references>
      </pivotArea>
    </format>
    <format dxfId="480">
      <pivotArea collapsedLevelsAreSubtotals="1" fieldPosition="0">
        <references count="1">
          <reference field="10" count="1" selected="0" defaultSubtotal="1">
            <x v="22"/>
          </reference>
        </references>
      </pivotArea>
    </format>
    <format dxfId="479">
      <pivotArea collapsedLevelsAreSubtotals="1" fieldPosition="0"/>
    </format>
    <format dxfId="478">
      <pivotArea collapsedLevelsAreSubtotals="1" fieldPosition="0"/>
    </format>
    <format dxfId="477">
      <pivotArea collapsedLevelsAreSubtotals="1" fieldPosition="0"/>
    </format>
    <format dxfId="476">
      <pivotArea type="all" dataOnly="0" outline="0" fieldPosition="0"/>
    </format>
    <format dxfId="475">
      <pivotArea outline="0" collapsedLevelsAreSubtotals="1" fieldPosition="0"/>
    </format>
    <format dxfId="474">
      <pivotArea type="origin" dataOnly="0" labelOnly="1" outline="0" fieldPosition="0"/>
    </format>
    <format dxfId="473">
      <pivotArea field="10" type="button" dataOnly="0" labelOnly="1" outline="0" axis="axisRow" fieldPosition="0"/>
    </format>
    <format dxfId="472">
      <pivotArea field="14" type="button" dataOnly="0" labelOnly="1" outline="0" axis="axisRow" fieldPosition="1"/>
    </format>
    <format dxfId="471">
      <pivotArea dataOnly="0" labelOnly="1" outline="0" fieldPosition="0">
        <references count="1">
          <reference field="10" count="20">
            <x v="0"/>
            <x v="1"/>
            <x v="2"/>
            <x v="3"/>
            <x v="4"/>
            <x v="8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</reference>
        </references>
      </pivotArea>
    </format>
    <format dxfId="470">
      <pivotArea dataOnly="0" labelOnly="1" outline="0" fieldPosition="0">
        <references count="1">
          <reference field="10" count="20" defaultSubtotal="1">
            <x v="0"/>
            <x v="1"/>
            <x v="2"/>
            <x v="3"/>
            <x v="4"/>
            <x v="8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</reference>
        </references>
      </pivotArea>
    </format>
    <format dxfId="469">
      <pivotArea dataOnly="0" labelOnly="1" grandRow="1" outline="0" fieldPosition="0"/>
    </format>
    <format dxfId="468">
      <pivotArea dataOnly="0" labelOnly="1" outline="0" fieldPosition="0">
        <references count="2">
          <reference field="10" count="1" selected="0">
            <x v="0"/>
          </reference>
          <reference field="14" count="1">
            <x v="29"/>
          </reference>
        </references>
      </pivotArea>
    </format>
    <format dxfId="467">
      <pivotArea dataOnly="0" labelOnly="1" outline="0" fieldPosition="0">
        <references count="2">
          <reference field="10" count="1" selected="0">
            <x v="1"/>
          </reference>
          <reference field="14" count="1">
            <x v="3"/>
          </reference>
        </references>
      </pivotArea>
    </format>
    <format dxfId="466">
      <pivotArea dataOnly="0" labelOnly="1" outline="0" fieldPosition="0">
        <references count="2">
          <reference field="10" count="1" selected="0">
            <x v="2"/>
          </reference>
          <reference field="14" count="2">
            <x v="38"/>
            <x v="39"/>
          </reference>
        </references>
      </pivotArea>
    </format>
    <format dxfId="465">
      <pivotArea dataOnly="0" labelOnly="1" outline="0" fieldPosition="0">
        <references count="2">
          <reference field="10" count="1" selected="0">
            <x v="3"/>
          </reference>
          <reference field="14" count="3">
            <x v="33"/>
            <x v="34"/>
            <x v="35"/>
          </reference>
        </references>
      </pivotArea>
    </format>
    <format dxfId="464">
      <pivotArea dataOnly="0" labelOnly="1" outline="0" fieldPosition="0">
        <references count="2">
          <reference field="10" count="1" selected="0">
            <x v="4"/>
          </reference>
          <reference field="14" count="2">
            <x v="40"/>
            <x v="41"/>
          </reference>
        </references>
      </pivotArea>
    </format>
    <format dxfId="463">
      <pivotArea dataOnly="0" labelOnly="1" outline="0" fieldPosition="0">
        <references count="2">
          <reference field="10" count="1" selected="0">
            <x v="8"/>
          </reference>
          <reference field="14" count="6">
            <x v="36"/>
            <x v="37"/>
            <x v="42"/>
            <x v="44"/>
            <x v="46"/>
            <x v="58"/>
          </reference>
        </references>
      </pivotArea>
    </format>
    <format dxfId="462">
      <pivotArea dataOnly="0" labelOnly="1" outline="0" fieldPosition="0">
        <references count="2">
          <reference field="10" count="1" selected="0">
            <x v="10"/>
          </reference>
          <reference field="14" count="3">
            <x v="16"/>
            <x v="79"/>
            <x v="91"/>
          </reference>
        </references>
      </pivotArea>
    </format>
    <format dxfId="461">
      <pivotArea dataOnly="0" labelOnly="1" outline="0" fieldPosition="0">
        <references count="2">
          <reference field="10" count="1" selected="0">
            <x v="11"/>
          </reference>
          <reference field="14" count="1">
            <x v="47"/>
          </reference>
        </references>
      </pivotArea>
    </format>
    <format dxfId="460">
      <pivotArea dataOnly="0" labelOnly="1" outline="0" fieldPosition="0">
        <references count="2">
          <reference field="10" count="1" selected="0">
            <x v="12"/>
          </reference>
          <reference field="14" count="6">
            <x v="51"/>
            <x v="52"/>
            <x v="53"/>
            <x v="54"/>
            <x v="55"/>
            <x v="56"/>
          </reference>
        </references>
      </pivotArea>
    </format>
    <format dxfId="459">
      <pivotArea dataOnly="0" labelOnly="1" outline="0" fieldPosition="0">
        <references count="2">
          <reference field="10" count="1" selected="0">
            <x v="13"/>
          </reference>
          <reference field="14" count="1">
            <x v="49"/>
          </reference>
        </references>
      </pivotArea>
    </format>
    <format dxfId="458">
      <pivotArea dataOnly="0" labelOnly="1" outline="0" fieldPosition="0">
        <references count="2">
          <reference field="10" count="1" selected="0">
            <x v="14"/>
          </reference>
          <reference field="14" count="9">
            <x v="59"/>
            <x v="61"/>
            <x v="62"/>
            <x v="63"/>
            <x v="64"/>
            <x v="65"/>
            <x v="66"/>
            <x v="67"/>
            <x v="68"/>
          </reference>
        </references>
      </pivotArea>
    </format>
    <format dxfId="457">
      <pivotArea dataOnly="0" labelOnly="1" outline="0" fieldPosition="0">
        <references count="2">
          <reference field="10" count="1" selected="0">
            <x v="16"/>
          </reference>
          <reference field="14" count="1">
            <x v="92"/>
          </reference>
        </references>
      </pivotArea>
    </format>
    <format dxfId="456">
      <pivotArea dataOnly="0" labelOnly="1" outline="0" fieldPosition="0">
        <references count="2">
          <reference field="10" count="1" selected="0">
            <x v="17"/>
          </reference>
          <reference field="14" count="1">
            <x v="32"/>
          </reference>
        </references>
      </pivotArea>
    </format>
    <format dxfId="455">
      <pivotArea dataOnly="0" labelOnly="1" outline="0" fieldPosition="0">
        <references count="2">
          <reference field="10" count="1" selected="0">
            <x v="18"/>
          </reference>
          <reference field="14" count="7">
            <x v="57"/>
            <x v="83"/>
            <x v="84"/>
            <x v="85"/>
            <x v="86"/>
            <x v="87"/>
            <x v="88"/>
          </reference>
        </references>
      </pivotArea>
    </format>
    <format dxfId="454">
      <pivotArea dataOnly="0" labelOnly="1" outline="0" fieldPosition="0">
        <references count="2">
          <reference field="10" count="1" selected="0">
            <x v="19"/>
          </reference>
          <reference field="14" count="1">
            <x v="43"/>
          </reference>
        </references>
      </pivotArea>
    </format>
    <format dxfId="453">
      <pivotArea dataOnly="0" labelOnly="1" outline="0" fieldPosition="0">
        <references count="2">
          <reference field="10" count="1" selected="0">
            <x v="20"/>
          </reference>
          <reference field="14" count="5">
            <x v="4"/>
            <x v="5"/>
            <x v="6"/>
            <x v="7"/>
            <x v="48"/>
          </reference>
        </references>
      </pivotArea>
    </format>
    <format dxfId="452">
      <pivotArea dataOnly="0" labelOnly="1" outline="0" fieldPosition="0">
        <references count="2">
          <reference field="10" count="1" selected="0">
            <x v="21"/>
          </reference>
          <reference field="14" count="1">
            <x v="60"/>
          </reference>
        </references>
      </pivotArea>
    </format>
    <format dxfId="451">
      <pivotArea dataOnly="0" labelOnly="1" outline="0" fieldPosition="0">
        <references count="2">
          <reference field="10" count="1" selected="0">
            <x v="22"/>
          </reference>
          <reference field="14" count="1">
            <x v="71"/>
          </reference>
        </references>
      </pivotArea>
    </format>
    <format dxfId="450">
      <pivotArea dataOnly="0" labelOnly="1" outline="0" fieldPosition="0">
        <references count="2">
          <reference field="10" count="1" selected="0">
            <x v="24"/>
          </reference>
          <reference field="14" count="1">
            <x v="94"/>
          </reference>
        </references>
      </pivotArea>
    </format>
    <format dxfId="449">
      <pivotArea type="topRight" dataOnly="0" labelOnly="1" outline="0" fieldPosition="0"/>
    </format>
    <format dxfId="448">
      <pivotArea type="all" dataOnly="0" outline="0" fieldPosition="0"/>
    </format>
    <format dxfId="447">
      <pivotArea outline="0" collapsedLevelsAreSubtotals="1" fieldPosition="0"/>
    </format>
    <format dxfId="446">
      <pivotArea type="origin" dataOnly="0" labelOnly="1" outline="0" fieldPosition="0"/>
    </format>
    <format dxfId="445">
      <pivotArea field="16" type="button" dataOnly="0" labelOnly="1" outline="0" axis="axisCol" fieldPosition="0"/>
    </format>
    <format dxfId="444">
      <pivotArea type="topRight" dataOnly="0" labelOnly="1" outline="0" fieldPosition="0"/>
    </format>
    <format dxfId="443">
      <pivotArea field="10" type="button" dataOnly="0" labelOnly="1" outline="0" axis="axisRow" fieldPosition="0"/>
    </format>
    <format dxfId="442">
      <pivotArea field="14" type="button" dataOnly="0" labelOnly="1" outline="0" axis="axisRow" fieldPosition="1"/>
    </format>
    <format dxfId="441">
      <pivotArea dataOnly="0" labelOnly="1" outline="0" fieldPosition="0">
        <references count="1">
          <reference field="10" count="25">
            <x v="0"/>
            <x v="1"/>
            <x v="2"/>
            <x v="3"/>
            <x v="4"/>
            <x v="6"/>
            <x v="7"/>
            <x v="8"/>
            <x v="9"/>
            <x v="10"/>
            <x v="11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</reference>
        </references>
      </pivotArea>
    </format>
    <format dxfId="440">
      <pivotArea dataOnly="0" labelOnly="1" outline="0" fieldPosition="0">
        <references count="1">
          <reference field="10" count="25" defaultSubtotal="1">
            <x v="0"/>
            <x v="1"/>
            <x v="2"/>
            <x v="3"/>
            <x v="4"/>
            <x v="6"/>
            <x v="7"/>
            <x v="8"/>
            <x v="9"/>
            <x v="10"/>
            <x v="11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</reference>
        </references>
      </pivotArea>
    </format>
    <format dxfId="439">
      <pivotArea dataOnly="0" labelOnly="1" outline="0" fieldPosition="0">
        <references count="1">
          <reference field="10" count="6">
            <x v="28"/>
            <x v="30"/>
            <x v="31"/>
            <x v="32"/>
            <x v="33"/>
            <x v="35"/>
          </reference>
        </references>
      </pivotArea>
    </format>
    <format dxfId="438">
      <pivotArea dataOnly="0" labelOnly="1" outline="0" fieldPosition="0">
        <references count="1">
          <reference field="10" count="6" defaultSubtotal="1">
            <x v="28"/>
            <x v="30"/>
            <x v="31"/>
            <x v="32"/>
            <x v="33"/>
            <x v="35"/>
          </reference>
        </references>
      </pivotArea>
    </format>
    <format dxfId="437">
      <pivotArea dataOnly="0" labelOnly="1" grandRow="1" outline="0" fieldPosition="0"/>
    </format>
    <format dxfId="436">
      <pivotArea dataOnly="0" labelOnly="1" outline="0" fieldPosition="0">
        <references count="2">
          <reference field="10" count="1" selected="0">
            <x v="0"/>
          </reference>
          <reference field="14" count="1">
            <x v="127"/>
          </reference>
        </references>
      </pivotArea>
    </format>
    <format dxfId="435">
      <pivotArea dataOnly="0" labelOnly="1" outline="0" fieldPosition="0">
        <references count="2">
          <reference field="10" count="1" selected="0">
            <x v="1"/>
          </reference>
          <reference field="14" count="3">
            <x v="3"/>
            <x v="121"/>
            <x v="191"/>
          </reference>
        </references>
      </pivotArea>
    </format>
    <format dxfId="434">
      <pivotArea dataOnly="0" labelOnly="1" outline="0" fieldPosition="0">
        <references count="2">
          <reference field="10" count="1" selected="0">
            <x v="2"/>
          </reference>
          <reference field="14" count="2">
            <x v="38"/>
            <x v="39"/>
          </reference>
        </references>
      </pivotArea>
    </format>
    <format dxfId="433">
      <pivotArea dataOnly="0" labelOnly="1" outline="0" fieldPosition="0">
        <references count="2">
          <reference field="10" count="1" selected="0">
            <x v="3"/>
          </reference>
          <reference field="14" count="8">
            <x v="33"/>
            <x v="34"/>
            <x v="35"/>
            <x v="209"/>
            <x v="210"/>
            <x v="211"/>
            <x v="212"/>
            <x v="233"/>
          </reference>
        </references>
      </pivotArea>
    </format>
    <format dxfId="432">
      <pivotArea dataOnly="0" labelOnly="1" outline="0" fieldPosition="0">
        <references count="2">
          <reference field="10" count="1" selected="0">
            <x v="4"/>
          </reference>
          <reference field="14" count="4">
            <x v="40"/>
            <x v="41"/>
            <x v="213"/>
            <x v="224"/>
          </reference>
        </references>
      </pivotArea>
    </format>
    <format dxfId="431">
      <pivotArea dataOnly="0" labelOnly="1" outline="0" fieldPosition="0">
        <references count="2">
          <reference field="10" count="1" selected="0">
            <x v="6"/>
          </reference>
          <reference field="14" count="1">
            <x v="129"/>
          </reference>
        </references>
      </pivotArea>
    </format>
    <format dxfId="430">
      <pivotArea dataOnly="0" labelOnly="1" outline="0" fieldPosition="0">
        <references count="2">
          <reference field="10" count="1" selected="0">
            <x v="7"/>
          </reference>
          <reference field="14" count="1">
            <x v="229"/>
          </reference>
        </references>
      </pivotArea>
    </format>
    <format dxfId="429">
      <pivotArea dataOnly="0" labelOnly="1" outline="0" fieldPosition="0">
        <references count="2">
          <reference field="10" count="1" selected="0">
            <x v="8"/>
          </reference>
          <reference field="14" count="8">
            <x v="36"/>
            <x v="37"/>
            <x v="46"/>
            <x v="58"/>
            <x v="135"/>
            <x v="200"/>
            <x v="201"/>
            <x v="241"/>
          </reference>
        </references>
      </pivotArea>
    </format>
    <format dxfId="428">
      <pivotArea dataOnly="0" labelOnly="1" outline="0" fieldPosition="0">
        <references count="2">
          <reference field="10" count="1" selected="0">
            <x v="9"/>
          </reference>
          <reference field="14" count="2">
            <x v="45"/>
            <x v="238"/>
          </reference>
        </references>
      </pivotArea>
    </format>
    <format dxfId="427">
      <pivotArea dataOnly="0" labelOnly="1" outline="0" fieldPosition="0">
        <references count="2">
          <reference field="10" count="1" selected="0">
            <x v="10"/>
          </reference>
          <reference field="14" count="7">
            <x v="16"/>
            <x v="19"/>
            <x v="104"/>
            <x v="113"/>
            <x v="132"/>
            <x v="192"/>
            <x v="214"/>
          </reference>
        </references>
      </pivotArea>
    </format>
    <format dxfId="426">
      <pivotArea dataOnly="0" labelOnly="1" outline="0" fieldPosition="0">
        <references count="2">
          <reference field="10" count="1" selected="0">
            <x v="11"/>
          </reference>
          <reference field="14" count="1">
            <x v="47"/>
          </reference>
        </references>
      </pivotArea>
    </format>
    <format dxfId="425">
      <pivotArea dataOnly="0" labelOnly="1" outline="0" fieldPosition="0">
        <references count="2">
          <reference field="10" count="1" selected="0">
            <x v="13"/>
          </reference>
          <reference field="14" count="1">
            <x v="49"/>
          </reference>
        </references>
      </pivotArea>
    </format>
    <format dxfId="424">
      <pivotArea dataOnly="0" labelOnly="1" outline="0" fieldPosition="0">
        <references count="2">
          <reference field="10" count="1" selected="0">
            <x v="14"/>
          </reference>
          <reference field="14" count="7">
            <x v="59"/>
            <x v="61"/>
            <x v="62"/>
            <x v="63"/>
            <x v="65"/>
            <x v="66"/>
            <x v="68"/>
          </reference>
        </references>
      </pivotArea>
    </format>
    <format dxfId="423">
      <pivotArea dataOnly="0" labelOnly="1" outline="0" fieldPosition="0">
        <references count="2">
          <reference field="10" count="1" selected="0">
            <x v="15"/>
          </reference>
          <reference field="14" count="10">
            <x v="145"/>
            <x v="146"/>
            <x v="202"/>
            <x v="216"/>
            <x v="218"/>
            <x v="219"/>
            <x v="220"/>
            <x v="226"/>
            <x v="227"/>
            <x v="237"/>
          </reference>
        </references>
      </pivotArea>
    </format>
    <format dxfId="422">
      <pivotArea dataOnly="0" labelOnly="1" outline="0" fieldPosition="0">
        <references count="2">
          <reference field="10" count="1" selected="0">
            <x v="16"/>
          </reference>
          <reference field="14" count="2">
            <x v="92"/>
            <x v="228"/>
          </reference>
        </references>
      </pivotArea>
    </format>
    <format dxfId="421">
      <pivotArea dataOnly="0" labelOnly="1" outline="0" fieldPosition="0">
        <references count="2">
          <reference field="10" count="1" selected="0">
            <x v="17"/>
          </reference>
          <reference field="14" count="5">
            <x v="32"/>
            <x v="95"/>
            <x v="147"/>
            <x v="148"/>
            <x v="221"/>
          </reference>
        </references>
      </pivotArea>
    </format>
    <format dxfId="420">
      <pivotArea dataOnly="0" labelOnly="1" outline="0" fieldPosition="0">
        <references count="2">
          <reference field="10" count="1" selected="0">
            <x v="18"/>
          </reference>
          <reference field="14" count="8">
            <x v="57"/>
            <x v="115"/>
            <x v="116"/>
            <x v="117"/>
            <x v="118"/>
            <x v="119"/>
            <x v="242"/>
            <x v="243"/>
          </reference>
        </references>
      </pivotArea>
    </format>
    <format dxfId="419">
      <pivotArea dataOnly="0" labelOnly="1" outline="0" fieldPosition="0">
        <references count="2">
          <reference field="10" count="1" selected="0">
            <x v="19"/>
          </reference>
          <reference field="14" count="1">
            <x v="43"/>
          </reference>
        </references>
      </pivotArea>
    </format>
    <format dxfId="418">
      <pivotArea dataOnly="0" labelOnly="1" outline="0" fieldPosition="0">
        <references count="2">
          <reference field="10" count="1" selected="0">
            <x v="20"/>
          </reference>
          <reference field="14" count="7">
            <x v="4"/>
            <x v="7"/>
            <x v="48"/>
            <x v="114"/>
            <x v="152"/>
            <x v="153"/>
            <x v="154"/>
          </reference>
        </references>
      </pivotArea>
    </format>
    <format dxfId="417">
      <pivotArea dataOnly="0" labelOnly="1" outline="0" fieldPosition="0">
        <references count="2">
          <reference field="10" count="1" selected="0">
            <x v="21"/>
          </reference>
          <reference field="14" count="1">
            <x v="60"/>
          </reference>
        </references>
      </pivotArea>
    </format>
    <format dxfId="416">
      <pivotArea dataOnly="0" labelOnly="1" outline="0" fieldPosition="0">
        <references count="2">
          <reference field="10" count="1" selected="0">
            <x v="22"/>
          </reference>
          <reference field="14" count="1">
            <x v="71"/>
          </reference>
        </references>
      </pivotArea>
    </format>
    <format dxfId="415">
      <pivotArea dataOnly="0" labelOnly="1" outline="0" fieldPosition="0">
        <references count="2">
          <reference field="10" count="1" selected="0">
            <x v="24"/>
          </reference>
          <reference field="14" count="1">
            <x v="94"/>
          </reference>
        </references>
      </pivotArea>
    </format>
    <format dxfId="414">
      <pivotArea dataOnly="0" labelOnly="1" outline="0" fieldPosition="0">
        <references count="2">
          <reference field="10" count="1" selected="0">
            <x v="25"/>
          </reference>
          <reference field="14" count="5">
            <x v="125"/>
            <x v="193"/>
            <x v="198"/>
            <x v="208"/>
            <x v="231"/>
          </reference>
        </references>
      </pivotArea>
    </format>
    <format dxfId="413">
      <pivotArea dataOnly="0" labelOnly="1" outline="0" fieldPosition="0">
        <references count="2">
          <reference field="10" count="1" selected="0">
            <x v="26"/>
          </reference>
          <reference field="14" count="27">
            <x v="141"/>
            <x v="142"/>
            <x v="143"/>
            <x v="155"/>
            <x v="156"/>
            <x v="157"/>
            <x v="158"/>
            <x v="160"/>
            <x v="161"/>
            <x v="162"/>
            <x v="163"/>
            <x v="164"/>
            <x v="165"/>
            <x v="166"/>
            <x v="167"/>
            <x v="170"/>
            <x v="171"/>
            <x v="172"/>
            <x v="174"/>
            <x v="184"/>
            <x v="194"/>
            <x v="195"/>
            <x v="203"/>
            <x v="205"/>
            <x v="246"/>
            <x v="247"/>
            <x v="248"/>
          </reference>
        </references>
      </pivotArea>
    </format>
    <format dxfId="412">
      <pivotArea dataOnly="0" labelOnly="1" outline="0" fieldPosition="0">
        <references count="2">
          <reference field="10" count="1" selected="0">
            <x v="27"/>
          </reference>
          <reference field="14" count="2">
            <x v="215"/>
            <x v="236"/>
          </reference>
        </references>
      </pivotArea>
    </format>
    <format dxfId="411">
      <pivotArea dataOnly="0" labelOnly="1" outline="0" fieldPosition="0">
        <references count="2">
          <reference field="10" count="1" selected="0">
            <x v="28"/>
          </reference>
          <reference field="14" count="1">
            <x v="137"/>
          </reference>
        </references>
      </pivotArea>
    </format>
    <format dxfId="410">
      <pivotArea dataOnly="0" labelOnly="1" outline="0" fieldPosition="0">
        <references count="2">
          <reference field="10" count="1" selected="0">
            <x v="30"/>
          </reference>
          <reference field="14" count="2">
            <x v="240"/>
            <x v="249"/>
          </reference>
        </references>
      </pivotArea>
    </format>
    <format dxfId="409">
      <pivotArea dataOnly="0" labelOnly="1" outline="0" fieldPosition="0">
        <references count="2">
          <reference field="10" count="1" selected="0">
            <x v="31"/>
          </reference>
          <reference field="14" count="4">
            <x v="180"/>
            <x v="206"/>
            <x v="222"/>
            <x v="223"/>
          </reference>
        </references>
      </pivotArea>
    </format>
    <format dxfId="408">
      <pivotArea dataOnly="0" labelOnly="1" outline="0" fieldPosition="0">
        <references count="2">
          <reference field="10" count="1" selected="0">
            <x v="32"/>
          </reference>
          <reference field="14" count="4">
            <x v="181"/>
            <x v="182"/>
            <x v="183"/>
            <x v="235"/>
          </reference>
        </references>
      </pivotArea>
    </format>
    <format dxfId="407">
      <pivotArea dataOnly="0" labelOnly="1" outline="0" fieldPosition="0">
        <references count="2">
          <reference field="10" count="1" selected="0">
            <x v="33"/>
          </reference>
          <reference field="14" count="1">
            <x v="196"/>
          </reference>
        </references>
      </pivotArea>
    </format>
    <format dxfId="406">
      <pivotArea dataOnly="0" labelOnly="1" outline="0" fieldPosition="0">
        <references count="2">
          <reference field="10" count="1" selected="0">
            <x v="35"/>
          </reference>
          <reference field="14" count="9">
            <x v="50"/>
            <x v="51"/>
            <x v="52"/>
            <x v="53"/>
            <x v="54"/>
            <x v="55"/>
            <x v="56"/>
            <x v="150"/>
            <x v="244"/>
          </reference>
        </references>
      </pivotArea>
    </format>
    <format dxfId="405">
      <pivotArea dataOnly="0" labelOnly="1" outline="0" fieldPosition="0">
        <references count="1">
          <reference field="16" count="4">
            <x v="0"/>
            <x v="1"/>
            <x v="2"/>
            <x v="3"/>
          </reference>
        </references>
      </pivotArea>
    </format>
    <format dxfId="404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9934C0-00B5-43EF-838D-17C60FAF42B7}" name="PivotTable28" cacheId="2" applyNumberFormats="0" applyBorderFormats="0" applyFontFormats="0" applyPatternFormats="0" applyAlignmentFormats="0" applyWidthHeightFormats="1" dataCaption="Values" updatedVersion="8" minRefreshableVersion="3" useAutoFormatting="1" createdVersion="5" indent="0" compact="0" compactData="0" gridDropZones="1" multipleFieldFilters="0">
  <location ref="A3:E66" firstHeaderRow="1" firstDataRow="2" firstDataCol="2" rowPageCount="1" colPageCount="1"/>
  <pivotFields count="2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ubtotalTop="0" showAll="0">
      <items count="38">
        <item m="1" x="29"/>
        <item x="17"/>
        <item x="11"/>
        <item x="24"/>
        <item x="14"/>
        <item x="6"/>
        <item x="0"/>
        <item x="5"/>
        <item x="19"/>
        <item x="1"/>
        <item x="2"/>
        <item x="15"/>
        <item m="1" x="34"/>
        <item x="10"/>
        <item x="4"/>
        <item x="27"/>
        <item x="13"/>
        <item x="12"/>
        <item x="3"/>
        <item x="21"/>
        <item x="8"/>
        <item m="1" x="32"/>
        <item m="1" x="31"/>
        <item x="7"/>
        <item x="16"/>
        <item x="23"/>
        <item x="26"/>
        <item m="1" x="30"/>
        <item x="25"/>
        <item m="1" x="36"/>
        <item x="22"/>
        <item x="28"/>
        <item x="18"/>
        <item x="20"/>
        <item m="1" x="35"/>
        <item x="9"/>
        <item m="1" x="33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260">
        <item x="21"/>
        <item x="0"/>
        <item x="41"/>
        <item m="1" x="161"/>
        <item x="116"/>
        <item m="1" x="214"/>
        <item m="1" x="223"/>
        <item x="47"/>
        <item x="93"/>
        <item x="16"/>
        <item x="19"/>
        <item x="44"/>
        <item m="1" x="209"/>
        <item m="1" x="200"/>
        <item x="37"/>
        <item x="7"/>
        <item x="8"/>
        <item x="92"/>
        <item x="10"/>
        <item x="89"/>
        <item x="12"/>
        <item x="18"/>
        <item x="3"/>
        <item m="1" x="185"/>
        <item x="20"/>
        <item x="91"/>
        <item x="43"/>
        <item m="1" x="203"/>
        <item x="90"/>
        <item m="1" x="236"/>
        <item m="1" x="196"/>
        <item x="6"/>
        <item x="81"/>
        <item m="1" x="205"/>
        <item m="1" x="204"/>
        <item m="1" x="206"/>
        <item m="1" x="190"/>
        <item m="1" x="188"/>
        <item x="85"/>
        <item x="50"/>
        <item x="83"/>
        <item x="65"/>
        <item m="1" x="246"/>
        <item x="78"/>
        <item m="1" x="247"/>
        <item x="1"/>
        <item m="1" x="189"/>
        <item x="66"/>
        <item x="61"/>
        <item x="49"/>
        <item x="76"/>
        <item x="64"/>
        <item x="48"/>
        <item x="54"/>
        <item x="56"/>
        <item x="55"/>
        <item x="58"/>
        <item x="84"/>
        <item m="1" x="187"/>
        <item x="57"/>
        <item m="1" x="207"/>
        <item x="52"/>
        <item x="35"/>
        <item x="53"/>
        <item m="1" x="218"/>
        <item x="51"/>
        <item x="39"/>
        <item x="40"/>
        <item x="38"/>
        <item m="1" x="221"/>
        <item x="5"/>
        <item m="1" x="191"/>
        <item m="1" x="195"/>
        <item x="22"/>
        <item x="45"/>
        <item m="1" x="220"/>
        <item x="2"/>
        <item x="17"/>
        <item x="23"/>
        <item x="14"/>
        <item m="1" x="199"/>
        <item m="1" x="193"/>
        <item m="1" x="186"/>
        <item x="15"/>
        <item x="26"/>
        <item x="24"/>
        <item x="27"/>
        <item x="25"/>
        <item m="1" x="183"/>
        <item x="4"/>
        <item x="94"/>
        <item m="1" x="197"/>
        <item x="63"/>
        <item x="46"/>
        <item x="67"/>
        <item x="62"/>
        <item m="1" x="201"/>
        <item x="30"/>
        <item x="31"/>
        <item m="1" x="213"/>
        <item m="1" x="212"/>
        <item x="29"/>
        <item x="36"/>
        <item m="1" x="192"/>
        <item x="9"/>
        <item x="11"/>
        <item m="1" x="194"/>
        <item x="13"/>
        <item x="28"/>
        <item x="32"/>
        <item x="33"/>
        <item m="1" x="211"/>
        <item x="34"/>
        <item m="1" x="198"/>
        <item x="120"/>
        <item x="59"/>
        <item x="87"/>
        <item x="72"/>
        <item x="60"/>
        <item x="79"/>
        <item m="1" x="219"/>
        <item x="70"/>
        <item x="88"/>
        <item m="1" x="238"/>
        <item m="1" x="240"/>
        <item x="97"/>
        <item m="1" x="215"/>
        <item m="1" x="160"/>
        <item m="1" x="241"/>
        <item x="101"/>
        <item m="1" x="242"/>
        <item m="1" x="243"/>
        <item x="102"/>
        <item m="1" x="244"/>
        <item m="1" x="245"/>
        <item x="104"/>
        <item m="1" x="248"/>
        <item x="106"/>
        <item m="1" x="225"/>
        <item m="1" x="249"/>
        <item m="1" x="250"/>
        <item x="107"/>
        <item x="108"/>
        <item x="109"/>
        <item m="1" x="226"/>
        <item x="111"/>
        <item x="112"/>
        <item x="113"/>
        <item x="114"/>
        <item m="1" x="251"/>
        <item x="115"/>
        <item m="1" x="252"/>
        <item x="117"/>
        <item x="118"/>
        <item m="1" x="163"/>
        <item x="121"/>
        <item x="122"/>
        <item x="123"/>
        <item x="124"/>
        <item m="1" x="253"/>
        <item x="125"/>
        <item x="126"/>
        <item m="1" x="181"/>
        <item x="127"/>
        <item x="129"/>
        <item x="130"/>
        <item x="131"/>
        <item x="132"/>
        <item m="1" x="254"/>
        <item m="1" x="227"/>
        <item x="133"/>
        <item x="134"/>
        <item x="135"/>
        <item m="1" x="255"/>
        <item x="139"/>
        <item x="154"/>
        <item m="1" x="256"/>
        <item m="1" x="257"/>
        <item m="1" x="229"/>
        <item m="1" x="230"/>
        <item m="1" x="164"/>
        <item x="141"/>
        <item x="69"/>
        <item m="1" x="165"/>
        <item x="152"/>
        <item m="1" x="258"/>
        <item m="1" x="234"/>
        <item m="1" x="237"/>
        <item x="42"/>
        <item m="1" x="224"/>
        <item m="1" x="239"/>
        <item x="68"/>
        <item x="103"/>
        <item m="1" x="208"/>
        <item x="142"/>
        <item x="143"/>
        <item x="74"/>
        <item m="1" x="210"/>
        <item x="96"/>
        <item m="1" x="217"/>
        <item m="1" x="162"/>
        <item x="105"/>
        <item x="110"/>
        <item x="128"/>
        <item m="1" x="228"/>
        <item x="138"/>
        <item x="140"/>
        <item m="1" x="231"/>
        <item x="144"/>
        <item x="145"/>
        <item m="1" x="167"/>
        <item m="1" x="168"/>
        <item x="146"/>
        <item x="147"/>
        <item x="148"/>
        <item m="1" x="169"/>
        <item m="1" x="171"/>
        <item m="1" x="232"/>
        <item m="1" x="173"/>
        <item m="1" x="174"/>
        <item m="1" x="175"/>
        <item m="1" x="176"/>
        <item m="1" x="177"/>
        <item m="1" x="178"/>
        <item x="149"/>
        <item m="1" x="233"/>
        <item m="1" x="179"/>
        <item m="1" x="180"/>
        <item x="150"/>
        <item x="151"/>
        <item m="1" x="235"/>
        <item x="98"/>
        <item m="1" x="222"/>
        <item x="100"/>
        <item m="1" x="216"/>
        <item m="1" x="166"/>
        <item m="1" x="170"/>
        <item m="1" x="172"/>
        <item x="153"/>
        <item x="95"/>
        <item m="1" x="182"/>
        <item x="71"/>
        <item x="73"/>
        <item x="75"/>
        <item x="77"/>
        <item m="1" x="202"/>
        <item x="136"/>
        <item x="137"/>
        <item x="155"/>
        <item x="80"/>
        <item m="1" x="184"/>
        <item x="86"/>
        <item x="82"/>
        <item x="99"/>
        <item x="119"/>
        <item x="156"/>
        <item x="157"/>
        <item x="158"/>
        <item x="159"/>
        <item t="default"/>
      </items>
    </pivotField>
    <pivotField axis="axisPage" compact="0" outline="0" multipleItemSelectionAllowed="1" showAll="0">
      <items count="5">
        <item x="0"/>
        <item h="1" x="2"/>
        <item h="1" x="1"/>
        <item h="1" m="1" x="3"/>
        <item t="default"/>
      </items>
    </pivotField>
    <pivotField axis="axisCol" compact="0" outline="0" showAll="0">
      <items count="7">
        <item x="4"/>
        <item x="3"/>
        <item x="0"/>
        <item x="2"/>
        <item m="1" x="5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10"/>
    <field x="14"/>
  </rowFields>
  <rowItems count="62">
    <i>
      <x v="5"/>
      <x v="11"/>
    </i>
    <i t="default">
      <x v="5"/>
    </i>
    <i>
      <x v="6"/>
      <x/>
    </i>
    <i r="1">
      <x v="1"/>
    </i>
    <i t="default">
      <x v="6"/>
    </i>
    <i>
      <x v="7"/>
      <x v="2"/>
    </i>
    <i r="1">
      <x v="188"/>
    </i>
    <i t="default">
      <x v="7"/>
    </i>
    <i>
      <x v="9"/>
      <x v="9"/>
    </i>
    <i r="1">
      <x v="10"/>
    </i>
    <i r="1">
      <x v="45"/>
    </i>
    <i r="1">
      <x v="70"/>
    </i>
    <i r="1">
      <x v="122"/>
    </i>
    <i t="default">
      <x v="9"/>
    </i>
    <i>
      <x v="10"/>
      <x v="8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5"/>
    </i>
    <i r="1">
      <x v="26"/>
    </i>
    <i r="1">
      <x v="28"/>
    </i>
    <i r="1">
      <x v="31"/>
    </i>
    <i r="1">
      <x v="74"/>
    </i>
    <i r="1">
      <x v="76"/>
    </i>
    <i r="1">
      <x v="77"/>
    </i>
    <i r="1">
      <x v="79"/>
    </i>
    <i r="1">
      <x v="90"/>
    </i>
    <i r="1">
      <x v="104"/>
    </i>
    <i r="1">
      <x v="105"/>
    </i>
    <i r="1">
      <x v="109"/>
    </i>
    <i r="1">
      <x v="239"/>
    </i>
    <i t="default">
      <x v="10"/>
    </i>
    <i>
      <x v="14"/>
      <x v="62"/>
    </i>
    <i r="1">
      <x v="66"/>
    </i>
    <i r="1">
      <x v="67"/>
    </i>
    <i r="1">
      <x v="68"/>
    </i>
    <i t="default">
      <x v="14"/>
    </i>
    <i>
      <x v="18"/>
      <x v="24"/>
    </i>
    <i r="1">
      <x v="73"/>
    </i>
    <i r="1">
      <x v="78"/>
    </i>
    <i r="1">
      <x v="83"/>
    </i>
    <i r="1">
      <x v="84"/>
    </i>
    <i r="1">
      <x v="85"/>
    </i>
    <i r="1">
      <x v="86"/>
    </i>
    <i r="1">
      <x v="87"/>
    </i>
    <i r="1">
      <x v="89"/>
    </i>
    <i r="1">
      <x v="97"/>
    </i>
    <i r="1">
      <x v="98"/>
    </i>
    <i r="1">
      <x v="101"/>
    </i>
    <i r="1">
      <x v="102"/>
    </i>
    <i r="1">
      <x v="107"/>
    </i>
    <i r="1">
      <x v="108"/>
    </i>
    <i r="1">
      <x v="110"/>
    </i>
    <i r="1">
      <x v="112"/>
    </i>
    <i t="default">
      <x v="18"/>
    </i>
    <i t="grand">
      <x/>
    </i>
  </rowItems>
  <colFields count="1">
    <field x="16"/>
  </colFields>
  <colItems count="3">
    <i>
      <x v="1"/>
    </i>
    <i>
      <x v="2"/>
    </i>
    <i t="grand">
      <x/>
    </i>
  </colItems>
  <pageFields count="1">
    <pageField fld="15" hier="0"/>
  </pageFields>
  <dataFields count="1">
    <dataField name="Sum of Total Inventory Kgs" fld="9" baseField="0" baseItem="0"/>
  </dataFields>
  <formats count="137">
    <format dxfId="403">
      <pivotArea type="all" dataOnly="0" outline="0" fieldPosition="0"/>
    </format>
    <format>
      <pivotArea type="all" dataOnly="0" outline="0" fieldPosition="0"/>
    </format>
    <format dxfId="402">
      <pivotArea dataOnly="0" labelOnly="1" fieldPosition="0">
        <references count="1">
          <reference field="10" count="1" defaultSubtotal="1">
            <x v="0"/>
          </reference>
        </references>
      </pivotArea>
    </format>
    <format dxfId="401">
      <pivotArea dataOnly="0" labelOnly="1" fieldPosition="0">
        <references count="1">
          <reference field="10" count="1" defaultSubtotal="1">
            <x v="1"/>
          </reference>
        </references>
      </pivotArea>
    </format>
    <format dxfId="400">
      <pivotArea dataOnly="0" labelOnly="1" fieldPosition="0">
        <references count="1">
          <reference field="10" count="0" defaultSubtotal="1"/>
        </references>
      </pivotArea>
    </format>
    <format dxfId="399">
      <pivotArea dataOnly="0" labelOnly="1" fieldPosition="0">
        <references count="1">
          <reference field="10" count="1" defaultSubtotal="1">
            <x v="2"/>
          </reference>
        </references>
      </pivotArea>
    </format>
    <format dxfId="398">
      <pivotArea dataOnly="0" labelOnly="1" fieldPosition="0">
        <references count="1">
          <reference field="10" count="0" defaultSubtotal="1"/>
        </references>
      </pivotArea>
    </format>
    <format dxfId="397">
      <pivotArea dataOnly="0" labelOnly="1" fieldPosition="0">
        <references count="1">
          <reference field="10" count="1" defaultSubtotal="1">
            <x v="3"/>
          </reference>
        </references>
      </pivotArea>
    </format>
    <format dxfId="396">
      <pivotArea dataOnly="0" labelOnly="1" fieldPosition="0">
        <references count="1">
          <reference field="10" count="1" defaultSubtotal="1">
            <x v="4"/>
          </reference>
        </references>
      </pivotArea>
    </format>
    <format dxfId="395">
      <pivotArea dataOnly="0" labelOnly="1" fieldPosition="0">
        <references count="1">
          <reference field="10" count="1" defaultSubtotal="1">
            <x v="8"/>
          </reference>
        </references>
      </pivotArea>
    </format>
    <format dxfId="394">
      <pivotArea dataOnly="0" labelOnly="1" fieldPosition="0">
        <references count="1">
          <reference field="10" count="1" defaultSubtotal="1">
            <x v="10"/>
          </reference>
        </references>
      </pivotArea>
    </format>
    <format dxfId="393">
      <pivotArea dataOnly="0" labelOnly="1" fieldPosition="0">
        <references count="1">
          <reference field="10" count="1" defaultSubtotal="1">
            <x v="11"/>
          </reference>
        </references>
      </pivotArea>
    </format>
    <format dxfId="392">
      <pivotArea dataOnly="0" labelOnly="1" fieldPosition="0">
        <references count="1">
          <reference field="10" count="1" defaultSubtotal="1">
            <x v="12"/>
          </reference>
        </references>
      </pivotArea>
    </format>
    <format dxfId="391">
      <pivotArea dataOnly="0" labelOnly="1" fieldPosition="0">
        <references count="1">
          <reference field="10" count="1" defaultSubtotal="1">
            <x v="13"/>
          </reference>
        </references>
      </pivotArea>
    </format>
    <format dxfId="390">
      <pivotArea dataOnly="0" labelOnly="1" fieldPosition="0">
        <references count="1">
          <reference field="10" count="1" defaultSubtotal="1">
            <x v="14"/>
          </reference>
        </references>
      </pivotArea>
    </format>
    <format dxfId="389">
      <pivotArea dataOnly="0" labelOnly="1" fieldPosition="0">
        <references count="1">
          <reference field="10" count="1" defaultSubtotal="1">
            <x v="15"/>
          </reference>
        </references>
      </pivotArea>
    </format>
    <format dxfId="388">
      <pivotArea dataOnly="0" labelOnly="1" fieldPosition="0">
        <references count="1">
          <reference field="10" count="1" defaultSubtotal="1">
            <x v="16"/>
          </reference>
        </references>
      </pivotArea>
    </format>
    <format dxfId="387">
      <pivotArea dataOnly="0" labelOnly="1" fieldPosition="0">
        <references count="1">
          <reference field="10" count="1" defaultSubtotal="1">
            <x v="17"/>
          </reference>
        </references>
      </pivotArea>
    </format>
    <format dxfId="386">
      <pivotArea dataOnly="0" labelOnly="1" fieldPosition="0">
        <references count="1">
          <reference field="10" count="1" defaultSubtotal="1">
            <x v="18"/>
          </reference>
        </references>
      </pivotArea>
    </format>
    <format dxfId="385">
      <pivotArea dataOnly="0" labelOnly="1" fieldPosition="0">
        <references count="1">
          <reference field="10" count="1" defaultSubtotal="1">
            <x v="19"/>
          </reference>
        </references>
      </pivotArea>
    </format>
    <format dxfId="384">
      <pivotArea dataOnly="0" labelOnly="1" fieldPosition="0">
        <references count="1">
          <reference field="10" count="1" defaultSubtotal="1">
            <x v="20"/>
          </reference>
        </references>
      </pivotArea>
    </format>
    <format dxfId="383">
      <pivotArea dataOnly="0" labelOnly="1" fieldPosition="0">
        <references count="1">
          <reference field="10" count="1" defaultSubtotal="1">
            <x v="21"/>
          </reference>
        </references>
      </pivotArea>
    </format>
    <format dxfId="382">
      <pivotArea dataOnly="0" labelOnly="1" fieldPosition="0">
        <references count="1">
          <reference field="10" count="0" defaultSubtotal="1"/>
        </references>
      </pivotArea>
    </format>
    <format dxfId="381">
      <pivotArea dataOnly="0" labelOnly="1" fieldPosition="0">
        <references count="1">
          <reference field="10" count="1" defaultSubtotal="1">
            <x v="22"/>
          </reference>
        </references>
      </pivotArea>
    </format>
    <format dxfId="380">
      <pivotArea collapsedLevelsAreSubtotals="1" fieldPosition="0">
        <references count="1">
          <reference field="10" count="1" selected="0" defaultSubtotal="1">
            <x v="0"/>
          </reference>
        </references>
      </pivotArea>
    </format>
    <format dxfId="379">
      <pivotArea collapsedLevelsAreSubtotals="1" fieldPosition="0">
        <references count="1">
          <reference field="10" count="1" selected="0" defaultSubtotal="1">
            <x v="1"/>
          </reference>
        </references>
      </pivotArea>
    </format>
    <format dxfId="378">
      <pivotArea collapsedLevelsAreSubtotals="1" fieldPosition="0">
        <references count="1">
          <reference field="10" count="0" selected="0" defaultSubtotal="1"/>
        </references>
      </pivotArea>
    </format>
    <format dxfId="377">
      <pivotArea collapsedLevelsAreSubtotals="1" fieldPosition="0">
        <references count="1">
          <reference field="10" count="1" selected="0" defaultSubtotal="1">
            <x v="2"/>
          </reference>
        </references>
      </pivotArea>
    </format>
    <format dxfId="376">
      <pivotArea collapsedLevelsAreSubtotals="1" fieldPosition="0">
        <references count="1">
          <reference field="10" count="0" selected="0" defaultSubtotal="1"/>
        </references>
      </pivotArea>
    </format>
    <format dxfId="375">
      <pivotArea collapsedLevelsAreSubtotals="1" fieldPosition="0">
        <references count="1">
          <reference field="10" count="1" selected="0" defaultSubtotal="1">
            <x v="3"/>
          </reference>
        </references>
      </pivotArea>
    </format>
    <format dxfId="374">
      <pivotArea collapsedLevelsAreSubtotals="1" fieldPosition="0">
        <references count="1">
          <reference field="10" count="1" selected="0" defaultSubtotal="1">
            <x v="4"/>
          </reference>
        </references>
      </pivotArea>
    </format>
    <format dxfId="373">
      <pivotArea collapsedLevelsAreSubtotals="1" fieldPosition="0">
        <references count="1">
          <reference field="10" count="1" selected="0" defaultSubtotal="1">
            <x v="8"/>
          </reference>
        </references>
      </pivotArea>
    </format>
    <format dxfId="372">
      <pivotArea collapsedLevelsAreSubtotals="1" fieldPosition="0">
        <references count="1">
          <reference field="10" count="1" selected="0" defaultSubtotal="1">
            <x v="10"/>
          </reference>
        </references>
      </pivotArea>
    </format>
    <format dxfId="371">
      <pivotArea collapsedLevelsAreSubtotals="1" fieldPosition="0">
        <references count="1">
          <reference field="10" count="1" selected="0" defaultSubtotal="1">
            <x v="11"/>
          </reference>
        </references>
      </pivotArea>
    </format>
    <format dxfId="370">
      <pivotArea collapsedLevelsAreSubtotals="1" fieldPosition="0">
        <references count="1">
          <reference field="10" count="1" selected="0" defaultSubtotal="1">
            <x v="12"/>
          </reference>
        </references>
      </pivotArea>
    </format>
    <format dxfId="369">
      <pivotArea collapsedLevelsAreSubtotals="1" fieldPosition="0">
        <references count="1">
          <reference field="10" count="1" selected="0" defaultSubtotal="1">
            <x v="13"/>
          </reference>
        </references>
      </pivotArea>
    </format>
    <format dxfId="368">
      <pivotArea collapsedLevelsAreSubtotals="1" fieldPosition="0">
        <references count="1">
          <reference field="10" count="1" selected="0" defaultSubtotal="1">
            <x v="14"/>
          </reference>
        </references>
      </pivotArea>
    </format>
    <format dxfId="367">
      <pivotArea collapsedLevelsAreSubtotals="1" fieldPosition="0">
        <references count="1">
          <reference field="10" count="1" selected="0" defaultSubtotal="1">
            <x v="15"/>
          </reference>
        </references>
      </pivotArea>
    </format>
    <format dxfId="366">
      <pivotArea collapsedLevelsAreSubtotals="1" fieldPosition="0">
        <references count="1">
          <reference field="10" count="1" selected="0" defaultSubtotal="1">
            <x v="16"/>
          </reference>
        </references>
      </pivotArea>
    </format>
    <format dxfId="365">
      <pivotArea collapsedLevelsAreSubtotals="1" fieldPosition="0">
        <references count="1">
          <reference field="10" count="1" selected="0" defaultSubtotal="1">
            <x v="17"/>
          </reference>
        </references>
      </pivotArea>
    </format>
    <format dxfId="364">
      <pivotArea collapsedLevelsAreSubtotals="1" fieldPosition="0">
        <references count="1">
          <reference field="10" count="1" selected="0" defaultSubtotal="1">
            <x v="18"/>
          </reference>
        </references>
      </pivotArea>
    </format>
    <format dxfId="363">
      <pivotArea collapsedLevelsAreSubtotals="1" fieldPosition="0">
        <references count="1">
          <reference field="10" count="1" selected="0" defaultSubtotal="1">
            <x v="19"/>
          </reference>
        </references>
      </pivotArea>
    </format>
    <format dxfId="362">
      <pivotArea collapsedLevelsAreSubtotals="1" fieldPosition="0">
        <references count="1">
          <reference field="10" count="1" selected="0" defaultSubtotal="1">
            <x v="20"/>
          </reference>
        </references>
      </pivotArea>
    </format>
    <format dxfId="361">
      <pivotArea collapsedLevelsAreSubtotals="1" fieldPosition="0">
        <references count="1">
          <reference field="10" count="1" selected="0" defaultSubtotal="1">
            <x v="21"/>
          </reference>
        </references>
      </pivotArea>
    </format>
    <format dxfId="360">
      <pivotArea collapsedLevelsAreSubtotals="1" fieldPosition="0">
        <references count="1">
          <reference field="10" count="0" selected="0" defaultSubtotal="1"/>
        </references>
      </pivotArea>
    </format>
    <format dxfId="359">
      <pivotArea collapsedLevelsAreSubtotals="1" fieldPosition="0">
        <references count="1">
          <reference field="10" count="1" selected="0" defaultSubtotal="1">
            <x v="22"/>
          </reference>
        </references>
      </pivotArea>
    </format>
    <format dxfId="358">
      <pivotArea dataOnly="0" labelOnly="1" fieldPosition="0">
        <references count="1">
          <reference field="10" count="1" defaultSubtotal="1">
            <x v="0"/>
          </reference>
        </references>
      </pivotArea>
    </format>
    <format dxfId="357">
      <pivotArea dataOnly="0" labelOnly="1" fieldPosition="0">
        <references count="1">
          <reference field="10" count="1" defaultSubtotal="1">
            <x v="1"/>
          </reference>
        </references>
      </pivotArea>
    </format>
    <format dxfId="356">
      <pivotArea dataOnly="0" labelOnly="1" fieldPosition="0">
        <references count="1">
          <reference field="10" count="0" defaultSubtotal="1"/>
        </references>
      </pivotArea>
    </format>
    <format dxfId="355">
      <pivotArea dataOnly="0" labelOnly="1" fieldPosition="0">
        <references count="1">
          <reference field="10" count="1" defaultSubtotal="1">
            <x v="2"/>
          </reference>
        </references>
      </pivotArea>
    </format>
    <format dxfId="354">
      <pivotArea dataOnly="0" labelOnly="1" fieldPosition="0">
        <references count="1">
          <reference field="10" count="0" defaultSubtotal="1"/>
        </references>
      </pivotArea>
    </format>
    <format dxfId="353">
      <pivotArea dataOnly="0" labelOnly="1" fieldPosition="0">
        <references count="1">
          <reference field="10" count="1" defaultSubtotal="1">
            <x v="3"/>
          </reference>
        </references>
      </pivotArea>
    </format>
    <format dxfId="352">
      <pivotArea dataOnly="0" labelOnly="1" fieldPosition="0">
        <references count="1">
          <reference field="10" count="1" defaultSubtotal="1">
            <x v="4"/>
          </reference>
        </references>
      </pivotArea>
    </format>
    <format dxfId="351">
      <pivotArea dataOnly="0" labelOnly="1" fieldPosition="0">
        <references count="1">
          <reference field="10" count="1" defaultSubtotal="1">
            <x v="8"/>
          </reference>
        </references>
      </pivotArea>
    </format>
    <format dxfId="350">
      <pivotArea dataOnly="0" labelOnly="1" fieldPosition="0">
        <references count="1">
          <reference field="10" count="1" defaultSubtotal="1">
            <x v="10"/>
          </reference>
        </references>
      </pivotArea>
    </format>
    <format dxfId="349">
      <pivotArea dataOnly="0" labelOnly="1" fieldPosition="0">
        <references count="1">
          <reference field="10" count="1" defaultSubtotal="1">
            <x v="11"/>
          </reference>
        </references>
      </pivotArea>
    </format>
    <format dxfId="348">
      <pivotArea dataOnly="0" labelOnly="1" fieldPosition="0">
        <references count="1">
          <reference field="10" count="1" defaultSubtotal="1">
            <x v="12"/>
          </reference>
        </references>
      </pivotArea>
    </format>
    <format dxfId="347">
      <pivotArea dataOnly="0" labelOnly="1" fieldPosition="0">
        <references count="1">
          <reference field="10" count="1" defaultSubtotal="1">
            <x v="13"/>
          </reference>
        </references>
      </pivotArea>
    </format>
    <format dxfId="346">
      <pivotArea dataOnly="0" labelOnly="1" fieldPosition="0">
        <references count="1">
          <reference field="10" count="1" defaultSubtotal="1">
            <x v="14"/>
          </reference>
        </references>
      </pivotArea>
    </format>
    <format dxfId="345">
      <pivotArea dataOnly="0" labelOnly="1" fieldPosition="0">
        <references count="1">
          <reference field="10" count="1" defaultSubtotal="1">
            <x v="15"/>
          </reference>
        </references>
      </pivotArea>
    </format>
    <format dxfId="344">
      <pivotArea dataOnly="0" labelOnly="1" fieldPosition="0">
        <references count="1">
          <reference field="10" count="1" defaultSubtotal="1">
            <x v="16"/>
          </reference>
        </references>
      </pivotArea>
    </format>
    <format dxfId="343">
      <pivotArea dataOnly="0" labelOnly="1" fieldPosition="0">
        <references count="1">
          <reference field="10" count="1" defaultSubtotal="1">
            <x v="17"/>
          </reference>
        </references>
      </pivotArea>
    </format>
    <format dxfId="342">
      <pivotArea dataOnly="0" labelOnly="1" fieldPosition="0">
        <references count="1">
          <reference field="10" count="1" defaultSubtotal="1">
            <x v="18"/>
          </reference>
        </references>
      </pivotArea>
    </format>
    <format dxfId="341">
      <pivotArea dataOnly="0" labelOnly="1" fieldPosition="0">
        <references count="1">
          <reference field="10" count="1" defaultSubtotal="1">
            <x v="19"/>
          </reference>
        </references>
      </pivotArea>
    </format>
    <format dxfId="340">
      <pivotArea dataOnly="0" labelOnly="1" fieldPosition="0">
        <references count="1">
          <reference field="10" count="1" defaultSubtotal="1">
            <x v="20"/>
          </reference>
        </references>
      </pivotArea>
    </format>
    <format dxfId="339">
      <pivotArea dataOnly="0" labelOnly="1" fieldPosition="0">
        <references count="1">
          <reference field="10" count="1" defaultSubtotal="1">
            <x v="21"/>
          </reference>
        </references>
      </pivotArea>
    </format>
    <format dxfId="338">
      <pivotArea dataOnly="0" labelOnly="1" fieldPosition="0">
        <references count="1">
          <reference field="10" count="0" defaultSubtotal="1"/>
        </references>
      </pivotArea>
    </format>
    <format dxfId="337">
      <pivotArea dataOnly="0" labelOnly="1" fieldPosition="0">
        <references count="1">
          <reference field="10" count="1" defaultSubtotal="1">
            <x v="22"/>
          </reference>
        </references>
      </pivotArea>
    </format>
    <format dxfId="336">
      <pivotArea collapsedLevelsAreSubtotals="1" fieldPosition="0">
        <references count="1">
          <reference field="10" count="1" selected="0" defaultSubtotal="1">
            <x v="0"/>
          </reference>
        </references>
      </pivotArea>
    </format>
    <format dxfId="335">
      <pivotArea collapsedLevelsAreSubtotals="1" fieldPosition="0">
        <references count="1">
          <reference field="10" count="1" selected="0" defaultSubtotal="1">
            <x v="1"/>
          </reference>
        </references>
      </pivotArea>
    </format>
    <format dxfId="334">
      <pivotArea collapsedLevelsAreSubtotals="1" fieldPosition="0">
        <references count="1">
          <reference field="10" count="0" selected="0" defaultSubtotal="1"/>
        </references>
      </pivotArea>
    </format>
    <format dxfId="333">
      <pivotArea collapsedLevelsAreSubtotals="1" fieldPosition="0">
        <references count="1">
          <reference field="10" count="1" selected="0" defaultSubtotal="1">
            <x v="2"/>
          </reference>
        </references>
      </pivotArea>
    </format>
    <format dxfId="332">
      <pivotArea collapsedLevelsAreSubtotals="1" fieldPosition="0">
        <references count="1">
          <reference field="10" count="0" selected="0" defaultSubtotal="1"/>
        </references>
      </pivotArea>
    </format>
    <format dxfId="331">
      <pivotArea collapsedLevelsAreSubtotals="1" fieldPosition="0">
        <references count="1">
          <reference field="10" count="1" selected="0" defaultSubtotal="1">
            <x v="3"/>
          </reference>
        </references>
      </pivotArea>
    </format>
    <format dxfId="330">
      <pivotArea collapsedLevelsAreSubtotals="1" fieldPosition="0">
        <references count="1">
          <reference field="10" count="1" selected="0" defaultSubtotal="1">
            <x v="4"/>
          </reference>
        </references>
      </pivotArea>
    </format>
    <format dxfId="329">
      <pivotArea collapsedLevelsAreSubtotals="1" fieldPosition="0">
        <references count="1">
          <reference field="10" count="1" selected="0" defaultSubtotal="1">
            <x v="8"/>
          </reference>
        </references>
      </pivotArea>
    </format>
    <format dxfId="328">
      <pivotArea collapsedLevelsAreSubtotals="1" fieldPosition="0">
        <references count="1">
          <reference field="10" count="1" selected="0" defaultSubtotal="1">
            <x v="10"/>
          </reference>
        </references>
      </pivotArea>
    </format>
    <format dxfId="327">
      <pivotArea collapsedLevelsAreSubtotals="1" fieldPosition="0">
        <references count="1">
          <reference field="10" count="1" selected="0" defaultSubtotal="1">
            <x v="11"/>
          </reference>
        </references>
      </pivotArea>
    </format>
    <format dxfId="326">
      <pivotArea collapsedLevelsAreSubtotals="1" fieldPosition="0">
        <references count="1">
          <reference field="10" count="1" selected="0" defaultSubtotal="1">
            <x v="12"/>
          </reference>
        </references>
      </pivotArea>
    </format>
    <format dxfId="325">
      <pivotArea collapsedLevelsAreSubtotals="1" fieldPosition="0">
        <references count="1">
          <reference field="10" count="1" selected="0" defaultSubtotal="1">
            <x v="13"/>
          </reference>
        </references>
      </pivotArea>
    </format>
    <format dxfId="324">
      <pivotArea collapsedLevelsAreSubtotals="1" fieldPosition="0">
        <references count="1">
          <reference field="10" count="1" selected="0" defaultSubtotal="1">
            <x v="14"/>
          </reference>
        </references>
      </pivotArea>
    </format>
    <format dxfId="323">
      <pivotArea collapsedLevelsAreSubtotals="1" fieldPosition="0">
        <references count="1">
          <reference field="10" count="1" selected="0" defaultSubtotal="1">
            <x v="15"/>
          </reference>
        </references>
      </pivotArea>
    </format>
    <format dxfId="322">
      <pivotArea collapsedLevelsAreSubtotals="1" fieldPosition="0">
        <references count="1">
          <reference field="10" count="1" selected="0" defaultSubtotal="1">
            <x v="16"/>
          </reference>
        </references>
      </pivotArea>
    </format>
    <format dxfId="321">
      <pivotArea collapsedLevelsAreSubtotals="1" fieldPosition="0">
        <references count="1">
          <reference field="10" count="1" selected="0" defaultSubtotal="1">
            <x v="17"/>
          </reference>
        </references>
      </pivotArea>
    </format>
    <format dxfId="320">
      <pivotArea collapsedLevelsAreSubtotals="1" fieldPosition="0">
        <references count="1">
          <reference field="10" count="1" selected="0" defaultSubtotal="1">
            <x v="18"/>
          </reference>
        </references>
      </pivotArea>
    </format>
    <format dxfId="319">
      <pivotArea collapsedLevelsAreSubtotals="1" fieldPosition="0">
        <references count="1">
          <reference field="10" count="1" selected="0" defaultSubtotal="1">
            <x v="19"/>
          </reference>
        </references>
      </pivotArea>
    </format>
    <format dxfId="318">
      <pivotArea collapsedLevelsAreSubtotals="1" fieldPosition="0">
        <references count="1">
          <reference field="10" count="1" selected="0" defaultSubtotal="1">
            <x v="20"/>
          </reference>
        </references>
      </pivotArea>
    </format>
    <format dxfId="317">
      <pivotArea collapsedLevelsAreSubtotals="1" fieldPosition="0">
        <references count="1">
          <reference field="10" count="1" selected="0" defaultSubtotal="1">
            <x v="21"/>
          </reference>
        </references>
      </pivotArea>
    </format>
    <format dxfId="316">
      <pivotArea collapsedLevelsAreSubtotals="1" fieldPosition="0">
        <references count="1">
          <reference field="10" count="0" selected="0" defaultSubtotal="1"/>
        </references>
      </pivotArea>
    </format>
    <format dxfId="315">
      <pivotArea collapsedLevelsAreSubtotals="1" fieldPosition="0">
        <references count="1">
          <reference field="10" count="1" selected="0" defaultSubtotal="1">
            <x v="22"/>
          </reference>
        </references>
      </pivotArea>
    </format>
    <format dxfId="314">
      <pivotArea dataOnly="0" labelOnly="1" fieldPosition="0">
        <references count="1">
          <reference field="10" count="1" defaultSubtotal="1">
            <x v="5"/>
          </reference>
        </references>
      </pivotArea>
    </format>
    <format dxfId="313">
      <pivotArea dataOnly="0" labelOnly="1" fieldPosition="0">
        <references count="1">
          <reference field="10" count="1" defaultSubtotal="1">
            <x v="6"/>
          </reference>
        </references>
      </pivotArea>
    </format>
    <format dxfId="312">
      <pivotArea dataOnly="0" labelOnly="1" fieldPosition="0">
        <references count="1">
          <reference field="10" count="1" defaultSubtotal="1">
            <x v="7"/>
          </reference>
        </references>
      </pivotArea>
    </format>
    <format dxfId="311">
      <pivotArea dataOnly="0" labelOnly="1" fieldPosition="0">
        <references count="1">
          <reference field="10" count="1" defaultSubtotal="1">
            <x v="9"/>
          </reference>
        </references>
      </pivotArea>
    </format>
    <format dxfId="310">
      <pivotArea dataOnly="0" labelOnly="1" fieldPosition="0">
        <references count="1">
          <reference field="10" count="1" defaultSubtotal="1">
            <x v="10"/>
          </reference>
        </references>
      </pivotArea>
    </format>
    <format dxfId="309">
      <pivotArea dataOnly="0" labelOnly="1" fieldPosition="0">
        <references count="1">
          <reference field="10" count="1" defaultSubtotal="1">
            <x v="18"/>
          </reference>
        </references>
      </pivotArea>
    </format>
    <format dxfId="308">
      <pivotArea collapsedLevelsAreSubtotals="1" fieldPosition="0">
        <references count="1">
          <reference field="10" count="1" selected="0" defaultSubtotal="1">
            <x v="5"/>
          </reference>
        </references>
      </pivotArea>
    </format>
    <format dxfId="307">
      <pivotArea collapsedLevelsAreSubtotals="1" fieldPosition="0">
        <references count="1">
          <reference field="10" count="1" selected="0" defaultSubtotal="1">
            <x v="6"/>
          </reference>
        </references>
      </pivotArea>
    </format>
    <format dxfId="306">
      <pivotArea collapsedLevelsAreSubtotals="1" fieldPosition="0">
        <references count="1">
          <reference field="10" count="1" selected="0" defaultSubtotal="1">
            <x v="7"/>
          </reference>
        </references>
      </pivotArea>
    </format>
    <format dxfId="305">
      <pivotArea collapsedLevelsAreSubtotals="1" fieldPosition="0">
        <references count="1">
          <reference field="10" count="1" selected="0" defaultSubtotal="1">
            <x v="9"/>
          </reference>
        </references>
      </pivotArea>
    </format>
    <format dxfId="304">
      <pivotArea collapsedLevelsAreSubtotals="1" fieldPosition="0">
        <references count="1">
          <reference field="10" count="1" selected="0" defaultSubtotal="1">
            <x v="10"/>
          </reference>
        </references>
      </pivotArea>
    </format>
    <format dxfId="303">
      <pivotArea collapsedLevelsAreSubtotals="1" fieldPosition="0">
        <references count="1">
          <reference field="10" count="1" selected="0" defaultSubtotal="1">
            <x v="18"/>
          </reference>
        </references>
      </pivotArea>
    </format>
    <format dxfId="302">
      <pivotArea type="all" dataOnly="0" outline="0" fieldPosition="0"/>
    </format>
    <format>
      <pivotArea type="all" dataOnly="0" outline="0" fieldPosition="0"/>
    </format>
    <format dxfId="301">
      <pivotArea collapsedLevelsAreSubtotals="1" fieldPosition="0"/>
    </format>
    <format dxfId="300">
      <pivotArea collapsedLevelsAreSubtotals="1" fieldPosition="0"/>
    </format>
    <format dxfId="299">
      <pivotArea collapsedLevelsAreSubtotals="1" fieldPosition="0"/>
    </format>
    <format dxfId="298">
      <pivotArea type="all" dataOnly="0" outline="0" fieldPosition="0"/>
    </format>
    <format dxfId="297">
      <pivotArea outline="0" collapsedLevelsAreSubtotals="1" fieldPosition="0"/>
    </format>
    <format dxfId="296">
      <pivotArea type="origin" dataOnly="0" labelOnly="1" outline="0" fieldPosition="0"/>
    </format>
    <format dxfId="295">
      <pivotArea field="10" type="button" dataOnly="0" labelOnly="1" outline="0" axis="axisRow" fieldPosition="0"/>
    </format>
    <format dxfId="294">
      <pivotArea field="14" type="button" dataOnly="0" labelOnly="1" outline="0" axis="axisRow" fieldPosition="1"/>
    </format>
    <format dxfId="293">
      <pivotArea dataOnly="0" labelOnly="1" outline="0" fieldPosition="0">
        <references count="1">
          <reference field="10" count="6">
            <x v="5"/>
            <x v="6"/>
            <x v="7"/>
            <x v="9"/>
            <x v="10"/>
            <x v="18"/>
          </reference>
        </references>
      </pivotArea>
    </format>
    <format dxfId="292">
      <pivotArea dataOnly="0" labelOnly="1" outline="0" fieldPosition="0">
        <references count="1">
          <reference field="10" count="6" defaultSubtotal="1">
            <x v="5"/>
            <x v="6"/>
            <x v="7"/>
            <x v="9"/>
            <x v="10"/>
            <x v="18"/>
          </reference>
        </references>
      </pivotArea>
    </format>
    <format dxfId="291">
      <pivotArea dataOnly="0" labelOnly="1" grandRow="1" outline="0" fieldPosition="0"/>
    </format>
    <format dxfId="290">
      <pivotArea dataOnly="0" labelOnly="1" outline="0" fieldPosition="0">
        <references count="2">
          <reference field="10" count="1" selected="0">
            <x v="5"/>
          </reference>
          <reference field="14" count="1">
            <x v="11"/>
          </reference>
        </references>
      </pivotArea>
    </format>
    <format dxfId="289">
      <pivotArea dataOnly="0" labelOnly="1" outline="0" fieldPosition="0">
        <references count="2">
          <reference field="10" count="1" selected="0">
            <x v="6"/>
          </reference>
          <reference field="14" count="2">
            <x v="0"/>
            <x v="1"/>
          </reference>
        </references>
      </pivotArea>
    </format>
    <format dxfId="288">
      <pivotArea dataOnly="0" labelOnly="1" outline="0" fieldPosition="0">
        <references count="2">
          <reference field="10" count="1" selected="0">
            <x v="7"/>
          </reference>
          <reference field="14" count="2">
            <x v="2"/>
            <x v="12"/>
          </reference>
        </references>
      </pivotArea>
    </format>
    <format dxfId="287">
      <pivotArea dataOnly="0" labelOnly="1" outline="0" fieldPosition="0">
        <references count="2">
          <reference field="10" count="1" selected="0">
            <x v="9"/>
          </reference>
          <reference field="14" count="4">
            <x v="9"/>
            <x v="10"/>
            <x v="45"/>
            <x v="70"/>
          </reference>
        </references>
      </pivotArea>
    </format>
    <format dxfId="286">
      <pivotArea dataOnly="0" labelOnly="1" outline="0" fieldPosition="0">
        <references count="2">
          <reference field="10" count="1" selected="0">
            <x v="10"/>
          </reference>
          <reference field="14" count="26">
            <x v="8"/>
            <x v="13"/>
            <x v="14"/>
            <x v="15"/>
            <x v="16"/>
            <x v="17"/>
            <x v="18"/>
            <x v="19"/>
            <x v="20"/>
            <x v="21"/>
            <x v="22"/>
            <x v="25"/>
            <x v="26"/>
            <x v="27"/>
            <x v="28"/>
            <x v="30"/>
            <x v="31"/>
            <x v="69"/>
            <x v="74"/>
            <x v="75"/>
            <x v="76"/>
            <x v="79"/>
            <x v="80"/>
            <x v="81"/>
            <x v="90"/>
            <x v="91"/>
          </reference>
        </references>
      </pivotArea>
    </format>
    <format dxfId="285">
      <pivotArea dataOnly="0" labelOnly="1" outline="0" fieldPosition="0">
        <references count="2">
          <reference field="10" count="1" selected="0">
            <x v="18"/>
          </reference>
          <reference field="14" count="15">
            <x v="23"/>
            <x v="24"/>
            <x v="57"/>
            <x v="72"/>
            <x v="73"/>
            <x v="77"/>
            <x v="78"/>
            <x v="82"/>
            <x v="83"/>
            <x v="84"/>
            <x v="85"/>
            <x v="86"/>
            <x v="87"/>
            <x v="88"/>
            <x v="89"/>
          </reference>
        </references>
      </pivotArea>
    </format>
    <format dxfId="284">
      <pivotArea type="topRight" dataOnly="0" labelOnly="1" outline="0" fieldPosition="0"/>
    </format>
    <format dxfId="283">
      <pivotArea type="all" dataOnly="0" outline="0" fieldPosition="0"/>
    </format>
    <format dxfId="282">
      <pivotArea outline="0" collapsedLevelsAreSubtotals="1" fieldPosition="0"/>
    </format>
    <format dxfId="281">
      <pivotArea type="origin" dataOnly="0" labelOnly="1" outline="0" fieldPosition="0"/>
    </format>
    <format dxfId="280">
      <pivotArea field="10" type="button" dataOnly="0" labelOnly="1" outline="0" axis="axisRow" fieldPosition="0"/>
    </format>
    <format dxfId="279">
      <pivotArea field="14" type="button" dataOnly="0" labelOnly="1" outline="0" axis="axisRow" fieldPosition="1"/>
    </format>
    <format dxfId="278">
      <pivotArea dataOnly="0" labelOnly="1" outline="0" fieldPosition="0">
        <references count="1">
          <reference field="10" count="6">
            <x v="5"/>
            <x v="6"/>
            <x v="7"/>
            <x v="9"/>
            <x v="10"/>
            <x v="18"/>
          </reference>
        </references>
      </pivotArea>
    </format>
    <format dxfId="277">
      <pivotArea dataOnly="0" labelOnly="1" outline="0" fieldPosition="0">
        <references count="1">
          <reference field="10" count="6" defaultSubtotal="1">
            <x v="5"/>
            <x v="6"/>
            <x v="7"/>
            <x v="9"/>
            <x v="10"/>
            <x v="18"/>
          </reference>
        </references>
      </pivotArea>
    </format>
    <format dxfId="276">
      <pivotArea dataOnly="0" labelOnly="1" grandRow="1" outline="0" fieldPosition="0"/>
    </format>
    <format dxfId="275">
      <pivotArea dataOnly="0" labelOnly="1" outline="0" fieldPosition="0">
        <references count="2">
          <reference field="10" count="1" selected="0">
            <x v="5"/>
          </reference>
          <reference field="14" count="1">
            <x v="11"/>
          </reference>
        </references>
      </pivotArea>
    </format>
    <format dxfId="274">
      <pivotArea dataOnly="0" labelOnly="1" outline="0" fieldPosition="0">
        <references count="2">
          <reference field="10" count="1" selected="0">
            <x v="6"/>
          </reference>
          <reference field="14" count="2">
            <x v="0"/>
            <x v="1"/>
          </reference>
        </references>
      </pivotArea>
    </format>
    <format dxfId="273">
      <pivotArea dataOnly="0" labelOnly="1" outline="0" fieldPosition="0">
        <references count="2">
          <reference field="10" count="1" selected="0">
            <x v="7"/>
          </reference>
          <reference field="14" count="2">
            <x v="2"/>
            <x v="12"/>
          </reference>
        </references>
      </pivotArea>
    </format>
    <format dxfId="272">
      <pivotArea dataOnly="0" labelOnly="1" outline="0" fieldPosition="0">
        <references count="2">
          <reference field="10" count="1" selected="0">
            <x v="9"/>
          </reference>
          <reference field="14" count="4">
            <x v="9"/>
            <x v="10"/>
            <x v="45"/>
            <x v="70"/>
          </reference>
        </references>
      </pivotArea>
    </format>
    <format dxfId="271">
      <pivotArea dataOnly="0" labelOnly="1" outline="0" fieldPosition="0">
        <references count="2">
          <reference field="10" count="1" selected="0">
            <x v="10"/>
          </reference>
          <reference field="14" count="26">
            <x v="8"/>
            <x v="13"/>
            <x v="14"/>
            <x v="15"/>
            <x v="16"/>
            <x v="17"/>
            <x v="18"/>
            <x v="19"/>
            <x v="20"/>
            <x v="21"/>
            <x v="22"/>
            <x v="25"/>
            <x v="26"/>
            <x v="27"/>
            <x v="28"/>
            <x v="30"/>
            <x v="31"/>
            <x v="69"/>
            <x v="74"/>
            <x v="75"/>
            <x v="76"/>
            <x v="79"/>
            <x v="80"/>
            <x v="81"/>
            <x v="90"/>
            <x v="91"/>
          </reference>
        </references>
      </pivotArea>
    </format>
    <format dxfId="270">
      <pivotArea dataOnly="0" labelOnly="1" outline="0" fieldPosition="0">
        <references count="2">
          <reference field="10" count="1" selected="0">
            <x v="18"/>
          </reference>
          <reference field="14" count="15">
            <x v="23"/>
            <x v="24"/>
            <x v="57"/>
            <x v="72"/>
            <x v="73"/>
            <x v="77"/>
            <x v="78"/>
            <x v="82"/>
            <x v="83"/>
            <x v="84"/>
            <x v="85"/>
            <x v="86"/>
            <x v="87"/>
            <x v="88"/>
            <x v="89"/>
          </reference>
        </references>
      </pivotArea>
    </format>
    <format dxfId="269">
      <pivotArea type="topRight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BBF8C8-BD6A-468B-A4B3-FC1BC601397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K134" firstHeaderRow="1" firstDataRow="3" firstDataCol="2"/>
  <pivotFields count="2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 sortType="ascending">
      <items count="33">
        <item m="1" x="31"/>
        <item x="22"/>
        <item x="23"/>
        <item x="16"/>
        <item x="15"/>
        <item x="10"/>
        <item x="19"/>
        <item x="24"/>
        <item x="13"/>
        <item x="0"/>
        <item x="2"/>
        <item x="6"/>
        <item x="18"/>
        <item x="3"/>
        <item x="1"/>
        <item x="29"/>
        <item x="14"/>
        <item x="8"/>
        <item x="9"/>
        <item x="25"/>
        <item x="5"/>
        <item x="27"/>
        <item x="12"/>
        <item x="11"/>
        <item x="4"/>
        <item x="20"/>
        <item x="7"/>
        <item x="26"/>
        <item x="21"/>
        <item x="28"/>
        <item x="17"/>
        <item x="30"/>
        <item t="default"/>
      </items>
    </pivotField>
    <pivotField compact="0" outline="0" showAll="0"/>
    <pivotField compact="0" outline="0" showAll="0"/>
    <pivotField axis="axisRow" compact="0" outline="0" showAll="0" sortType="ascending" defaultSubtotal="0">
      <items count="194">
        <item m="1" x="193"/>
        <item x="51"/>
        <item x="10"/>
        <item x="28"/>
        <item x="55"/>
        <item x="2"/>
        <item x="115"/>
        <item x="135"/>
        <item x="136"/>
        <item x="58"/>
        <item x="137"/>
        <item x="29"/>
        <item x="103"/>
        <item x="105"/>
        <item x="22"/>
        <item x="26"/>
        <item x="0"/>
        <item x="40"/>
        <item x="188"/>
        <item x="57"/>
        <item x="118"/>
        <item x="17"/>
        <item x="108"/>
        <item x="11"/>
        <item x="13"/>
        <item x="98"/>
        <item x="109"/>
        <item x="100"/>
        <item x="15"/>
        <item x="25"/>
        <item x="5"/>
        <item x="110"/>
        <item x="95"/>
        <item x="27"/>
        <item x="38"/>
        <item x="102"/>
        <item x="44"/>
        <item x="99"/>
        <item x="56"/>
        <item x="111"/>
        <item x="113"/>
        <item x="165"/>
        <item x="140"/>
        <item x="141"/>
        <item x="6"/>
        <item x="184"/>
        <item x="142"/>
        <item x="181"/>
        <item x="167"/>
        <item x="143"/>
        <item x="61"/>
        <item x="87"/>
        <item x="9"/>
        <item x="3"/>
        <item x="189"/>
        <item x="132"/>
        <item x="180"/>
        <item x="72"/>
        <item x="159"/>
        <item x="138"/>
        <item x="168"/>
        <item x="117"/>
        <item x="171"/>
        <item x="164"/>
        <item x="169"/>
        <item x="190"/>
        <item x="161"/>
        <item x="82"/>
        <item x="144"/>
        <item x="145"/>
        <item x="187"/>
        <item x="175"/>
        <item x="160"/>
        <item x="18"/>
        <item x="24"/>
        <item x="107"/>
        <item x="12"/>
        <item x="114"/>
        <item x="80"/>
        <item x="116"/>
        <item x="62"/>
        <item x="83"/>
        <item x="90"/>
        <item x="75"/>
        <item x="85"/>
        <item x="122"/>
        <item x="123"/>
        <item x="121"/>
        <item x="93"/>
        <item x="96"/>
        <item x="53"/>
        <item x="97"/>
        <item x="172"/>
        <item x="76"/>
        <item x="185"/>
        <item x="71"/>
        <item x="139"/>
        <item x="163"/>
        <item x="176"/>
        <item x="177"/>
        <item x="178"/>
        <item x="191"/>
        <item x="30"/>
        <item x="68"/>
        <item x="60"/>
        <item x="69"/>
        <item x="91"/>
        <item x="92"/>
        <item x="88"/>
        <item x="59"/>
        <item x="66"/>
        <item x="67"/>
        <item x="74"/>
        <item x="146"/>
        <item x="124"/>
        <item x="106"/>
        <item x="37"/>
        <item x="86"/>
        <item x="35"/>
        <item x="20"/>
        <item x="33"/>
        <item x="36"/>
        <item x="49"/>
        <item x="34"/>
        <item x="41"/>
        <item x="39"/>
        <item x="173"/>
        <item x="70"/>
        <item x="78"/>
        <item x="63"/>
        <item x="47"/>
        <item x="64"/>
        <item x="65"/>
        <item x="48"/>
        <item x="77"/>
        <item x="54"/>
        <item x="50"/>
        <item x="79"/>
        <item x="119"/>
        <item x="147"/>
        <item x="183"/>
        <item x="129"/>
        <item x="128"/>
        <item x="89"/>
        <item x="73"/>
        <item x="134"/>
        <item x="186"/>
        <item x="148"/>
        <item x="131"/>
        <item x="133"/>
        <item x="125"/>
        <item x="149"/>
        <item x="4"/>
        <item x="8"/>
        <item x="166"/>
        <item x="170"/>
        <item x="130"/>
        <item x="42"/>
        <item x="45"/>
        <item x="19"/>
        <item x="43"/>
        <item x="52"/>
        <item x="46"/>
        <item x="101"/>
        <item x="14"/>
        <item x="16"/>
        <item x="7"/>
        <item x="32"/>
        <item x="21"/>
        <item x="31"/>
        <item x="150"/>
        <item x="1"/>
        <item x="120"/>
        <item x="174"/>
        <item x="126"/>
        <item x="151"/>
        <item x="112"/>
        <item x="179"/>
        <item x="127"/>
        <item x="104"/>
        <item x="23"/>
        <item x="152"/>
        <item x="153"/>
        <item x="182"/>
        <item x="81"/>
        <item x="84"/>
        <item x="154"/>
        <item x="155"/>
        <item x="157"/>
        <item x="156"/>
        <item x="162"/>
        <item x="158"/>
        <item x="94"/>
        <item x="192"/>
      </items>
    </pivotField>
    <pivotField compact="0" outline="0" showAll="0" defaultSubtotal="0">
      <items count="177">
        <item x="23"/>
        <item x="2"/>
        <item x="45"/>
        <item x="98"/>
        <item x="49"/>
        <item x="46"/>
        <item x="91"/>
        <item x="18"/>
        <item x="21"/>
        <item x="0"/>
        <item x="41"/>
        <item x="9"/>
        <item x="10"/>
        <item x="90"/>
        <item x="12"/>
        <item x="86"/>
        <item x="13"/>
        <item x="20"/>
        <item x="5"/>
        <item x="84"/>
        <item x="22"/>
        <item x="89"/>
        <item x="87"/>
        <item x="8"/>
        <item x="115"/>
        <item x="67"/>
        <item x="99"/>
        <item x="50"/>
        <item x="70"/>
        <item x="65"/>
        <item x="80"/>
        <item x="3"/>
        <item x="66"/>
        <item x="61"/>
        <item x="48"/>
        <item x="64"/>
        <item x="47"/>
        <item x="54"/>
        <item x="55"/>
        <item x="56"/>
        <item x="57"/>
        <item x="58"/>
        <item x="51"/>
        <item x="38"/>
        <item x="52"/>
        <item x="53"/>
        <item x="39"/>
        <item x="43"/>
        <item x="40"/>
        <item x="63"/>
        <item x="7"/>
        <item x="25"/>
        <item x="92"/>
        <item x="4"/>
        <item x="19"/>
        <item x="24"/>
        <item x="16"/>
        <item x="17"/>
        <item x="29"/>
        <item x="27"/>
        <item x="30"/>
        <item x="28"/>
        <item x="26"/>
        <item x="6"/>
        <item x="88"/>
        <item x="175"/>
        <item x="62"/>
        <item x="34"/>
        <item x="33"/>
        <item x="32"/>
        <item x="42"/>
        <item x="11"/>
        <item x="14"/>
        <item x="15"/>
        <item x="31"/>
        <item x="36"/>
        <item x="35"/>
        <item x="37"/>
        <item x="121"/>
        <item x="59"/>
        <item x="82"/>
        <item x="74"/>
        <item x="60"/>
        <item x="83"/>
        <item x="85"/>
        <item x="71"/>
        <item x="118"/>
        <item x="95"/>
        <item x="97"/>
        <item x="101"/>
        <item x="102"/>
        <item x="104"/>
        <item x="108"/>
        <item x="109"/>
        <item x="110"/>
        <item x="112"/>
        <item x="113"/>
        <item x="114"/>
        <item x="116"/>
        <item x="117"/>
        <item x="119"/>
        <item x="120"/>
        <item x="122"/>
        <item x="123"/>
        <item x="124"/>
        <item x="125"/>
        <item x="126"/>
        <item x="127"/>
        <item x="169"/>
        <item x="128"/>
        <item x="130"/>
        <item x="131"/>
        <item x="132"/>
        <item x="133"/>
        <item x="134"/>
        <item x="135"/>
        <item x="136"/>
        <item x="140"/>
        <item x="142"/>
        <item x="143"/>
        <item x="69"/>
        <item x="144"/>
        <item x="171"/>
        <item x="103"/>
        <item x="44"/>
        <item x="68"/>
        <item x="146"/>
        <item x="147"/>
        <item x="75"/>
        <item x="94"/>
        <item x="105"/>
        <item x="106"/>
        <item x="111"/>
        <item x="129"/>
        <item x="139"/>
        <item x="141"/>
        <item x="148"/>
        <item x="149"/>
        <item x="150"/>
        <item x="151"/>
        <item x="152"/>
        <item x="153"/>
        <item x="154"/>
        <item x="155"/>
        <item x="157"/>
        <item x="159"/>
        <item x="160"/>
        <item x="161"/>
        <item x="162"/>
        <item x="163"/>
        <item x="164"/>
        <item x="165"/>
        <item x="166"/>
        <item x="167"/>
        <item x="168"/>
        <item x="170"/>
        <item x="96"/>
        <item x="100"/>
        <item x="145"/>
        <item x="156"/>
        <item x="158"/>
        <item x="172"/>
        <item x="93"/>
        <item x="173"/>
        <item x="72"/>
        <item x="73"/>
        <item m="1" x="176"/>
        <item x="76"/>
        <item x="107"/>
        <item x="137"/>
        <item x="138"/>
        <item x="174"/>
        <item x="77"/>
        <item x="78"/>
        <item x="79"/>
        <item x="1"/>
        <item x="81"/>
      </items>
    </pivotField>
    <pivotField compact="0" outline="0" showAll="0">
      <items count="5">
        <item x="0"/>
        <item x="1"/>
        <item h="1" x="2"/>
        <item h="1" m="1" x="3"/>
        <item t="default"/>
      </items>
    </pivotField>
    <pivotField axis="axisCol" compact="0" outline="0" showAll="0">
      <items count="7">
        <item x="2"/>
        <item x="1"/>
        <item x="0"/>
        <item h="1" x="4"/>
        <item x="3"/>
        <item h="1" m="1" x="5"/>
        <item t="default"/>
      </items>
    </pivotField>
    <pivotField compact="0" outline="0" showAll="0"/>
    <pivotField compact="0" outline="0" showAll="0"/>
    <pivotField name="Rate" dataField="1" compact="0" outline="0" showAll="0" defaultSubtotal="0">
      <items count="193">
        <item x="39"/>
        <item x="21"/>
        <item x="138"/>
        <item m="1" x="142"/>
        <item x="7"/>
        <item x="56"/>
        <item x="38"/>
        <item x="18"/>
        <item x="65"/>
        <item x="76"/>
        <item x="81"/>
        <item m="1" x="140"/>
        <item x="61"/>
        <item x="124"/>
        <item x="44"/>
        <item x="54"/>
        <item m="1" x="150"/>
        <item x="51"/>
        <item x="94"/>
        <item m="1" x="160"/>
        <item m="1" x="155"/>
        <item x="57"/>
        <item x="45"/>
        <item x="48"/>
        <item x="53"/>
        <item x="107"/>
        <item x="59"/>
        <item x="52"/>
        <item m="1" x="172"/>
        <item x="108"/>
        <item x="71"/>
        <item x="46"/>
        <item x="139"/>
        <item x="47"/>
        <item x="127"/>
        <item x="12"/>
        <item x="14"/>
        <item m="1" x="153"/>
        <item x="2"/>
        <item x="89"/>
        <item x="87"/>
        <item x="10"/>
        <item x="17"/>
        <item x="23"/>
        <item m="1" x="151"/>
        <item m="1" x="171"/>
        <item x="36"/>
        <item m="1" x="152"/>
        <item x="11"/>
        <item x="13"/>
        <item m="1" x="148"/>
        <item x="4"/>
        <item x="69"/>
        <item m="1" x="143"/>
        <item x="27"/>
        <item x="20"/>
        <item x="5"/>
        <item x="0"/>
        <item m="1" x="149"/>
        <item x="6"/>
        <item x="28"/>
        <item x="8"/>
        <item x="84"/>
        <item x="35"/>
        <item x="15"/>
        <item x="16"/>
        <item x="30"/>
        <item x="19"/>
        <item x="22"/>
        <item x="24"/>
        <item x="25"/>
        <item x="26"/>
        <item x="29"/>
        <item x="31"/>
        <item x="34"/>
        <item x="32"/>
        <item x="33"/>
        <item x="37"/>
        <item m="1" x="141"/>
        <item x="111"/>
        <item x="49"/>
        <item m="1" x="164"/>
        <item x="50"/>
        <item x="55"/>
        <item x="86"/>
        <item x="88"/>
        <item m="1" x="154"/>
        <item x="3"/>
        <item x="58"/>
        <item m="1" x="169"/>
        <item x="62"/>
        <item x="93"/>
        <item x="97"/>
        <item m="1" x="181"/>
        <item x="102"/>
        <item m="1" x="182"/>
        <item m="1" x="183"/>
        <item x="101"/>
        <item m="1" x="184"/>
        <item m="1" x="173"/>
        <item x="103"/>
        <item x="109"/>
        <item x="110"/>
        <item x="112"/>
        <item x="113"/>
        <item x="114"/>
        <item x="115"/>
        <item m="1" x="165"/>
        <item m="1" x="185"/>
        <item x="117"/>
        <item m="1" x="186"/>
        <item x="118"/>
        <item x="119"/>
        <item x="120"/>
        <item x="121"/>
        <item x="43"/>
        <item x="122"/>
        <item m="1" x="187"/>
        <item x="123"/>
        <item m="1" x="188"/>
        <item x="125"/>
        <item m="1" x="175"/>
        <item m="1" x="189"/>
        <item m="1" x="190"/>
        <item x="60"/>
        <item m="1" x="176"/>
        <item m="1" x="178"/>
        <item m="1" x="179"/>
        <item x="67"/>
        <item x="63"/>
        <item m="1" x="191"/>
        <item x="92"/>
        <item x="104"/>
        <item m="1" x="180"/>
        <item m="1" x="192"/>
        <item x="106"/>
        <item x="90"/>
        <item x="105"/>
        <item x="96"/>
        <item x="98"/>
        <item x="99"/>
        <item x="100"/>
        <item m="1" x="159"/>
        <item m="1" x="174"/>
        <item x="40"/>
        <item x="128"/>
        <item x="129"/>
        <item x="130"/>
        <item x="131"/>
        <item x="133"/>
        <item x="134"/>
        <item x="135"/>
        <item m="1" x="144"/>
        <item m="1" x="177"/>
        <item x="136"/>
        <item x="64"/>
        <item m="1" x="145"/>
        <item m="1" x="161"/>
        <item m="1" x="167"/>
        <item m="1" x="168"/>
        <item x="116"/>
        <item x="126"/>
        <item x="132"/>
        <item x="137"/>
        <item x="91"/>
        <item m="1" x="156"/>
        <item m="1" x="170"/>
        <item m="1" x="162"/>
        <item x="95"/>
        <item x="68"/>
        <item m="1" x="166"/>
        <item m="1" x="157"/>
        <item x="66"/>
        <item m="1" x="163"/>
        <item x="70"/>
        <item x="74"/>
        <item m="1" x="147"/>
        <item x="72"/>
        <item m="1" x="158"/>
        <item x="73"/>
        <item x="75"/>
        <item m="1" x="146"/>
        <item x="77"/>
        <item x="78"/>
        <item x="42"/>
        <item x="41"/>
        <item x="85"/>
        <item x="1"/>
        <item x="9"/>
        <item x="79"/>
        <item x="80"/>
        <item x="82"/>
        <item x="83"/>
      </items>
    </pivotField>
    <pivotField dataField="1" compact="0" outline="0" showAll="0"/>
    <pivotField compact="0" outline="0" showAll="0"/>
  </pivotFields>
  <rowFields count="2">
    <field x="10"/>
    <field x="13"/>
  </rowFields>
  <rowItems count="129">
    <i>
      <x v="1"/>
      <x v="39"/>
    </i>
    <i r="1">
      <x v="40"/>
    </i>
    <i r="1">
      <x v="154"/>
    </i>
    <i r="1">
      <x v="176"/>
    </i>
    <i t="default">
      <x v="1"/>
    </i>
    <i>
      <x v="2"/>
      <x v="77"/>
    </i>
    <i t="default">
      <x v="2"/>
    </i>
    <i>
      <x v="3"/>
      <x v="6"/>
    </i>
    <i r="1">
      <x v="184"/>
    </i>
    <i r="1">
      <x v="185"/>
    </i>
    <i t="default">
      <x v="3"/>
    </i>
    <i>
      <x v="4"/>
      <x v="78"/>
    </i>
    <i t="default">
      <x v="4"/>
    </i>
    <i>
      <x v="5"/>
      <x v="79"/>
    </i>
    <i r="1">
      <x v="80"/>
    </i>
    <i t="default">
      <x v="5"/>
    </i>
    <i>
      <x v="6"/>
      <x v="51"/>
    </i>
    <i t="default">
      <x v="6"/>
    </i>
    <i>
      <x v="7"/>
      <x v="48"/>
    </i>
    <i r="1">
      <x v="60"/>
    </i>
    <i r="1">
      <x v="61"/>
    </i>
    <i r="1">
      <x v="64"/>
    </i>
    <i r="1">
      <x v="155"/>
    </i>
    <i t="default">
      <x v="7"/>
    </i>
    <i>
      <x v="8"/>
      <x v="62"/>
    </i>
    <i r="1">
      <x v="81"/>
    </i>
    <i r="1">
      <x v="82"/>
    </i>
    <i r="1">
      <x v="83"/>
    </i>
    <i r="1">
      <x v="140"/>
    </i>
    <i t="default">
      <x v="8"/>
    </i>
    <i>
      <x v="12"/>
      <x v="84"/>
    </i>
    <i r="1">
      <x v="85"/>
    </i>
    <i r="1">
      <x v="86"/>
    </i>
    <i r="1">
      <x v="87"/>
    </i>
    <i t="default">
      <x v="12"/>
    </i>
    <i>
      <x v="15"/>
      <x v="126"/>
    </i>
    <i r="1">
      <x v="173"/>
    </i>
    <i t="default">
      <x v="15"/>
    </i>
    <i>
      <x v="16"/>
      <x v="93"/>
    </i>
    <i t="default">
      <x v="16"/>
    </i>
    <i>
      <x v="17"/>
      <x v="103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t="default">
      <x v="17"/>
    </i>
    <i>
      <x v="18"/>
      <x v="104"/>
    </i>
    <i t="default">
      <x v="18"/>
    </i>
    <i>
      <x v="19"/>
      <x v="114"/>
    </i>
    <i t="default">
      <x v="19"/>
    </i>
    <i>
      <x v="21"/>
      <x v="45"/>
    </i>
    <i r="1">
      <x v="71"/>
    </i>
    <i r="1">
      <x v="94"/>
    </i>
    <i r="1">
      <x v="98"/>
    </i>
    <i r="1">
      <x v="99"/>
    </i>
    <i r="1">
      <x v="100"/>
    </i>
    <i r="1">
      <x v="141"/>
    </i>
    <i r="1">
      <x v="142"/>
    </i>
    <i r="1">
      <x v="156"/>
    </i>
    <i r="1">
      <x v="177"/>
    </i>
    <i t="default">
      <x v="21"/>
    </i>
    <i>
      <x v="22"/>
      <x v="143"/>
    </i>
    <i r="1">
      <x v="144"/>
    </i>
    <i r="1">
      <x v="145"/>
    </i>
    <i r="1">
      <x v="146"/>
    </i>
    <i t="default">
      <x v="22"/>
    </i>
    <i>
      <x v="23"/>
      <x v="55"/>
    </i>
    <i r="1">
      <x v="56"/>
    </i>
    <i r="1">
      <x v="57"/>
    </i>
    <i r="1">
      <x v="148"/>
    </i>
    <i r="1">
      <x v="149"/>
    </i>
    <i t="default">
      <x v="23"/>
    </i>
    <i>
      <x v="25"/>
      <x v="88"/>
    </i>
    <i t="default">
      <x v="25"/>
    </i>
    <i>
      <x v="26"/>
      <x v="7"/>
    </i>
    <i r="1">
      <x v="8"/>
    </i>
    <i r="1">
      <x v="9"/>
    </i>
    <i r="1">
      <x v="10"/>
    </i>
    <i r="1">
      <x v="50"/>
    </i>
    <i r="1">
      <x v="59"/>
    </i>
    <i r="1">
      <x v="95"/>
    </i>
    <i r="1">
      <x v="96"/>
    </i>
    <i t="default">
      <x v="26"/>
    </i>
    <i>
      <x v="27"/>
      <x v="41"/>
    </i>
    <i r="1">
      <x v="42"/>
    </i>
    <i r="1">
      <x v="43"/>
    </i>
    <i r="1">
      <x v="46"/>
    </i>
    <i r="1">
      <x v="49"/>
    </i>
    <i r="1">
      <x v="54"/>
    </i>
    <i r="1">
      <x v="63"/>
    </i>
    <i r="1">
      <x v="68"/>
    </i>
    <i r="1">
      <x v="69"/>
    </i>
    <i r="1">
      <x v="70"/>
    </i>
    <i r="1">
      <x v="101"/>
    </i>
    <i r="1">
      <x v="113"/>
    </i>
    <i r="1">
      <x v="139"/>
    </i>
    <i r="1">
      <x v="147"/>
    </i>
    <i r="1">
      <x v="150"/>
    </i>
    <i r="1">
      <x v="151"/>
    </i>
    <i r="1">
      <x v="170"/>
    </i>
    <i r="1">
      <x v="174"/>
    </i>
    <i r="1">
      <x v="175"/>
    </i>
    <i r="1">
      <x v="178"/>
    </i>
    <i r="1">
      <x v="181"/>
    </i>
    <i r="1">
      <x v="182"/>
    </i>
    <i r="1">
      <x v="186"/>
    </i>
    <i r="1">
      <x v="187"/>
    </i>
    <i r="1">
      <x v="188"/>
    </i>
    <i r="1">
      <x v="189"/>
    </i>
    <i r="1">
      <x v="191"/>
    </i>
    <i t="default">
      <x v="27"/>
    </i>
    <i>
      <x v="28"/>
      <x v="65"/>
    </i>
    <i r="1">
      <x v="192"/>
    </i>
    <i t="default">
      <x v="28"/>
    </i>
    <i>
      <x v="29"/>
      <x v="47"/>
    </i>
    <i r="1">
      <x v="58"/>
    </i>
    <i r="1">
      <x v="72"/>
    </i>
    <i r="1">
      <x v="183"/>
    </i>
    <i t="default">
      <x v="29"/>
    </i>
    <i>
      <x v="30"/>
      <x v="66"/>
    </i>
    <i r="1">
      <x v="67"/>
    </i>
    <i r="1">
      <x v="97"/>
    </i>
    <i r="1">
      <x v="190"/>
    </i>
    <i t="default">
      <x v="30"/>
    </i>
    <i t="grand">
      <x/>
    </i>
  </rowItems>
  <colFields count="2">
    <field x="16"/>
    <field x="-2"/>
  </colFields>
  <colItems count="9">
    <i>
      <x v="1"/>
      <x/>
    </i>
    <i r="1" i="1">
      <x v="1"/>
    </i>
    <i r="1" i="2">
      <x v="2"/>
    </i>
    <i>
      <x v="4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Total Kgs" fld="9" baseField="0" baseItem="0"/>
    <dataField name="Average of Rate" fld="19" subtotal="average" baseField="13" baseItem="63"/>
    <dataField name="Sum of Value" fld="20" baseField="0" baseItem="0"/>
  </dataFields>
  <formats count="92">
    <format dxfId="268">
      <pivotArea type="all" dataOnly="0" outline="0" fieldPosition="0"/>
    </format>
    <format dxfId="267">
      <pivotArea outline="0" collapsedLevelsAreSubtotals="1" fieldPosition="0"/>
    </format>
    <format dxfId="266">
      <pivotArea type="origin" dataOnly="0" labelOnly="1" outline="0" fieldPosition="0"/>
    </format>
    <format dxfId="265">
      <pivotArea field="10" type="button" dataOnly="0" labelOnly="1" outline="0" axis="axisRow" fieldPosition="0"/>
    </format>
    <format dxfId="264">
      <pivotArea field="13" type="button" dataOnly="0" labelOnly="1" outline="0" axis="axisRow" fieldPosition="1"/>
    </format>
    <format dxfId="263">
      <pivotArea field="15" type="button" dataOnly="0" labelOnly="1" outline="0"/>
    </format>
    <format dxfId="262">
      <pivotArea dataOnly="0" labelOnly="1" outline="0" fieldPosition="0">
        <references count="1">
          <reference field="10" count="21">
            <x v="2"/>
            <x v="3"/>
            <x v="4"/>
            <x v="5"/>
            <x v="7"/>
            <x v="8"/>
            <x v="9"/>
            <x v="10"/>
            <x v="11"/>
            <x v="12"/>
            <x v="13"/>
            <x v="14"/>
            <x v="16"/>
            <x v="18"/>
            <x v="20"/>
            <x v="21"/>
            <x v="22"/>
            <x v="23"/>
            <x v="24"/>
            <x v="25"/>
            <x v="26"/>
          </reference>
        </references>
      </pivotArea>
    </format>
    <format dxfId="261">
      <pivotArea dataOnly="0" labelOnly="1" outline="0" fieldPosition="0">
        <references count="1">
          <reference field="10" count="21" defaultSubtotal="1">
            <x v="2"/>
            <x v="3"/>
            <x v="4"/>
            <x v="5"/>
            <x v="7"/>
            <x v="8"/>
            <x v="9"/>
            <x v="10"/>
            <x v="11"/>
            <x v="12"/>
            <x v="13"/>
            <x v="14"/>
            <x v="16"/>
            <x v="18"/>
            <x v="20"/>
            <x v="21"/>
            <x v="22"/>
            <x v="23"/>
            <x v="24"/>
            <x v="25"/>
            <x v="26"/>
          </reference>
        </references>
      </pivotArea>
    </format>
    <format dxfId="260">
      <pivotArea dataOnly="0" labelOnly="1" grandRow="1" outline="0" fieldPosition="0"/>
    </format>
    <format dxfId="259">
      <pivotArea type="topRight" dataOnly="0" labelOnly="1" outline="0" fieldPosition="0"/>
    </format>
    <format dxfId="258">
      <pivotArea dataOnly="0" outline="0" fieldPosition="0">
        <references count="1">
          <reference field="10" count="0" defaultSubtotal="1"/>
        </references>
      </pivotArea>
    </format>
    <format dxfId="257">
      <pivotArea field="13" type="button" dataOnly="0" labelOnly="1" outline="0" axis="axisRow" fieldPosition="1"/>
    </format>
    <format dxfId="256">
      <pivotArea type="all" dataOnly="0" outline="0" fieldPosition="0"/>
    </format>
    <format dxfId="255">
      <pivotArea outline="0" collapsedLevelsAreSubtotals="1" fieldPosition="0"/>
    </format>
    <format dxfId="254">
      <pivotArea type="origin" dataOnly="0" labelOnly="1" outline="0" fieldPosition="0"/>
    </format>
    <format dxfId="253">
      <pivotArea field="10" type="button" dataOnly="0" labelOnly="1" outline="0" axis="axisRow" fieldPosition="0"/>
    </format>
    <format dxfId="252">
      <pivotArea field="13" type="button" dataOnly="0" labelOnly="1" outline="0" axis="axisRow" fieldPosition="1"/>
    </format>
    <format dxfId="251">
      <pivotArea field="15" type="button" dataOnly="0" labelOnly="1" outline="0"/>
    </format>
    <format dxfId="250">
      <pivotArea dataOnly="0" labelOnly="1" outline="0" fieldPosition="0">
        <references count="1">
          <reference field="10" count="21">
            <x v="2"/>
            <x v="3"/>
            <x v="4"/>
            <x v="5"/>
            <x v="7"/>
            <x v="8"/>
            <x v="9"/>
            <x v="10"/>
            <x v="11"/>
            <x v="12"/>
            <x v="13"/>
            <x v="14"/>
            <x v="16"/>
            <x v="18"/>
            <x v="20"/>
            <x v="21"/>
            <x v="22"/>
            <x v="23"/>
            <x v="24"/>
            <x v="25"/>
            <x v="26"/>
          </reference>
        </references>
      </pivotArea>
    </format>
    <format dxfId="249">
      <pivotArea dataOnly="0" labelOnly="1" outline="0" fieldPosition="0">
        <references count="1">
          <reference field="10" count="21" defaultSubtotal="1">
            <x v="2"/>
            <x v="3"/>
            <x v="4"/>
            <x v="5"/>
            <x v="7"/>
            <x v="8"/>
            <x v="9"/>
            <x v="10"/>
            <x v="11"/>
            <x v="12"/>
            <x v="13"/>
            <x v="14"/>
            <x v="16"/>
            <x v="18"/>
            <x v="20"/>
            <x v="21"/>
            <x v="22"/>
            <x v="23"/>
            <x v="24"/>
            <x v="25"/>
            <x v="26"/>
          </reference>
        </references>
      </pivotArea>
    </format>
    <format dxfId="248">
      <pivotArea dataOnly="0" labelOnly="1" grandRow="1" outline="0" fieldPosition="0"/>
    </format>
    <format dxfId="247">
      <pivotArea type="topRight" dataOnly="0" labelOnly="1" outline="0" fieldPosition="0"/>
    </format>
    <format dxfId="246">
      <pivotArea field="10" type="button" dataOnly="0" labelOnly="1" outline="0" axis="axisRow" fieldPosition="0"/>
    </format>
    <format dxfId="245">
      <pivotArea field="15" type="button" dataOnly="0" labelOnly="1" outline="0"/>
    </format>
    <format dxfId="244">
      <pivotArea field="10" type="button" dataOnly="0" labelOnly="1" outline="0" axis="axisRow" fieldPosition="0"/>
    </format>
    <format dxfId="243">
      <pivotArea field="15" type="button" dataOnly="0" labelOnly="1" outline="0"/>
    </format>
    <format dxfId="242">
      <pivotArea outline="0" collapsedLevelsAreSubtotals="1" fieldPosition="0"/>
    </format>
    <format dxfId="241">
      <pivotArea field="15" type="button" dataOnly="0" labelOnly="1" outline="0"/>
    </format>
    <format dxfId="240">
      <pivotArea type="topRight" dataOnly="0" labelOnly="1" outline="0" fieldPosition="0"/>
    </format>
    <format dxfId="239">
      <pivotArea dataOnly="0" labelOnly="1" grandCol="1" outline="0" fieldPosition="0"/>
    </format>
    <format dxfId="238">
      <pivotArea type="all" dataOnly="0" outline="0" fieldPosition="0"/>
    </format>
    <format dxfId="237">
      <pivotArea outline="0" collapsedLevelsAreSubtotals="1" fieldPosition="0"/>
    </format>
    <format dxfId="236">
      <pivotArea type="origin" dataOnly="0" labelOnly="1" outline="0" fieldPosition="0"/>
    </format>
    <format dxfId="235">
      <pivotArea field="15" type="button" dataOnly="0" labelOnly="1" outline="0"/>
    </format>
    <format dxfId="234">
      <pivotArea type="topRight" dataOnly="0" labelOnly="1" outline="0" fieldPosition="0"/>
    </format>
    <format dxfId="233">
      <pivotArea field="10" type="button" dataOnly="0" labelOnly="1" outline="0" axis="axisRow" fieldPosition="0"/>
    </format>
    <format dxfId="232">
      <pivotArea field="13" type="button" dataOnly="0" labelOnly="1" outline="0" axis="axisRow" fieldPosition="1"/>
    </format>
    <format dxfId="231">
      <pivotArea dataOnly="0" labelOnly="1" outline="0" fieldPosition="0">
        <references count="1">
          <reference field="10" count="21">
            <x v="2"/>
            <x v="3"/>
            <x v="4"/>
            <x v="5"/>
            <x v="7"/>
            <x v="8"/>
            <x v="9"/>
            <x v="10"/>
            <x v="11"/>
            <x v="12"/>
            <x v="13"/>
            <x v="14"/>
            <x v="16"/>
            <x v="18"/>
            <x v="20"/>
            <x v="21"/>
            <x v="22"/>
            <x v="23"/>
            <x v="24"/>
            <x v="25"/>
            <x v="26"/>
          </reference>
        </references>
      </pivotArea>
    </format>
    <format dxfId="230">
      <pivotArea dataOnly="0" labelOnly="1" outline="0" fieldPosition="0">
        <references count="1">
          <reference field="10" count="21" defaultSubtotal="1">
            <x v="2"/>
            <x v="3"/>
            <x v="4"/>
            <x v="5"/>
            <x v="7"/>
            <x v="8"/>
            <x v="9"/>
            <x v="10"/>
            <x v="11"/>
            <x v="12"/>
            <x v="13"/>
            <x v="14"/>
            <x v="16"/>
            <x v="18"/>
            <x v="20"/>
            <x v="21"/>
            <x v="22"/>
            <x v="23"/>
            <x v="24"/>
            <x v="25"/>
            <x v="26"/>
          </reference>
        </references>
      </pivotArea>
    </format>
    <format dxfId="229">
      <pivotArea dataOnly="0" labelOnly="1" grandRow="1" outline="0" fieldPosition="0"/>
    </format>
    <format dxfId="228">
      <pivotArea dataOnly="0" labelOnly="1" grandCol="1" outline="0" fieldPosition="0"/>
    </format>
    <format dxfId="227">
      <pivotArea type="all" dataOnly="0" outline="0" fieldPosition="0"/>
    </format>
    <format dxfId="226">
      <pivotArea outline="0" collapsedLevelsAreSubtotals="1" fieldPosition="0"/>
    </format>
    <format dxfId="225">
      <pivotArea dataOnly="0" labelOnly="1" outline="0" fieldPosition="0">
        <references count="1">
          <reference field="10" count="21">
            <x v="2"/>
            <x v="3"/>
            <x v="4"/>
            <x v="5"/>
            <x v="7"/>
            <x v="8"/>
            <x v="9"/>
            <x v="10"/>
            <x v="11"/>
            <x v="12"/>
            <x v="13"/>
            <x v="14"/>
            <x v="16"/>
            <x v="18"/>
            <x v="20"/>
            <x v="21"/>
            <x v="22"/>
            <x v="23"/>
            <x v="24"/>
            <x v="25"/>
            <x v="26"/>
          </reference>
        </references>
      </pivotArea>
    </format>
    <format dxfId="224">
      <pivotArea dataOnly="0" labelOnly="1" outline="0" fieldPosition="0">
        <references count="1">
          <reference field="10" count="21" defaultSubtotal="1">
            <x v="2"/>
            <x v="3"/>
            <x v="4"/>
            <x v="5"/>
            <x v="7"/>
            <x v="8"/>
            <x v="9"/>
            <x v="10"/>
            <x v="11"/>
            <x v="12"/>
            <x v="13"/>
            <x v="14"/>
            <x v="16"/>
            <x v="18"/>
            <x v="20"/>
            <x v="21"/>
            <x v="22"/>
            <x v="23"/>
            <x v="24"/>
            <x v="25"/>
            <x v="26"/>
          </reference>
        </references>
      </pivotArea>
    </format>
    <format dxfId="223">
      <pivotArea dataOnly="0" labelOnly="1" grandRow="1" outline="0" fieldPosition="0"/>
    </format>
    <format dxfId="222">
      <pivotArea dataOnly="0" labelOnly="1" grandCol="1" outline="0" fieldPosition="0"/>
    </format>
    <format dxfId="221">
      <pivotArea type="all" dataOnly="0" outline="0" fieldPosition="0"/>
    </format>
    <format dxfId="220">
      <pivotArea outline="0" collapsedLevelsAreSubtotals="1" fieldPosition="0"/>
    </format>
    <format dxfId="219">
      <pivotArea type="origin" dataOnly="0" labelOnly="1" outline="0" fieldPosition="0"/>
    </format>
    <format dxfId="218">
      <pivotArea field="15" type="button" dataOnly="0" labelOnly="1" outline="0"/>
    </format>
    <format dxfId="217">
      <pivotArea type="topRight" dataOnly="0" labelOnly="1" outline="0" fieldPosition="0"/>
    </format>
    <format dxfId="216">
      <pivotArea field="10" type="button" dataOnly="0" labelOnly="1" outline="0" axis="axisRow" fieldPosition="0"/>
    </format>
    <format dxfId="215">
      <pivotArea field="13" type="button" dataOnly="0" labelOnly="1" outline="0" axis="axisRow" fieldPosition="1"/>
    </format>
    <format dxfId="214">
      <pivotArea dataOnly="0" labelOnly="1" outline="0" fieldPosition="0">
        <references count="1">
          <reference field="10" count="20">
            <x v="2"/>
            <x v="3"/>
            <x v="4"/>
            <x v="5"/>
            <x v="7"/>
            <x v="8"/>
            <x v="9"/>
            <x v="10"/>
            <x v="11"/>
            <x v="12"/>
            <x v="13"/>
            <x v="14"/>
            <x v="16"/>
            <x v="18"/>
            <x v="20"/>
            <x v="22"/>
            <x v="23"/>
            <x v="24"/>
            <x v="25"/>
            <x v="26"/>
          </reference>
        </references>
      </pivotArea>
    </format>
    <format dxfId="213">
      <pivotArea dataOnly="0" labelOnly="1" outline="0" fieldPosition="0">
        <references count="1">
          <reference field="10" count="20" defaultSubtotal="1">
            <x v="2"/>
            <x v="3"/>
            <x v="4"/>
            <x v="5"/>
            <x v="7"/>
            <x v="8"/>
            <x v="9"/>
            <x v="10"/>
            <x v="11"/>
            <x v="12"/>
            <x v="13"/>
            <x v="14"/>
            <x v="16"/>
            <x v="18"/>
            <x v="20"/>
            <x v="22"/>
            <x v="23"/>
            <x v="24"/>
            <x v="25"/>
            <x v="26"/>
          </reference>
        </references>
      </pivotArea>
    </format>
    <format dxfId="212">
      <pivotArea dataOnly="0" labelOnly="1" grandRow="1" outline="0" fieldPosition="0"/>
    </format>
    <format dxfId="211">
      <pivotArea dataOnly="0" labelOnly="1" grandCol="1" outline="0" fieldPosition="0"/>
    </format>
    <format dxfId="210">
      <pivotArea field="13" type="button" dataOnly="0" labelOnly="1" outline="0" axis="axisRow" fieldPosition="1"/>
    </format>
    <format dxfId="209">
      <pivotArea dataOnly="0" labelOnly="1" grandCol="1" outline="0" fieldPosition="0"/>
    </format>
    <format dxfId="208">
      <pivotArea type="origin" dataOnly="0" labelOnly="1" outline="0" fieldPosition="0"/>
    </format>
    <format dxfId="207">
      <pivotArea field="15" type="button" dataOnly="0" labelOnly="1" outline="0"/>
    </format>
    <format dxfId="206">
      <pivotArea type="topRight" dataOnly="0" labelOnly="1" outline="0" fieldPosition="0"/>
    </format>
    <format dxfId="205">
      <pivotArea type="origin" dataOnly="0" labelOnly="1" outline="0" fieldPosition="0"/>
    </format>
    <format dxfId="204">
      <pivotArea field="15" type="button" dataOnly="0" labelOnly="1" outline="0"/>
    </format>
    <format dxfId="203">
      <pivotArea field="-2" type="button" dataOnly="0" labelOnly="1" outline="0" axis="axisCol" fieldPosition="1"/>
    </format>
    <format dxfId="202">
      <pivotArea type="topRight" dataOnly="0" labelOnly="1" outline="0" fieldPosition="0"/>
    </format>
    <format dxfId="201">
      <pivotArea field="13" type="button" dataOnly="0" labelOnly="1" outline="0" axis="axisRow" fieldPosition="1"/>
    </format>
    <format dxfId="200">
      <pivotArea field="15" dataOnly="0" labelOnly="1" grandCol="1" outline="0">
        <references count="1">
          <reference field="4294967294" count="1" selected="0">
            <x v="0"/>
          </reference>
        </references>
      </pivotArea>
    </format>
    <format dxfId="199">
      <pivotArea field="10" type="button" dataOnly="0" labelOnly="1" outline="0" axis="axisRow" fieldPosition="0"/>
    </format>
    <format dxfId="198">
      <pivotArea field="14" type="button" dataOnly="0" labelOnly="1" outline="0"/>
    </format>
    <format dxfId="197">
      <pivotArea field="19" type="button" dataOnly="0" labelOnly="1" outline="0"/>
    </format>
    <format dxfId="196">
      <pivotArea dataOnly="0" labelOnly="1" outline="0" fieldPosition="0">
        <references count="2">
          <reference field="4294967294" count="2">
            <x v="0"/>
            <x v="2"/>
          </reference>
          <reference field="16" count="1" selected="0">
            <x v="0"/>
          </reference>
        </references>
      </pivotArea>
    </format>
    <format dxfId="195">
      <pivotArea dataOnly="0" labelOnly="1" outline="0" fieldPosition="0">
        <references count="2">
          <reference field="4294967294" count="2">
            <x v="0"/>
            <x v="2"/>
          </reference>
          <reference field="16" count="1" selected="0">
            <x v="1"/>
          </reference>
        </references>
      </pivotArea>
    </format>
    <format dxfId="194">
      <pivotArea dataOnly="0" labelOnly="1" outline="0" fieldPosition="0">
        <references count="2">
          <reference field="4294967294" count="2">
            <x v="0"/>
            <x v="2"/>
          </reference>
          <reference field="16" count="1" selected="0">
            <x v="2"/>
          </reference>
        </references>
      </pivotArea>
    </format>
    <format dxfId="193">
      <pivotArea field="10" type="button" dataOnly="0" labelOnly="1" outline="0" axis="axisRow" fieldPosition="0"/>
    </format>
    <format dxfId="192">
      <pivotArea field="14" type="button" dataOnly="0" labelOnly="1" outline="0"/>
    </format>
    <format dxfId="191">
      <pivotArea field="19" type="button" dataOnly="0" labelOnly="1" outline="0"/>
    </format>
    <format dxfId="190">
      <pivotArea dataOnly="0" labelOnly="1" outline="0" fieldPosition="0">
        <references count="2">
          <reference field="4294967294" count="2">
            <x v="0"/>
            <x v="2"/>
          </reference>
          <reference field="16" count="1" selected="0">
            <x v="0"/>
          </reference>
        </references>
      </pivotArea>
    </format>
    <format dxfId="189">
      <pivotArea dataOnly="0" labelOnly="1" outline="0" fieldPosition="0">
        <references count="2">
          <reference field="4294967294" count="2">
            <x v="0"/>
            <x v="2"/>
          </reference>
          <reference field="16" count="1" selected="0">
            <x v="1"/>
          </reference>
        </references>
      </pivotArea>
    </format>
    <format dxfId="188">
      <pivotArea dataOnly="0" labelOnly="1" outline="0" fieldPosition="0">
        <references count="2">
          <reference field="4294967294" count="2">
            <x v="0"/>
            <x v="2"/>
          </reference>
          <reference field="16" count="1" selected="0">
            <x v="2"/>
          </reference>
        </references>
      </pivotArea>
    </format>
    <format dxfId="187">
      <pivotArea dataOnly="0" labelOnly="1" outline="0" fieldPosition="0">
        <references count="1">
          <reference field="16" count="1">
            <x v="0"/>
          </reference>
        </references>
      </pivotArea>
    </format>
    <format dxfId="186">
      <pivotArea dataOnly="0" labelOnly="1" outline="0" fieldPosition="0">
        <references count="1">
          <reference field="16" count="1">
            <x v="1"/>
          </reference>
        </references>
      </pivotArea>
    </format>
    <format dxfId="185">
      <pivotArea field="16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84">
      <pivotArea field="16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83">
      <pivotArea dataOnly="0" labelOnly="1" outline="0" fieldPosition="0">
        <references count="1">
          <reference field="16" count="1">
            <x v="4"/>
          </reference>
        </references>
      </pivotArea>
    </format>
    <format dxfId="182">
      <pivotArea dataOnly="0" labelOnly="1" outline="0" fieldPosition="0">
        <references count="2">
          <reference field="4294967294" count="1">
            <x v="0"/>
          </reference>
          <reference field="16" count="1" selected="0">
            <x v="4"/>
          </reference>
        </references>
      </pivotArea>
    </format>
    <format dxfId="181">
      <pivotArea field="16" dataOnly="0" grandCol="1" outline="0" axis="axisCol" fieldPosition="0">
        <references count="1">
          <reference field="4294967294" count="2" selected="0">
            <x v="0"/>
            <x v="2"/>
          </reference>
        </references>
      </pivotArea>
    </format>
    <format dxfId="180">
      <pivotArea field="16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79">
      <pivotArea field="16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78">
      <pivotArea field="16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77">
      <pivotArea dataOnly="0" labelOnly="1" outline="0" fieldPosition="0">
        <references count="1">
          <reference field="16" count="1">
            <x v="2"/>
          </reference>
        </references>
      </pivotArea>
    </format>
  </formats>
  <pivotTableStyleInfo name="PivotStyleLight16" showRowHeaders="1" showColHeaders="1" showRowStripes="0" showColStripes="0" showLastColumn="1"/>
  <filters count="1">
    <filter fld="10" type="captionNotContains" evalOrder="-1" id="1" stringValue1="date">
      <autoFilter ref="A1">
        <filterColumn colId="0">
          <customFilters>
            <customFilter operator="notEqual" val="*date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B0BD0D-5264-4351-A3B8-086FCA05168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Q100" firstHeaderRow="1" firstDataRow="3" firstDataCol="2"/>
  <pivotFields count="2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33">
        <item h="1" x="23"/>
        <item h="1" x="16"/>
        <item h="1" x="15"/>
        <item h="1" x="10"/>
        <item h="1" x="24"/>
        <item h="1" x="13"/>
        <item x="0"/>
        <item x="2"/>
        <item x="6"/>
        <item h="1" x="18"/>
        <item x="3"/>
        <item x="1"/>
        <item h="1" x="14"/>
        <item h="1" x="9"/>
        <item x="5"/>
        <item h="1" x="27"/>
        <item h="1" x="12"/>
        <item h="1" x="11"/>
        <item x="4"/>
        <item h="1" x="20"/>
        <item h="1" x="7"/>
        <item h="1" x="30"/>
        <item h="1" x="22"/>
        <item h="1" x="26"/>
        <item h="1" x="29"/>
        <item h="1" x="25"/>
        <item h="1" x="21"/>
        <item h="1" x="28"/>
        <item h="1" x="17"/>
        <item h="1" x="19"/>
        <item h="1" m="1" x="31"/>
        <item h="1" x="8"/>
        <item t="default"/>
      </items>
    </pivotField>
    <pivotField compact="0" outline="0" showAll="0"/>
    <pivotField compact="0" outline="0" showAll="0"/>
    <pivotField axis="axisRow" compact="0" outline="0" showAll="0" sortType="ascending" defaultSubtotal="0">
      <items count="194">
        <item m="1" x="193"/>
        <item x="51"/>
        <item x="10"/>
        <item x="28"/>
        <item x="55"/>
        <item x="2"/>
        <item x="115"/>
        <item x="135"/>
        <item x="136"/>
        <item x="58"/>
        <item x="137"/>
        <item x="29"/>
        <item x="103"/>
        <item x="105"/>
        <item x="22"/>
        <item x="26"/>
        <item x="0"/>
        <item x="40"/>
        <item x="188"/>
        <item x="57"/>
        <item x="118"/>
        <item x="17"/>
        <item x="108"/>
        <item x="11"/>
        <item x="13"/>
        <item x="98"/>
        <item x="109"/>
        <item x="100"/>
        <item x="15"/>
        <item x="25"/>
        <item x="5"/>
        <item x="110"/>
        <item x="95"/>
        <item x="27"/>
        <item x="38"/>
        <item x="102"/>
        <item x="44"/>
        <item x="99"/>
        <item x="56"/>
        <item x="111"/>
        <item x="113"/>
        <item x="165"/>
        <item x="140"/>
        <item x="141"/>
        <item x="6"/>
        <item x="184"/>
        <item x="142"/>
        <item x="181"/>
        <item x="167"/>
        <item x="143"/>
        <item x="61"/>
        <item x="87"/>
        <item x="9"/>
        <item x="3"/>
        <item x="189"/>
        <item x="132"/>
        <item x="180"/>
        <item x="72"/>
        <item x="159"/>
        <item x="138"/>
        <item x="168"/>
        <item x="117"/>
        <item x="171"/>
        <item x="164"/>
        <item x="169"/>
        <item x="190"/>
        <item x="161"/>
        <item x="82"/>
        <item x="144"/>
        <item x="145"/>
        <item x="187"/>
        <item x="175"/>
        <item x="160"/>
        <item x="18"/>
        <item x="24"/>
        <item x="107"/>
        <item x="12"/>
        <item x="114"/>
        <item x="80"/>
        <item x="116"/>
        <item x="62"/>
        <item x="83"/>
        <item x="90"/>
        <item x="75"/>
        <item x="85"/>
        <item x="122"/>
        <item x="123"/>
        <item x="121"/>
        <item x="93"/>
        <item x="96"/>
        <item x="53"/>
        <item x="97"/>
        <item x="172"/>
        <item x="76"/>
        <item x="185"/>
        <item x="71"/>
        <item x="139"/>
        <item x="163"/>
        <item x="176"/>
        <item x="177"/>
        <item x="178"/>
        <item x="191"/>
        <item x="30"/>
        <item x="68"/>
        <item x="60"/>
        <item x="69"/>
        <item x="91"/>
        <item x="92"/>
        <item x="88"/>
        <item x="59"/>
        <item x="66"/>
        <item x="67"/>
        <item x="74"/>
        <item x="146"/>
        <item x="124"/>
        <item x="106"/>
        <item x="37"/>
        <item x="86"/>
        <item x="35"/>
        <item x="20"/>
        <item x="33"/>
        <item x="36"/>
        <item x="49"/>
        <item x="34"/>
        <item x="41"/>
        <item x="39"/>
        <item x="173"/>
        <item x="70"/>
        <item x="78"/>
        <item x="63"/>
        <item x="47"/>
        <item x="64"/>
        <item x="65"/>
        <item x="48"/>
        <item x="77"/>
        <item x="54"/>
        <item x="50"/>
        <item x="79"/>
        <item x="119"/>
        <item x="147"/>
        <item x="183"/>
        <item x="129"/>
        <item x="128"/>
        <item x="89"/>
        <item x="73"/>
        <item x="134"/>
        <item x="186"/>
        <item x="148"/>
        <item x="131"/>
        <item x="133"/>
        <item x="125"/>
        <item x="149"/>
        <item x="4"/>
        <item x="8"/>
        <item x="166"/>
        <item x="170"/>
        <item x="130"/>
        <item x="42"/>
        <item x="45"/>
        <item x="19"/>
        <item x="43"/>
        <item x="52"/>
        <item x="46"/>
        <item x="101"/>
        <item x="14"/>
        <item x="16"/>
        <item x="7"/>
        <item x="32"/>
        <item x="21"/>
        <item x="31"/>
        <item x="150"/>
        <item x="1"/>
        <item x="120"/>
        <item x="174"/>
        <item x="126"/>
        <item x="151"/>
        <item x="112"/>
        <item x="179"/>
        <item x="127"/>
        <item x="104"/>
        <item x="23"/>
        <item x="152"/>
        <item x="153"/>
        <item x="182"/>
        <item x="81"/>
        <item x="84"/>
        <item x="154"/>
        <item x="155"/>
        <item x="157"/>
        <item x="156"/>
        <item x="162"/>
        <item x="158"/>
        <item x="94"/>
        <item x="192"/>
      </items>
    </pivotField>
    <pivotField compact="0" outline="0" showAll="0" defaultSubtotal="0">
      <items count="177">
        <item x="23"/>
        <item x="2"/>
        <item x="45"/>
        <item x="98"/>
        <item x="49"/>
        <item x="46"/>
        <item x="91"/>
        <item x="18"/>
        <item x="21"/>
        <item x="0"/>
        <item x="41"/>
        <item x="9"/>
        <item x="10"/>
        <item x="90"/>
        <item x="12"/>
        <item x="86"/>
        <item x="13"/>
        <item x="20"/>
        <item x="5"/>
        <item x="84"/>
        <item x="22"/>
        <item x="89"/>
        <item x="87"/>
        <item x="8"/>
        <item x="115"/>
        <item x="67"/>
        <item x="99"/>
        <item x="50"/>
        <item x="70"/>
        <item x="65"/>
        <item x="80"/>
        <item x="3"/>
        <item x="66"/>
        <item x="61"/>
        <item x="48"/>
        <item x="64"/>
        <item x="47"/>
        <item x="54"/>
        <item x="55"/>
        <item x="56"/>
        <item x="57"/>
        <item x="58"/>
        <item x="51"/>
        <item x="38"/>
        <item x="52"/>
        <item x="53"/>
        <item x="39"/>
        <item x="43"/>
        <item x="40"/>
        <item x="63"/>
        <item x="7"/>
        <item x="25"/>
        <item x="92"/>
        <item x="4"/>
        <item x="19"/>
        <item x="24"/>
        <item x="16"/>
        <item x="17"/>
        <item x="29"/>
        <item x="27"/>
        <item x="30"/>
        <item x="28"/>
        <item x="26"/>
        <item x="6"/>
        <item x="88"/>
        <item x="175"/>
        <item x="62"/>
        <item x="34"/>
        <item x="33"/>
        <item x="32"/>
        <item x="42"/>
        <item x="11"/>
        <item x="14"/>
        <item x="15"/>
        <item x="31"/>
        <item x="36"/>
        <item x="35"/>
        <item x="37"/>
        <item x="121"/>
        <item x="59"/>
        <item x="82"/>
        <item x="74"/>
        <item x="60"/>
        <item x="83"/>
        <item x="85"/>
        <item x="71"/>
        <item x="118"/>
        <item x="95"/>
        <item x="97"/>
        <item x="101"/>
        <item x="102"/>
        <item x="104"/>
        <item x="108"/>
        <item x="109"/>
        <item x="110"/>
        <item x="112"/>
        <item x="113"/>
        <item x="114"/>
        <item x="116"/>
        <item x="117"/>
        <item x="119"/>
        <item x="120"/>
        <item x="122"/>
        <item x="123"/>
        <item x="124"/>
        <item x="125"/>
        <item x="126"/>
        <item x="127"/>
        <item x="169"/>
        <item x="128"/>
        <item x="130"/>
        <item x="131"/>
        <item x="132"/>
        <item x="133"/>
        <item x="134"/>
        <item x="135"/>
        <item x="136"/>
        <item x="140"/>
        <item x="142"/>
        <item x="143"/>
        <item x="69"/>
        <item x="144"/>
        <item x="171"/>
        <item x="103"/>
        <item x="44"/>
        <item x="68"/>
        <item x="146"/>
        <item x="147"/>
        <item x="75"/>
        <item x="94"/>
        <item x="105"/>
        <item x="106"/>
        <item x="111"/>
        <item x="129"/>
        <item x="139"/>
        <item x="141"/>
        <item x="148"/>
        <item x="149"/>
        <item x="150"/>
        <item x="151"/>
        <item x="152"/>
        <item x="153"/>
        <item x="154"/>
        <item x="155"/>
        <item x="157"/>
        <item x="159"/>
        <item x="160"/>
        <item x="161"/>
        <item x="162"/>
        <item x="163"/>
        <item x="164"/>
        <item x="165"/>
        <item x="166"/>
        <item x="167"/>
        <item x="168"/>
        <item x="170"/>
        <item x="96"/>
        <item x="100"/>
        <item x="145"/>
        <item x="156"/>
        <item x="158"/>
        <item x="172"/>
        <item x="93"/>
        <item x="173"/>
        <item x="72"/>
        <item x="73"/>
        <item m="1" x="176"/>
        <item x="76"/>
        <item x="107"/>
        <item x="137"/>
        <item x="138"/>
        <item x="174"/>
        <item x="77"/>
        <item x="78"/>
        <item x="79"/>
        <item x="1"/>
        <item x="81"/>
      </items>
    </pivotField>
    <pivotField compact="0" outline="0" showAll="0">
      <items count="5">
        <item x="0"/>
        <item x="1"/>
        <item h="1" x="2"/>
        <item h="1" m="1" x="3"/>
        <item t="default"/>
      </items>
    </pivotField>
    <pivotField axis="axisCol" compact="0" outline="0" showAll="0">
      <items count="7">
        <item x="2"/>
        <item x="1"/>
        <item x="0"/>
        <item h="1" x="4"/>
        <item x="3"/>
        <item h="1" m="1" x="5"/>
        <item t="default"/>
      </items>
    </pivotField>
    <pivotField compact="0" outline="0" showAll="0"/>
    <pivotField compact="0" outline="0" showAll="0"/>
    <pivotField name="Rate" dataField="1" compact="0" outline="0" showAll="0" defaultSubtotal="0">
      <items count="193">
        <item x="39"/>
        <item x="21"/>
        <item x="138"/>
        <item m="1" x="142"/>
        <item x="7"/>
        <item x="56"/>
        <item x="38"/>
        <item x="18"/>
        <item x="65"/>
        <item x="76"/>
        <item x="81"/>
        <item m="1" x="140"/>
        <item x="61"/>
        <item x="124"/>
        <item x="44"/>
        <item x="54"/>
        <item m="1" x="150"/>
        <item x="51"/>
        <item x="94"/>
        <item m="1" x="160"/>
        <item m="1" x="155"/>
        <item x="57"/>
        <item x="45"/>
        <item x="48"/>
        <item x="53"/>
        <item x="107"/>
        <item x="59"/>
        <item x="52"/>
        <item m="1" x="172"/>
        <item x="108"/>
        <item x="71"/>
        <item x="46"/>
        <item x="139"/>
        <item x="47"/>
        <item x="127"/>
        <item x="12"/>
        <item x="14"/>
        <item m="1" x="153"/>
        <item x="2"/>
        <item x="89"/>
        <item x="87"/>
        <item x="10"/>
        <item x="17"/>
        <item x="23"/>
        <item m="1" x="151"/>
        <item m="1" x="171"/>
        <item x="36"/>
        <item m="1" x="152"/>
        <item x="11"/>
        <item x="13"/>
        <item m="1" x="148"/>
        <item x="4"/>
        <item x="69"/>
        <item m="1" x="143"/>
        <item x="27"/>
        <item x="20"/>
        <item x="5"/>
        <item x="0"/>
        <item m="1" x="149"/>
        <item x="6"/>
        <item x="28"/>
        <item x="8"/>
        <item x="84"/>
        <item x="35"/>
        <item x="15"/>
        <item x="16"/>
        <item x="30"/>
        <item x="19"/>
        <item x="22"/>
        <item x="24"/>
        <item x="25"/>
        <item x="26"/>
        <item x="29"/>
        <item x="31"/>
        <item x="34"/>
        <item x="32"/>
        <item x="33"/>
        <item x="37"/>
        <item m="1" x="141"/>
        <item x="111"/>
        <item x="49"/>
        <item m="1" x="164"/>
        <item x="50"/>
        <item x="55"/>
        <item x="86"/>
        <item x="88"/>
        <item m="1" x="154"/>
        <item x="3"/>
        <item x="58"/>
        <item m="1" x="169"/>
        <item x="62"/>
        <item x="93"/>
        <item x="97"/>
        <item m="1" x="181"/>
        <item x="102"/>
        <item m="1" x="182"/>
        <item m="1" x="183"/>
        <item x="101"/>
        <item m="1" x="184"/>
        <item m="1" x="173"/>
        <item x="103"/>
        <item x="109"/>
        <item x="110"/>
        <item x="112"/>
        <item x="113"/>
        <item x="114"/>
        <item x="115"/>
        <item m="1" x="165"/>
        <item m="1" x="185"/>
        <item x="117"/>
        <item m="1" x="186"/>
        <item x="118"/>
        <item x="119"/>
        <item x="120"/>
        <item x="121"/>
        <item x="43"/>
        <item x="122"/>
        <item m="1" x="187"/>
        <item x="123"/>
        <item m="1" x="188"/>
        <item x="125"/>
        <item m="1" x="175"/>
        <item m="1" x="189"/>
        <item m="1" x="190"/>
        <item x="60"/>
        <item m="1" x="176"/>
        <item m="1" x="178"/>
        <item m="1" x="179"/>
        <item x="67"/>
        <item x="63"/>
        <item m="1" x="191"/>
        <item x="92"/>
        <item x="104"/>
        <item m="1" x="180"/>
        <item m="1" x="192"/>
        <item x="106"/>
        <item x="90"/>
        <item x="105"/>
        <item x="96"/>
        <item x="98"/>
        <item x="99"/>
        <item x="100"/>
        <item m="1" x="159"/>
        <item m="1" x="174"/>
        <item x="40"/>
        <item x="128"/>
        <item x="129"/>
        <item x="130"/>
        <item x="131"/>
        <item x="133"/>
        <item x="134"/>
        <item x="135"/>
        <item m="1" x="144"/>
        <item m="1" x="177"/>
        <item x="136"/>
        <item x="64"/>
        <item m="1" x="145"/>
        <item m="1" x="161"/>
        <item m="1" x="167"/>
        <item m="1" x="168"/>
        <item x="116"/>
        <item x="126"/>
        <item x="132"/>
        <item x="137"/>
        <item x="91"/>
        <item m="1" x="156"/>
        <item m="1" x="170"/>
        <item m="1" x="162"/>
        <item x="95"/>
        <item x="68"/>
        <item m="1" x="166"/>
        <item m="1" x="157"/>
        <item x="66"/>
        <item m="1" x="163"/>
        <item x="70"/>
        <item x="74"/>
        <item m="1" x="147"/>
        <item x="72"/>
        <item m="1" x="158"/>
        <item x="73"/>
        <item x="75"/>
        <item m="1" x="146"/>
        <item x="77"/>
        <item x="78"/>
        <item x="42"/>
        <item x="41"/>
        <item x="85"/>
        <item x="1"/>
        <item x="9"/>
        <item x="79"/>
        <item x="80"/>
        <item x="82"/>
        <item x="83"/>
      </items>
    </pivotField>
    <pivotField dataField="1" compact="0" outline="0" showAll="0"/>
    <pivotField compact="0" outline="0" showAll="0"/>
  </pivotFields>
  <rowFields count="2">
    <field x="10"/>
    <field x="13"/>
  </rowFields>
  <rowItems count="95">
    <i>
      <x v="6"/>
      <x v="16"/>
    </i>
    <i t="default">
      <x v="6"/>
    </i>
    <i>
      <x v="7"/>
      <x v="3"/>
    </i>
    <i r="1">
      <x v="4"/>
    </i>
    <i r="1">
      <x v="5"/>
    </i>
    <i r="1">
      <x v="17"/>
    </i>
    <i r="1">
      <x v="20"/>
    </i>
    <i t="default">
      <x v="7"/>
    </i>
    <i>
      <x v="8"/>
      <x v="18"/>
    </i>
    <i r="1">
      <x v="19"/>
    </i>
    <i r="1">
      <x v="38"/>
    </i>
    <i t="default">
      <x v="8"/>
    </i>
    <i>
      <x v="10"/>
      <x v="14"/>
    </i>
    <i r="1">
      <x v="15"/>
    </i>
    <i r="1">
      <x v="53"/>
    </i>
    <i r="1">
      <x v="89"/>
    </i>
    <i r="1">
      <x v="153"/>
    </i>
    <i t="default">
      <x v="10"/>
    </i>
    <i>
      <x v="11"/>
      <x v="1"/>
    </i>
    <i r="1">
      <x v="2"/>
    </i>
    <i r="1">
      <x v="12"/>
    </i>
    <i r="1">
      <x v="13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5"/>
    </i>
    <i r="1">
      <x v="37"/>
    </i>
    <i r="1">
      <x v="52"/>
    </i>
    <i r="1">
      <x v="75"/>
    </i>
    <i r="1">
      <x v="76"/>
    </i>
    <i r="1">
      <x v="90"/>
    </i>
    <i r="1">
      <x v="91"/>
    </i>
    <i r="1">
      <x v="92"/>
    </i>
    <i r="1">
      <x v="115"/>
    </i>
    <i r="1">
      <x v="138"/>
    </i>
    <i r="1">
      <x v="152"/>
    </i>
    <i r="1">
      <x v="158"/>
    </i>
    <i r="1">
      <x v="159"/>
    </i>
    <i r="1">
      <x v="171"/>
    </i>
    <i r="1">
      <x v="172"/>
    </i>
    <i r="1">
      <x v="179"/>
    </i>
    <i r="1">
      <x v="180"/>
    </i>
    <i t="default">
      <x v="11"/>
    </i>
    <i>
      <x v="14"/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t="default">
      <x v="14"/>
    </i>
    <i>
      <x v="18"/>
      <x v="11"/>
    </i>
    <i r="1">
      <x v="31"/>
    </i>
    <i r="1">
      <x v="32"/>
    </i>
    <i r="1">
      <x v="33"/>
    </i>
    <i r="1">
      <x v="34"/>
    </i>
    <i r="1">
      <x v="36"/>
    </i>
    <i r="1">
      <x v="44"/>
    </i>
    <i r="1">
      <x v="73"/>
    </i>
    <i r="1">
      <x v="74"/>
    </i>
    <i r="1">
      <x v="102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57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t="default">
      <x v="18"/>
    </i>
    <i t="grand">
      <x/>
    </i>
  </rowItems>
  <colFields count="2">
    <field x="16"/>
    <field x="-2"/>
  </colFields>
  <colItems count="15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4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Total Kgs" fld="9" baseField="0" baseItem="0"/>
    <dataField name="Average of Rate" fld="19" subtotal="average" baseField="13" baseItem="20"/>
    <dataField name="Sum of Value" fld="20" baseField="0" baseItem="0"/>
  </dataFields>
  <formats count="124">
    <format dxfId="176">
      <pivotArea type="all" dataOnly="0" outline="0" fieldPosition="0"/>
    </format>
    <format dxfId="175">
      <pivotArea outline="0" collapsedLevelsAreSubtotals="1" fieldPosition="0"/>
    </format>
    <format dxfId="174">
      <pivotArea type="origin" dataOnly="0" labelOnly="1" outline="0" fieldPosition="0"/>
    </format>
    <format dxfId="173">
      <pivotArea field="10" type="button" dataOnly="0" labelOnly="1" outline="0" axis="axisRow" fieldPosition="0"/>
    </format>
    <format dxfId="172">
      <pivotArea field="13" type="button" dataOnly="0" labelOnly="1" outline="0" axis="axisRow" fieldPosition="1"/>
    </format>
    <format dxfId="171">
      <pivotArea field="15" type="button" dataOnly="0" labelOnly="1" outline="0"/>
    </format>
    <format dxfId="170">
      <pivotArea dataOnly="0" labelOnly="1" outline="0" fieldPosition="0">
        <references count="1">
          <reference field="10" count="21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</reference>
        </references>
      </pivotArea>
    </format>
    <format dxfId="169">
      <pivotArea dataOnly="0" labelOnly="1" outline="0" fieldPosition="0">
        <references count="1">
          <reference field="10" count="21" defaultSubtotal="1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</reference>
        </references>
      </pivotArea>
    </format>
    <format dxfId="168">
      <pivotArea dataOnly="0" labelOnly="1" grandRow="1" outline="0" fieldPosition="0"/>
    </format>
    <format dxfId="167">
      <pivotArea type="topRight" dataOnly="0" labelOnly="1" outline="0" fieldPosition="0"/>
    </format>
    <format dxfId="166">
      <pivotArea dataOnly="0" outline="0" fieldPosition="0">
        <references count="1">
          <reference field="10" count="0" defaultSubtotal="1"/>
        </references>
      </pivotArea>
    </format>
    <format dxfId="165">
      <pivotArea field="13" type="button" dataOnly="0" labelOnly="1" outline="0" axis="axisRow" fieldPosition="1"/>
    </format>
    <format dxfId="164">
      <pivotArea type="all" dataOnly="0" outline="0" fieldPosition="0"/>
    </format>
    <format dxfId="163">
      <pivotArea outline="0" collapsedLevelsAreSubtotals="1" fieldPosition="0"/>
    </format>
    <format dxfId="162">
      <pivotArea type="origin" dataOnly="0" labelOnly="1" outline="0" fieldPosition="0"/>
    </format>
    <format dxfId="161">
      <pivotArea field="10" type="button" dataOnly="0" labelOnly="1" outline="0" axis="axisRow" fieldPosition="0"/>
    </format>
    <format dxfId="160">
      <pivotArea field="13" type="button" dataOnly="0" labelOnly="1" outline="0" axis="axisRow" fieldPosition="1"/>
    </format>
    <format dxfId="159">
      <pivotArea field="15" type="button" dataOnly="0" labelOnly="1" outline="0"/>
    </format>
    <format dxfId="158">
      <pivotArea dataOnly="0" labelOnly="1" outline="0" fieldPosition="0">
        <references count="1">
          <reference field="10" count="21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</reference>
        </references>
      </pivotArea>
    </format>
    <format dxfId="157">
      <pivotArea dataOnly="0" labelOnly="1" outline="0" fieldPosition="0">
        <references count="1">
          <reference field="10" count="21" defaultSubtotal="1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</reference>
        </references>
      </pivotArea>
    </format>
    <format dxfId="156">
      <pivotArea dataOnly="0" labelOnly="1" grandRow="1" outline="0" fieldPosition="0"/>
    </format>
    <format dxfId="155">
      <pivotArea type="topRight" dataOnly="0" labelOnly="1" outline="0" fieldPosition="0"/>
    </format>
    <format dxfId="154">
      <pivotArea field="10" type="button" dataOnly="0" labelOnly="1" outline="0" axis="axisRow" fieldPosition="0"/>
    </format>
    <format dxfId="153">
      <pivotArea field="14" type="button" dataOnly="0" labelOnly="1" outline="0"/>
    </format>
    <format dxfId="152">
      <pivotArea field="15" type="button" dataOnly="0" labelOnly="1" outline="0"/>
    </format>
    <format dxfId="151">
      <pivotArea field="10" type="button" dataOnly="0" labelOnly="1" outline="0" axis="axisRow" fieldPosition="0"/>
    </format>
    <format dxfId="150">
      <pivotArea field="14" type="button" dataOnly="0" labelOnly="1" outline="0"/>
    </format>
    <format dxfId="149">
      <pivotArea field="15" type="button" dataOnly="0" labelOnly="1" outline="0"/>
    </format>
    <format dxfId="148">
      <pivotArea outline="0" collapsedLevelsAreSubtotals="1" fieldPosition="0"/>
    </format>
    <format dxfId="147">
      <pivotArea field="15" type="button" dataOnly="0" labelOnly="1" outline="0"/>
    </format>
    <format dxfId="146">
      <pivotArea type="topRight" dataOnly="0" labelOnly="1" outline="0" fieldPosition="0"/>
    </format>
    <format dxfId="145">
      <pivotArea dataOnly="0" labelOnly="1" grandCol="1" outline="0" fieldPosition="0"/>
    </format>
    <format dxfId="144">
      <pivotArea type="all" dataOnly="0" outline="0" fieldPosition="0"/>
    </format>
    <format dxfId="143">
      <pivotArea outline="0" collapsedLevelsAreSubtotals="1" fieldPosition="0"/>
    </format>
    <format dxfId="142">
      <pivotArea type="origin" dataOnly="0" labelOnly="1" outline="0" fieldPosition="0"/>
    </format>
    <format dxfId="141">
      <pivotArea field="15" type="button" dataOnly="0" labelOnly="1" outline="0"/>
    </format>
    <format dxfId="140">
      <pivotArea type="topRight" dataOnly="0" labelOnly="1" outline="0" fieldPosition="0"/>
    </format>
    <format dxfId="139">
      <pivotArea field="10" type="button" dataOnly="0" labelOnly="1" outline="0" axis="axisRow" fieldPosition="0"/>
    </format>
    <format dxfId="138">
      <pivotArea field="13" type="button" dataOnly="0" labelOnly="1" outline="0" axis="axisRow" fieldPosition="1"/>
    </format>
    <format dxfId="137">
      <pivotArea dataOnly="0" labelOnly="1" outline="0" fieldPosition="0">
        <references count="1">
          <reference field="10" count="21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</reference>
        </references>
      </pivotArea>
    </format>
    <format dxfId="136">
      <pivotArea dataOnly="0" labelOnly="1" outline="0" fieldPosition="0">
        <references count="1">
          <reference field="10" count="21" defaultSubtotal="1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</reference>
        </references>
      </pivotArea>
    </format>
    <format dxfId="135">
      <pivotArea dataOnly="0" labelOnly="1" grandRow="1" outline="0" fieldPosition="0"/>
    </format>
    <format dxfId="134">
      <pivotArea dataOnly="0" labelOnly="1" outline="0" fieldPosition="0">
        <references count="2">
          <reference field="10" count="1" selected="0">
            <x v="2"/>
          </reference>
          <reference field="13" count="1">
            <x v="78"/>
          </reference>
        </references>
      </pivotArea>
    </format>
    <format dxfId="133">
      <pivotArea dataOnly="0" labelOnly="1" outline="0" fieldPosition="0">
        <references count="2">
          <reference field="10" count="1" selected="0">
            <x v="3"/>
          </reference>
          <reference field="13" count="1">
            <x v="80"/>
          </reference>
        </references>
      </pivotArea>
    </format>
    <format dxfId="132">
      <pivotArea dataOnly="0" labelOnly="1" outline="0" fieldPosition="0">
        <references count="2">
          <reference field="10" count="1" selected="0">
            <x v="5"/>
          </reference>
          <reference field="13" count="2">
            <x v="81"/>
            <x v="82"/>
          </reference>
        </references>
      </pivotArea>
    </format>
    <format dxfId="131">
      <pivotArea dataOnly="0" labelOnly="1" outline="0" fieldPosition="0">
        <references count="2">
          <reference field="10" count="1" selected="0">
            <x v="7"/>
          </reference>
          <reference field="13" count="2">
            <x v="3"/>
            <x v="5"/>
          </reference>
        </references>
      </pivotArea>
    </format>
    <format dxfId="130">
      <pivotArea dataOnly="0" labelOnly="1" outline="0" fieldPosition="0">
        <references count="2">
          <reference field="10" count="1" selected="0">
            <x v="8"/>
          </reference>
          <reference field="13" count="1">
            <x v="19"/>
          </reference>
        </references>
      </pivotArea>
    </format>
    <format dxfId="129">
      <pivotArea dataOnly="0" labelOnly="1" outline="0" fieldPosition="0">
        <references count="2">
          <reference field="10" count="1" selected="0">
            <x v="10"/>
          </reference>
          <reference field="13" count="5">
            <x v="14"/>
            <x v="15"/>
            <x v="53"/>
            <x v="89"/>
            <x v="153"/>
          </reference>
        </references>
      </pivotArea>
    </format>
    <format dxfId="128">
      <pivotArea dataOnly="0" labelOnly="1" outline="0" fieldPosition="0">
        <references count="2">
          <reference field="10" count="1" selected="0">
            <x v="11"/>
          </reference>
          <reference field="13" count="18">
            <x v="1"/>
            <x v="2"/>
            <x v="21"/>
            <x v="23"/>
            <x v="24"/>
            <x v="25"/>
            <x v="27"/>
            <x v="28"/>
            <x v="29"/>
            <x v="30"/>
            <x v="35"/>
            <x v="37"/>
            <x v="52"/>
            <x v="76"/>
            <x v="115"/>
            <x v="152"/>
            <x v="159"/>
            <x v="172"/>
          </reference>
        </references>
      </pivotArea>
    </format>
    <format dxfId="127">
      <pivotArea dataOnly="0" labelOnly="1" outline="0" fieldPosition="0">
        <references count="2">
          <reference field="10" count="1" selected="0">
            <x v="13"/>
          </reference>
          <reference field="13" count="1">
            <x v="104"/>
          </reference>
        </references>
      </pivotArea>
    </format>
    <format dxfId="126">
      <pivotArea dataOnly="0" labelOnly="1" outline="0" fieldPosition="0">
        <references count="2">
          <reference field="10" count="1" selected="0">
            <x v="14"/>
          </reference>
          <reference field="13" count="8">
            <x v="127"/>
            <x v="129"/>
            <x v="130"/>
            <x v="131"/>
            <x v="132"/>
            <x v="133"/>
            <x v="135"/>
            <x v="136"/>
          </reference>
        </references>
      </pivotArea>
    </format>
    <format dxfId="125">
      <pivotArea dataOnly="0" labelOnly="1" outline="0" fieldPosition="0">
        <references count="2">
          <reference field="10" count="1" selected="0">
            <x v="17"/>
          </reference>
          <reference field="13" count="2">
            <x v="55"/>
            <x v="57"/>
          </reference>
        </references>
      </pivotArea>
    </format>
    <format dxfId="124">
      <pivotArea dataOnly="0" labelOnly="1" outline="0" fieldPosition="0">
        <references count="2">
          <reference field="10" count="1" selected="0">
            <x v="18"/>
          </reference>
          <reference field="13" count="23">
            <x v="11"/>
            <x v="32"/>
            <x v="33"/>
            <x v="34"/>
            <x v="44"/>
            <x v="73"/>
            <x v="74"/>
            <x v="102"/>
            <x v="116"/>
            <x v="117"/>
            <x v="118"/>
            <x v="119"/>
            <x v="120"/>
            <x v="121"/>
            <x v="123"/>
            <x v="163"/>
            <x v="164"/>
            <x v="165"/>
            <x v="166"/>
            <x v="167"/>
            <x v="168"/>
            <x v="169"/>
            <x v="180"/>
          </reference>
        </references>
      </pivotArea>
    </format>
    <format dxfId="123">
      <pivotArea dataOnly="0" labelOnly="1" outline="0" fieldPosition="0">
        <references count="2">
          <reference field="10" count="1" selected="0">
            <x v="20"/>
          </reference>
          <reference field="13" count="2">
            <x v="9"/>
            <x v="50"/>
          </reference>
        </references>
      </pivotArea>
    </format>
    <format dxfId="122">
      <pivotArea dataOnly="0" labelOnly="1" grandCol="1" outline="0" fieldPosition="0"/>
    </format>
    <format dxfId="121">
      <pivotArea type="all" dataOnly="0" outline="0" fieldPosition="0"/>
    </format>
    <format dxfId="120">
      <pivotArea outline="0" collapsedLevelsAreSubtotals="1" fieldPosition="0"/>
    </format>
    <format dxfId="119">
      <pivotArea dataOnly="0" labelOnly="1" outline="0" fieldPosition="0">
        <references count="1">
          <reference field="10" count="21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</reference>
        </references>
      </pivotArea>
    </format>
    <format dxfId="118">
      <pivotArea dataOnly="0" labelOnly="1" outline="0" fieldPosition="0">
        <references count="1">
          <reference field="10" count="21" defaultSubtotal="1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</reference>
        </references>
      </pivotArea>
    </format>
    <format dxfId="117">
      <pivotArea dataOnly="0" labelOnly="1" grandRow="1" outline="0" fieldPosition="0"/>
    </format>
    <format dxfId="116">
      <pivotArea dataOnly="0" labelOnly="1" outline="0" fieldPosition="0">
        <references count="2">
          <reference field="10" count="1" selected="0">
            <x v="2"/>
          </reference>
          <reference field="13" count="1">
            <x v="78"/>
          </reference>
        </references>
      </pivotArea>
    </format>
    <format dxfId="115">
      <pivotArea dataOnly="0" labelOnly="1" outline="0" fieldPosition="0">
        <references count="2">
          <reference field="10" count="1" selected="0">
            <x v="3"/>
          </reference>
          <reference field="13" count="1">
            <x v="80"/>
          </reference>
        </references>
      </pivotArea>
    </format>
    <format dxfId="114">
      <pivotArea dataOnly="0" labelOnly="1" outline="0" fieldPosition="0">
        <references count="2">
          <reference field="10" count="1" selected="0">
            <x v="5"/>
          </reference>
          <reference field="13" count="2">
            <x v="81"/>
            <x v="82"/>
          </reference>
        </references>
      </pivotArea>
    </format>
    <format dxfId="113">
      <pivotArea dataOnly="0" labelOnly="1" outline="0" fieldPosition="0">
        <references count="2">
          <reference field="10" count="1" selected="0">
            <x v="7"/>
          </reference>
          <reference field="13" count="3">
            <x v="3"/>
            <x v="5"/>
            <x v="17"/>
          </reference>
        </references>
      </pivotArea>
    </format>
    <format dxfId="112">
      <pivotArea dataOnly="0" labelOnly="1" outline="0" fieldPosition="0">
        <references count="2">
          <reference field="10" count="1" selected="0">
            <x v="8"/>
          </reference>
          <reference field="13" count="1">
            <x v="19"/>
          </reference>
        </references>
      </pivotArea>
    </format>
    <format dxfId="111">
      <pivotArea dataOnly="0" labelOnly="1" outline="0" fieldPosition="0">
        <references count="2">
          <reference field="10" count="1" selected="0">
            <x v="10"/>
          </reference>
          <reference field="13" count="5">
            <x v="14"/>
            <x v="15"/>
            <x v="53"/>
            <x v="89"/>
            <x v="153"/>
          </reference>
        </references>
      </pivotArea>
    </format>
    <format dxfId="110">
      <pivotArea dataOnly="0" labelOnly="1" outline="0" fieldPosition="0">
        <references count="2">
          <reference field="10" count="1" selected="0">
            <x v="11"/>
          </reference>
          <reference field="13" count="21">
            <x v="1"/>
            <x v="2"/>
            <x v="21"/>
            <x v="23"/>
            <x v="24"/>
            <x v="25"/>
            <x v="27"/>
            <x v="28"/>
            <x v="29"/>
            <x v="30"/>
            <x v="35"/>
            <x v="37"/>
            <x v="52"/>
            <x v="74"/>
            <x v="76"/>
            <x v="115"/>
            <x v="152"/>
            <x v="158"/>
            <x v="159"/>
            <x v="160"/>
            <x v="172"/>
          </reference>
        </references>
      </pivotArea>
    </format>
    <format dxfId="109">
      <pivotArea dataOnly="0" labelOnly="1" outline="0" fieldPosition="0">
        <references count="2">
          <reference field="10" count="1" selected="0">
            <x v="13"/>
          </reference>
          <reference field="13" count="1">
            <x v="104"/>
          </reference>
        </references>
      </pivotArea>
    </format>
    <format dxfId="108">
      <pivotArea dataOnly="0" labelOnly="1" outline="0" fieldPosition="0">
        <references count="2">
          <reference field="10" count="1" selected="0">
            <x v="14"/>
          </reference>
          <reference field="13" count="8">
            <x v="127"/>
            <x v="129"/>
            <x v="130"/>
            <x v="131"/>
            <x v="132"/>
            <x v="133"/>
            <x v="135"/>
            <x v="136"/>
          </reference>
        </references>
      </pivotArea>
    </format>
    <format dxfId="107">
      <pivotArea dataOnly="0" labelOnly="1" outline="0" fieldPosition="0">
        <references count="2">
          <reference field="10" count="1" selected="0">
            <x v="17"/>
          </reference>
          <reference field="13" count="2">
            <x v="55"/>
            <x v="57"/>
          </reference>
        </references>
      </pivotArea>
    </format>
    <format dxfId="106">
      <pivotArea dataOnly="0" labelOnly="1" outline="0" fieldPosition="0">
        <references count="2">
          <reference field="10" count="1" selected="0">
            <x v="18"/>
          </reference>
          <reference field="13" count="26">
            <x v="11"/>
            <x v="32"/>
            <x v="33"/>
            <x v="34"/>
            <x v="36"/>
            <x v="44"/>
            <x v="73"/>
            <x v="74"/>
            <x v="102"/>
            <x v="116"/>
            <x v="117"/>
            <x v="118"/>
            <x v="119"/>
            <x v="120"/>
            <x v="121"/>
            <x v="123"/>
            <x v="157"/>
            <x v="162"/>
            <x v="163"/>
            <x v="164"/>
            <x v="165"/>
            <x v="166"/>
            <x v="167"/>
            <x v="168"/>
            <x v="169"/>
            <x v="180"/>
          </reference>
        </references>
      </pivotArea>
    </format>
    <format dxfId="105">
      <pivotArea dataOnly="0" labelOnly="1" outline="0" fieldPosition="0">
        <references count="2">
          <reference field="10" count="1" selected="0">
            <x v="20"/>
          </reference>
          <reference field="13" count="2">
            <x v="9"/>
            <x v="50"/>
          </reference>
        </references>
      </pivotArea>
    </format>
    <format dxfId="104">
      <pivotArea dataOnly="0" labelOnly="1" grandCol="1" outline="0" fieldPosition="0"/>
    </format>
    <format dxfId="103">
      <pivotArea type="all" dataOnly="0" outline="0" fieldPosition="0"/>
    </format>
    <format dxfId="102">
      <pivotArea outline="0" collapsedLevelsAreSubtotals="1" fieldPosition="0"/>
    </format>
    <format dxfId="101">
      <pivotArea type="origin" dataOnly="0" labelOnly="1" outline="0" fieldPosition="0"/>
    </format>
    <format dxfId="100">
      <pivotArea field="15" type="button" dataOnly="0" labelOnly="1" outline="0"/>
    </format>
    <format dxfId="99">
      <pivotArea type="topRight" dataOnly="0" labelOnly="1" outline="0" fieldPosition="0"/>
    </format>
    <format dxfId="98">
      <pivotArea field="10" type="button" dataOnly="0" labelOnly="1" outline="0" axis="axisRow" fieldPosition="0"/>
    </format>
    <format dxfId="97">
      <pivotArea field="13" type="button" dataOnly="0" labelOnly="1" outline="0" axis="axisRow" fieldPosition="1"/>
    </format>
    <format dxfId="96">
      <pivotArea dataOnly="0" labelOnly="1" outline="0" fieldPosition="0">
        <references count="1">
          <reference field="10" count="2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6"/>
            <x v="17"/>
            <x v="18"/>
            <x v="19"/>
            <x v="20"/>
          </reference>
        </references>
      </pivotArea>
    </format>
    <format dxfId="95">
      <pivotArea dataOnly="0" labelOnly="1" outline="0" fieldPosition="0">
        <references count="1">
          <reference field="10" count="20" defaultSubtotal="1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6"/>
            <x v="17"/>
            <x v="18"/>
            <x v="19"/>
            <x v="20"/>
          </reference>
        </references>
      </pivotArea>
    </format>
    <format dxfId="94">
      <pivotArea dataOnly="0" labelOnly="1" grandRow="1" outline="0" fieldPosition="0"/>
    </format>
    <format dxfId="93">
      <pivotArea dataOnly="0" labelOnly="1" outline="0" fieldPosition="0">
        <references count="2">
          <reference field="10" count="1" selected="0">
            <x v="1"/>
          </reference>
          <reference field="13" count="1">
            <x v="185"/>
          </reference>
        </references>
      </pivotArea>
    </format>
    <format dxfId="92">
      <pivotArea dataOnly="0" labelOnly="1" outline="0" fieldPosition="0">
        <references count="2">
          <reference field="10" count="1" selected="0">
            <x v="2"/>
          </reference>
          <reference field="13" count="1">
            <x v="78"/>
          </reference>
        </references>
      </pivotArea>
    </format>
    <format dxfId="91">
      <pivotArea dataOnly="0" labelOnly="1" outline="0" fieldPosition="0">
        <references count="2">
          <reference field="10" count="1" selected="0">
            <x v="3"/>
          </reference>
          <reference field="13" count="1">
            <x v="80"/>
          </reference>
        </references>
      </pivotArea>
    </format>
    <format dxfId="90">
      <pivotArea dataOnly="0" labelOnly="1" outline="0" fieldPosition="0">
        <references count="2">
          <reference field="10" count="1" selected="0">
            <x v="5"/>
          </reference>
          <reference field="13" count="3">
            <x v="81"/>
            <x v="82"/>
            <x v="83"/>
          </reference>
        </references>
      </pivotArea>
    </format>
    <format dxfId="89">
      <pivotArea dataOnly="0" labelOnly="1" outline="0" fieldPosition="0">
        <references count="2">
          <reference field="10" count="1" selected="0">
            <x v="7"/>
          </reference>
          <reference field="13" count="4">
            <x v="3"/>
            <x v="4"/>
            <x v="5"/>
            <x v="17"/>
          </reference>
        </references>
      </pivotArea>
    </format>
    <format dxfId="88">
      <pivotArea dataOnly="0" labelOnly="1" outline="0" fieldPosition="0">
        <references count="2">
          <reference field="10" count="1" selected="0">
            <x v="8"/>
          </reference>
          <reference field="13" count="1">
            <x v="19"/>
          </reference>
        </references>
      </pivotArea>
    </format>
    <format dxfId="87">
      <pivotArea dataOnly="0" labelOnly="1" outline="0" fieldPosition="0">
        <references count="2">
          <reference field="10" count="1" selected="0">
            <x v="10"/>
          </reference>
          <reference field="13" count="5">
            <x v="14"/>
            <x v="15"/>
            <x v="53"/>
            <x v="89"/>
            <x v="153"/>
          </reference>
        </references>
      </pivotArea>
    </format>
    <format dxfId="86">
      <pivotArea dataOnly="0" labelOnly="1" outline="0" fieldPosition="0">
        <references count="2">
          <reference field="10" count="1" selected="0">
            <x v="11"/>
          </reference>
          <reference field="13" count="23">
            <x v="1"/>
            <x v="2"/>
            <x v="12"/>
            <x v="15"/>
            <x v="21"/>
            <x v="23"/>
            <x v="24"/>
            <x v="25"/>
            <x v="27"/>
            <x v="28"/>
            <x v="29"/>
            <x v="30"/>
            <x v="35"/>
            <x v="37"/>
            <x v="52"/>
            <x v="76"/>
            <x v="90"/>
            <x v="115"/>
            <x v="152"/>
            <x v="158"/>
            <x v="159"/>
            <x v="172"/>
            <x v="180"/>
          </reference>
        </references>
      </pivotArea>
    </format>
    <format dxfId="85">
      <pivotArea dataOnly="0" labelOnly="1" outline="0" fieldPosition="0">
        <references count="2">
          <reference field="10" count="1" selected="0">
            <x v="13"/>
          </reference>
          <reference field="13" count="1">
            <x v="104"/>
          </reference>
        </references>
      </pivotArea>
    </format>
    <format dxfId="84">
      <pivotArea dataOnly="0" labelOnly="1" outline="0" fieldPosition="0">
        <references count="2">
          <reference field="10" count="1" selected="0">
            <x v="14"/>
          </reference>
          <reference field="13" count="8">
            <x v="127"/>
            <x v="129"/>
            <x v="130"/>
            <x v="131"/>
            <x v="132"/>
            <x v="133"/>
            <x v="135"/>
            <x v="136"/>
          </reference>
        </references>
      </pivotArea>
    </format>
    <format dxfId="83">
      <pivotArea dataOnly="0" labelOnly="1" outline="0" fieldPosition="0">
        <references count="2">
          <reference field="10" count="1" selected="0">
            <x v="17"/>
          </reference>
          <reference field="13" count="2">
            <x v="55"/>
            <x v="57"/>
          </reference>
        </references>
      </pivotArea>
    </format>
    <format dxfId="82">
      <pivotArea dataOnly="0" labelOnly="1" outline="0" fieldPosition="0">
        <references count="2">
          <reference field="10" count="1" selected="0">
            <x v="18"/>
          </reference>
          <reference field="13" count="31">
            <x v="11"/>
            <x v="32"/>
            <x v="33"/>
            <x v="34"/>
            <x v="36"/>
            <x v="44"/>
            <x v="73"/>
            <x v="74"/>
            <x v="102"/>
            <x v="116"/>
            <x v="117"/>
            <x v="118"/>
            <x v="119"/>
            <x v="120"/>
            <x v="121"/>
            <x v="122"/>
            <x v="123"/>
            <x v="124"/>
            <x v="125"/>
            <x v="157"/>
            <x v="160"/>
            <x v="161"/>
            <x v="162"/>
            <x v="163"/>
            <x v="164"/>
            <x v="165"/>
            <x v="166"/>
            <x v="167"/>
            <x v="168"/>
            <x v="169"/>
            <x v="180"/>
          </reference>
        </references>
      </pivotArea>
    </format>
    <format dxfId="81">
      <pivotArea dataOnly="0" labelOnly="1" outline="0" fieldPosition="0">
        <references count="2">
          <reference field="10" count="1" selected="0">
            <x v="20"/>
          </reference>
          <reference field="13" count="4">
            <x v="9"/>
            <x v="50"/>
            <x v="95"/>
            <x v="96"/>
          </reference>
        </references>
      </pivotArea>
    </format>
    <format dxfId="80">
      <pivotArea dataOnly="0" labelOnly="1" grandCol="1" outline="0" fieldPosition="0"/>
    </format>
    <format dxfId="79">
      <pivotArea dataOnly="0" labelOnly="1" grandCol="1" outline="0" fieldPosition="0"/>
    </format>
    <format dxfId="78">
      <pivotArea type="origin" dataOnly="0" labelOnly="1" outline="0" fieldPosition="0"/>
    </format>
    <format dxfId="77">
      <pivotArea field="15" type="button" dataOnly="0" labelOnly="1" outline="0"/>
    </format>
    <format dxfId="76">
      <pivotArea type="topRight" dataOnly="0" labelOnly="1" outline="0" fieldPosition="0"/>
    </format>
    <format dxfId="75">
      <pivotArea type="origin" dataOnly="0" labelOnly="1" outline="0" fieldPosition="0"/>
    </format>
    <format dxfId="74">
      <pivotArea field="15" type="button" dataOnly="0" labelOnly="1" outline="0"/>
    </format>
    <format dxfId="73">
      <pivotArea field="-2" type="button" dataOnly="0" labelOnly="1" outline="0" axis="axisCol" fieldPosition="1"/>
    </format>
    <format dxfId="72">
      <pivotArea type="topRight" dataOnly="0" labelOnly="1" outline="0" fieldPosition="0"/>
    </format>
    <format dxfId="71">
      <pivotArea field="10" type="button" dataOnly="0" labelOnly="1" outline="0" axis="axisRow" fieldPosition="0"/>
    </format>
    <format dxfId="70">
      <pivotArea field="13" type="button" dataOnly="0" labelOnly="1" outline="0" axis="axisRow" fieldPosition="1"/>
    </format>
    <format dxfId="69">
      <pivotArea field="19" type="button" dataOnly="0" labelOnly="1" outline="0"/>
    </format>
    <format dxfId="68">
      <pivotArea field="15" dataOnly="0" labelOnly="1" grandCol="1" outline="0">
        <references count="1">
          <reference field="4294967294" count="1" selected="0">
            <x v="0"/>
          </reference>
        </references>
      </pivotArea>
    </format>
    <format dxfId="67">
      <pivotArea dataOnly="0" labelOnly="1" outline="0" fieldPosition="0">
        <references count="1">
          <reference field="16" count="0"/>
        </references>
      </pivotArea>
    </format>
    <format dxfId="66">
      <pivotArea field="10" type="button" dataOnly="0" labelOnly="1" outline="0" axis="axisRow" fieldPosition="0"/>
    </format>
    <format dxfId="65">
      <pivotArea field="13" type="button" dataOnly="0" labelOnly="1" outline="0" axis="axisRow" fieldPosition="1"/>
    </format>
    <format dxfId="64">
      <pivotArea field="19" type="button" dataOnly="0" labelOnly="1" outline="0"/>
    </format>
    <format dxfId="63">
      <pivotArea field="16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62">
      <pivotArea field="16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61">
      <pivotArea dataOnly="0" labelOnly="1" outline="0" fieldPosition="0">
        <references count="2">
          <reference field="4294967294" count="2">
            <x v="0"/>
            <x v="2"/>
          </reference>
          <reference field="16" count="1" selected="0">
            <x v="0"/>
          </reference>
        </references>
      </pivotArea>
    </format>
    <format dxfId="60">
      <pivotArea dataOnly="0" labelOnly="1" outline="0" fieldPosition="0">
        <references count="2">
          <reference field="4294967294" count="2">
            <x v="0"/>
            <x v="2"/>
          </reference>
          <reference field="16" count="1" selected="0">
            <x v="1"/>
          </reference>
        </references>
      </pivotArea>
    </format>
    <format dxfId="59">
      <pivotArea dataOnly="0" labelOnly="1" outline="0" fieldPosition="0">
        <references count="2">
          <reference field="4294967294" count="2">
            <x v="0"/>
            <x v="2"/>
          </reference>
          <reference field="16" count="1" selected="0">
            <x v="2"/>
          </reference>
        </references>
      </pivotArea>
    </format>
    <format dxfId="58">
      <pivotArea dataOnly="0" labelOnly="1" outline="0" fieldPosition="0">
        <references count="2">
          <reference field="4294967294" count="1">
            <x v="0"/>
          </reference>
          <reference field="16" count="1" selected="0">
            <x v="4"/>
          </reference>
        </references>
      </pivotArea>
    </format>
    <format dxfId="57">
      <pivotArea field="16" dataOnly="0" grandCol="1" outline="0" axis="axisCol" fieldPosition="0">
        <references count="1">
          <reference field="4294967294" count="1" selected="0">
            <x v="0"/>
          </reference>
        </references>
      </pivotArea>
    </format>
    <format dxfId="56">
      <pivotArea field="16" dataOnly="0" grandCol="1" outline="0" axis="axisCol" fieldPosition="0">
        <references count="1">
          <reference field="4294967294" count="1" selected="0">
            <x v="2"/>
          </reference>
        </references>
      </pivotArea>
    </format>
    <format dxfId="55">
      <pivotArea field="16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54">
      <pivotArea field="16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53">
      <pivotArea field="16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D3F7B-B2EF-4925-8F3E-32645C221E45}">
  <sheetPr codeName="Sheet2"/>
  <dimension ref="A1:H178"/>
  <sheetViews>
    <sheetView topLeftCell="B1" zoomScale="78" workbookViewId="0">
      <pane ySplit="4" topLeftCell="A8" activePane="bottomLeft" state="frozen"/>
      <selection activeCell="C11" sqref="C11"/>
      <selection pane="bottomLeft" activeCell="C11" sqref="C11"/>
    </sheetView>
  </sheetViews>
  <sheetFormatPr defaultColWidth="8.81640625" defaultRowHeight="14.5"/>
  <cols>
    <col min="1" max="1" width="23.453125" style="2" bestFit="1" customWidth="1"/>
    <col min="2" max="2" width="52.08984375" style="2" bestFit="1" customWidth="1"/>
    <col min="3" max="3" width="17.7265625" style="76" bestFit="1" customWidth="1"/>
    <col min="4" max="5" width="17.7265625" style="2" bestFit="1" customWidth="1"/>
    <col min="6" max="8" width="10.7265625" style="2" bestFit="1" customWidth="1"/>
    <col min="9" max="16384" width="8.81640625" style="2"/>
  </cols>
  <sheetData>
    <row r="1" spans="1:8">
      <c r="A1" s="80" t="s">
        <v>239</v>
      </c>
      <c r="B1" s="81" t="s">
        <v>516</v>
      </c>
      <c r="C1" s="118"/>
      <c r="D1" s="9"/>
      <c r="E1" s="9"/>
      <c r="F1" s="72">
        <f>GETPIVOTDATA("Total Inventory Kgs",$A$3)+GETPIVOTDATA("Total Inventory Kgs",'Pivot CDPL'!$A$3)</f>
        <v>930621.33599999989</v>
      </c>
    </row>
    <row r="2" spans="1:8">
      <c r="A2" s="1"/>
      <c r="B2" s="38" t="s">
        <v>718</v>
      </c>
      <c r="C2" s="72">
        <f>GETPIVOTDATA("Total Inventory Kgs",$A$3,"Storage Location","A-185 Cold")</f>
        <v>29739.920000000002</v>
      </c>
      <c r="D2" s="72">
        <f>GETPIVOTDATA("Total Inventory Kgs",$A$3,"Storage Location","Savla")</f>
        <v>79093.819999999978</v>
      </c>
      <c r="E2" s="72">
        <f>GETPIVOTDATA("Total Inventory Kgs",$A$3,"Storage Location","Savla Bond")</f>
        <v>7500</v>
      </c>
      <c r="F2" s="72">
        <f>GETPIVOTDATA("Total Inventory Kgs",$A$3)</f>
        <v>116333.73999999998</v>
      </c>
    </row>
    <row r="3" spans="1:8">
      <c r="A3" s="80" t="s">
        <v>717</v>
      </c>
      <c r="B3" s="81"/>
      <c r="C3" s="80" t="s">
        <v>1</v>
      </c>
      <c r="D3" s="81"/>
      <c r="E3" s="81"/>
      <c r="F3" s="81"/>
      <c r="G3"/>
      <c r="H3"/>
    </row>
    <row r="4" spans="1:8">
      <c r="A4" s="80" t="s">
        <v>0</v>
      </c>
      <c r="B4" s="80" t="s">
        <v>238</v>
      </c>
      <c r="C4" s="81" t="s">
        <v>4</v>
      </c>
      <c r="D4" s="81" t="s">
        <v>6</v>
      </c>
      <c r="E4" s="81" t="s">
        <v>24</v>
      </c>
      <c r="F4" s="81" t="s">
        <v>7</v>
      </c>
      <c r="G4"/>
      <c r="H4"/>
    </row>
    <row r="5" spans="1:8">
      <c r="A5" s="81" t="s">
        <v>34</v>
      </c>
      <c r="B5" s="81" t="s">
        <v>36</v>
      </c>
      <c r="C5" s="86"/>
      <c r="D5" s="86">
        <v>488</v>
      </c>
      <c r="E5" s="86"/>
      <c r="F5" s="86">
        <v>488</v>
      </c>
      <c r="G5"/>
      <c r="H5"/>
    </row>
    <row r="6" spans="1:8">
      <c r="A6" s="81"/>
      <c r="B6" s="81" t="s">
        <v>658</v>
      </c>
      <c r="C6" s="86"/>
      <c r="D6" s="86">
        <v>325</v>
      </c>
      <c r="E6" s="86"/>
      <c r="F6" s="86">
        <v>325</v>
      </c>
      <c r="G6"/>
      <c r="H6"/>
    </row>
    <row r="7" spans="1:8">
      <c r="A7" s="88" t="s">
        <v>38</v>
      </c>
      <c r="B7" s="88"/>
      <c r="C7" s="114"/>
      <c r="D7" s="114">
        <v>813</v>
      </c>
      <c r="E7" s="114"/>
      <c r="F7" s="114">
        <v>813</v>
      </c>
      <c r="G7"/>
      <c r="H7"/>
    </row>
    <row r="8" spans="1:8">
      <c r="A8" s="81" t="s">
        <v>42</v>
      </c>
      <c r="B8" s="81" t="s">
        <v>44</v>
      </c>
      <c r="C8" s="86">
        <v>1098.6799999999998</v>
      </c>
      <c r="D8" s="86">
        <v>908</v>
      </c>
      <c r="E8" s="86"/>
      <c r="F8" s="86">
        <v>2006.6799999999998</v>
      </c>
      <c r="G8"/>
      <c r="H8"/>
    </row>
    <row r="9" spans="1:8">
      <c r="A9" s="81"/>
      <c r="B9" s="81" t="s">
        <v>550</v>
      </c>
      <c r="C9" s="86"/>
      <c r="D9" s="86">
        <v>99.88</v>
      </c>
      <c r="E9" s="86"/>
      <c r="F9" s="86">
        <v>99.88</v>
      </c>
      <c r="G9"/>
      <c r="H9"/>
    </row>
    <row r="10" spans="1:8">
      <c r="A10" s="88" t="s">
        <v>45</v>
      </c>
      <c r="B10" s="88"/>
      <c r="C10" s="114">
        <v>1098.6799999999998</v>
      </c>
      <c r="D10" s="114">
        <v>1007.88</v>
      </c>
      <c r="E10" s="114"/>
      <c r="F10" s="114">
        <v>2106.56</v>
      </c>
      <c r="G10"/>
      <c r="H10"/>
    </row>
    <row r="11" spans="1:8">
      <c r="A11" s="81" t="s">
        <v>46</v>
      </c>
      <c r="B11" s="81" t="s">
        <v>738</v>
      </c>
      <c r="C11" s="86">
        <v>10</v>
      </c>
      <c r="D11" s="86"/>
      <c r="E11" s="86"/>
      <c r="F11" s="86">
        <v>10</v>
      </c>
      <c r="G11"/>
      <c r="H11"/>
    </row>
    <row r="12" spans="1:8">
      <c r="A12" s="81"/>
      <c r="B12" s="81" t="s">
        <v>741</v>
      </c>
      <c r="C12" s="86">
        <v>10</v>
      </c>
      <c r="D12" s="86"/>
      <c r="E12" s="86"/>
      <c r="F12" s="86">
        <v>10</v>
      </c>
      <c r="G12"/>
      <c r="H12"/>
    </row>
    <row r="13" spans="1:8">
      <c r="A13" s="81"/>
      <c r="B13" s="81" t="s">
        <v>46</v>
      </c>
      <c r="C13" s="86">
        <v>0</v>
      </c>
      <c r="D13" s="86"/>
      <c r="E13" s="86"/>
      <c r="F13" s="86">
        <v>0</v>
      </c>
      <c r="G13"/>
      <c r="H13"/>
    </row>
    <row r="14" spans="1:8">
      <c r="A14" s="88" t="s">
        <v>50</v>
      </c>
      <c r="B14" s="88"/>
      <c r="C14" s="114">
        <v>20</v>
      </c>
      <c r="D14" s="114"/>
      <c r="E14" s="114"/>
      <c r="F14" s="114">
        <v>20</v>
      </c>
      <c r="G14"/>
      <c r="H14"/>
    </row>
    <row r="15" spans="1:8">
      <c r="A15" s="81" t="s">
        <v>51</v>
      </c>
      <c r="B15" s="81" t="s">
        <v>52</v>
      </c>
      <c r="C15" s="86">
        <v>4456.62</v>
      </c>
      <c r="D15" s="86">
        <v>4536</v>
      </c>
      <c r="E15" s="86"/>
      <c r="F15" s="86">
        <v>8992.619999999999</v>
      </c>
      <c r="G15"/>
      <c r="H15"/>
    </row>
    <row r="16" spans="1:8">
      <c r="A16" s="81"/>
      <c r="B16" s="81" t="s">
        <v>53</v>
      </c>
      <c r="C16" s="86">
        <v>2787.5</v>
      </c>
      <c r="D16" s="86">
        <v>3268.4399999999996</v>
      </c>
      <c r="E16" s="86"/>
      <c r="F16" s="86">
        <v>6055.94</v>
      </c>
      <c r="G16"/>
      <c r="H16"/>
    </row>
    <row r="17" spans="1:8">
      <c r="A17" s="81"/>
      <c r="B17" s="81" t="s">
        <v>742</v>
      </c>
      <c r="C17" s="86">
        <v>31.5</v>
      </c>
      <c r="D17" s="86"/>
      <c r="E17" s="86"/>
      <c r="F17" s="86">
        <v>31.5</v>
      </c>
      <c r="G17"/>
      <c r="H17"/>
    </row>
    <row r="18" spans="1:8">
      <c r="A18" s="81"/>
      <c r="B18" s="81" t="s">
        <v>751</v>
      </c>
      <c r="C18" s="86">
        <v>21.8</v>
      </c>
      <c r="D18" s="86"/>
      <c r="E18" s="86"/>
      <c r="F18" s="86">
        <v>21.8</v>
      </c>
      <c r="G18"/>
      <c r="H18"/>
    </row>
    <row r="19" spans="1:8">
      <c r="A19" s="88" t="s">
        <v>55</v>
      </c>
      <c r="B19" s="88"/>
      <c r="C19" s="114">
        <v>7297.42</v>
      </c>
      <c r="D19" s="114">
        <v>7804.44</v>
      </c>
      <c r="E19" s="114"/>
      <c r="F19" s="114">
        <v>15101.859999999997</v>
      </c>
      <c r="G19"/>
      <c r="H19"/>
    </row>
    <row r="20" spans="1:8">
      <c r="A20" s="81" t="s">
        <v>136</v>
      </c>
      <c r="B20" s="81" t="s">
        <v>141</v>
      </c>
      <c r="C20" s="86">
        <v>80</v>
      </c>
      <c r="D20" s="86"/>
      <c r="E20" s="86"/>
      <c r="F20" s="86">
        <v>80</v>
      </c>
      <c r="G20"/>
      <c r="H20"/>
    </row>
    <row r="21" spans="1:8">
      <c r="A21" s="88" t="s">
        <v>142</v>
      </c>
      <c r="B21" s="88"/>
      <c r="C21" s="114">
        <v>80</v>
      </c>
      <c r="D21" s="114"/>
      <c r="E21" s="114"/>
      <c r="F21" s="114">
        <v>80</v>
      </c>
      <c r="G21"/>
      <c r="H21"/>
    </row>
    <row r="22" spans="1:8">
      <c r="A22" s="81" t="s">
        <v>143</v>
      </c>
      <c r="B22" s="81" t="s">
        <v>780</v>
      </c>
      <c r="C22" s="86">
        <v>3105</v>
      </c>
      <c r="D22" s="86"/>
      <c r="E22" s="86"/>
      <c r="F22" s="86">
        <v>3105</v>
      </c>
      <c r="G22"/>
      <c r="H22"/>
    </row>
    <row r="23" spans="1:8">
      <c r="A23" s="81"/>
      <c r="B23" s="81" t="s">
        <v>955</v>
      </c>
      <c r="C23" s="86">
        <v>684</v>
      </c>
      <c r="D23" s="86"/>
      <c r="E23" s="86"/>
      <c r="F23" s="86">
        <v>684</v>
      </c>
      <c r="G23"/>
      <c r="H23"/>
    </row>
    <row r="24" spans="1:8">
      <c r="A24" s="88" t="s">
        <v>147</v>
      </c>
      <c r="B24" s="88"/>
      <c r="C24" s="114">
        <v>3789</v>
      </c>
      <c r="D24" s="114"/>
      <c r="E24" s="114"/>
      <c r="F24" s="114">
        <v>3789</v>
      </c>
      <c r="G24"/>
      <c r="H24"/>
    </row>
    <row r="25" spans="1:8">
      <c r="A25" s="81" t="s">
        <v>56</v>
      </c>
      <c r="B25" s="81" t="s">
        <v>59</v>
      </c>
      <c r="C25" s="86">
        <v>7</v>
      </c>
      <c r="D25" s="86"/>
      <c r="E25" s="86"/>
      <c r="F25" s="86">
        <v>7</v>
      </c>
      <c r="G25"/>
      <c r="H25"/>
    </row>
    <row r="26" spans="1:8">
      <c r="A26" s="81"/>
      <c r="B26" s="81" t="s">
        <v>730</v>
      </c>
      <c r="C26" s="86">
        <v>10</v>
      </c>
      <c r="D26" s="86"/>
      <c r="E26" s="86"/>
      <c r="F26" s="86">
        <v>10</v>
      </c>
      <c r="G26"/>
      <c r="H26"/>
    </row>
    <row r="27" spans="1:8">
      <c r="A27" s="81"/>
      <c r="B27" s="81" t="s">
        <v>799</v>
      </c>
      <c r="C27" s="86"/>
      <c r="D27" s="86">
        <v>64</v>
      </c>
      <c r="E27" s="86"/>
      <c r="F27" s="86">
        <v>64</v>
      </c>
      <c r="G27"/>
      <c r="H27"/>
    </row>
    <row r="28" spans="1:8">
      <c r="A28" s="88" t="s">
        <v>60</v>
      </c>
      <c r="B28" s="88"/>
      <c r="C28" s="114">
        <v>17</v>
      </c>
      <c r="D28" s="114">
        <v>64</v>
      </c>
      <c r="E28" s="114"/>
      <c r="F28" s="114">
        <v>81</v>
      </c>
      <c r="G28"/>
      <c r="H28"/>
    </row>
    <row r="29" spans="1:8">
      <c r="A29" s="81" t="s">
        <v>148</v>
      </c>
      <c r="B29" s="81" t="s">
        <v>286</v>
      </c>
      <c r="C29" s="86">
        <v>3530</v>
      </c>
      <c r="D29" s="86"/>
      <c r="E29" s="86"/>
      <c r="F29" s="86">
        <v>3530</v>
      </c>
      <c r="G29"/>
      <c r="H29"/>
    </row>
    <row r="30" spans="1:8">
      <c r="A30" s="81"/>
      <c r="B30" s="81" t="s">
        <v>16</v>
      </c>
      <c r="C30" s="86">
        <v>80</v>
      </c>
      <c r="D30" s="86"/>
      <c r="E30" s="86"/>
      <c r="F30" s="86">
        <v>80</v>
      </c>
      <c r="G30"/>
      <c r="H30"/>
    </row>
    <row r="31" spans="1:8">
      <c r="A31" s="88" t="s">
        <v>151</v>
      </c>
      <c r="B31" s="88"/>
      <c r="C31" s="114">
        <v>3610</v>
      </c>
      <c r="D31" s="114"/>
      <c r="E31" s="114"/>
      <c r="F31" s="114">
        <v>3610</v>
      </c>
      <c r="G31"/>
      <c r="H31"/>
    </row>
    <row r="32" spans="1:8">
      <c r="A32" s="81" t="s">
        <v>152</v>
      </c>
      <c r="B32" s="81" t="s">
        <v>663</v>
      </c>
      <c r="C32" s="86">
        <v>57.7</v>
      </c>
      <c r="D32" s="86"/>
      <c r="E32" s="86"/>
      <c r="F32" s="86">
        <v>57.7</v>
      </c>
      <c r="G32"/>
      <c r="H32"/>
    </row>
    <row r="33" spans="1:8">
      <c r="A33" s="81"/>
      <c r="B33" s="81" t="s">
        <v>272</v>
      </c>
      <c r="C33" s="86"/>
      <c r="D33" s="86">
        <v>3580</v>
      </c>
      <c r="E33" s="86"/>
      <c r="F33" s="86">
        <v>3580</v>
      </c>
      <c r="G33"/>
      <c r="H33"/>
    </row>
    <row r="34" spans="1:8">
      <c r="A34" s="81"/>
      <c r="B34" s="81" t="s">
        <v>175</v>
      </c>
      <c r="C34" s="86">
        <v>50</v>
      </c>
      <c r="D34" s="86"/>
      <c r="E34" s="86"/>
      <c r="F34" s="86">
        <v>50</v>
      </c>
      <c r="G34"/>
      <c r="H34"/>
    </row>
    <row r="35" spans="1:8">
      <c r="A35" s="81"/>
      <c r="B35" s="81" t="s">
        <v>684</v>
      </c>
      <c r="C35" s="86">
        <v>40</v>
      </c>
      <c r="D35" s="86"/>
      <c r="E35" s="86"/>
      <c r="F35" s="86">
        <v>40</v>
      </c>
      <c r="G35"/>
      <c r="H35"/>
    </row>
    <row r="36" spans="1:8">
      <c r="A36" s="81"/>
      <c r="B36" s="81" t="s">
        <v>743</v>
      </c>
      <c r="C36" s="86">
        <v>45</v>
      </c>
      <c r="D36" s="86"/>
      <c r="E36" s="86"/>
      <c r="F36" s="86">
        <v>45</v>
      </c>
      <c r="G36"/>
      <c r="H36"/>
    </row>
    <row r="37" spans="1:8">
      <c r="A37" s="88" t="s">
        <v>176</v>
      </c>
      <c r="B37" s="88"/>
      <c r="C37" s="114">
        <v>192.7</v>
      </c>
      <c r="D37" s="114">
        <v>3580</v>
      </c>
      <c r="E37" s="114"/>
      <c r="F37" s="114">
        <v>3772.7</v>
      </c>
      <c r="G37"/>
      <c r="H37"/>
    </row>
    <row r="38" spans="1:8">
      <c r="A38" s="81" t="s">
        <v>61</v>
      </c>
      <c r="B38" s="81" t="s">
        <v>541</v>
      </c>
      <c r="C38" s="86">
        <v>8</v>
      </c>
      <c r="D38" s="86">
        <v>210</v>
      </c>
      <c r="E38" s="86"/>
      <c r="F38" s="86">
        <v>218</v>
      </c>
      <c r="G38"/>
      <c r="H38"/>
    </row>
    <row r="39" spans="1:8">
      <c r="A39" s="88" t="s">
        <v>63</v>
      </c>
      <c r="B39" s="88"/>
      <c r="C39" s="114">
        <v>8</v>
      </c>
      <c r="D39" s="114">
        <v>210</v>
      </c>
      <c r="E39" s="114"/>
      <c r="F39" s="114">
        <v>218</v>
      </c>
      <c r="G39"/>
      <c r="H39"/>
    </row>
    <row r="40" spans="1:8">
      <c r="A40" s="81" t="s">
        <v>73</v>
      </c>
      <c r="B40" s="81" t="s">
        <v>73</v>
      </c>
      <c r="C40" s="86"/>
      <c r="D40" s="86">
        <v>180</v>
      </c>
      <c r="E40" s="86"/>
      <c r="F40" s="86">
        <v>180</v>
      </c>
      <c r="G40"/>
      <c r="H40"/>
    </row>
    <row r="41" spans="1:8">
      <c r="A41" s="88" t="s">
        <v>74</v>
      </c>
      <c r="B41" s="88"/>
      <c r="C41" s="114"/>
      <c r="D41" s="114">
        <v>180</v>
      </c>
      <c r="E41" s="114"/>
      <c r="F41" s="114">
        <v>180</v>
      </c>
      <c r="G41"/>
      <c r="H41"/>
    </row>
    <row r="42" spans="1:8">
      <c r="A42" s="81" t="s">
        <v>177</v>
      </c>
      <c r="B42" s="81" t="s">
        <v>593</v>
      </c>
      <c r="C42" s="86"/>
      <c r="D42" s="86">
        <v>5</v>
      </c>
      <c r="E42" s="86"/>
      <c r="F42" s="86">
        <v>5</v>
      </c>
      <c r="G42"/>
      <c r="H42"/>
    </row>
    <row r="43" spans="1:8">
      <c r="A43" s="81"/>
      <c r="B43" s="81" t="s">
        <v>563</v>
      </c>
      <c r="C43" s="86"/>
      <c r="D43" s="86">
        <v>586.5</v>
      </c>
      <c r="E43" s="86"/>
      <c r="F43" s="86">
        <v>586.5</v>
      </c>
      <c r="G43"/>
      <c r="H43"/>
    </row>
    <row r="44" spans="1:8">
      <c r="A44" s="81"/>
      <c r="B44" s="81" t="s">
        <v>490</v>
      </c>
      <c r="C44" s="86"/>
      <c r="D44" s="86">
        <v>1112.5</v>
      </c>
      <c r="E44" s="86"/>
      <c r="F44" s="86">
        <v>1112.5</v>
      </c>
      <c r="G44"/>
      <c r="H44"/>
    </row>
    <row r="45" spans="1:8">
      <c r="A45" s="81"/>
      <c r="B45" s="81" t="s">
        <v>562</v>
      </c>
      <c r="C45" s="86"/>
      <c r="D45" s="86">
        <v>412.5</v>
      </c>
      <c r="E45" s="86"/>
      <c r="F45" s="86">
        <v>412.5</v>
      </c>
      <c r="G45"/>
      <c r="H45"/>
    </row>
    <row r="46" spans="1:8">
      <c r="A46" s="81"/>
      <c r="B46" s="81" t="s">
        <v>566</v>
      </c>
      <c r="C46" s="86"/>
      <c r="D46" s="86">
        <v>80</v>
      </c>
      <c r="E46" s="86"/>
      <c r="F46" s="86">
        <v>80</v>
      </c>
      <c r="G46"/>
      <c r="H46"/>
    </row>
    <row r="47" spans="1:8">
      <c r="A47" s="81"/>
      <c r="B47" s="81" t="s">
        <v>488</v>
      </c>
      <c r="C47" s="86"/>
      <c r="D47" s="86">
        <v>162</v>
      </c>
      <c r="E47" s="86"/>
      <c r="F47" s="86">
        <v>162</v>
      </c>
      <c r="G47"/>
      <c r="H47"/>
    </row>
    <row r="48" spans="1:8">
      <c r="A48" s="81"/>
      <c r="B48" s="81" t="s">
        <v>492</v>
      </c>
      <c r="C48" s="86"/>
      <c r="D48" s="86">
        <v>12</v>
      </c>
      <c r="E48" s="86"/>
      <c r="F48" s="86">
        <v>12</v>
      </c>
      <c r="G48"/>
      <c r="H48"/>
    </row>
    <row r="49" spans="1:8">
      <c r="A49" s="88" t="s">
        <v>189</v>
      </c>
      <c r="B49" s="88"/>
      <c r="C49" s="114"/>
      <c r="D49" s="114">
        <v>2370.5</v>
      </c>
      <c r="E49" s="114"/>
      <c r="F49" s="114">
        <v>2370.5</v>
      </c>
      <c r="G49"/>
      <c r="H49"/>
    </row>
    <row r="50" spans="1:8">
      <c r="A50" s="81" t="s">
        <v>75</v>
      </c>
      <c r="B50" s="81" t="s">
        <v>76</v>
      </c>
      <c r="C50" s="86">
        <v>700</v>
      </c>
      <c r="D50" s="86"/>
      <c r="E50" s="86"/>
      <c r="F50" s="86">
        <v>700</v>
      </c>
      <c r="G50"/>
      <c r="H50"/>
    </row>
    <row r="51" spans="1:8">
      <c r="A51" s="81"/>
      <c r="B51" s="81" t="s">
        <v>698</v>
      </c>
      <c r="C51" s="86">
        <v>1575</v>
      </c>
      <c r="D51" s="86"/>
      <c r="E51" s="86"/>
      <c r="F51" s="86">
        <v>1575</v>
      </c>
      <c r="G51"/>
      <c r="H51"/>
    </row>
    <row r="52" spans="1:8">
      <c r="A52" s="81"/>
      <c r="B52" s="81" t="s">
        <v>733</v>
      </c>
      <c r="C52" s="86">
        <v>10</v>
      </c>
      <c r="D52" s="86"/>
      <c r="E52" s="86"/>
      <c r="F52" s="86">
        <v>10</v>
      </c>
      <c r="G52"/>
      <c r="H52"/>
    </row>
    <row r="53" spans="1:8">
      <c r="A53" s="88" t="s">
        <v>78</v>
      </c>
      <c r="B53" s="88"/>
      <c r="C53" s="114">
        <v>2285</v>
      </c>
      <c r="D53" s="114"/>
      <c r="E53" s="114"/>
      <c r="F53" s="114">
        <v>2285</v>
      </c>
      <c r="G53"/>
      <c r="H53"/>
    </row>
    <row r="54" spans="1:8">
      <c r="A54" s="81" t="s">
        <v>79</v>
      </c>
      <c r="B54" s="81" t="s">
        <v>80</v>
      </c>
      <c r="C54" s="86">
        <v>186</v>
      </c>
      <c r="D54" s="86">
        <v>761.6</v>
      </c>
      <c r="E54" s="86"/>
      <c r="F54" s="86">
        <v>947.6</v>
      </c>
      <c r="G54"/>
      <c r="H54"/>
    </row>
    <row r="55" spans="1:8">
      <c r="A55" s="81"/>
      <c r="B55" s="81" t="s">
        <v>756</v>
      </c>
      <c r="C55" s="86">
        <v>90</v>
      </c>
      <c r="D55" s="86"/>
      <c r="E55" s="86"/>
      <c r="F55" s="86">
        <v>90</v>
      </c>
      <c r="G55"/>
      <c r="H55"/>
    </row>
    <row r="56" spans="1:8">
      <c r="A56" s="88" t="s">
        <v>82</v>
      </c>
      <c r="B56" s="88"/>
      <c r="C56" s="114">
        <v>276</v>
      </c>
      <c r="D56" s="114">
        <v>761.6</v>
      </c>
      <c r="E56" s="114"/>
      <c r="F56" s="114">
        <v>1037.5999999999999</v>
      </c>
      <c r="G56"/>
      <c r="H56"/>
    </row>
    <row r="57" spans="1:8">
      <c r="A57" s="81" t="s">
        <v>83</v>
      </c>
      <c r="B57" s="81" t="s">
        <v>616</v>
      </c>
      <c r="C57" s="86">
        <v>110</v>
      </c>
      <c r="D57" s="86">
        <v>14946.119999999999</v>
      </c>
      <c r="E57" s="86"/>
      <c r="F57" s="86">
        <v>15056.119999999999</v>
      </c>
      <c r="G57"/>
      <c r="H57"/>
    </row>
    <row r="58" spans="1:8">
      <c r="A58" s="81"/>
      <c r="B58" s="81" t="s">
        <v>609</v>
      </c>
      <c r="C58" s="86"/>
      <c r="D58" s="86">
        <v>1576.26</v>
      </c>
      <c r="E58" s="86"/>
      <c r="F58" s="86">
        <v>1576.26</v>
      </c>
      <c r="G58"/>
      <c r="H58"/>
    </row>
    <row r="59" spans="1:8">
      <c r="A59" s="81"/>
      <c r="B59" s="81" t="s">
        <v>86</v>
      </c>
      <c r="C59" s="86">
        <v>127</v>
      </c>
      <c r="D59" s="86"/>
      <c r="E59" s="86"/>
      <c r="F59" s="86">
        <v>127</v>
      </c>
      <c r="G59"/>
      <c r="H59"/>
    </row>
    <row r="60" spans="1:8">
      <c r="A60" s="81"/>
      <c r="B60" s="81" t="s">
        <v>87</v>
      </c>
      <c r="C60" s="86">
        <v>825</v>
      </c>
      <c r="D60" s="86"/>
      <c r="E60" s="86"/>
      <c r="F60" s="86">
        <v>825</v>
      </c>
      <c r="G60"/>
      <c r="H60"/>
    </row>
    <row r="61" spans="1:8">
      <c r="A61" s="88" t="s">
        <v>88</v>
      </c>
      <c r="B61" s="88"/>
      <c r="C61" s="114">
        <v>1062</v>
      </c>
      <c r="D61" s="114">
        <v>16522.379999999997</v>
      </c>
      <c r="E61" s="114"/>
      <c r="F61" s="114">
        <v>17584.379999999997</v>
      </c>
      <c r="G61"/>
      <c r="H61"/>
    </row>
    <row r="62" spans="1:8">
      <c r="A62" s="81" t="s">
        <v>190</v>
      </c>
      <c r="B62" s="81" t="s">
        <v>206</v>
      </c>
      <c r="C62" s="86"/>
      <c r="D62" s="86">
        <v>168</v>
      </c>
      <c r="E62" s="86"/>
      <c r="F62" s="86">
        <v>168</v>
      </c>
      <c r="G62"/>
      <c r="H62"/>
    </row>
    <row r="63" spans="1:8">
      <c r="A63" s="81"/>
      <c r="B63" s="81" t="s">
        <v>441</v>
      </c>
      <c r="C63" s="86"/>
      <c r="D63" s="86">
        <v>1825</v>
      </c>
      <c r="E63" s="86"/>
      <c r="F63" s="86">
        <v>1825</v>
      </c>
      <c r="G63"/>
      <c r="H63"/>
    </row>
    <row r="64" spans="1:8">
      <c r="A64" s="81"/>
      <c r="B64" s="81" t="s">
        <v>597</v>
      </c>
      <c r="C64" s="86"/>
      <c r="D64" s="86">
        <v>2620</v>
      </c>
      <c r="E64" s="86">
        <v>7500</v>
      </c>
      <c r="F64" s="86">
        <v>10120</v>
      </c>
      <c r="G64"/>
      <c r="H64"/>
    </row>
    <row r="65" spans="1:8">
      <c r="A65" s="81"/>
      <c r="B65" s="81" t="s">
        <v>967</v>
      </c>
      <c r="C65" s="86"/>
      <c r="D65" s="86">
        <v>368</v>
      </c>
      <c r="E65" s="86"/>
      <c r="F65" s="86">
        <v>368</v>
      </c>
      <c r="G65"/>
      <c r="H65"/>
    </row>
    <row r="66" spans="1:8">
      <c r="A66" s="81"/>
      <c r="B66" s="81" t="s">
        <v>654</v>
      </c>
      <c r="C66" s="86"/>
      <c r="D66" s="86">
        <v>2175</v>
      </c>
      <c r="E66" s="86"/>
      <c r="F66" s="86">
        <v>2175</v>
      </c>
      <c r="G66"/>
      <c r="H66"/>
    </row>
    <row r="67" spans="1:8">
      <c r="A67" s="81"/>
      <c r="B67" s="81" t="s">
        <v>602</v>
      </c>
      <c r="C67" s="86"/>
      <c r="D67" s="86">
        <v>60</v>
      </c>
      <c r="E67" s="86"/>
      <c r="F67" s="86">
        <v>60</v>
      </c>
      <c r="G67"/>
      <c r="H67"/>
    </row>
    <row r="68" spans="1:8">
      <c r="A68" s="81"/>
      <c r="B68" s="81" t="s">
        <v>614</v>
      </c>
      <c r="C68" s="86"/>
      <c r="D68" s="86">
        <v>1495</v>
      </c>
      <c r="E68" s="86"/>
      <c r="F68" s="86">
        <v>1495</v>
      </c>
      <c r="G68"/>
      <c r="H68"/>
    </row>
    <row r="69" spans="1:8">
      <c r="A69" s="81"/>
      <c r="B69" s="81" t="s">
        <v>196</v>
      </c>
      <c r="C69" s="86"/>
      <c r="D69" s="86">
        <v>3565</v>
      </c>
      <c r="E69" s="86"/>
      <c r="F69" s="86">
        <v>3565</v>
      </c>
      <c r="G69"/>
      <c r="H69"/>
    </row>
    <row r="70" spans="1:8">
      <c r="A70" s="81"/>
      <c r="B70" s="81" t="s">
        <v>816</v>
      </c>
      <c r="C70" s="86"/>
      <c r="D70" s="86">
        <v>1845</v>
      </c>
      <c r="E70" s="86"/>
      <c r="F70" s="86">
        <v>1845</v>
      </c>
      <c r="G70"/>
      <c r="H70"/>
    </row>
    <row r="71" spans="1:8">
      <c r="A71" s="81"/>
      <c r="B71" s="81" t="s">
        <v>202</v>
      </c>
      <c r="C71" s="86"/>
      <c r="D71" s="86">
        <v>4950</v>
      </c>
      <c r="E71" s="86"/>
      <c r="F71" s="86">
        <v>4950</v>
      </c>
      <c r="G71"/>
      <c r="H71"/>
    </row>
    <row r="72" spans="1:8">
      <c r="A72" s="88" t="s">
        <v>222</v>
      </c>
      <c r="B72" s="88"/>
      <c r="C72" s="114"/>
      <c r="D72" s="114">
        <v>19071</v>
      </c>
      <c r="E72" s="114">
        <v>7500</v>
      </c>
      <c r="F72" s="114">
        <v>26571</v>
      </c>
      <c r="G72"/>
      <c r="H72"/>
    </row>
    <row r="73" spans="1:8">
      <c r="A73" s="81" t="s">
        <v>89</v>
      </c>
      <c r="B73" s="81" t="s">
        <v>90</v>
      </c>
      <c r="C73" s="86">
        <v>1836.68</v>
      </c>
      <c r="D73" s="86">
        <v>7166.8799999999992</v>
      </c>
      <c r="E73" s="86"/>
      <c r="F73" s="86">
        <v>9003.56</v>
      </c>
      <c r="G73"/>
      <c r="H73"/>
    </row>
    <row r="74" spans="1:8">
      <c r="A74" s="88" t="s">
        <v>91</v>
      </c>
      <c r="B74" s="88"/>
      <c r="C74" s="114">
        <v>1836.68</v>
      </c>
      <c r="D74" s="114">
        <v>7166.8799999999992</v>
      </c>
      <c r="E74" s="114"/>
      <c r="F74" s="114">
        <v>9003.56</v>
      </c>
      <c r="G74"/>
      <c r="H74"/>
    </row>
    <row r="75" spans="1:8">
      <c r="A75" s="81" t="s">
        <v>92</v>
      </c>
      <c r="B75" s="81" t="s">
        <v>94</v>
      </c>
      <c r="C75" s="86">
        <v>15</v>
      </c>
      <c r="D75" s="86"/>
      <c r="E75" s="86"/>
      <c r="F75" s="86">
        <v>15</v>
      </c>
      <c r="G75"/>
      <c r="H75"/>
    </row>
    <row r="76" spans="1:8">
      <c r="A76" s="81"/>
      <c r="B76" s="81" t="s">
        <v>522</v>
      </c>
      <c r="C76" s="86"/>
      <c r="D76" s="86">
        <v>40</v>
      </c>
      <c r="E76" s="86"/>
      <c r="F76" s="86">
        <v>40</v>
      </c>
      <c r="G76"/>
      <c r="H76"/>
    </row>
    <row r="77" spans="1:8">
      <c r="A77" s="81"/>
      <c r="B77" s="81" t="s">
        <v>93</v>
      </c>
      <c r="C77" s="86">
        <v>3064</v>
      </c>
      <c r="D77" s="86">
        <v>4065</v>
      </c>
      <c r="E77" s="86"/>
      <c r="F77" s="86">
        <v>7129</v>
      </c>
      <c r="G77"/>
      <c r="H77"/>
    </row>
    <row r="78" spans="1:8">
      <c r="A78" s="81"/>
      <c r="B78" s="81" t="s">
        <v>538</v>
      </c>
      <c r="C78" s="86">
        <v>4.4000000000000004</v>
      </c>
      <c r="D78" s="86"/>
      <c r="E78" s="86"/>
      <c r="F78" s="86">
        <v>4.4000000000000004</v>
      </c>
      <c r="G78"/>
      <c r="H78"/>
    </row>
    <row r="79" spans="1:8">
      <c r="A79" s="81"/>
      <c r="B79" s="81" t="s">
        <v>95</v>
      </c>
      <c r="C79" s="86">
        <v>1319</v>
      </c>
      <c r="D79" s="86"/>
      <c r="E79" s="86"/>
      <c r="F79" s="86">
        <v>1319</v>
      </c>
      <c r="G79"/>
      <c r="H79"/>
    </row>
    <row r="80" spans="1:8">
      <c r="A80" s="81"/>
      <c r="B80" s="81" t="s">
        <v>96</v>
      </c>
      <c r="C80" s="86">
        <v>67</v>
      </c>
      <c r="D80" s="86"/>
      <c r="E80" s="86"/>
      <c r="F80" s="86">
        <v>67</v>
      </c>
      <c r="G80"/>
      <c r="H80"/>
    </row>
    <row r="81" spans="1:8">
      <c r="A81" s="81"/>
      <c r="B81" s="81" t="s">
        <v>951</v>
      </c>
      <c r="C81" s="86">
        <v>7.5</v>
      </c>
      <c r="D81" s="86"/>
      <c r="E81" s="86"/>
      <c r="F81" s="86">
        <v>7.5</v>
      </c>
      <c r="G81"/>
      <c r="H81"/>
    </row>
    <row r="82" spans="1:8">
      <c r="A82" s="88" t="s">
        <v>97</v>
      </c>
      <c r="B82" s="88"/>
      <c r="C82" s="114">
        <v>4476.8999999999996</v>
      </c>
      <c r="D82" s="114">
        <v>4105</v>
      </c>
      <c r="E82" s="114"/>
      <c r="F82" s="114">
        <v>8581.9</v>
      </c>
      <c r="G82"/>
      <c r="H82"/>
    </row>
    <row r="83" spans="1:8">
      <c r="A83" s="81" t="s">
        <v>39</v>
      </c>
      <c r="B83" s="81" t="s">
        <v>618</v>
      </c>
      <c r="C83" s="86">
        <v>40</v>
      </c>
      <c r="D83" s="86">
        <v>200</v>
      </c>
      <c r="E83" s="86"/>
      <c r="F83" s="86">
        <v>240</v>
      </c>
      <c r="G83"/>
      <c r="H83"/>
    </row>
    <row r="84" spans="1:8">
      <c r="A84" s="88" t="s">
        <v>41</v>
      </c>
      <c r="B84" s="88"/>
      <c r="C84" s="114">
        <v>40</v>
      </c>
      <c r="D84" s="114">
        <v>200</v>
      </c>
      <c r="E84" s="114"/>
      <c r="F84" s="114">
        <v>240</v>
      </c>
      <c r="G84"/>
      <c r="H84"/>
    </row>
    <row r="85" spans="1:8">
      <c r="A85" s="81" t="s">
        <v>98</v>
      </c>
      <c r="B85" s="81" t="s">
        <v>689</v>
      </c>
      <c r="C85" s="86">
        <v>570</v>
      </c>
      <c r="D85" s="86"/>
      <c r="E85" s="86"/>
      <c r="F85" s="86">
        <v>570</v>
      </c>
      <c r="G85"/>
      <c r="H85"/>
    </row>
    <row r="86" spans="1:8">
      <c r="A86" s="81"/>
      <c r="B86" s="81" t="s">
        <v>727</v>
      </c>
      <c r="C86" s="86">
        <v>40</v>
      </c>
      <c r="D86" s="86"/>
      <c r="E86" s="86"/>
      <c r="F86" s="86">
        <v>40</v>
      </c>
      <c r="G86"/>
      <c r="H86"/>
    </row>
    <row r="87" spans="1:8">
      <c r="A87" s="81"/>
      <c r="B87" s="81" t="s">
        <v>737</v>
      </c>
      <c r="C87" s="86">
        <v>12</v>
      </c>
      <c r="D87" s="86"/>
      <c r="E87" s="86"/>
      <c r="F87" s="86">
        <v>12</v>
      </c>
      <c r="G87"/>
      <c r="H87"/>
    </row>
    <row r="88" spans="1:8">
      <c r="A88" s="81"/>
      <c r="B88" s="81" t="s">
        <v>770</v>
      </c>
      <c r="C88" s="86">
        <v>300</v>
      </c>
      <c r="D88" s="86"/>
      <c r="E88" s="86"/>
      <c r="F88" s="86">
        <v>300</v>
      </c>
      <c r="G88"/>
      <c r="H88"/>
    </row>
    <row r="89" spans="1:8">
      <c r="A89" s="81"/>
      <c r="B89" s="81" t="s">
        <v>948</v>
      </c>
      <c r="C89" s="86">
        <v>24</v>
      </c>
      <c r="D89" s="86"/>
      <c r="E89" s="86"/>
      <c r="F89" s="86">
        <v>24</v>
      </c>
      <c r="G89"/>
      <c r="H89"/>
    </row>
    <row r="90" spans="1:8">
      <c r="A90" s="88" t="s">
        <v>100</v>
      </c>
      <c r="B90" s="88"/>
      <c r="C90" s="114">
        <v>946</v>
      </c>
      <c r="D90" s="114"/>
      <c r="E90" s="114"/>
      <c r="F90" s="114">
        <v>946</v>
      </c>
      <c r="G90"/>
      <c r="H90"/>
    </row>
    <row r="91" spans="1:8">
      <c r="A91" s="81" t="s">
        <v>101</v>
      </c>
      <c r="B91" s="81" t="s">
        <v>102</v>
      </c>
      <c r="C91" s="86">
        <v>720</v>
      </c>
      <c r="D91" s="86"/>
      <c r="E91" s="86"/>
      <c r="F91" s="86">
        <v>720</v>
      </c>
      <c r="G91"/>
      <c r="H91"/>
    </row>
    <row r="92" spans="1:8">
      <c r="A92" s="81"/>
      <c r="B92" s="81" t="s">
        <v>103</v>
      </c>
      <c r="C92" s="86">
        <v>0</v>
      </c>
      <c r="D92" s="86"/>
      <c r="E92" s="86"/>
      <c r="F92" s="86">
        <v>0</v>
      </c>
      <c r="G92"/>
      <c r="H92"/>
    </row>
    <row r="93" spans="1:8">
      <c r="A93" s="81"/>
      <c r="B93" s="81" t="s">
        <v>104</v>
      </c>
      <c r="C93" s="86">
        <v>25</v>
      </c>
      <c r="D93" s="86"/>
      <c r="E93" s="86"/>
      <c r="F93" s="86">
        <v>25</v>
      </c>
      <c r="G93"/>
      <c r="H93"/>
    </row>
    <row r="94" spans="1:8">
      <c r="A94" s="81"/>
      <c r="B94" s="81" t="s">
        <v>105</v>
      </c>
      <c r="C94" s="86">
        <v>0</v>
      </c>
      <c r="D94" s="86"/>
      <c r="E94" s="86"/>
      <c r="F94" s="86">
        <v>0</v>
      </c>
      <c r="G94"/>
      <c r="H94"/>
    </row>
    <row r="95" spans="1:8">
      <c r="A95" s="81"/>
      <c r="B95" s="81" t="s">
        <v>106</v>
      </c>
      <c r="C95" s="86">
        <v>160</v>
      </c>
      <c r="D95" s="86"/>
      <c r="E95" s="86"/>
      <c r="F95" s="86">
        <v>160</v>
      </c>
      <c r="G95"/>
      <c r="H95"/>
    </row>
    <row r="96" spans="1:8">
      <c r="A96" s="81"/>
      <c r="B96" s="81" t="s">
        <v>107</v>
      </c>
      <c r="C96" s="86">
        <v>130</v>
      </c>
      <c r="D96" s="86"/>
      <c r="E96" s="86"/>
      <c r="F96" s="86">
        <v>130</v>
      </c>
      <c r="G96"/>
      <c r="H96"/>
    </row>
    <row r="97" spans="1:8">
      <c r="A97" s="81"/>
      <c r="B97" s="81" t="s">
        <v>108</v>
      </c>
      <c r="C97" s="86">
        <v>250</v>
      </c>
      <c r="D97" s="86"/>
      <c r="E97" s="86"/>
      <c r="F97" s="86">
        <v>250</v>
      </c>
      <c r="G97"/>
      <c r="H97"/>
    </row>
    <row r="98" spans="1:8">
      <c r="A98" s="81"/>
      <c r="B98" s="81" t="s">
        <v>773</v>
      </c>
      <c r="C98" s="86">
        <v>25</v>
      </c>
      <c r="D98" s="86"/>
      <c r="E98" s="86"/>
      <c r="F98" s="86">
        <v>25</v>
      </c>
      <c r="G98"/>
      <c r="H98"/>
    </row>
    <row r="99" spans="1:8">
      <c r="A99" s="81"/>
      <c r="B99" s="81" t="s">
        <v>109</v>
      </c>
      <c r="C99" s="86">
        <v>0</v>
      </c>
      <c r="D99" s="86"/>
      <c r="E99" s="86"/>
      <c r="F99" s="86">
        <v>0</v>
      </c>
      <c r="G99"/>
      <c r="H99"/>
    </row>
    <row r="100" spans="1:8">
      <c r="A100" s="81"/>
      <c r="B100" s="81" t="s">
        <v>110</v>
      </c>
      <c r="C100" s="86">
        <v>38</v>
      </c>
      <c r="D100" s="86"/>
      <c r="E100" s="86"/>
      <c r="F100" s="86">
        <v>38</v>
      </c>
      <c r="G100"/>
      <c r="H100"/>
    </row>
    <row r="101" spans="1:8">
      <c r="A101" s="81"/>
      <c r="B101" s="81" t="s">
        <v>111</v>
      </c>
      <c r="C101" s="86">
        <v>100</v>
      </c>
      <c r="D101" s="86"/>
      <c r="E101" s="86"/>
      <c r="F101" s="86">
        <v>100</v>
      </c>
      <c r="G101"/>
      <c r="H101"/>
    </row>
    <row r="102" spans="1:8">
      <c r="A102" s="81"/>
      <c r="B102" s="81" t="s">
        <v>112</v>
      </c>
      <c r="C102" s="86">
        <v>143</v>
      </c>
      <c r="D102" s="86"/>
      <c r="E102" s="86"/>
      <c r="F102" s="86">
        <v>143</v>
      </c>
      <c r="G102"/>
      <c r="H102"/>
    </row>
    <row r="103" spans="1:8">
      <c r="A103" s="81"/>
      <c r="B103" s="81" t="s">
        <v>113</v>
      </c>
      <c r="C103" s="86">
        <v>25</v>
      </c>
      <c r="D103" s="86"/>
      <c r="E103" s="86"/>
      <c r="F103" s="86">
        <v>25</v>
      </c>
      <c r="G103"/>
      <c r="H103"/>
    </row>
    <row r="104" spans="1:8">
      <c r="A104" s="81"/>
      <c r="B104" s="81" t="s">
        <v>114</v>
      </c>
      <c r="C104" s="86">
        <v>195</v>
      </c>
      <c r="D104" s="86"/>
      <c r="E104" s="86"/>
      <c r="F104" s="86">
        <v>195</v>
      </c>
      <c r="G104"/>
      <c r="H104"/>
    </row>
    <row r="105" spans="1:8">
      <c r="A105" s="81"/>
      <c r="B105" s="81" t="s">
        <v>115</v>
      </c>
      <c r="C105" s="86">
        <v>40</v>
      </c>
      <c r="D105" s="86"/>
      <c r="E105" s="86"/>
      <c r="F105" s="86">
        <v>40</v>
      </c>
      <c r="G105"/>
      <c r="H105"/>
    </row>
    <row r="106" spans="1:8">
      <c r="A106" s="81"/>
      <c r="B106" s="81" t="s">
        <v>116</v>
      </c>
      <c r="C106" s="86">
        <v>0</v>
      </c>
      <c r="D106" s="86"/>
      <c r="E106" s="86"/>
      <c r="F106" s="86">
        <v>0</v>
      </c>
      <c r="G106"/>
      <c r="H106"/>
    </row>
    <row r="107" spans="1:8">
      <c r="A107" s="81"/>
      <c r="B107" s="81" t="s">
        <v>117</v>
      </c>
      <c r="C107" s="86">
        <v>11</v>
      </c>
      <c r="D107" s="86"/>
      <c r="E107" s="86"/>
      <c r="F107" s="86">
        <v>11</v>
      </c>
      <c r="G107"/>
      <c r="H107"/>
    </row>
    <row r="108" spans="1:8">
      <c r="A108" s="81"/>
      <c r="B108" s="81" t="s">
        <v>118</v>
      </c>
      <c r="C108" s="86">
        <v>25</v>
      </c>
      <c r="D108" s="86"/>
      <c r="E108" s="86"/>
      <c r="F108" s="86">
        <v>25</v>
      </c>
      <c r="G108"/>
      <c r="H108"/>
    </row>
    <row r="109" spans="1:8">
      <c r="A109" s="81"/>
      <c r="B109" s="81" t="s">
        <v>779</v>
      </c>
      <c r="C109" s="86">
        <v>25</v>
      </c>
      <c r="D109" s="86"/>
      <c r="E109" s="86"/>
      <c r="F109" s="86">
        <v>25</v>
      </c>
      <c r="G109"/>
      <c r="H109"/>
    </row>
    <row r="110" spans="1:8">
      <c r="A110" s="81"/>
      <c r="B110" s="81" t="s">
        <v>119</v>
      </c>
      <c r="C110" s="86">
        <v>327.9</v>
      </c>
      <c r="D110" s="86"/>
      <c r="E110" s="86"/>
      <c r="F110" s="86">
        <v>327.9</v>
      </c>
      <c r="G110"/>
      <c r="H110"/>
    </row>
    <row r="111" spans="1:8">
      <c r="A111" s="81"/>
      <c r="B111" s="81" t="s">
        <v>716</v>
      </c>
      <c r="C111" s="86">
        <v>7</v>
      </c>
      <c r="D111" s="86"/>
      <c r="E111" s="86"/>
      <c r="F111" s="86">
        <v>7</v>
      </c>
      <c r="G111"/>
      <c r="H111"/>
    </row>
    <row r="112" spans="1:8">
      <c r="A112" s="81"/>
      <c r="B112" s="81" t="s">
        <v>734</v>
      </c>
      <c r="C112" s="86">
        <v>25</v>
      </c>
      <c r="D112" s="86"/>
      <c r="E112" s="86"/>
      <c r="F112" s="86">
        <v>25</v>
      </c>
      <c r="G112"/>
      <c r="H112"/>
    </row>
    <row r="113" spans="1:8">
      <c r="A113" s="81"/>
      <c r="B113" s="81" t="s">
        <v>735</v>
      </c>
      <c r="C113" s="86">
        <v>5.6</v>
      </c>
      <c r="D113" s="86"/>
      <c r="E113" s="86"/>
      <c r="F113" s="86">
        <v>5.6</v>
      </c>
      <c r="G113"/>
      <c r="H113"/>
    </row>
    <row r="114" spans="1:8">
      <c r="A114" s="81"/>
      <c r="B114" s="81" t="s">
        <v>833</v>
      </c>
      <c r="C114" s="86">
        <v>0.9</v>
      </c>
      <c r="D114" s="86"/>
      <c r="E114" s="86"/>
      <c r="F114" s="86">
        <v>0.9</v>
      </c>
      <c r="G114"/>
      <c r="H114"/>
    </row>
    <row r="115" spans="1:8">
      <c r="A115" s="81"/>
      <c r="B115" s="81" t="s">
        <v>834</v>
      </c>
      <c r="C115" s="86">
        <v>1</v>
      </c>
      <c r="D115" s="86"/>
      <c r="E115" s="86"/>
      <c r="F115" s="86">
        <v>1</v>
      </c>
      <c r="G115"/>
      <c r="H115"/>
    </row>
    <row r="116" spans="1:8">
      <c r="A116" s="81"/>
      <c r="B116" s="81" t="s">
        <v>831</v>
      </c>
      <c r="C116" s="86">
        <v>11</v>
      </c>
      <c r="D116" s="86"/>
      <c r="E116" s="86"/>
      <c r="F116" s="86">
        <v>11</v>
      </c>
      <c r="G116"/>
      <c r="H116"/>
    </row>
    <row r="117" spans="1:8">
      <c r="A117" s="81"/>
      <c r="B117" s="81" t="s">
        <v>949</v>
      </c>
      <c r="C117" s="86">
        <v>45</v>
      </c>
      <c r="D117" s="86"/>
      <c r="E117" s="86"/>
      <c r="F117" s="86">
        <v>45</v>
      </c>
      <c r="G117"/>
      <c r="H117"/>
    </row>
    <row r="118" spans="1:8">
      <c r="A118" s="81"/>
      <c r="B118" s="81" t="s">
        <v>950</v>
      </c>
      <c r="C118" s="86">
        <v>11</v>
      </c>
      <c r="D118" s="86"/>
      <c r="E118" s="86"/>
      <c r="F118" s="86">
        <v>11</v>
      </c>
      <c r="G118"/>
      <c r="H118"/>
    </row>
    <row r="119" spans="1:8">
      <c r="A119" s="81"/>
      <c r="B119" s="81" t="s">
        <v>952</v>
      </c>
      <c r="C119" s="86">
        <v>5</v>
      </c>
      <c r="D119" s="86"/>
      <c r="E119" s="86"/>
      <c r="F119" s="86">
        <v>5</v>
      </c>
      <c r="G119"/>
      <c r="H119"/>
    </row>
    <row r="120" spans="1:8">
      <c r="A120" s="88" t="s">
        <v>121</v>
      </c>
      <c r="B120" s="88"/>
      <c r="C120" s="114">
        <v>2351.4</v>
      </c>
      <c r="D120" s="114"/>
      <c r="E120" s="114"/>
      <c r="F120" s="114">
        <v>2351.4</v>
      </c>
      <c r="G120"/>
      <c r="H120"/>
    </row>
    <row r="121" spans="1:8">
      <c r="A121" s="81" t="s">
        <v>124</v>
      </c>
      <c r="B121" s="81" t="s">
        <v>830</v>
      </c>
      <c r="C121" s="86">
        <v>110</v>
      </c>
      <c r="D121" s="86"/>
      <c r="E121" s="86"/>
      <c r="F121" s="86">
        <v>110</v>
      </c>
      <c r="G121"/>
      <c r="H121"/>
    </row>
    <row r="122" spans="1:8">
      <c r="A122" s="88" t="s">
        <v>125</v>
      </c>
      <c r="B122" s="88"/>
      <c r="C122" s="114">
        <v>110</v>
      </c>
      <c r="D122" s="114"/>
      <c r="E122" s="114"/>
      <c r="F122" s="114">
        <v>110</v>
      </c>
      <c r="G122"/>
      <c r="H122"/>
    </row>
    <row r="123" spans="1:8">
      <c r="A123" s="81" t="s">
        <v>762</v>
      </c>
      <c r="B123" s="81" t="s">
        <v>953</v>
      </c>
      <c r="C123" s="86">
        <v>60</v>
      </c>
      <c r="D123" s="86"/>
      <c r="E123" s="86"/>
      <c r="F123" s="86">
        <v>60</v>
      </c>
      <c r="G123"/>
      <c r="H123"/>
    </row>
    <row r="124" spans="1:8">
      <c r="A124" s="81"/>
      <c r="B124" s="81" t="s">
        <v>923</v>
      </c>
      <c r="C124" s="86"/>
      <c r="D124" s="86">
        <v>7000</v>
      </c>
      <c r="E124" s="86"/>
      <c r="F124" s="86">
        <v>7000</v>
      </c>
      <c r="G124"/>
      <c r="H124"/>
    </row>
    <row r="125" spans="1:8">
      <c r="A125" s="81"/>
      <c r="B125" s="81" t="s">
        <v>947</v>
      </c>
      <c r="C125" s="86"/>
      <c r="D125" s="86">
        <v>5500</v>
      </c>
      <c r="E125" s="86"/>
      <c r="F125" s="86">
        <v>5500</v>
      </c>
      <c r="G125"/>
      <c r="H125"/>
    </row>
    <row r="126" spans="1:8">
      <c r="A126" s="88" t="s">
        <v>763</v>
      </c>
      <c r="B126" s="88"/>
      <c r="C126" s="114">
        <v>60</v>
      </c>
      <c r="D126" s="114">
        <v>12500</v>
      </c>
      <c r="E126" s="114"/>
      <c r="F126" s="114">
        <v>12560</v>
      </c>
      <c r="G126"/>
      <c r="H126"/>
    </row>
    <row r="127" spans="1:8">
      <c r="A127" s="81" t="s">
        <v>126</v>
      </c>
      <c r="B127" s="81" t="s">
        <v>754</v>
      </c>
      <c r="C127" s="86">
        <v>28</v>
      </c>
      <c r="D127" s="86"/>
      <c r="E127" s="86"/>
      <c r="F127" s="86">
        <v>28</v>
      </c>
      <c r="G127"/>
      <c r="H127"/>
    </row>
    <row r="128" spans="1:8">
      <c r="A128" s="88" t="s">
        <v>128</v>
      </c>
      <c r="B128" s="88"/>
      <c r="C128" s="114">
        <v>28</v>
      </c>
      <c r="D128" s="114"/>
      <c r="E128" s="114"/>
      <c r="F128" s="114">
        <v>28</v>
      </c>
      <c r="G128"/>
      <c r="H128"/>
    </row>
    <row r="129" spans="1:8">
      <c r="A129" s="81" t="s">
        <v>129</v>
      </c>
      <c r="B129" s="81" t="s">
        <v>130</v>
      </c>
      <c r="C129" s="86">
        <v>50</v>
      </c>
      <c r="D129" s="86"/>
      <c r="E129" s="86"/>
      <c r="F129" s="86">
        <v>50</v>
      </c>
      <c r="G129"/>
      <c r="H129"/>
    </row>
    <row r="130" spans="1:8">
      <c r="A130" s="81"/>
      <c r="B130" s="81" t="s">
        <v>131</v>
      </c>
      <c r="C130" s="86">
        <v>30</v>
      </c>
      <c r="D130" s="86">
        <v>158.19999999999999</v>
      </c>
      <c r="E130" s="86"/>
      <c r="F130" s="86">
        <v>188.2</v>
      </c>
      <c r="G130"/>
      <c r="H130"/>
    </row>
    <row r="131" spans="1:8">
      <c r="A131" s="88" t="s">
        <v>132</v>
      </c>
      <c r="B131" s="88"/>
      <c r="C131" s="114">
        <v>80</v>
      </c>
      <c r="D131" s="114">
        <v>158.19999999999999</v>
      </c>
      <c r="E131" s="114"/>
      <c r="F131" s="114">
        <v>238.2</v>
      </c>
      <c r="G131"/>
      <c r="H131"/>
    </row>
    <row r="132" spans="1:8">
      <c r="A132" s="81" t="s">
        <v>720</v>
      </c>
      <c r="B132" s="81" t="s">
        <v>720</v>
      </c>
      <c r="C132" s="86">
        <v>8.8000000000000007</v>
      </c>
      <c r="D132" s="86">
        <v>120</v>
      </c>
      <c r="E132" s="86"/>
      <c r="F132" s="86">
        <v>128.80000000000001</v>
      </c>
      <c r="G132"/>
      <c r="H132"/>
    </row>
    <row r="133" spans="1:8">
      <c r="A133" s="88" t="s">
        <v>721</v>
      </c>
      <c r="B133" s="88"/>
      <c r="C133" s="114">
        <v>8.8000000000000007</v>
      </c>
      <c r="D133" s="114">
        <v>120</v>
      </c>
      <c r="E133" s="114"/>
      <c r="F133" s="114">
        <v>128.80000000000001</v>
      </c>
      <c r="G133"/>
      <c r="H133"/>
    </row>
    <row r="134" spans="1:8">
      <c r="A134" s="81" t="s">
        <v>867</v>
      </c>
      <c r="B134" s="81" t="s">
        <v>877</v>
      </c>
      <c r="C134" s="86"/>
      <c r="D134" s="86">
        <v>113.4</v>
      </c>
      <c r="E134" s="86"/>
      <c r="F134" s="86">
        <v>113.4</v>
      </c>
      <c r="G134"/>
      <c r="H134"/>
    </row>
    <row r="135" spans="1:8">
      <c r="A135" s="81"/>
      <c r="B135" s="81" t="s">
        <v>637</v>
      </c>
      <c r="C135" s="86"/>
      <c r="D135" s="86">
        <v>714.42</v>
      </c>
      <c r="E135" s="86"/>
      <c r="F135" s="86">
        <v>714.42</v>
      </c>
      <c r="G135"/>
      <c r="H135"/>
    </row>
    <row r="136" spans="1:8">
      <c r="A136" s="81"/>
      <c r="B136" s="81" t="s">
        <v>71</v>
      </c>
      <c r="C136" s="86">
        <v>11.34</v>
      </c>
      <c r="D136" s="86">
        <v>362.88</v>
      </c>
      <c r="E136" s="86"/>
      <c r="F136" s="86">
        <v>374.21999999999997</v>
      </c>
      <c r="G136"/>
      <c r="H136"/>
    </row>
    <row r="137" spans="1:8">
      <c r="A137" s="81"/>
      <c r="B137" s="81" t="s">
        <v>575</v>
      </c>
      <c r="C137" s="86"/>
      <c r="D137" s="86">
        <v>22.68</v>
      </c>
      <c r="E137" s="86"/>
      <c r="F137" s="86">
        <v>22.68</v>
      </c>
      <c r="G137"/>
      <c r="H137"/>
    </row>
    <row r="138" spans="1:8">
      <c r="A138" s="81"/>
      <c r="B138" s="81" t="s">
        <v>543</v>
      </c>
      <c r="C138" s="86"/>
      <c r="D138" s="86">
        <v>204.12</v>
      </c>
      <c r="E138" s="86"/>
      <c r="F138" s="86">
        <v>204.12</v>
      </c>
      <c r="G138"/>
      <c r="H138"/>
    </row>
    <row r="139" spans="1:8">
      <c r="A139" s="81"/>
      <c r="B139" s="81" t="s">
        <v>571</v>
      </c>
      <c r="C139" s="86"/>
      <c r="D139" s="86">
        <v>760</v>
      </c>
      <c r="E139" s="86"/>
      <c r="F139" s="86">
        <v>760</v>
      </c>
      <c r="G139"/>
      <c r="H139"/>
    </row>
    <row r="140" spans="1:8">
      <c r="A140" s="81"/>
      <c r="B140" s="81" t="s">
        <v>572</v>
      </c>
      <c r="C140" s="86">
        <v>0</v>
      </c>
      <c r="D140" s="86">
        <v>100</v>
      </c>
      <c r="E140" s="86"/>
      <c r="F140" s="86">
        <v>100</v>
      </c>
      <c r="G140"/>
      <c r="H140"/>
    </row>
    <row r="141" spans="1:8">
      <c r="A141" s="81"/>
      <c r="B141" s="81" t="s">
        <v>70</v>
      </c>
      <c r="C141" s="86">
        <v>55</v>
      </c>
      <c r="D141" s="86"/>
      <c r="E141" s="86"/>
      <c r="F141" s="86">
        <v>55</v>
      </c>
      <c r="G141"/>
      <c r="H141"/>
    </row>
    <row r="142" spans="1:8">
      <c r="A142" s="81"/>
      <c r="B142" s="81" t="s">
        <v>876</v>
      </c>
      <c r="C142" s="86"/>
      <c r="D142" s="86">
        <v>181.44</v>
      </c>
      <c r="E142" s="86"/>
      <c r="F142" s="86">
        <v>181.44</v>
      </c>
      <c r="G142"/>
      <c r="H142"/>
    </row>
    <row r="143" spans="1:8">
      <c r="A143" s="88" t="s">
        <v>869</v>
      </c>
      <c r="B143" s="88"/>
      <c r="C143" s="114">
        <v>66.34</v>
      </c>
      <c r="D143" s="114">
        <v>2458.94</v>
      </c>
      <c r="E143" s="114"/>
      <c r="F143" s="114">
        <v>2525.2800000000002</v>
      </c>
      <c r="G143"/>
      <c r="H143"/>
    </row>
    <row r="144" spans="1:8">
      <c r="A144" s="81" t="s">
        <v>7</v>
      </c>
      <c r="B144" s="81"/>
      <c r="C144" s="86">
        <v>29739.920000000002</v>
      </c>
      <c r="D144" s="86">
        <v>79093.819999999978</v>
      </c>
      <c r="E144" s="86">
        <v>7500</v>
      </c>
      <c r="F144" s="86">
        <v>116333.73999999998</v>
      </c>
      <c r="G144"/>
      <c r="H144"/>
    </row>
    <row r="145" spans="1:8">
      <c r="A145"/>
      <c r="B145"/>
      <c r="C145"/>
      <c r="D145"/>
      <c r="E145"/>
      <c r="F145"/>
      <c r="G145"/>
      <c r="H145"/>
    </row>
    <row r="146" spans="1:8">
      <c r="A146"/>
      <c r="B146"/>
      <c r="C146"/>
      <c r="D146"/>
      <c r="E146"/>
      <c r="F146"/>
      <c r="G146"/>
      <c r="H146"/>
    </row>
    <row r="147" spans="1:8">
      <c r="A147"/>
      <c r="B147"/>
      <c r="C147"/>
      <c r="D147"/>
      <c r="E147"/>
      <c r="F147"/>
      <c r="G147"/>
      <c r="H147"/>
    </row>
    <row r="148" spans="1:8">
      <c r="A148"/>
      <c r="B148"/>
      <c r="C148"/>
      <c r="D148"/>
      <c r="E148"/>
      <c r="F148"/>
      <c r="G148"/>
      <c r="H148"/>
    </row>
    <row r="149" spans="1:8">
      <c r="A149"/>
      <c r="B149"/>
      <c r="C149"/>
      <c r="D149"/>
      <c r="E149"/>
      <c r="F149"/>
      <c r="G149"/>
      <c r="H149"/>
    </row>
    <row r="150" spans="1:8">
      <c r="A150"/>
      <c r="B150"/>
      <c r="C150"/>
      <c r="D150"/>
      <c r="E150"/>
      <c r="F150"/>
      <c r="G150"/>
      <c r="H150"/>
    </row>
    <row r="151" spans="1:8">
      <c r="A151"/>
      <c r="B151"/>
      <c r="C151"/>
      <c r="D151"/>
      <c r="E151"/>
      <c r="F151"/>
      <c r="G151"/>
      <c r="H151"/>
    </row>
    <row r="152" spans="1:8">
      <c r="A152"/>
      <c r="B152"/>
      <c r="C152"/>
      <c r="D152"/>
      <c r="E152"/>
      <c r="F152"/>
      <c r="G152"/>
      <c r="H152"/>
    </row>
    <row r="153" spans="1:8">
      <c r="A153"/>
      <c r="B153"/>
      <c r="C153"/>
      <c r="D153"/>
      <c r="E153"/>
      <c r="F153"/>
      <c r="G153"/>
      <c r="H153"/>
    </row>
    <row r="154" spans="1:8">
      <c r="A154"/>
      <c r="B154"/>
      <c r="C154"/>
      <c r="D154"/>
      <c r="E154"/>
      <c r="F154"/>
      <c r="G154"/>
      <c r="H154"/>
    </row>
    <row r="155" spans="1:8">
      <c r="A155"/>
      <c r="B155"/>
      <c r="C155"/>
      <c r="D155"/>
      <c r="E155"/>
      <c r="F155"/>
      <c r="G155"/>
      <c r="H155"/>
    </row>
    <row r="156" spans="1:8">
      <c r="A156"/>
      <c r="B156"/>
      <c r="C156"/>
      <c r="D156"/>
      <c r="E156"/>
      <c r="F156"/>
      <c r="G156"/>
      <c r="H156"/>
    </row>
    <row r="157" spans="1:8">
      <c r="A157"/>
      <c r="B157"/>
      <c r="C157"/>
      <c r="D157"/>
      <c r="E157"/>
      <c r="F157"/>
      <c r="G157"/>
      <c r="H157"/>
    </row>
    <row r="158" spans="1:8">
      <c r="A158"/>
      <c r="B158"/>
      <c r="C158"/>
      <c r="D158"/>
      <c r="E158"/>
      <c r="F158"/>
      <c r="G158"/>
      <c r="H158"/>
    </row>
    <row r="159" spans="1:8">
      <c r="A159"/>
      <c r="B159"/>
      <c r="C159"/>
      <c r="D159"/>
      <c r="E159"/>
      <c r="F159"/>
      <c r="G159"/>
      <c r="H159"/>
    </row>
    <row r="160" spans="1:8">
      <c r="A160"/>
      <c r="B160"/>
      <c r="C160"/>
      <c r="D160"/>
      <c r="E160"/>
      <c r="F160"/>
      <c r="G160"/>
      <c r="H160"/>
    </row>
    <row r="161" spans="1:8">
      <c r="A161"/>
      <c r="B161"/>
      <c r="C161"/>
      <c r="D161"/>
      <c r="E161"/>
      <c r="F161"/>
      <c r="G161"/>
      <c r="H161"/>
    </row>
    <row r="162" spans="1:8">
      <c r="A162"/>
      <c r="B162"/>
      <c r="C162"/>
      <c r="D162"/>
      <c r="E162"/>
      <c r="F162"/>
      <c r="G162"/>
      <c r="H162"/>
    </row>
    <row r="163" spans="1:8">
      <c r="A163"/>
      <c r="B163"/>
      <c r="C163"/>
      <c r="D163"/>
      <c r="E163"/>
      <c r="F163"/>
      <c r="G163"/>
      <c r="H163"/>
    </row>
    <row r="164" spans="1:8">
      <c r="A164"/>
      <c r="B164"/>
      <c r="C164"/>
      <c r="D164"/>
      <c r="E164"/>
      <c r="F164"/>
      <c r="G164"/>
      <c r="H164"/>
    </row>
    <row r="165" spans="1:8">
      <c r="A165"/>
      <c r="B165"/>
      <c r="C165"/>
      <c r="D165"/>
      <c r="E165"/>
      <c r="F165"/>
      <c r="G165"/>
      <c r="H165"/>
    </row>
    <row r="166" spans="1:8">
      <c r="A166"/>
      <c r="B166"/>
      <c r="C166"/>
      <c r="D166"/>
      <c r="E166"/>
      <c r="F166"/>
      <c r="G166"/>
      <c r="H166"/>
    </row>
    <row r="167" spans="1:8">
      <c r="A167"/>
      <c r="B167"/>
      <c r="C167"/>
      <c r="D167"/>
      <c r="E167"/>
      <c r="F167"/>
      <c r="G167"/>
      <c r="H167"/>
    </row>
    <row r="168" spans="1:8">
      <c r="A168"/>
      <c r="B168"/>
      <c r="C168"/>
      <c r="D168"/>
      <c r="E168"/>
      <c r="F168"/>
      <c r="G168"/>
      <c r="H168"/>
    </row>
    <row r="169" spans="1:8">
      <c r="A169"/>
      <c r="B169"/>
      <c r="C169"/>
      <c r="D169"/>
      <c r="E169"/>
      <c r="F169"/>
      <c r="G169"/>
      <c r="H169"/>
    </row>
    <row r="170" spans="1:8">
      <c r="A170"/>
      <c r="B170"/>
      <c r="C170"/>
      <c r="D170"/>
      <c r="E170"/>
      <c r="F170"/>
      <c r="G170"/>
      <c r="H170"/>
    </row>
    <row r="171" spans="1:8">
      <c r="A171"/>
      <c r="B171"/>
      <c r="C171"/>
      <c r="D171"/>
      <c r="E171"/>
      <c r="F171"/>
      <c r="G171"/>
      <c r="H171"/>
    </row>
    <row r="172" spans="1:8">
      <c r="A172"/>
      <c r="B172"/>
      <c r="C172"/>
      <c r="D172"/>
      <c r="E172"/>
      <c r="F172"/>
      <c r="G172"/>
      <c r="H172"/>
    </row>
    <row r="173" spans="1:8">
      <c r="A173"/>
      <c r="B173"/>
      <c r="C173"/>
      <c r="D173"/>
      <c r="E173"/>
      <c r="F173"/>
      <c r="G173"/>
      <c r="H173"/>
    </row>
    <row r="174" spans="1:8">
      <c r="A174"/>
      <c r="B174"/>
      <c r="C174"/>
      <c r="D174"/>
      <c r="E174"/>
      <c r="F174"/>
      <c r="G174"/>
      <c r="H174"/>
    </row>
    <row r="175" spans="1:8">
      <c r="A175"/>
      <c r="B175"/>
      <c r="C175"/>
      <c r="D175"/>
      <c r="E175"/>
      <c r="F175"/>
      <c r="G175"/>
      <c r="H175"/>
    </row>
    <row r="176" spans="1:8">
      <c r="A176"/>
      <c r="B176"/>
      <c r="C176"/>
      <c r="D176"/>
      <c r="E176"/>
      <c r="F176"/>
      <c r="G176"/>
      <c r="H176"/>
    </row>
    <row r="177" spans="1:8">
      <c r="A177"/>
      <c r="B177"/>
      <c r="C177"/>
      <c r="D177"/>
      <c r="E177"/>
      <c r="F177"/>
      <c r="G177"/>
      <c r="H177"/>
    </row>
    <row r="178" spans="1:8">
      <c r="A178"/>
      <c r="B178"/>
      <c r="C178"/>
      <c r="D178"/>
      <c r="E178"/>
      <c r="F178"/>
      <c r="G178"/>
      <c r="H178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07333-EBAE-47D2-8C29-B3221D3A7313}">
  <sheetPr codeName="Sheet3"/>
  <dimension ref="A1:F91"/>
  <sheetViews>
    <sheetView workbookViewId="0">
      <pane ySplit="4" topLeftCell="A5" activePane="bottomLeft" state="frozen"/>
      <selection activeCell="C11" sqref="C11"/>
      <selection pane="bottomLeft" activeCell="C11" sqref="C11"/>
    </sheetView>
  </sheetViews>
  <sheetFormatPr defaultColWidth="8.81640625" defaultRowHeight="14.5"/>
  <cols>
    <col min="1" max="1" width="8.81640625" style="2"/>
    <col min="2" max="2" width="56.08984375" style="2" bestFit="1" customWidth="1"/>
    <col min="3" max="3" width="17.08984375" style="76" bestFit="1" customWidth="1"/>
    <col min="4" max="4" width="17.08984375" style="2" bestFit="1" customWidth="1"/>
    <col min="5" max="6" width="10.7265625" style="2" bestFit="1" customWidth="1"/>
    <col min="7" max="16384" width="8.81640625" style="2"/>
  </cols>
  <sheetData>
    <row r="1" spans="1:6">
      <c r="A1" s="79" t="s">
        <v>239</v>
      </c>
      <c r="B1" s="78" t="s">
        <v>250</v>
      </c>
      <c r="C1" s="117"/>
      <c r="E1" s="72">
        <f>GETPIVOTDATA("Total Inventory Kgs",$A$3)+GETPIVOTDATA("Total Inventory Kgs",'Pivot CFPL'!$A$3)</f>
        <v>930621.33599999989</v>
      </c>
    </row>
    <row r="2" spans="1:6">
      <c r="A2" s="74"/>
      <c r="B2" s="75" t="s">
        <v>719</v>
      </c>
      <c r="C2" s="72">
        <f>GETPIVOTDATA("Total Inventory Kgs",$A$3,"Storage Location","Rishi")</f>
        <v>459647</v>
      </c>
      <c r="D2" s="72">
        <f>GETPIVOTDATA("Total Inventory Kgs",$A$3,"Storage Location","Savla")</f>
        <v>354640.59600000002</v>
      </c>
      <c r="E2" s="72">
        <f>GETPIVOTDATA("Total Inventory Kgs",$A$3)</f>
        <v>814287.5959999999</v>
      </c>
    </row>
    <row r="3" spans="1:6">
      <c r="A3" s="79" t="s">
        <v>717</v>
      </c>
      <c r="B3" s="78"/>
      <c r="C3" s="79" t="s">
        <v>1</v>
      </c>
      <c r="D3" s="78"/>
      <c r="E3" s="78"/>
      <c r="F3"/>
    </row>
    <row r="4" spans="1:6">
      <c r="A4" s="79" t="s">
        <v>0</v>
      </c>
      <c r="B4" s="79" t="s">
        <v>238</v>
      </c>
      <c r="C4" s="78" t="s">
        <v>5</v>
      </c>
      <c r="D4" s="78" t="s">
        <v>6</v>
      </c>
      <c r="E4" s="78" t="s">
        <v>7</v>
      </c>
      <c r="F4"/>
    </row>
    <row r="5" spans="1:6">
      <c r="A5" s="78" t="s">
        <v>134</v>
      </c>
      <c r="B5" s="78" t="s">
        <v>461</v>
      </c>
      <c r="C5" s="94"/>
      <c r="D5" s="94">
        <v>120687.5</v>
      </c>
      <c r="E5" s="94">
        <v>120687.5</v>
      </c>
      <c r="F5"/>
    </row>
    <row r="6" spans="1:6">
      <c r="A6" s="87" t="s">
        <v>135</v>
      </c>
      <c r="B6" s="87"/>
      <c r="C6" s="95"/>
      <c r="D6" s="95">
        <v>120687.5</v>
      </c>
      <c r="E6" s="95">
        <v>120687.5</v>
      </c>
      <c r="F6"/>
    </row>
    <row r="7" spans="1:6">
      <c r="A7" s="78" t="s">
        <v>136</v>
      </c>
      <c r="B7" s="78" t="s">
        <v>140</v>
      </c>
      <c r="C7" s="94"/>
      <c r="D7" s="94">
        <v>90790</v>
      </c>
      <c r="E7" s="94">
        <v>90790</v>
      </c>
      <c r="F7"/>
    </row>
    <row r="8" spans="1:6">
      <c r="A8" s="78"/>
      <c r="B8" s="78" t="s">
        <v>138</v>
      </c>
      <c r="C8" s="94"/>
      <c r="D8" s="94">
        <v>11670</v>
      </c>
      <c r="E8" s="94">
        <v>11670</v>
      </c>
      <c r="F8"/>
    </row>
    <row r="9" spans="1:6">
      <c r="A9" s="87" t="s">
        <v>142</v>
      </c>
      <c r="B9" s="87"/>
      <c r="C9" s="95"/>
      <c r="D9" s="95">
        <v>102460</v>
      </c>
      <c r="E9" s="95">
        <v>102460</v>
      </c>
      <c r="F9"/>
    </row>
    <row r="10" spans="1:6">
      <c r="A10" s="78" t="s">
        <v>143</v>
      </c>
      <c r="B10" s="78" t="s">
        <v>145</v>
      </c>
      <c r="C10" s="94">
        <v>200</v>
      </c>
      <c r="D10" s="94">
        <v>81650</v>
      </c>
      <c r="E10" s="94">
        <v>81850</v>
      </c>
      <c r="F10"/>
    </row>
    <row r="11" spans="1:6">
      <c r="A11" s="78"/>
      <c r="B11" s="78" t="s">
        <v>513</v>
      </c>
      <c r="C11" s="94"/>
      <c r="D11" s="94">
        <v>4123.2</v>
      </c>
      <c r="E11" s="94">
        <v>4123.2</v>
      </c>
      <c r="F11"/>
    </row>
    <row r="12" spans="1:6">
      <c r="A12" s="87" t="s">
        <v>147</v>
      </c>
      <c r="B12" s="87"/>
      <c r="C12" s="95">
        <v>200</v>
      </c>
      <c r="D12" s="95">
        <v>85773.2</v>
      </c>
      <c r="E12" s="95">
        <v>85973.2</v>
      </c>
      <c r="F12"/>
    </row>
    <row r="13" spans="1:6">
      <c r="A13" s="78" t="s">
        <v>148</v>
      </c>
      <c r="B13" s="78" t="s">
        <v>388</v>
      </c>
      <c r="C13" s="94"/>
      <c r="D13" s="94">
        <v>980</v>
      </c>
      <c r="E13" s="94">
        <v>980</v>
      </c>
      <c r="F13"/>
    </row>
    <row r="14" spans="1:6">
      <c r="A14" s="78"/>
      <c r="B14" s="78" t="s">
        <v>410</v>
      </c>
      <c r="C14" s="94"/>
      <c r="D14" s="94">
        <v>630</v>
      </c>
      <c r="E14" s="94">
        <v>630</v>
      </c>
      <c r="F14"/>
    </row>
    <row r="15" spans="1:6">
      <c r="A15" s="78"/>
      <c r="B15" s="78" t="s">
        <v>286</v>
      </c>
      <c r="C15" s="94">
        <v>370</v>
      </c>
      <c r="D15" s="94">
        <v>546</v>
      </c>
      <c r="E15" s="94">
        <v>916</v>
      </c>
      <c r="F15"/>
    </row>
    <row r="16" spans="1:6">
      <c r="A16" s="78"/>
      <c r="B16" s="78" t="s">
        <v>322</v>
      </c>
      <c r="C16" s="94"/>
      <c r="D16" s="94">
        <v>90</v>
      </c>
      <c r="E16" s="94">
        <v>90</v>
      </c>
      <c r="F16"/>
    </row>
    <row r="17" spans="1:6">
      <c r="A17" s="78"/>
      <c r="B17" s="78" t="s">
        <v>664</v>
      </c>
      <c r="C17" s="94">
        <v>588</v>
      </c>
      <c r="D17" s="94"/>
      <c r="E17" s="94">
        <v>588</v>
      </c>
      <c r="F17"/>
    </row>
    <row r="18" spans="1:6">
      <c r="A18" s="87" t="s">
        <v>151</v>
      </c>
      <c r="B18" s="87"/>
      <c r="C18" s="95">
        <v>958</v>
      </c>
      <c r="D18" s="95">
        <v>2246</v>
      </c>
      <c r="E18" s="95">
        <v>3204</v>
      </c>
      <c r="F18"/>
    </row>
    <row r="19" spans="1:6">
      <c r="A19" s="78" t="s">
        <v>152</v>
      </c>
      <c r="B19" s="78" t="s">
        <v>173</v>
      </c>
      <c r="C19" s="94">
        <v>50670</v>
      </c>
      <c r="D19" s="94"/>
      <c r="E19" s="94">
        <v>50670</v>
      </c>
      <c r="F19"/>
    </row>
    <row r="20" spans="1:6">
      <c r="A20" s="78"/>
      <c r="B20" s="78" t="s">
        <v>349</v>
      </c>
      <c r="C20" s="94"/>
      <c r="D20" s="94">
        <v>20</v>
      </c>
      <c r="E20" s="94">
        <v>20</v>
      </c>
      <c r="F20"/>
    </row>
    <row r="21" spans="1:6">
      <c r="A21" s="78"/>
      <c r="B21" s="78" t="s">
        <v>338</v>
      </c>
      <c r="C21" s="94"/>
      <c r="D21" s="94">
        <v>10890</v>
      </c>
      <c r="E21" s="94">
        <v>10890</v>
      </c>
      <c r="F21"/>
    </row>
    <row r="22" spans="1:6">
      <c r="A22" s="78"/>
      <c r="B22" s="78" t="s">
        <v>346</v>
      </c>
      <c r="C22" s="94">
        <v>80270</v>
      </c>
      <c r="D22" s="94">
        <v>50</v>
      </c>
      <c r="E22" s="94">
        <v>80320</v>
      </c>
      <c r="F22"/>
    </row>
    <row r="23" spans="1:6">
      <c r="A23" s="78"/>
      <c r="B23" s="78" t="s">
        <v>264</v>
      </c>
      <c r="C23" s="94">
        <v>12000</v>
      </c>
      <c r="D23" s="94"/>
      <c r="E23" s="94">
        <v>12000</v>
      </c>
      <c r="F23"/>
    </row>
    <row r="24" spans="1:6">
      <c r="A24" s="78"/>
      <c r="B24" s="78" t="s">
        <v>348</v>
      </c>
      <c r="C24" s="94"/>
      <c r="D24" s="94">
        <v>110</v>
      </c>
      <c r="E24" s="94">
        <v>110</v>
      </c>
      <c r="F24"/>
    </row>
    <row r="25" spans="1:6">
      <c r="A25" s="78"/>
      <c r="B25" s="78" t="s">
        <v>663</v>
      </c>
      <c r="C25" s="94">
        <v>159710</v>
      </c>
      <c r="D25" s="94"/>
      <c r="E25" s="94">
        <v>159710</v>
      </c>
      <c r="F25"/>
    </row>
    <row r="26" spans="1:6">
      <c r="A26" s="78"/>
      <c r="B26" s="78" t="s">
        <v>276</v>
      </c>
      <c r="C26" s="94"/>
      <c r="D26" s="94">
        <v>230</v>
      </c>
      <c r="E26" s="94">
        <v>230</v>
      </c>
      <c r="F26"/>
    </row>
    <row r="27" spans="1:6">
      <c r="A27" s="78"/>
      <c r="B27" s="78" t="s">
        <v>299</v>
      </c>
      <c r="C27" s="94"/>
      <c r="D27" s="94">
        <v>170</v>
      </c>
      <c r="E27" s="94">
        <v>170</v>
      </c>
      <c r="F27"/>
    </row>
    <row r="28" spans="1:6">
      <c r="A28" s="78"/>
      <c r="B28" s="78" t="s">
        <v>300</v>
      </c>
      <c r="C28" s="94"/>
      <c r="D28" s="94">
        <v>2400</v>
      </c>
      <c r="E28" s="94">
        <v>2400</v>
      </c>
      <c r="F28"/>
    </row>
    <row r="29" spans="1:6">
      <c r="A29" s="78"/>
      <c r="B29" s="78" t="s">
        <v>680</v>
      </c>
      <c r="C29" s="94">
        <v>8950</v>
      </c>
      <c r="D29" s="94"/>
      <c r="E29" s="94">
        <v>8950</v>
      </c>
      <c r="F29"/>
    </row>
    <row r="30" spans="1:6">
      <c r="A30" s="78"/>
      <c r="B30" s="78" t="s">
        <v>907</v>
      </c>
      <c r="C30" s="94"/>
      <c r="D30" s="94">
        <v>7490</v>
      </c>
      <c r="E30" s="94">
        <v>7490</v>
      </c>
      <c r="F30"/>
    </row>
    <row r="31" spans="1:6">
      <c r="A31" s="78"/>
      <c r="B31" s="78" t="s">
        <v>673</v>
      </c>
      <c r="C31" s="94">
        <v>7800</v>
      </c>
      <c r="D31" s="94"/>
      <c r="E31" s="94">
        <v>7800</v>
      </c>
      <c r="F31"/>
    </row>
    <row r="32" spans="1:6">
      <c r="A32" s="78"/>
      <c r="B32" s="78" t="s">
        <v>330</v>
      </c>
      <c r="C32" s="94"/>
      <c r="D32" s="94">
        <v>30</v>
      </c>
      <c r="E32" s="94">
        <v>30</v>
      </c>
      <c r="F32"/>
    </row>
    <row r="33" spans="1:6">
      <c r="A33" s="78"/>
      <c r="B33" s="78" t="s">
        <v>279</v>
      </c>
      <c r="C33" s="94">
        <v>16250</v>
      </c>
      <c r="D33" s="94">
        <v>5865</v>
      </c>
      <c r="E33" s="94">
        <v>22115</v>
      </c>
      <c r="F33"/>
    </row>
    <row r="34" spans="1:6">
      <c r="A34" s="78"/>
      <c r="B34" s="78" t="s">
        <v>292</v>
      </c>
      <c r="C34" s="94"/>
      <c r="D34" s="94">
        <v>495</v>
      </c>
      <c r="E34" s="94">
        <v>495</v>
      </c>
      <c r="F34"/>
    </row>
    <row r="35" spans="1:6">
      <c r="A35" s="78"/>
      <c r="B35" s="78" t="s">
        <v>397</v>
      </c>
      <c r="C35" s="94"/>
      <c r="D35" s="94">
        <v>1378</v>
      </c>
      <c r="E35" s="94">
        <v>1378</v>
      </c>
      <c r="F35"/>
    </row>
    <row r="36" spans="1:6">
      <c r="A36" s="78"/>
      <c r="B36" s="78" t="s">
        <v>261</v>
      </c>
      <c r="C36" s="94"/>
      <c r="D36" s="94">
        <v>425</v>
      </c>
      <c r="E36" s="94">
        <v>425</v>
      </c>
      <c r="F36"/>
    </row>
    <row r="37" spans="1:6">
      <c r="A37" s="78"/>
      <c r="B37" s="78" t="s">
        <v>326</v>
      </c>
      <c r="C37" s="94">
        <v>2855</v>
      </c>
      <c r="D37" s="94"/>
      <c r="E37" s="94">
        <v>2855</v>
      </c>
      <c r="F37"/>
    </row>
    <row r="38" spans="1:6">
      <c r="A38" s="78"/>
      <c r="B38" s="78" t="s">
        <v>272</v>
      </c>
      <c r="C38" s="94"/>
      <c r="D38" s="94">
        <v>45</v>
      </c>
      <c r="E38" s="94">
        <v>45</v>
      </c>
      <c r="F38"/>
    </row>
    <row r="39" spans="1:6">
      <c r="A39" s="78"/>
      <c r="B39" s="78" t="s">
        <v>359</v>
      </c>
      <c r="C39" s="94">
        <v>102580</v>
      </c>
      <c r="D39" s="94">
        <v>10</v>
      </c>
      <c r="E39" s="94">
        <v>102590</v>
      </c>
      <c r="F39"/>
    </row>
    <row r="40" spans="1:6">
      <c r="A40" s="78"/>
      <c r="B40" s="78" t="s">
        <v>476</v>
      </c>
      <c r="C40" s="94"/>
      <c r="D40" s="94">
        <v>80</v>
      </c>
      <c r="E40" s="94">
        <v>80</v>
      </c>
      <c r="F40"/>
    </row>
    <row r="41" spans="1:6">
      <c r="A41" s="78"/>
      <c r="B41" s="78" t="s">
        <v>792</v>
      </c>
      <c r="C41" s="94">
        <v>12684</v>
      </c>
      <c r="D41" s="94"/>
      <c r="E41" s="94">
        <v>12684</v>
      </c>
      <c r="F41"/>
    </row>
    <row r="42" spans="1:6">
      <c r="A42" s="87" t="s">
        <v>176</v>
      </c>
      <c r="B42" s="87"/>
      <c r="C42" s="95">
        <v>453769</v>
      </c>
      <c r="D42" s="95">
        <v>29688</v>
      </c>
      <c r="E42" s="95">
        <v>483457</v>
      </c>
      <c r="F42"/>
    </row>
    <row r="43" spans="1:6">
      <c r="A43" s="78" t="s">
        <v>177</v>
      </c>
      <c r="B43" s="78" t="s">
        <v>490</v>
      </c>
      <c r="C43" s="94"/>
      <c r="D43" s="94">
        <v>12.5</v>
      </c>
      <c r="E43" s="94">
        <v>12.5</v>
      </c>
      <c r="F43"/>
    </row>
    <row r="44" spans="1:6">
      <c r="A44" s="78"/>
      <c r="B44" s="78" t="s">
        <v>488</v>
      </c>
      <c r="C44" s="94"/>
      <c r="D44" s="94">
        <v>37.5</v>
      </c>
      <c r="E44" s="94">
        <v>37.5</v>
      </c>
      <c r="F44"/>
    </row>
    <row r="45" spans="1:6">
      <c r="A45" s="78"/>
      <c r="B45" s="78" t="s">
        <v>508</v>
      </c>
      <c r="C45" s="94"/>
      <c r="D45" s="94">
        <v>550</v>
      </c>
      <c r="E45" s="94">
        <v>550</v>
      </c>
      <c r="F45"/>
    </row>
    <row r="46" spans="1:6">
      <c r="A46" s="78"/>
      <c r="B46" s="78" t="s">
        <v>492</v>
      </c>
      <c r="C46" s="94"/>
      <c r="D46" s="94">
        <v>400</v>
      </c>
      <c r="E46" s="94">
        <v>400</v>
      </c>
      <c r="F46"/>
    </row>
    <row r="47" spans="1:6">
      <c r="A47" s="87" t="s">
        <v>189</v>
      </c>
      <c r="B47" s="87"/>
      <c r="C47" s="95"/>
      <c r="D47" s="95">
        <v>1000</v>
      </c>
      <c r="E47" s="95">
        <v>1000</v>
      </c>
      <c r="F47"/>
    </row>
    <row r="48" spans="1:6">
      <c r="A48" s="78" t="s">
        <v>190</v>
      </c>
      <c r="B48" s="78" t="s">
        <v>415</v>
      </c>
      <c r="C48" s="94"/>
      <c r="D48" s="94">
        <v>32</v>
      </c>
      <c r="E48" s="94">
        <v>32</v>
      </c>
      <c r="F48"/>
    </row>
    <row r="49" spans="1:6">
      <c r="A49" s="78"/>
      <c r="B49" s="78" t="s">
        <v>427</v>
      </c>
      <c r="C49" s="94"/>
      <c r="D49" s="94">
        <v>235</v>
      </c>
      <c r="E49" s="94">
        <v>235</v>
      </c>
      <c r="F49"/>
    </row>
    <row r="50" spans="1:6">
      <c r="A50" s="78"/>
      <c r="B50" s="78" t="s">
        <v>423</v>
      </c>
      <c r="C50" s="94"/>
      <c r="D50" s="94">
        <v>550</v>
      </c>
      <c r="E50" s="94">
        <v>550</v>
      </c>
      <c r="F50"/>
    </row>
    <row r="51" spans="1:6">
      <c r="A51" s="78"/>
      <c r="B51" s="78" t="s">
        <v>379</v>
      </c>
      <c r="C51" s="94"/>
      <c r="D51" s="94">
        <v>180</v>
      </c>
      <c r="E51" s="94">
        <v>180</v>
      </c>
      <c r="F51"/>
    </row>
    <row r="52" spans="1:6">
      <c r="A52" s="78"/>
      <c r="B52" s="78" t="s">
        <v>441</v>
      </c>
      <c r="C52" s="94"/>
      <c r="D52" s="94">
        <v>782</v>
      </c>
      <c r="E52" s="94">
        <v>782</v>
      </c>
      <c r="F52"/>
    </row>
    <row r="53" spans="1:6">
      <c r="A53" s="78"/>
      <c r="B53" s="78" t="s">
        <v>296</v>
      </c>
      <c r="C53" s="94"/>
      <c r="D53" s="94">
        <v>80</v>
      </c>
      <c r="E53" s="94">
        <v>80</v>
      </c>
      <c r="F53"/>
    </row>
    <row r="54" spans="1:6">
      <c r="A54" s="78"/>
      <c r="B54" s="78" t="s">
        <v>381</v>
      </c>
      <c r="C54" s="94"/>
      <c r="D54" s="94">
        <v>135</v>
      </c>
      <c r="E54" s="94">
        <v>135</v>
      </c>
      <c r="F54"/>
    </row>
    <row r="55" spans="1:6">
      <c r="A55" s="78"/>
      <c r="B55" s="78" t="s">
        <v>324</v>
      </c>
      <c r="C55" s="94"/>
      <c r="D55" s="94">
        <v>56</v>
      </c>
      <c r="E55" s="94">
        <v>56</v>
      </c>
      <c r="F55"/>
    </row>
    <row r="56" spans="1:6">
      <c r="A56" s="78"/>
      <c r="B56" s="78" t="s">
        <v>308</v>
      </c>
      <c r="C56" s="94">
        <v>4720</v>
      </c>
      <c r="D56" s="94">
        <v>1655</v>
      </c>
      <c r="E56" s="94">
        <v>6375</v>
      </c>
      <c r="F56"/>
    </row>
    <row r="57" spans="1:6">
      <c r="A57" s="78"/>
      <c r="B57" s="78" t="s">
        <v>472</v>
      </c>
      <c r="C57" s="94"/>
      <c r="D57" s="94">
        <v>350</v>
      </c>
      <c r="E57" s="94">
        <v>350</v>
      </c>
      <c r="F57"/>
    </row>
    <row r="58" spans="1:6">
      <c r="A58" s="78"/>
      <c r="B58" s="78" t="s">
        <v>471</v>
      </c>
      <c r="C58" s="94"/>
      <c r="D58" s="94">
        <v>365</v>
      </c>
      <c r="E58" s="94">
        <v>365</v>
      </c>
      <c r="F58"/>
    </row>
    <row r="59" spans="1:6">
      <c r="A59" s="78"/>
      <c r="B59" s="78" t="s">
        <v>454</v>
      </c>
      <c r="C59" s="94"/>
      <c r="D59" s="94">
        <v>595</v>
      </c>
      <c r="E59" s="94">
        <v>595</v>
      </c>
      <c r="F59"/>
    </row>
    <row r="60" spans="1:6">
      <c r="A60" s="78"/>
      <c r="B60" s="78" t="s">
        <v>496</v>
      </c>
      <c r="C60" s="94"/>
      <c r="D60" s="94">
        <v>250</v>
      </c>
      <c r="E60" s="94">
        <v>250</v>
      </c>
      <c r="F60"/>
    </row>
    <row r="61" spans="1:6">
      <c r="A61" s="78"/>
      <c r="B61" s="78" t="s">
        <v>367</v>
      </c>
      <c r="C61" s="94"/>
      <c r="D61" s="94">
        <v>100.896</v>
      </c>
      <c r="E61" s="94">
        <v>100.896</v>
      </c>
      <c r="F61"/>
    </row>
    <row r="62" spans="1:6">
      <c r="A62" s="78"/>
      <c r="B62" s="78" t="s">
        <v>450</v>
      </c>
      <c r="C62" s="94"/>
      <c r="D62" s="94">
        <v>7305</v>
      </c>
      <c r="E62" s="94">
        <v>7305</v>
      </c>
      <c r="F62"/>
    </row>
    <row r="63" spans="1:6">
      <c r="A63" s="78"/>
      <c r="B63" s="78" t="s">
        <v>481</v>
      </c>
      <c r="C63" s="94"/>
      <c r="D63" s="94">
        <v>30</v>
      </c>
      <c r="E63" s="94">
        <v>30</v>
      </c>
      <c r="F63"/>
    </row>
    <row r="64" spans="1:6">
      <c r="A64" s="78"/>
      <c r="B64" s="78" t="s">
        <v>479</v>
      </c>
      <c r="C64" s="94"/>
      <c r="D64" s="94">
        <v>85</v>
      </c>
      <c r="E64" s="94">
        <v>85</v>
      </c>
      <c r="F64"/>
    </row>
    <row r="65" spans="1:6">
      <c r="A65" s="87" t="s">
        <v>222</v>
      </c>
      <c r="B65" s="87"/>
      <c r="C65" s="95">
        <v>4720</v>
      </c>
      <c r="D65" s="95">
        <v>12785.896000000001</v>
      </c>
      <c r="E65" s="95">
        <v>17505.896000000001</v>
      </c>
      <c r="F65"/>
    </row>
    <row r="66" spans="1:6">
      <c r="A66" s="78" t="s">
        <v>7</v>
      </c>
      <c r="B66" s="78"/>
      <c r="C66" s="94">
        <v>459647</v>
      </c>
      <c r="D66" s="94">
        <v>354640.59600000002</v>
      </c>
      <c r="E66" s="94">
        <v>814287.5959999999</v>
      </c>
      <c r="F66"/>
    </row>
    <row r="67" spans="1:6">
      <c r="A67"/>
      <c r="B67"/>
      <c r="C67"/>
      <c r="D67"/>
      <c r="E67"/>
      <c r="F67"/>
    </row>
    <row r="68" spans="1:6">
      <c r="A68"/>
      <c r="B68"/>
      <c r="C68"/>
      <c r="D68"/>
      <c r="E68"/>
      <c r="F68"/>
    </row>
    <row r="69" spans="1:6">
      <c r="A69"/>
      <c r="B69"/>
      <c r="C69"/>
      <c r="D69"/>
      <c r="E69"/>
      <c r="F69"/>
    </row>
    <row r="70" spans="1:6">
      <c r="A70"/>
      <c r="B70"/>
      <c r="C70"/>
      <c r="D70"/>
      <c r="E70"/>
      <c r="F70"/>
    </row>
    <row r="71" spans="1:6">
      <c r="A71"/>
      <c r="B71"/>
      <c r="C71"/>
      <c r="D71"/>
      <c r="E71"/>
      <c r="F71"/>
    </row>
    <row r="72" spans="1:6">
      <c r="A72"/>
      <c r="B72"/>
      <c r="C72"/>
      <c r="D72"/>
      <c r="E72"/>
      <c r="F72"/>
    </row>
    <row r="73" spans="1:6">
      <c r="A73"/>
      <c r="B73"/>
      <c r="C73"/>
      <c r="D73"/>
      <c r="E73"/>
      <c r="F73"/>
    </row>
    <row r="74" spans="1:6">
      <c r="A74"/>
      <c r="B74"/>
      <c r="C74"/>
      <c r="D74"/>
      <c r="E74"/>
      <c r="F74"/>
    </row>
    <row r="75" spans="1:6">
      <c r="A75"/>
      <c r="B75"/>
      <c r="C75"/>
      <c r="D75"/>
      <c r="E75"/>
      <c r="F75"/>
    </row>
    <row r="76" spans="1:6">
      <c r="A76"/>
      <c r="B76"/>
      <c r="C76"/>
      <c r="D76"/>
      <c r="E76"/>
      <c r="F76"/>
    </row>
    <row r="77" spans="1:6">
      <c r="A77"/>
      <c r="B77"/>
      <c r="C77"/>
      <c r="D77"/>
      <c r="E77"/>
      <c r="F77"/>
    </row>
    <row r="78" spans="1:6">
      <c r="A78"/>
      <c r="B78"/>
      <c r="C78"/>
      <c r="D78"/>
      <c r="E78"/>
      <c r="F78"/>
    </row>
    <row r="79" spans="1:6">
      <c r="A79"/>
      <c r="B79"/>
      <c r="C79"/>
      <c r="D79"/>
      <c r="E79"/>
      <c r="F79"/>
    </row>
    <row r="80" spans="1:6">
      <c r="A80"/>
      <c r="B80"/>
      <c r="C80"/>
      <c r="D80"/>
      <c r="E80"/>
      <c r="F80"/>
    </row>
    <row r="81" spans="1:6">
      <c r="A81"/>
      <c r="B81"/>
      <c r="C81"/>
      <c r="D81"/>
      <c r="E81"/>
      <c r="F81"/>
    </row>
    <row r="82" spans="1:6">
      <c r="A82"/>
      <c r="B82"/>
      <c r="C82"/>
      <c r="D82"/>
      <c r="E82"/>
      <c r="F82"/>
    </row>
    <row r="83" spans="1:6">
      <c r="A83"/>
      <c r="B83"/>
      <c r="C83"/>
    </row>
    <row r="84" spans="1:6">
      <c r="A84"/>
      <c r="B84"/>
      <c r="C84"/>
    </row>
    <row r="85" spans="1:6">
      <c r="A85"/>
      <c r="B85"/>
      <c r="C85"/>
    </row>
    <row r="86" spans="1:6">
      <c r="A86"/>
      <c r="B86"/>
      <c r="C86"/>
    </row>
    <row r="87" spans="1:6">
      <c r="A87"/>
      <c r="B87"/>
      <c r="C87"/>
    </row>
    <row r="88" spans="1:6">
      <c r="A88"/>
      <c r="B88"/>
      <c r="C88"/>
    </row>
    <row r="89" spans="1:6">
      <c r="A89"/>
      <c r="B89"/>
      <c r="C89"/>
    </row>
    <row r="90" spans="1:6">
      <c r="A90"/>
      <c r="B90"/>
      <c r="C90"/>
    </row>
    <row r="91" spans="1:6">
      <c r="C91" s="2"/>
    </row>
  </sheetData>
  <pageMargins left="0.75" right="0.75" top="1" bottom="1" header="0.5" footer="0.5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7EB3D-3C12-41F2-86CF-59028D1AF3EC}">
  <sheetPr codeName="Sheet6">
    <pageSetUpPr fitToPage="1"/>
  </sheetPr>
  <dimension ref="A1:X16388"/>
  <sheetViews>
    <sheetView topLeftCell="F2" zoomScale="62" zoomScaleNormal="57" workbookViewId="0">
      <pane ySplit="3" topLeftCell="A6" activePane="bottomLeft" state="frozen"/>
      <selection activeCell="W5" sqref="W5"/>
      <selection pane="bottomLeft" activeCell="W5" sqref="W5"/>
    </sheetView>
  </sheetViews>
  <sheetFormatPr defaultColWidth="14.1796875" defaultRowHeight="14.5"/>
  <cols>
    <col min="1" max="1" width="18.6328125" style="9" customWidth="1"/>
    <col min="2" max="2" width="42.453125" style="9" bestFit="1" customWidth="1"/>
    <col min="3" max="3" width="19.453125" style="32" bestFit="1" customWidth="1"/>
    <col min="4" max="4" width="18.36328125" style="33" hidden="1" customWidth="1"/>
    <col min="5" max="5" width="24.54296875" style="33" hidden="1" customWidth="1"/>
    <col min="6" max="6" width="19.453125" style="9" bestFit="1" customWidth="1"/>
    <col min="7" max="7" width="24.54296875" style="9" hidden="1" customWidth="1"/>
    <col min="8" max="8" width="18.36328125" style="9" hidden="1" customWidth="1"/>
    <col min="9" max="9" width="13.6328125" style="9" bestFit="1" customWidth="1"/>
    <col min="10" max="11" width="18.36328125" style="9" hidden="1" customWidth="1"/>
    <col min="12" max="12" width="13.6328125" style="9" bestFit="1" customWidth="1"/>
    <col min="13" max="13" width="15.6328125" style="9" hidden="1" customWidth="1"/>
    <col min="14" max="14" width="17.1796875" style="9" bestFit="1" customWidth="1"/>
    <col min="15" max="15" width="14.08984375" style="9" customWidth="1"/>
    <col min="16" max="16" width="14.08984375" style="9" hidden="1" customWidth="1"/>
    <col min="17" max="17" width="21.90625" style="9" bestFit="1" customWidth="1"/>
    <col min="18" max="18" width="49.1796875" style="9" customWidth="1"/>
    <col min="19" max="19" width="12.08984375" style="9" customWidth="1"/>
    <col min="20" max="20" width="10.453125" style="9" bestFit="1" customWidth="1"/>
    <col min="21" max="21" width="12.453125" style="9" customWidth="1"/>
    <col min="22" max="22" width="12" style="9" bestFit="1" customWidth="1"/>
    <col min="23" max="23" width="15.26953125" style="9" bestFit="1" customWidth="1"/>
    <col min="24" max="24" width="15.54296875" style="9" customWidth="1"/>
    <col min="25" max="16384" width="14.1796875" style="9"/>
  </cols>
  <sheetData>
    <row r="1" spans="1:24">
      <c r="A1" s="6"/>
      <c r="B1" s="6"/>
      <c r="C1" s="7"/>
      <c r="D1" s="8"/>
      <c r="E1" s="8"/>
      <c r="F1" s="6"/>
      <c r="K1" s="10"/>
      <c r="L1" s="10"/>
      <c r="M1" s="10"/>
      <c r="N1" s="10"/>
      <c r="O1" s="10"/>
      <c r="P1" s="10"/>
      <c r="Q1" s="10"/>
    </row>
    <row r="2" spans="1:24" s="13" customFormat="1">
      <c r="A2" s="3"/>
      <c r="B2" s="11">
        <f ca="1">TODAY()-1</f>
        <v>46153</v>
      </c>
      <c r="C2" s="12" t="s">
        <v>18</v>
      </c>
      <c r="E2" s="14"/>
      <c r="F2" s="15" t="s">
        <v>19</v>
      </c>
      <c r="H2" s="15" t="s">
        <v>20</v>
      </c>
      <c r="I2" s="15" t="s">
        <v>21</v>
      </c>
      <c r="J2" s="15" t="e">
        <f>K2/I2</f>
        <v>#VALUE!</v>
      </c>
      <c r="K2" s="15">
        <f>GETPIVOTDATA("Sum of Value",$A$3)</f>
        <v>28169809.571599998</v>
      </c>
      <c r="L2" s="15">
        <f>GETPIVOTDATA("Total Kgs",$A$3)</f>
        <v>50183.51</v>
      </c>
      <c r="M2" s="16"/>
      <c r="N2" s="15">
        <f>GETPIVOTDATA("Sum of Value",$A$3)</f>
        <v>28169809.571599998</v>
      </c>
      <c r="O2" s="16">
        <f>N2/L2</f>
        <v>561.33597613239886</v>
      </c>
      <c r="P2" s="16"/>
      <c r="Q2" s="9"/>
      <c r="R2" s="9"/>
      <c r="S2" s="9"/>
      <c r="T2" s="9"/>
      <c r="U2" s="9"/>
      <c r="V2" s="9"/>
      <c r="W2" s="9"/>
      <c r="X2" s="9"/>
    </row>
    <row r="3" spans="1:24" s="13" customFormat="1" ht="15.5">
      <c r="A3" s="85"/>
      <c r="B3" s="85"/>
      <c r="C3" s="80" t="s">
        <v>1</v>
      </c>
      <c r="D3" s="82" t="s">
        <v>22</v>
      </c>
      <c r="E3" s="91"/>
      <c r="F3" s="91"/>
      <c r="G3" s="91"/>
      <c r="H3" s="91"/>
      <c r="I3" s="91"/>
      <c r="J3" s="91"/>
      <c r="K3" s="91"/>
      <c r="L3"/>
      <c r="M3"/>
      <c r="N3"/>
      <c r="O3"/>
      <c r="P3"/>
      <c r="Q3" s="109" t="s">
        <v>766</v>
      </c>
      <c r="R3" s="11">
        <f ca="1">TODAY()-1</f>
        <v>46153</v>
      </c>
      <c r="S3" s="12" t="s">
        <v>18</v>
      </c>
      <c r="T3" s="35" t="s">
        <v>19</v>
      </c>
      <c r="U3" s="108">
        <f ca="1">U4+'Pivot Dates'!Y4</f>
        <v>850229.00599999994</v>
      </c>
      <c r="V3" s="17" t="s">
        <v>23</v>
      </c>
      <c r="W3" s="108">
        <f ca="1">W4+'Pivot Dates'!AA4</f>
        <v>186246006.5636</v>
      </c>
    </row>
    <row r="4" spans="1:24" s="13" customFormat="1" ht="35.5" customHeight="1">
      <c r="A4" s="85"/>
      <c r="B4" s="85"/>
      <c r="C4" s="77" t="s">
        <v>6</v>
      </c>
      <c r="D4" s="77"/>
      <c r="E4" s="77"/>
      <c r="F4" s="77" t="s">
        <v>4</v>
      </c>
      <c r="G4" s="77"/>
      <c r="H4" s="77"/>
      <c r="I4" s="92" t="s">
        <v>25</v>
      </c>
      <c r="J4" s="91" t="s">
        <v>26</v>
      </c>
      <c r="K4" s="91" t="s">
        <v>27</v>
      </c>
      <c r="L4"/>
      <c r="M4"/>
      <c r="N4"/>
      <c r="O4"/>
      <c r="P4"/>
      <c r="Q4" s="107">
        <f ca="1">TODAY()-1</f>
        <v>46153</v>
      </c>
      <c r="R4" s="20" t="s">
        <v>1</v>
      </c>
      <c r="S4" s="20" t="s">
        <v>6</v>
      </c>
      <c r="T4" s="20" t="s">
        <v>4</v>
      </c>
      <c r="U4" s="21">
        <f ca="1">U13+U18+U20+U23+U32+U38+U43+U45+U55+U57+U70+U75+U81+U83+U92+U11+U120+U123+U59+U131+U136+U138+U126</f>
        <v>50183.509999999995</v>
      </c>
      <c r="V4" s="22">
        <f ca="1">W4/U4</f>
        <v>561.33597613239886</v>
      </c>
      <c r="W4" s="21">
        <f ca="1">W13+W18+W20+W23+W32+W38+W43+W45+W55+W57+W70+W75+W81+W83+W92+W11+W120+W123+W59+W131+W136+W138+W126</f>
        <v>28169809.571599994</v>
      </c>
      <c r="X4" s="23"/>
    </row>
    <row r="5" spans="1:24" s="13" customFormat="1" ht="29" customHeight="1">
      <c r="A5" s="84" t="s">
        <v>0</v>
      </c>
      <c r="B5" s="84" t="s">
        <v>2</v>
      </c>
      <c r="C5" s="85" t="s">
        <v>28</v>
      </c>
      <c r="D5" s="81" t="s">
        <v>29</v>
      </c>
      <c r="E5" s="85" t="s">
        <v>30</v>
      </c>
      <c r="F5" s="77" t="s">
        <v>28</v>
      </c>
      <c r="G5" s="81" t="s">
        <v>29</v>
      </c>
      <c r="H5" s="81" t="s">
        <v>30</v>
      </c>
      <c r="I5" s="92"/>
      <c r="J5" s="91"/>
      <c r="K5" s="91"/>
      <c r="L5"/>
      <c r="M5"/>
      <c r="N5"/>
      <c r="O5"/>
      <c r="P5"/>
      <c r="Q5" s="100" t="s">
        <v>0</v>
      </c>
      <c r="R5" s="19" t="s">
        <v>2</v>
      </c>
      <c r="S5" s="19" t="s">
        <v>28</v>
      </c>
      <c r="T5" s="19" t="s">
        <v>28</v>
      </c>
      <c r="U5" s="19" t="s">
        <v>28</v>
      </c>
      <c r="V5" s="19" t="s">
        <v>871</v>
      </c>
      <c r="W5" s="19" t="s">
        <v>31</v>
      </c>
      <c r="X5" s="24"/>
    </row>
    <row r="6" spans="1:24">
      <c r="A6" s="81" t="s">
        <v>98</v>
      </c>
      <c r="B6" s="81" t="s">
        <v>727</v>
      </c>
      <c r="C6" s="83"/>
      <c r="D6" s="83"/>
      <c r="E6" s="83"/>
      <c r="F6" s="83">
        <v>40</v>
      </c>
      <c r="G6" s="83">
        <v>650</v>
      </c>
      <c r="H6" s="83">
        <v>26000</v>
      </c>
      <c r="I6" s="86">
        <v>40</v>
      </c>
      <c r="J6" s="83">
        <v>650</v>
      </c>
      <c r="K6" s="86">
        <v>26000</v>
      </c>
      <c r="L6"/>
      <c r="M6"/>
      <c r="N6"/>
      <c r="O6"/>
      <c r="P6"/>
      <c r="Q6" s="102" t="s">
        <v>98</v>
      </c>
      <c r="R6" s="81" t="s">
        <v>727</v>
      </c>
      <c r="S6" s="104">
        <f t="shared" ref="S6:S10" ca="1" si="0">VLOOKUP(R6,B:N,2,0)</f>
        <v>0</v>
      </c>
      <c r="T6" s="104">
        <f t="shared" ref="T6:T10" ca="1" si="1">VLOOKUP(R6,B:N,5,0)</f>
        <v>40</v>
      </c>
      <c r="U6" s="105">
        <f ca="1">SUM(S6:T6)</f>
        <v>40</v>
      </c>
      <c r="V6" s="106">
        <f t="shared" ref="V6:V10" ca="1" si="2">W6/U6</f>
        <v>650</v>
      </c>
      <c r="W6" s="105">
        <f ca="1">VLOOKUP(R6,B:N,10,0)</f>
        <v>26000</v>
      </c>
      <c r="X6" s="24"/>
    </row>
    <row r="7" spans="1:24">
      <c r="A7" s="81"/>
      <c r="B7" s="81" t="s">
        <v>769</v>
      </c>
      <c r="C7" s="83"/>
      <c r="D7" s="83"/>
      <c r="E7" s="83"/>
      <c r="F7" s="83">
        <v>727</v>
      </c>
      <c r="G7" s="83">
        <v>750</v>
      </c>
      <c r="H7" s="83">
        <v>545250</v>
      </c>
      <c r="I7" s="86">
        <v>727</v>
      </c>
      <c r="J7" s="83">
        <v>750</v>
      </c>
      <c r="K7" s="86">
        <v>545250</v>
      </c>
      <c r="L7"/>
      <c r="M7"/>
      <c r="N7"/>
      <c r="O7"/>
      <c r="P7"/>
      <c r="Q7" s="102"/>
      <c r="R7" s="81" t="s">
        <v>769</v>
      </c>
      <c r="S7" s="104">
        <f t="shared" ca="1" si="0"/>
        <v>0</v>
      </c>
      <c r="T7" s="104">
        <f t="shared" ca="1" si="1"/>
        <v>727</v>
      </c>
      <c r="U7" s="105">
        <f ca="1">SUM(S7:T7)</f>
        <v>727</v>
      </c>
      <c r="V7" s="106">
        <f t="shared" ca="1" si="2"/>
        <v>750</v>
      </c>
      <c r="W7" s="105">
        <f ca="1">VLOOKUP(R7,B:N,10,0)</f>
        <v>545250</v>
      </c>
      <c r="X7" s="24"/>
    </row>
    <row r="8" spans="1:24">
      <c r="A8" s="81"/>
      <c r="B8" s="81" t="s">
        <v>737</v>
      </c>
      <c r="C8" s="83"/>
      <c r="D8" s="83"/>
      <c r="E8" s="83"/>
      <c r="F8" s="83">
        <v>118.45</v>
      </c>
      <c r="G8" s="83">
        <v>650</v>
      </c>
      <c r="H8" s="83">
        <v>76992.5</v>
      </c>
      <c r="I8" s="86">
        <v>118.45</v>
      </c>
      <c r="J8" s="83">
        <v>650</v>
      </c>
      <c r="K8" s="86">
        <v>76992.5</v>
      </c>
      <c r="L8"/>
      <c r="M8"/>
      <c r="N8"/>
      <c r="O8"/>
      <c r="P8"/>
      <c r="Q8" s="102"/>
      <c r="R8" s="81" t="s">
        <v>99</v>
      </c>
      <c r="S8" s="104">
        <v>0</v>
      </c>
      <c r="T8" s="104">
        <v>0</v>
      </c>
      <c r="U8" s="105">
        <v>0</v>
      </c>
      <c r="V8" s="106" t="e">
        <f t="shared" si="2"/>
        <v>#DIV/0!</v>
      </c>
      <c r="W8" s="105">
        <v>0</v>
      </c>
      <c r="X8" s="24"/>
    </row>
    <row r="9" spans="1:24">
      <c r="A9" s="81"/>
      <c r="B9" s="81" t="s">
        <v>17</v>
      </c>
      <c r="C9" s="83"/>
      <c r="D9" s="83"/>
      <c r="E9" s="83"/>
      <c r="F9" s="83">
        <v>541</v>
      </c>
      <c r="G9" s="83">
        <v>595</v>
      </c>
      <c r="H9" s="83">
        <v>321895</v>
      </c>
      <c r="I9" s="86">
        <v>541</v>
      </c>
      <c r="J9" s="83">
        <v>595</v>
      </c>
      <c r="K9" s="86">
        <v>321895</v>
      </c>
      <c r="L9"/>
      <c r="M9"/>
      <c r="N9"/>
      <c r="O9"/>
      <c r="P9"/>
      <c r="Q9" s="102"/>
      <c r="R9" s="81" t="s">
        <v>737</v>
      </c>
      <c r="S9" s="104">
        <f t="shared" ca="1" si="0"/>
        <v>0</v>
      </c>
      <c r="T9" s="104">
        <f t="shared" ca="1" si="1"/>
        <v>118.45</v>
      </c>
      <c r="U9" s="105">
        <f ca="1">SUM(S9:T9)</f>
        <v>118.45</v>
      </c>
      <c r="V9" s="106">
        <f t="shared" ca="1" si="2"/>
        <v>650</v>
      </c>
      <c r="W9" s="105">
        <f ca="1">VLOOKUP(R9,B:N,10,0)</f>
        <v>76992.5</v>
      </c>
      <c r="X9" s="24"/>
    </row>
    <row r="10" spans="1:24">
      <c r="A10" s="89" t="s">
        <v>100</v>
      </c>
      <c r="B10" s="89"/>
      <c r="C10" s="90"/>
      <c r="D10" s="90"/>
      <c r="E10" s="90"/>
      <c r="F10" s="90">
        <v>1426.45</v>
      </c>
      <c r="G10" s="90">
        <v>661.25</v>
      </c>
      <c r="H10" s="90">
        <v>970137.5</v>
      </c>
      <c r="I10" s="93">
        <v>1426.45</v>
      </c>
      <c r="J10" s="90">
        <v>661.25</v>
      </c>
      <c r="K10" s="93">
        <v>970137.5</v>
      </c>
      <c r="L10"/>
      <c r="M10"/>
      <c r="N10"/>
      <c r="O10"/>
      <c r="P10"/>
      <c r="Q10" s="102"/>
      <c r="R10" s="81" t="s">
        <v>17</v>
      </c>
      <c r="S10" s="104">
        <f t="shared" ca="1" si="0"/>
        <v>0</v>
      </c>
      <c r="T10" s="104">
        <f t="shared" ca="1" si="1"/>
        <v>541</v>
      </c>
      <c r="U10" s="105">
        <f ca="1">SUM(S10:T10)</f>
        <v>541</v>
      </c>
      <c r="V10" s="106">
        <f t="shared" ca="1" si="2"/>
        <v>595</v>
      </c>
      <c r="W10" s="105">
        <f ca="1">VLOOKUP(R10,B:N,10,0)</f>
        <v>321895</v>
      </c>
      <c r="X10" s="24"/>
    </row>
    <row r="11" spans="1:24">
      <c r="A11" s="81" t="s">
        <v>32</v>
      </c>
      <c r="B11" s="81" t="s">
        <v>13</v>
      </c>
      <c r="C11" s="83"/>
      <c r="D11" s="83"/>
      <c r="E11" s="83"/>
      <c r="F11" s="83">
        <v>10.4</v>
      </c>
      <c r="G11" s="83">
        <v>1100</v>
      </c>
      <c r="H11" s="83">
        <v>11440</v>
      </c>
      <c r="I11" s="86">
        <v>10.4</v>
      </c>
      <c r="J11" s="83">
        <v>1100</v>
      </c>
      <c r="K11" s="86">
        <v>11440</v>
      </c>
      <c r="L11"/>
      <c r="M11"/>
      <c r="N11"/>
      <c r="O11"/>
      <c r="P11"/>
      <c r="Q11" s="103" t="s">
        <v>100</v>
      </c>
      <c r="R11" s="28"/>
      <c r="S11" s="29">
        <f ca="1">SUM(S6:S10)</f>
        <v>0</v>
      </c>
      <c r="T11" s="29">
        <f ca="1">SUM(T6:T10)</f>
        <v>1426.45</v>
      </c>
      <c r="U11" s="29">
        <f ca="1">SUM(U6:U10)</f>
        <v>1426.45</v>
      </c>
      <c r="V11" s="30">
        <f ca="1">W11/U11</f>
        <v>680.10620771846186</v>
      </c>
      <c r="W11" s="29">
        <f ca="1">SUM(W6:W10)</f>
        <v>970137.5</v>
      </c>
      <c r="X11" s="24"/>
    </row>
    <row r="12" spans="1:24">
      <c r="A12" s="89" t="s">
        <v>33</v>
      </c>
      <c r="B12" s="89"/>
      <c r="C12" s="90"/>
      <c r="D12" s="90"/>
      <c r="E12" s="90"/>
      <c r="F12" s="90">
        <v>10.4</v>
      </c>
      <c r="G12" s="90">
        <v>1100</v>
      </c>
      <c r="H12" s="90">
        <v>11440</v>
      </c>
      <c r="I12" s="93">
        <v>10.4</v>
      </c>
      <c r="J12" s="90">
        <v>1100</v>
      </c>
      <c r="K12" s="93">
        <v>11440</v>
      </c>
      <c r="L12"/>
      <c r="M12"/>
      <c r="N12"/>
      <c r="O12"/>
      <c r="P12"/>
      <c r="Q12" s="102" t="s">
        <v>32</v>
      </c>
      <c r="R12" s="99" t="s">
        <v>13</v>
      </c>
      <c r="S12" s="104">
        <f ca="1">VLOOKUP(R12,B:N,2,0)</f>
        <v>0</v>
      </c>
      <c r="T12" s="104">
        <f ca="1">VLOOKUP(R12,B:N,5,0)</f>
        <v>10.4</v>
      </c>
      <c r="U12" s="105">
        <f ca="1">SUM(S12:T12)</f>
        <v>10.4</v>
      </c>
      <c r="V12" s="106">
        <f t="shared" ref="V12" ca="1" si="3">W12/U12</f>
        <v>1100</v>
      </c>
      <c r="W12" s="105">
        <f ca="1">VLOOKUP(R12,B:N,10,0)</f>
        <v>11440</v>
      </c>
      <c r="X12" s="25"/>
    </row>
    <row r="13" spans="1:24">
      <c r="A13" s="81" t="s">
        <v>34</v>
      </c>
      <c r="B13" s="81" t="s">
        <v>524</v>
      </c>
      <c r="C13" s="83"/>
      <c r="D13" s="83"/>
      <c r="E13" s="83"/>
      <c r="F13" s="83">
        <v>18</v>
      </c>
      <c r="G13" s="83">
        <v>380</v>
      </c>
      <c r="H13" s="83">
        <v>6840</v>
      </c>
      <c r="I13" s="86">
        <v>18</v>
      </c>
      <c r="J13" s="83">
        <v>380</v>
      </c>
      <c r="K13" s="86">
        <v>6840</v>
      </c>
      <c r="L13"/>
      <c r="M13"/>
      <c r="N13"/>
      <c r="O13"/>
      <c r="P13"/>
      <c r="Q13" s="103" t="s">
        <v>33</v>
      </c>
      <c r="R13" s="28"/>
      <c r="S13" s="29">
        <f ca="1">SUM(S12:S12)</f>
        <v>0</v>
      </c>
      <c r="T13" s="29">
        <f ca="1">SUM(T12:T12)</f>
        <v>10.4</v>
      </c>
      <c r="U13" s="29">
        <f ca="1">SUM(U12:U12)</f>
        <v>10.4</v>
      </c>
      <c r="V13" s="30">
        <f ca="1">W13/U13</f>
        <v>1100</v>
      </c>
      <c r="W13" s="29">
        <f ca="1">SUM(W12:W12)</f>
        <v>11440</v>
      </c>
      <c r="X13" s="27"/>
    </row>
    <row r="14" spans="1:24">
      <c r="A14" s="81"/>
      <c r="B14" s="81" t="s">
        <v>37</v>
      </c>
      <c r="C14" s="83">
        <v>310</v>
      </c>
      <c r="D14" s="83">
        <v>650</v>
      </c>
      <c r="E14" s="83">
        <v>201500</v>
      </c>
      <c r="F14" s="83"/>
      <c r="G14" s="83"/>
      <c r="H14" s="83"/>
      <c r="I14" s="86">
        <v>310</v>
      </c>
      <c r="J14" s="83">
        <v>650</v>
      </c>
      <c r="K14" s="86">
        <v>201500</v>
      </c>
      <c r="L14"/>
      <c r="M14"/>
      <c r="N14"/>
      <c r="O14"/>
      <c r="P14"/>
      <c r="Q14" s="102" t="s">
        <v>34</v>
      </c>
      <c r="R14" s="81" t="s">
        <v>524</v>
      </c>
      <c r="S14" s="104">
        <f ca="1">VLOOKUP(R14,B:N,2,0)</f>
        <v>0</v>
      </c>
      <c r="T14" s="104">
        <f ca="1">VLOOKUP(R14,B:N,5,0)</f>
        <v>18</v>
      </c>
      <c r="U14" s="105">
        <f ca="1">SUM(S14:T14)</f>
        <v>18</v>
      </c>
      <c r="V14" s="106">
        <f t="shared" ref="V14:V16" ca="1" si="4">W14/U14</f>
        <v>380</v>
      </c>
      <c r="W14" s="105">
        <f ca="1">VLOOKUP(R14,B:N,10,0)</f>
        <v>6840</v>
      </c>
      <c r="X14" s="25"/>
    </row>
    <row r="15" spans="1:24">
      <c r="A15" s="81"/>
      <c r="B15" s="81" t="s">
        <v>36</v>
      </c>
      <c r="C15" s="83">
        <v>1904</v>
      </c>
      <c r="D15" s="83">
        <v>780</v>
      </c>
      <c r="E15" s="83">
        <v>1485120</v>
      </c>
      <c r="F15" s="83"/>
      <c r="G15" s="83"/>
      <c r="H15" s="83"/>
      <c r="I15" s="86">
        <v>1904</v>
      </c>
      <c r="J15" s="83">
        <v>780</v>
      </c>
      <c r="K15" s="86">
        <v>1485120</v>
      </c>
      <c r="L15"/>
      <c r="M15"/>
      <c r="N15"/>
      <c r="O15"/>
      <c r="P15"/>
      <c r="Q15" s="102"/>
      <c r="R15" s="81" t="s">
        <v>35</v>
      </c>
      <c r="S15" s="104">
        <v>0</v>
      </c>
      <c r="T15" s="104">
        <v>0</v>
      </c>
      <c r="U15" s="105">
        <f>SUM(S15:T15)</f>
        <v>0</v>
      </c>
      <c r="V15" s="106" t="e">
        <f t="shared" si="4"/>
        <v>#DIV/0!</v>
      </c>
      <c r="W15" s="105">
        <v>0</v>
      </c>
      <c r="X15" s="25"/>
    </row>
    <row r="16" spans="1:24">
      <c r="A16" s="89" t="s">
        <v>38</v>
      </c>
      <c r="B16" s="89"/>
      <c r="C16" s="90">
        <v>2214</v>
      </c>
      <c r="D16" s="90">
        <v>736.66666666666663</v>
      </c>
      <c r="E16" s="90">
        <v>1686620</v>
      </c>
      <c r="F16" s="90">
        <v>18</v>
      </c>
      <c r="G16" s="90">
        <v>380</v>
      </c>
      <c r="H16" s="90">
        <v>6840</v>
      </c>
      <c r="I16" s="93">
        <v>2232</v>
      </c>
      <c r="J16" s="90">
        <v>647.5</v>
      </c>
      <c r="K16" s="93">
        <v>1693460</v>
      </c>
      <c r="L16"/>
      <c r="M16"/>
      <c r="N16"/>
      <c r="O16"/>
      <c r="P16"/>
      <c r="Q16" s="102"/>
      <c r="R16" s="81" t="s">
        <v>37</v>
      </c>
      <c r="S16" s="104">
        <f ca="1">VLOOKUP(R16,B:N,2,0)</f>
        <v>310</v>
      </c>
      <c r="T16" s="104">
        <f ca="1">VLOOKUP(R16,B:N,5,0)</f>
        <v>0</v>
      </c>
      <c r="U16" s="105">
        <f ca="1">SUM(S16:T16)</f>
        <v>310</v>
      </c>
      <c r="V16" s="106">
        <f t="shared" ca="1" si="4"/>
        <v>650</v>
      </c>
      <c r="W16" s="105">
        <f ca="1">VLOOKUP(R16,B:N,10,0)</f>
        <v>201500</v>
      </c>
      <c r="X16" s="25"/>
    </row>
    <row r="17" spans="1:24">
      <c r="A17" s="81" t="s">
        <v>39</v>
      </c>
      <c r="B17" s="81" t="s">
        <v>40</v>
      </c>
      <c r="C17" s="83">
        <v>375</v>
      </c>
      <c r="D17" s="83">
        <v>490</v>
      </c>
      <c r="E17" s="83">
        <v>183750</v>
      </c>
      <c r="F17" s="83">
        <v>134.1</v>
      </c>
      <c r="G17" s="83">
        <v>490</v>
      </c>
      <c r="H17" s="83">
        <v>65709</v>
      </c>
      <c r="I17" s="86">
        <v>509.1</v>
      </c>
      <c r="J17" s="83">
        <v>490</v>
      </c>
      <c r="K17" s="86">
        <v>249459</v>
      </c>
      <c r="L17"/>
      <c r="M17"/>
      <c r="N17"/>
      <c r="O17"/>
      <c r="P17"/>
      <c r="Q17" s="102"/>
      <c r="R17" s="81" t="s">
        <v>36</v>
      </c>
      <c r="S17" s="104">
        <f ca="1">VLOOKUP(R17,B:N,2,0)</f>
        <v>1904</v>
      </c>
      <c r="T17" s="104">
        <f ca="1">VLOOKUP(R17,B:N,5,0)</f>
        <v>0</v>
      </c>
      <c r="U17" s="105">
        <f ca="1">SUM(S17:T17)</f>
        <v>1904</v>
      </c>
      <c r="V17" s="106">
        <f t="shared" ref="V17" ca="1" si="5">W17/U17</f>
        <v>780</v>
      </c>
      <c r="W17" s="105">
        <f ca="1">VLOOKUP(R17,B:N,10,0)</f>
        <v>1485120</v>
      </c>
      <c r="X17" s="25"/>
    </row>
    <row r="18" spans="1:24">
      <c r="A18" s="89" t="s">
        <v>41</v>
      </c>
      <c r="B18" s="89"/>
      <c r="C18" s="90">
        <v>375</v>
      </c>
      <c r="D18" s="90">
        <v>490</v>
      </c>
      <c r="E18" s="90">
        <v>183750</v>
      </c>
      <c r="F18" s="90">
        <v>134.1</v>
      </c>
      <c r="G18" s="90">
        <v>490</v>
      </c>
      <c r="H18" s="90">
        <v>65709</v>
      </c>
      <c r="I18" s="93">
        <v>509.1</v>
      </c>
      <c r="J18" s="90">
        <v>490</v>
      </c>
      <c r="K18" s="93">
        <v>249459</v>
      </c>
      <c r="L18"/>
      <c r="M18"/>
      <c r="N18"/>
      <c r="O18"/>
      <c r="P18"/>
      <c r="Q18" s="103" t="s">
        <v>38</v>
      </c>
      <c r="R18" s="28"/>
      <c r="S18" s="29">
        <f ca="1">SUM(S14:S17)</f>
        <v>2214</v>
      </c>
      <c r="T18" s="29">
        <f t="shared" ref="T18:W18" ca="1" si="6">SUM(T14:T17)</f>
        <v>18</v>
      </c>
      <c r="U18" s="29">
        <f t="shared" ca="1" si="6"/>
        <v>2232</v>
      </c>
      <c r="V18" s="30">
        <f ca="1">W18/U18</f>
        <v>758.71863799283153</v>
      </c>
      <c r="W18" s="29">
        <f t="shared" ca="1" si="6"/>
        <v>1693460</v>
      </c>
      <c r="X18" s="31"/>
    </row>
    <row r="19" spans="1:24">
      <c r="A19" s="81" t="s">
        <v>42</v>
      </c>
      <c r="B19" s="81" t="s">
        <v>44</v>
      </c>
      <c r="C19" s="83"/>
      <c r="D19" s="83"/>
      <c r="E19" s="83"/>
      <c r="F19" s="83">
        <v>194.39999999999998</v>
      </c>
      <c r="G19" s="83">
        <v>1130</v>
      </c>
      <c r="H19" s="83">
        <v>219671.99999999997</v>
      </c>
      <c r="I19" s="86">
        <v>194.39999999999998</v>
      </c>
      <c r="J19" s="83">
        <v>1130</v>
      </c>
      <c r="K19" s="86">
        <v>219671.99999999997</v>
      </c>
      <c r="L19"/>
      <c r="M19"/>
      <c r="N19"/>
      <c r="O19"/>
      <c r="P19"/>
      <c r="Q19" s="102" t="s">
        <v>39</v>
      </c>
      <c r="R19" s="99" t="s">
        <v>40</v>
      </c>
      <c r="S19" s="104">
        <f ca="1">VLOOKUP(R19,B:N,2,0)</f>
        <v>375</v>
      </c>
      <c r="T19" s="104">
        <f ca="1">VLOOKUP(R19,B:N,5,0)</f>
        <v>134.1</v>
      </c>
      <c r="U19" s="105">
        <f ca="1">SUM(S19:T19)</f>
        <v>509.1</v>
      </c>
      <c r="V19" s="106">
        <f ca="1">W19/U19</f>
        <v>490</v>
      </c>
      <c r="W19" s="105">
        <f ca="1">VLOOKUP(R19,B:N,10,0)</f>
        <v>249459</v>
      </c>
      <c r="X19" s="25"/>
    </row>
    <row r="20" spans="1:24">
      <c r="A20" s="81"/>
      <c r="B20" s="81" t="s">
        <v>43</v>
      </c>
      <c r="C20" s="83">
        <v>99.88</v>
      </c>
      <c r="D20" s="83">
        <v>1270</v>
      </c>
      <c r="E20" s="83">
        <v>126847.6</v>
      </c>
      <c r="F20" s="83"/>
      <c r="G20" s="83"/>
      <c r="H20" s="83"/>
      <c r="I20" s="86">
        <v>99.88</v>
      </c>
      <c r="J20" s="83">
        <v>1270</v>
      </c>
      <c r="K20" s="86">
        <v>126847.6</v>
      </c>
      <c r="L20"/>
      <c r="M20"/>
      <c r="N20"/>
      <c r="O20"/>
      <c r="P20"/>
      <c r="Q20" s="103" t="s">
        <v>41</v>
      </c>
      <c r="R20" s="28"/>
      <c r="S20" s="29">
        <f ca="1">SUM(S19:S19)</f>
        <v>375</v>
      </c>
      <c r="T20" s="29">
        <f ca="1">SUM(T19:T19)</f>
        <v>134.1</v>
      </c>
      <c r="U20" s="29">
        <f ca="1">SUM(U19:U19)</f>
        <v>509.1</v>
      </c>
      <c r="V20" s="30">
        <f ca="1">W20/U20</f>
        <v>490</v>
      </c>
      <c r="W20" s="29">
        <f ca="1">SUM(W19:W19)</f>
        <v>249459</v>
      </c>
      <c r="X20" s="31"/>
    </row>
    <row r="21" spans="1:24">
      <c r="A21" s="89" t="s">
        <v>45</v>
      </c>
      <c r="B21" s="89"/>
      <c r="C21" s="90">
        <v>99.88</v>
      </c>
      <c r="D21" s="90">
        <v>1270</v>
      </c>
      <c r="E21" s="90">
        <v>126847.6</v>
      </c>
      <c r="F21" s="90">
        <v>194.39999999999998</v>
      </c>
      <c r="G21" s="90">
        <v>1130</v>
      </c>
      <c r="H21" s="90">
        <v>219671.99999999997</v>
      </c>
      <c r="I21" s="93">
        <v>294.27999999999997</v>
      </c>
      <c r="J21" s="90">
        <v>1223.3333333333333</v>
      </c>
      <c r="K21" s="93">
        <v>346519.6</v>
      </c>
      <c r="L21"/>
      <c r="M21"/>
      <c r="N21"/>
      <c r="O21"/>
      <c r="P21"/>
      <c r="Q21" s="102" t="s">
        <v>42</v>
      </c>
      <c r="R21" s="99" t="s">
        <v>43</v>
      </c>
      <c r="S21" s="104">
        <f ca="1">VLOOKUP(R21,B:N,2,0)</f>
        <v>99.88</v>
      </c>
      <c r="T21" s="104">
        <f ca="1">VLOOKUP(R21,B:N,5,0)</f>
        <v>0</v>
      </c>
      <c r="U21" s="105">
        <f ca="1">SUM(S21:T21)</f>
        <v>99.88</v>
      </c>
      <c r="V21" s="106">
        <f t="shared" ref="V21:V22" ca="1" si="7">W21/U21</f>
        <v>1270.0000000000002</v>
      </c>
      <c r="W21" s="105">
        <f ca="1">VLOOKUP(R21,B:N,10,0)</f>
        <v>126847.6</v>
      </c>
      <c r="X21" s="25"/>
    </row>
    <row r="22" spans="1:24">
      <c r="A22" s="81" t="s">
        <v>720</v>
      </c>
      <c r="B22" s="81" t="s">
        <v>720</v>
      </c>
      <c r="C22" s="83">
        <v>200</v>
      </c>
      <c r="D22" s="83">
        <v>2700</v>
      </c>
      <c r="E22" s="83">
        <v>540000</v>
      </c>
      <c r="F22" s="83">
        <v>8.8000000000000007</v>
      </c>
      <c r="G22" s="83">
        <v>2800</v>
      </c>
      <c r="H22" s="83">
        <v>24640.000000000004</v>
      </c>
      <c r="I22" s="86">
        <v>208.8</v>
      </c>
      <c r="J22" s="83">
        <v>2750</v>
      </c>
      <c r="K22" s="86">
        <v>564640</v>
      </c>
      <c r="L22"/>
      <c r="M22"/>
      <c r="N22"/>
      <c r="O22"/>
      <c r="P22"/>
      <c r="Q22" s="102"/>
      <c r="R22" s="99" t="s">
        <v>44</v>
      </c>
      <c r="S22" s="104">
        <f ca="1">VLOOKUP(R22,B:N,2,0)</f>
        <v>0</v>
      </c>
      <c r="T22" s="104">
        <f ca="1">VLOOKUP(R22,B:N,5,0)</f>
        <v>194.39999999999998</v>
      </c>
      <c r="U22" s="105">
        <f ca="1">SUM(S22:T22)</f>
        <v>194.39999999999998</v>
      </c>
      <c r="V22" s="106">
        <f t="shared" ca="1" si="7"/>
        <v>1130</v>
      </c>
      <c r="W22" s="105">
        <f ca="1">VLOOKUP(R22,B:N,10,0)</f>
        <v>219671.99999999997</v>
      </c>
      <c r="X22" s="25"/>
    </row>
    <row r="23" spans="1:24">
      <c r="A23" s="89" t="s">
        <v>721</v>
      </c>
      <c r="B23" s="89"/>
      <c r="C23" s="90">
        <v>200</v>
      </c>
      <c r="D23" s="90">
        <v>2700</v>
      </c>
      <c r="E23" s="90">
        <v>540000</v>
      </c>
      <c r="F23" s="90">
        <v>8.8000000000000007</v>
      </c>
      <c r="G23" s="90">
        <v>2800</v>
      </c>
      <c r="H23" s="90">
        <v>24640.000000000004</v>
      </c>
      <c r="I23" s="93">
        <v>208.8</v>
      </c>
      <c r="J23" s="90">
        <v>2750</v>
      </c>
      <c r="K23" s="93">
        <v>564640</v>
      </c>
      <c r="L23"/>
      <c r="M23"/>
      <c r="N23"/>
      <c r="O23"/>
      <c r="P23"/>
      <c r="Q23" s="103" t="s">
        <v>45</v>
      </c>
      <c r="R23" s="28"/>
      <c r="S23" s="29">
        <f ca="1">SUM(S21:S22)</f>
        <v>99.88</v>
      </c>
      <c r="T23" s="29">
        <f ca="1">SUM(T21:T22)</f>
        <v>194.39999999999998</v>
      </c>
      <c r="U23" s="29">
        <f ca="1">SUM(U21:U22)</f>
        <v>294.27999999999997</v>
      </c>
      <c r="V23" s="30">
        <f ca="1">W23/U23</f>
        <v>1177.5166508087536</v>
      </c>
      <c r="W23" s="29">
        <f ca="1">SUM(W21:W22)</f>
        <v>346519.6</v>
      </c>
      <c r="X23" s="31"/>
    </row>
    <row r="24" spans="1:24">
      <c r="A24" s="81" t="s">
        <v>46</v>
      </c>
      <c r="B24" s="81" t="s">
        <v>738</v>
      </c>
      <c r="C24" s="83"/>
      <c r="D24" s="83"/>
      <c r="E24" s="83"/>
      <c r="F24" s="83">
        <v>22.6</v>
      </c>
      <c r="G24" s="83">
        <v>900</v>
      </c>
      <c r="H24" s="83">
        <v>20340</v>
      </c>
      <c r="I24" s="86">
        <v>22.6</v>
      </c>
      <c r="J24" s="83">
        <v>900</v>
      </c>
      <c r="K24" s="86">
        <v>20340</v>
      </c>
      <c r="L24"/>
      <c r="M24"/>
      <c r="N24"/>
      <c r="O24"/>
      <c r="P24"/>
      <c r="Q24" s="102" t="s">
        <v>46</v>
      </c>
      <c r="R24" s="99" t="s">
        <v>47</v>
      </c>
      <c r="S24" s="104">
        <v>0</v>
      </c>
      <c r="T24" s="104">
        <v>0</v>
      </c>
      <c r="U24" s="105">
        <f t="shared" ref="U24:U31" si="8">SUM(S24:T24)</f>
        <v>0</v>
      </c>
      <c r="V24" s="106" t="e">
        <f t="shared" ref="V24:V27" si="9">W24/U24</f>
        <v>#DIV/0!</v>
      </c>
      <c r="W24" s="105">
        <v>0</v>
      </c>
      <c r="X24" s="25"/>
    </row>
    <row r="25" spans="1:24">
      <c r="A25" s="81"/>
      <c r="B25" s="81" t="s">
        <v>739</v>
      </c>
      <c r="C25" s="83"/>
      <c r="D25" s="83"/>
      <c r="E25" s="83"/>
      <c r="F25" s="83">
        <v>90</v>
      </c>
      <c r="G25" s="83">
        <v>800</v>
      </c>
      <c r="H25" s="83">
        <v>72000</v>
      </c>
      <c r="I25" s="86">
        <v>90</v>
      </c>
      <c r="J25" s="83">
        <v>800</v>
      </c>
      <c r="K25" s="86">
        <v>72000</v>
      </c>
      <c r="L25"/>
      <c r="M25"/>
      <c r="N25"/>
      <c r="O25"/>
      <c r="P25"/>
      <c r="Q25" s="102"/>
      <c r="R25" s="99" t="s">
        <v>48</v>
      </c>
      <c r="S25" s="104">
        <v>0</v>
      </c>
      <c r="T25" s="104">
        <v>0</v>
      </c>
      <c r="U25" s="105">
        <f t="shared" si="8"/>
        <v>0</v>
      </c>
      <c r="V25" s="106" t="e">
        <f t="shared" si="9"/>
        <v>#DIV/0!</v>
      </c>
      <c r="W25" s="105">
        <v>0</v>
      </c>
      <c r="X25" s="25"/>
    </row>
    <row r="26" spans="1:24">
      <c r="A26" s="81"/>
      <c r="B26" s="81" t="s">
        <v>46</v>
      </c>
      <c r="C26" s="83"/>
      <c r="D26" s="83"/>
      <c r="E26" s="83"/>
      <c r="F26" s="83">
        <v>39.299999999999997</v>
      </c>
      <c r="G26" s="83">
        <v>715</v>
      </c>
      <c r="H26" s="83">
        <v>28099.499999999996</v>
      </c>
      <c r="I26" s="86">
        <v>39.299999999999997</v>
      </c>
      <c r="J26" s="83">
        <v>715</v>
      </c>
      <c r="K26" s="86">
        <v>28099.499999999996</v>
      </c>
      <c r="L26"/>
      <c r="M26"/>
      <c r="N26"/>
      <c r="O26"/>
      <c r="P26"/>
      <c r="Q26" s="102"/>
      <c r="R26" s="99" t="s">
        <v>49</v>
      </c>
      <c r="S26" s="104">
        <v>0</v>
      </c>
      <c r="T26" s="104">
        <v>0</v>
      </c>
      <c r="U26" s="105">
        <f t="shared" si="8"/>
        <v>0</v>
      </c>
      <c r="V26" s="106" t="e">
        <f t="shared" si="9"/>
        <v>#DIV/0!</v>
      </c>
      <c r="W26" s="105">
        <v>0</v>
      </c>
      <c r="X26" s="25"/>
    </row>
    <row r="27" spans="1:24">
      <c r="A27" s="81"/>
      <c r="B27" s="81" t="s">
        <v>740</v>
      </c>
      <c r="C27" s="83"/>
      <c r="D27" s="83"/>
      <c r="E27" s="83"/>
      <c r="F27" s="83">
        <v>1</v>
      </c>
      <c r="G27" s="83">
        <v>880</v>
      </c>
      <c r="H27" s="83">
        <v>880</v>
      </c>
      <c r="I27" s="86">
        <v>1</v>
      </c>
      <c r="J27" s="83">
        <v>880</v>
      </c>
      <c r="K27" s="86">
        <v>880</v>
      </c>
      <c r="L27"/>
      <c r="M27"/>
      <c r="N27"/>
      <c r="O27"/>
      <c r="P27"/>
      <c r="Q27" s="102"/>
      <c r="R27" s="81" t="s">
        <v>738</v>
      </c>
      <c r="S27" s="104">
        <f ca="1">VLOOKUP(R27,B:N,2,0)</f>
        <v>0</v>
      </c>
      <c r="T27" s="104">
        <f ca="1">VLOOKUP(R27,B:N,5,0)</f>
        <v>22.6</v>
      </c>
      <c r="U27" s="105">
        <f t="shared" ca="1" si="8"/>
        <v>22.6</v>
      </c>
      <c r="V27" s="106">
        <f t="shared" ca="1" si="9"/>
        <v>900</v>
      </c>
      <c r="W27" s="105">
        <f t="shared" ref="W27:W31" ca="1" si="10">VLOOKUP(R27,B:N,10,0)</f>
        <v>20340</v>
      </c>
      <c r="X27" s="25"/>
    </row>
    <row r="28" spans="1:24">
      <c r="A28" s="81"/>
      <c r="B28" s="81" t="s">
        <v>741</v>
      </c>
      <c r="C28" s="83"/>
      <c r="D28" s="83"/>
      <c r="E28" s="83"/>
      <c r="F28" s="83">
        <v>13.5</v>
      </c>
      <c r="G28" s="83">
        <v>800</v>
      </c>
      <c r="H28" s="83">
        <v>10800</v>
      </c>
      <c r="I28" s="86">
        <v>13.5</v>
      </c>
      <c r="J28" s="83">
        <v>800</v>
      </c>
      <c r="K28" s="86">
        <v>10800</v>
      </c>
      <c r="L28"/>
      <c r="M28"/>
      <c r="N28"/>
      <c r="O28"/>
      <c r="P28"/>
      <c r="Q28" s="102"/>
      <c r="R28" s="81" t="s">
        <v>739</v>
      </c>
      <c r="S28" s="104">
        <f t="shared" ref="S28:S31" ca="1" si="11">VLOOKUP(R28,B:N,2,0)</f>
        <v>0</v>
      </c>
      <c r="T28" s="104">
        <f t="shared" ref="T28:T31" ca="1" si="12">VLOOKUP(R28,B:N,5,0)</f>
        <v>90</v>
      </c>
      <c r="U28" s="105">
        <f t="shared" ca="1" si="8"/>
        <v>90</v>
      </c>
      <c r="V28" s="106">
        <f t="shared" ref="V28:V31" ca="1" si="13">W28/U28</f>
        <v>800</v>
      </c>
      <c r="W28" s="105">
        <f t="shared" ca="1" si="10"/>
        <v>72000</v>
      </c>
      <c r="X28" s="25"/>
    </row>
    <row r="29" spans="1:24">
      <c r="A29" s="89" t="s">
        <v>50</v>
      </c>
      <c r="B29" s="89"/>
      <c r="C29" s="90"/>
      <c r="D29" s="90"/>
      <c r="E29" s="90"/>
      <c r="F29" s="90">
        <v>166.39999999999998</v>
      </c>
      <c r="G29" s="90">
        <v>819</v>
      </c>
      <c r="H29" s="90">
        <v>132119.5</v>
      </c>
      <c r="I29" s="93">
        <v>166.39999999999998</v>
      </c>
      <c r="J29" s="90">
        <v>819</v>
      </c>
      <c r="K29" s="93">
        <v>132119.5</v>
      </c>
      <c r="L29"/>
      <c r="M29"/>
      <c r="N29"/>
      <c r="O29"/>
      <c r="P29"/>
      <c r="Q29" s="102"/>
      <c r="R29" s="81" t="s">
        <v>740</v>
      </c>
      <c r="S29" s="104">
        <f t="shared" ca="1" si="11"/>
        <v>0</v>
      </c>
      <c r="T29" s="104">
        <f t="shared" ca="1" si="12"/>
        <v>1</v>
      </c>
      <c r="U29" s="105">
        <f t="shared" ca="1" si="8"/>
        <v>1</v>
      </c>
      <c r="V29" s="106">
        <f t="shared" ca="1" si="13"/>
        <v>880</v>
      </c>
      <c r="W29" s="105">
        <f t="shared" ca="1" si="10"/>
        <v>880</v>
      </c>
      <c r="X29" s="25"/>
    </row>
    <row r="30" spans="1:24">
      <c r="A30" s="81" t="s">
        <v>51</v>
      </c>
      <c r="B30" s="81" t="s">
        <v>742</v>
      </c>
      <c r="C30" s="83"/>
      <c r="D30" s="83"/>
      <c r="E30" s="83"/>
      <c r="F30" s="83">
        <v>126.5</v>
      </c>
      <c r="G30" s="83">
        <v>540</v>
      </c>
      <c r="H30" s="83">
        <v>68310</v>
      </c>
      <c r="I30" s="86">
        <v>126.5</v>
      </c>
      <c r="J30" s="83">
        <v>540</v>
      </c>
      <c r="K30" s="86">
        <v>68310</v>
      </c>
      <c r="L30"/>
      <c r="M30"/>
      <c r="N30"/>
      <c r="O30"/>
      <c r="P30"/>
      <c r="Q30" s="102"/>
      <c r="R30" s="81" t="s">
        <v>46</v>
      </c>
      <c r="S30" s="104">
        <f t="shared" ref="S30" ca="1" si="14">VLOOKUP(R30,B:N,2,0)</f>
        <v>0</v>
      </c>
      <c r="T30" s="104">
        <f t="shared" ref="T30" ca="1" si="15">VLOOKUP(R30,B:N,5,0)</f>
        <v>39.299999999999997</v>
      </c>
      <c r="U30" s="105">
        <f t="shared" ca="1" si="8"/>
        <v>39.299999999999997</v>
      </c>
      <c r="V30" s="106">
        <f t="shared" ref="V30" ca="1" si="16">W30/U30</f>
        <v>715</v>
      </c>
      <c r="W30" s="105">
        <f t="shared" ca="1" si="10"/>
        <v>28099.499999999996</v>
      </c>
      <c r="X30" s="25"/>
    </row>
    <row r="31" spans="1:24">
      <c r="A31" s="81"/>
      <c r="B31" s="81" t="s">
        <v>52</v>
      </c>
      <c r="C31" s="83">
        <v>2268</v>
      </c>
      <c r="D31" s="83">
        <v>360</v>
      </c>
      <c r="E31" s="83">
        <v>816480</v>
      </c>
      <c r="F31" s="83">
        <v>4581</v>
      </c>
      <c r="G31" s="83">
        <v>360</v>
      </c>
      <c r="H31" s="83">
        <v>1649160</v>
      </c>
      <c r="I31" s="86">
        <v>6849</v>
      </c>
      <c r="J31" s="83">
        <v>360</v>
      </c>
      <c r="K31" s="86">
        <v>2465640</v>
      </c>
      <c r="L31"/>
      <c r="M31"/>
      <c r="N31"/>
      <c r="O31"/>
      <c r="P31"/>
      <c r="Q31" s="102"/>
      <c r="R31" s="81" t="s">
        <v>741</v>
      </c>
      <c r="S31" s="104">
        <f t="shared" ca="1" si="11"/>
        <v>0</v>
      </c>
      <c r="T31" s="104">
        <f t="shared" ca="1" si="12"/>
        <v>13.5</v>
      </c>
      <c r="U31" s="105">
        <f t="shared" ca="1" si="8"/>
        <v>13.5</v>
      </c>
      <c r="V31" s="106">
        <f t="shared" ca="1" si="13"/>
        <v>800</v>
      </c>
      <c r="W31" s="105">
        <f t="shared" ca="1" si="10"/>
        <v>10800</v>
      </c>
      <c r="X31" s="25"/>
    </row>
    <row r="32" spans="1:24">
      <c r="A32" s="81"/>
      <c r="B32" s="81" t="s">
        <v>53</v>
      </c>
      <c r="C32" s="83">
        <v>7223.58</v>
      </c>
      <c r="D32" s="83">
        <v>415</v>
      </c>
      <c r="E32" s="83">
        <v>2997785.7</v>
      </c>
      <c r="F32" s="83">
        <v>498.96000000000004</v>
      </c>
      <c r="G32" s="83">
        <v>415</v>
      </c>
      <c r="H32" s="83">
        <v>207068.40000000002</v>
      </c>
      <c r="I32" s="86">
        <v>7722.54</v>
      </c>
      <c r="J32" s="83">
        <v>415</v>
      </c>
      <c r="K32" s="86">
        <v>3204854.1</v>
      </c>
      <c r="L32"/>
      <c r="M32"/>
      <c r="N32"/>
      <c r="O32"/>
      <c r="P32"/>
      <c r="Q32" s="103" t="s">
        <v>50</v>
      </c>
      <c r="R32" s="28"/>
      <c r="S32" s="29">
        <f ca="1">SUM(S24:S31)</f>
        <v>0</v>
      </c>
      <c r="T32" s="29">
        <f ca="1">SUM(T24:T31)</f>
        <v>166.39999999999998</v>
      </c>
      <c r="U32" s="29">
        <f ca="1">SUM(U24:U31)</f>
        <v>166.39999999999998</v>
      </c>
      <c r="V32" s="30">
        <f ca="1">W32/U32</f>
        <v>793.98737980769238</v>
      </c>
      <c r="W32" s="29">
        <f ca="1">SUM(W24:W31)</f>
        <v>132119.5</v>
      </c>
      <c r="X32" s="31"/>
    </row>
    <row r="33" spans="1:24">
      <c r="A33" s="81"/>
      <c r="B33" s="81" t="s">
        <v>54</v>
      </c>
      <c r="C33" s="83">
        <v>181.60000000000002</v>
      </c>
      <c r="D33" s="83">
        <v>735</v>
      </c>
      <c r="E33" s="83">
        <v>134111.6</v>
      </c>
      <c r="F33" s="83"/>
      <c r="G33" s="83"/>
      <c r="H33" s="83"/>
      <c r="I33" s="86">
        <v>181.60000000000002</v>
      </c>
      <c r="J33" s="83">
        <v>735</v>
      </c>
      <c r="K33" s="86">
        <v>134111.6</v>
      </c>
      <c r="L33"/>
      <c r="M33"/>
      <c r="N33"/>
      <c r="O33"/>
      <c r="P33"/>
      <c r="Q33" s="102" t="s">
        <v>51</v>
      </c>
      <c r="R33" s="99" t="s">
        <v>52</v>
      </c>
      <c r="S33" s="104">
        <f ca="1">VLOOKUP(R33,B:N,2,0)</f>
        <v>2268</v>
      </c>
      <c r="T33" s="104">
        <f ca="1">VLOOKUP(R33,B:N,5,0)</f>
        <v>4581</v>
      </c>
      <c r="U33" s="105">
        <f ca="1">SUM(S33:T33)</f>
        <v>6849</v>
      </c>
      <c r="V33" s="106">
        <f t="shared" ref="V33:V35" ca="1" si="17">W33/U33</f>
        <v>360</v>
      </c>
      <c r="W33" s="105">
        <f ca="1">VLOOKUP(R33,B:N,10,0)</f>
        <v>2465640</v>
      </c>
      <c r="X33" s="25"/>
    </row>
    <row r="34" spans="1:24">
      <c r="A34" s="81"/>
      <c r="B34" s="81" t="s">
        <v>751</v>
      </c>
      <c r="C34" s="83"/>
      <c r="D34" s="83"/>
      <c r="E34" s="83"/>
      <c r="F34" s="83">
        <v>21.8</v>
      </c>
      <c r="G34" s="83">
        <v>500</v>
      </c>
      <c r="H34" s="83">
        <v>10900</v>
      </c>
      <c r="I34" s="86">
        <v>21.8</v>
      </c>
      <c r="J34" s="83">
        <v>500</v>
      </c>
      <c r="K34" s="86">
        <v>10900</v>
      </c>
      <c r="L34"/>
      <c r="M34"/>
      <c r="N34"/>
      <c r="O34"/>
      <c r="P34"/>
      <c r="Q34" s="102"/>
      <c r="R34" s="99" t="s">
        <v>53</v>
      </c>
      <c r="S34" s="104">
        <f ca="1">VLOOKUP(R34,B:N,2,0)</f>
        <v>7223.58</v>
      </c>
      <c r="T34" s="104">
        <f ca="1">VLOOKUP(R34,B:N,5,0)</f>
        <v>498.96000000000004</v>
      </c>
      <c r="U34" s="105">
        <f ca="1">SUM(S34:T34)</f>
        <v>7722.54</v>
      </c>
      <c r="V34" s="106">
        <f t="shared" ca="1" si="17"/>
        <v>415</v>
      </c>
      <c r="W34" s="105">
        <f ca="1">VLOOKUP(R34,B:N,10,0)</f>
        <v>3204854.1</v>
      </c>
      <c r="X34" s="25"/>
    </row>
    <row r="35" spans="1:24">
      <c r="A35" s="89" t="s">
        <v>55</v>
      </c>
      <c r="B35" s="89"/>
      <c r="C35" s="90">
        <v>9673.18</v>
      </c>
      <c r="D35" s="90">
        <v>503.33333333333331</v>
      </c>
      <c r="E35" s="90">
        <v>3948377.3000000003</v>
      </c>
      <c r="F35" s="90">
        <v>5228.26</v>
      </c>
      <c r="G35" s="90">
        <v>453.75</v>
      </c>
      <c r="H35" s="90">
        <v>1935438.4</v>
      </c>
      <c r="I35" s="93">
        <v>14901.44</v>
      </c>
      <c r="J35" s="90">
        <v>483.5</v>
      </c>
      <c r="K35" s="93">
        <v>5883815.6999999993</v>
      </c>
      <c r="L35"/>
      <c r="M35"/>
      <c r="N35"/>
      <c r="O35"/>
      <c r="P35"/>
      <c r="Q35" s="102"/>
      <c r="R35" s="99" t="s">
        <v>54</v>
      </c>
      <c r="S35" s="104">
        <f ca="1">VLOOKUP(R35,B:N,2,0)</f>
        <v>181.60000000000002</v>
      </c>
      <c r="T35" s="104">
        <f ca="1">VLOOKUP(R35,B:N,5,0)</f>
        <v>0</v>
      </c>
      <c r="U35" s="105">
        <f ca="1">SUM(S35:T35)</f>
        <v>181.60000000000002</v>
      </c>
      <c r="V35" s="106">
        <f t="shared" ca="1" si="17"/>
        <v>738.49999999999989</v>
      </c>
      <c r="W35" s="105">
        <f ca="1">VLOOKUP(R35,B:N,10,0)</f>
        <v>134111.6</v>
      </c>
      <c r="X35" s="25"/>
    </row>
    <row r="36" spans="1:24">
      <c r="A36" s="81" t="s">
        <v>56</v>
      </c>
      <c r="B36" s="81" t="s">
        <v>800</v>
      </c>
      <c r="C36" s="83">
        <v>64</v>
      </c>
      <c r="D36" s="83">
        <v>825</v>
      </c>
      <c r="E36" s="83">
        <v>52800</v>
      </c>
      <c r="F36" s="83"/>
      <c r="G36" s="83"/>
      <c r="H36" s="83"/>
      <c r="I36" s="86">
        <v>64</v>
      </c>
      <c r="J36" s="83">
        <v>825</v>
      </c>
      <c r="K36" s="86">
        <v>52800</v>
      </c>
      <c r="L36"/>
      <c r="M36"/>
      <c r="N36"/>
      <c r="O36"/>
      <c r="P36"/>
      <c r="Q36" s="102"/>
      <c r="R36" s="81" t="s">
        <v>742</v>
      </c>
      <c r="S36" s="104">
        <f ca="1">VLOOKUP(R36,B:N,2,0)</f>
        <v>0</v>
      </c>
      <c r="T36" s="104">
        <f ca="1">VLOOKUP(R36,B:N,5,0)</f>
        <v>126.5</v>
      </c>
      <c r="U36" s="105">
        <f ca="1">SUM(S36:T36)</f>
        <v>126.5</v>
      </c>
      <c r="V36" s="106">
        <f t="shared" ref="V36" ca="1" si="18">W36/U36</f>
        <v>540</v>
      </c>
      <c r="W36" s="105">
        <f ca="1">VLOOKUP(R36,B:N,10,0)</f>
        <v>68310</v>
      </c>
      <c r="X36" s="25"/>
    </row>
    <row r="37" spans="1:24">
      <c r="A37" s="81"/>
      <c r="B37" s="81" t="s">
        <v>729</v>
      </c>
      <c r="C37" s="83"/>
      <c r="D37" s="83"/>
      <c r="E37" s="83"/>
      <c r="F37" s="83">
        <v>5</v>
      </c>
      <c r="G37" s="83">
        <v>330</v>
      </c>
      <c r="H37" s="83">
        <v>1650</v>
      </c>
      <c r="I37" s="86">
        <v>5</v>
      </c>
      <c r="J37" s="83">
        <v>330</v>
      </c>
      <c r="K37" s="86">
        <v>1650</v>
      </c>
      <c r="L37"/>
      <c r="M37"/>
      <c r="N37"/>
      <c r="O37"/>
      <c r="P37"/>
      <c r="Q37" s="102"/>
      <c r="R37" s="81" t="s">
        <v>751</v>
      </c>
      <c r="S37" s="104">
        <f ca="1">VLOOKUP(R37,B:N,2,0)</f>
        <v>0</v>
      </c>
      <c r="T37" s="104">
        <f ca="1">VLOOKUP(R37,B:N,5,0)</f>
        <v>21.8</v>
      </c>
      <c r="U37" s="105">
        <f ca="1">SUM(S37:T37)</f>
        <v>21.8</v>
      </c>
      <c r="V37" s="106">
        <f t="shared" ref="V37" ca="1" si="19">W37/U37</f>
        <v>500</v>
      </c>
      <c r="W37" s="105">
        <f ca="1">VLOOKUP(R37,B:N,10,0)</f>
        <v>10900</v>
      </c>
      <c r="X37" s="25"/>
    </row>
    <row r="38" spans="1:24">
      <c r="A38" s="81"/>
      <c r="B38" s="81" t="s">
        <v>730</v>
      </c>
      <c r="C38" s="83"/>
      <c r="D38" s="83"/>
      <c r="E38" s="83"/>
      <c r="F38" s="83">
        <v>3.5</v>
      </c>
      <c r="G38" s="83">
        <v>465</v>
      </c>
      <c r="H38" s="83">
        <v>1627.5</v>
      </c>
      <c r="I38" s="86">
        <v>3.5</v>
      </c>
      <c r="J38" s="83">
        <v>465</v>
      </c>
      <c r="K38" s="86">
        <v>1627.5</v>
      </c>
      <c r="L38"/>
      <c r="M38"/>
      <c r="N38"/>
      <c r="O38"/>
      <c r="P38"/>
      <c r="Q38" s="103" t="s">
        <v>55</v>
      </c>
      <c r="R38" s="28"/>
      <c r="S38" s="29">
        <f ca="1">SUM(S33:S37)</f>
        <v>9673.18</v>
      </c>
      <c r="T38" s="29">
        <f t="shared" ref="T38:W38" ca="1" si="20">SUM(T33:T37)</f>
        <v>5228.26</v>
      </c>
      <c r="U38" s="29">
        <f t="shared" ca="1" si="20"/>
        <v>14901.44</v>
      </c>
      <c r="V38" s="30">
        <f ca="1">W38/U38</f>
        <v>394.84879984753144</v>
      </c>
      <c r="W38" s="29">
        <f t="shared" ca="1" si="20"/>
        <v>5883815.6999999993</v>
      </c>
      <c r="X38" s="31"/>
    </row>
    <row r="39" spans="1:24">
      <c r="A39" s="81"/>
      <c r="B39" s="81" t="s">
        <v>59</v>
      </c>
      <c r="C39" s="83"/>
      <c r="D39" s="83"/>
      <c r="E39" s="83"/>
      <c r="F39" s="83">
        <v>30</v>
      </c>
      <c r="G39" s="83">
        <v>750</v>
      </c>
      <c r="H39" s="83">
        <v>22500</v>
      </c>
      <c r="I39" s="86">
        <v>30</v>
      </c>
      <c r="J39" s="83">
        <v>750</v>
      </c>
      <c r="K39" s="86">
        <v>22500</v>
      </c>
      <c r="L39"/>
      <c r="M39"/>
      <c r="N39"/>
      <c r="O39"/>
      <c r="P39"/>
      <c r="Q39" s="102" t="s">
        <v>56</v>
      </c>
      <c r="R39" s="81" t="s">
        <v>59</v>
      </c>
      <c r="S39" s="104">
        <f t="shared" ref="S39:S42" ca="1" si="21">VLOOKUP(R39,B:N,2,0)</f>
        <v>0</v>
      </c>
      <c r="T39" s="104">
        <f t="shared" ref="T39:T42" ca="1" si="22">VLOOKUP(R39,B:N,5,0)</f>
        <v>30</v>
      </c>
      <c r="U39" s="105">
        <f t="shared" ref="U39:U42" ca="1" si="23">SUM(S39:T39)</f>
        <v>30</v>
      </c>
      <c r="V39" s="106">
        <f t="shared" ref="V39:V42" ca="1" si="24">W39/U39</f>
        <v>750</v>
      </c>
      <c r="W39" s="105">
        <f t="shared" ref="W39:W42" ca="1" si="25">VLOOKUP(R39,B:N,10,0)</f>
        <v>22500</v>
      </c>
      <c r="X39" s="25"/>
    </row>
    <row r="40" spans="1:24">
      <c r="A40" s="89" t="s">
        <v>60</v>
      </c>
      <c r="B40" s="89"/>
      <c r="C40" s="90">
        <v>64</v>
      </c>
      <c r="D40" s="90">
        <v>825</v>
      </c>
      <c r="E40" s="90">
        <v>52800</v>
      </c>
      <c r="F40" s="90">
        <v>38.5</v>
      </c>
      <c r="G40" s="90">
        <v>515</v>
      </c>
      <c r="H40" s="90">
        <v>25777.5</v>
      </c>
      <c r="I40" s="93">
        <v>102.5</v>
      </c>
      <c r="J40" s="90">
        <v>592.5</v>
      </c>
      <c r="K40" s="93">
        <v>78577.5</v>
      </c>
      <c r="L40"/>
      <c r="M40"/>
      <c r="N40"/>
      <c r="O40"/>
      <c r="P40"/>
      <c r="Q40" s="102"/>
      <c r="R40" s="81" t="s">
        <v>729</v>
      </c>
      <c r="S40" s="104">
        <f t="shared" ca="1" si="21"/>
        <v>0</v>
      </c>
      <c r="T40" s="104">
        <f t="shared" ca="1" si="22"/>
        <v>5</v>
      </c>
      <c r="U40" s="105">
        <f t="shared" ca="1" si="23"/>
        <v>5</v>
      </c>
      <c r="V40" s="106">
        <f t="shared" ca="1" si="24"/>
        <v>330</v>
      </c>
      <c r="W40" s="105">
        <f t="shared" ca="1" si="25"/>
        <v>1650</v>
      </c>
      <c r="X40" s="25"/>
    </row>
    <row r="41" spans="1:24">
      <c r="A41" s="81" t="s">
        <v>122</v>
      </c>
      <c r="B41" s="81" t="s">
        <v>744</v>
      </c>
      <c r="C41" s="83"/>
      <c r="D41" s="83"/>
      <c r="E41" s="83"/>
      <c r="F41" s="83">
        <v>5.22</v>
      </c>
      <c r="G41" s="83">
        <v>655</v>
      </c>
      <c r="H41" s="83">
        <v>3419.1</v>
      </c>
      <c r="I41" s="86">
        <v>5.22</v>
      </c>
      <c r="J41" s="83">
        <v>655</v>
      </c>
      <c r="K41" s="86">
        <v>3419.1</v>
      </c>
      <c r="L41"/>
      <c r="M41"/>
      <c r="N41"/>
      <c r="O41"/>
      <c r="P41"/>
      <c r="Q41" s="102"/>
      <c r="R41" s="81" t="s">
        <v>800</v>
      </c>
      <c r="S41" s="104">
        <f t="shared" ref="S41" ca="1" si="26">VLOOKUP(R41,B:N,2,0)</f>
        <v>64</v>
      </c>
      <c r="T41" s="104">
        <f t="shared" ref="T41" ca="1" si="27">VLOOKUP(R41,B:N,5,0)</f>
        <v>0</v>
      </c>
      <c r="U41" s="105">
        <f t="shared" ca="1" si="23"/>
        <v>64</v>
      </c>
      <c r="V41" s="106">
        <f t="shared" ref="V41" ca="1" si="28">W41/U41</f>
        <v>825</v>
      </c>
      <c r="W41" s="105">
        <f t="shared" ca="1" si="25"/>
        <v>52800</v>
      </c>
      <c r="X41" s="25"/>
    </row>
    <row r="42" spans="1:24">
      <c r="A42" s="81"/>
      <c r="B42" s="81" t="s">
        <v>777</v>
      </c>
      <c r="C42" s="83"/>
      <c r="D42" s="83"/>
      <c r="E42" s="83"/>
      <c r="F42" s="83">
        <v>5.9399999999999995</v>
      </c>
      <c r="G42" s="83">
        <v>140</v>
      </c>
      <c r="H42" s="83">
        <v>831.59999999999991</v>
      </c>
      <c r="I42" s="86">
        <v>5.9399999999999995</v>
      </c>
      <c r="J42" s="83">
        <v>140</v>
      </c>
      <c r="K42" s="86">
        <v>831.59999999999991</v>
      </c>
      <c r="L42"/>
      <c r="M42"/>
      <c r="N42"/>
      <c r="O42"/>
      <c r="P42"/>
      <c r="Q42" s="102"/>
      <c r="R42" s="81" t="s">
        <v>730</v>
      </c>
      <c r="S42" s="104">
        <f t="shared" ca="1" si="21"/>
        <v>0</v>
      </c>
      <c r="T42" s="104">
        <f t="shared" ca="1" si="22"/>
        <v>3.5</v>
      </c>
      <c r="U42" s="105">
        <f t="shared" ca="1" si="23"/>
        <v>3.5</v>
      </c>
      <c r="V42" s="106">
        <f t="shared" ca="1" si="24"/>
        <v>465</v>
      </c>
      <c r="W42" s="105">
        <f t="shared" ca="1" si="25"/>
        <v>1627.5</v>
      </c>
      <c r="X42" s="25"/>
    </row>
    <row r="43" spans="1:24">
      <c r="A43" s="89" t="s">
        <v>123</v>
      </c>
      <c r="B43" s="89"/>
      <c r="C43" s="90"/>
      <c r="D43" s="90"/>
      <c r="E43" s="90"/>
      <c r="F43" s="90">
        <v>11.16</v>
      </c>
      <c r="G43" s="90">
        <v>397.5</v>
      </c>
      <c r="H43" s="90">
        <v>4250.7</v>
      </c>
      <c r="I43" s="93">
        <v>11.16</v>
      </c>
      <c r="J43" s="90">
        <v>397.5</v>
      </c>
      <c r="K43" s="93">
        <v>4250.7</v>
      </c>
      <c r="L43"/>
      <c r="M43"/>
      <c r="N43"/>
      <c r="O43"/>
      <c r="P43"/>
      <c r="Q43" s="103" t="s">
        <v>60</v>
      </c>
      <c r="R43" s="28"/>
      <c r="S43" s="29">
        <f ca="1">SUM(S39:S42)</f>
        <v>64</v>
      </c>
      <c r="T43" s="29">
        <f ca="1">SUM(T39:T42)</f>
        <v>38.5</v>
      </c>
      <c r="U43" s="29">
        <f ca="1">SUM(U39:U42)</f>
        <v>102.5</v>
      </c>
      <c r="V43" s="30">
        <f ca="1">W43/U43</f>
        <v>766.60975609756099</v>
      </c>
      <c r="W43" s="29">
        <f ca="1">SUM(W39:W42)</f>
        <v>78577.5</v>
      </c>
      <c r="X43" s="27"/>
    </row>
    <row r="44" spans="1:24">
      <c r="A44" s="81" t="s">
        <v>61</v>
      </c>
      <c r="B44" s="81" t="s">
        <v>62</v>
      </c>
      <c r="C44" s="83">
        <v>210</v>
      </c>
      <c r="D44" s="83">
        <v>1060</v>
      </c>
      <c r="E44" s="83">
        <v>222600</v>
      </c>
      <c r="F44" s="83">
        <v>11.7</v>
      </c>
      <c r="G44" s="83">
        <v>1280</v>
      </c>
      <c r="H44" s="83">
        <v>14976</v>
      </c>
      <c r="I44" s="86">
        <v>221.7</v>
      </c>
      <c r="J44" s="83">
        <v>1170</v>
      </c>
      <c r="K44" s="86">
        <v>237576</v>
      </c>
      <c r="L44"/>
      <c r="M44"/>
      <c r="N44"/>
      <c r="O44"/>
      <c r="P44"/>
      <c r="Q44" s="102" t="s">
        <v>61</v>
      </c>
      <c r="R44" s="99" t="s">
        <v>62</v>
      </c>
      <c r="S44" s="104">
        <f ca="1">VLOOKUP(R44,B:N,2,0)</f>
        <v>210</v>
      </c>
      <c r="T44" s="104">
        <f ca="1">VLOOKUP(R44,B:N,5,0)</f>
        <v>11.7</v>
      </c>
      <c r="U44" s="105">
        <f ca="1">SUM(S44:T44)</f>
        <v>221.7</v>
      </c>
      <c r="V44" s="106">
        <f ca="1">W44/U44</f>
        <v>1071.6102841677944</v>
      </c>
      <c r="W44" s="105">
        <f ca="1">VLOOKUP(R44,B:N,10,0)</f>
        <v>237576</v>
      </c>
      <c r="X44" s="25"/>
    </row>
    <row r="45" spans="1:24">
      <c r="A45" s="89" t="s">
        <v>63</v>
      </c>
      <c r="B45" s="89"/>
      <c r="C45" s="90">
        <v>210</v>
      </c>
      <c r="D45" s="90">
        <v>1060</v>
      </c>
      <c r="E45" s="90">
        <v>222600</v>
      </c>
      <c r="F45" s="90">
        <v>11.7</v>
      </c>
      <c r="G45" s="90">
        <v>1280</v>
      </c>
      <c r="H45" s="90">
        <v>14976</v>
      </c>
      <c r="I45" s="93">
        <v>221.7</v>
      </c>
      <c r="J45" s="90">
        <v>1170</v>
      </c>
      <c r="K45" s="93">
        <v>237576</v>
      </c>
      <c r="L45"/>
      <c r="M45"/>
      <c r="N45"/>
      <c r="O45"/>
      <c r="P45"/>
      <c r="Q45" s="103" t="s">
        <v>63</v>
      </c>
      <c r="R45" s="28"/>
      <c r="S45" s="29">
        <f t="shared" ref="S45:U45" ca="1" si="29">SUM(S44)</f>
        <v>210</v>
      </c>
      <c r="T45" s="29">
        <f t="shared" ca="1" si="29"/>
        <v>11.7</v>
      </c>
      <c r="U45" s="29">
        <f t="shared" ca="1" si="29"/>
        <v>221.7</v>
      </c>
      <c r="V45" s="30">
        <f ca="1">W45/U45</f>
        <v>1071.6102841677944</v>
      </c>
      <c r="W45" s="29">
        <f ca="1">SUM(W44)</f>
        <v>237576</v>
      </c>
      <c r="X45" s="27"/>
    </row>
    <row r="46" spans="1:24">
      <c r="A46" s="81" t="s">
        <v>867</v>
      </c>
      <c r="B46" s="81" t="s">
        <v>65</v>
      </c>
      <c r="C46" s="83">
        <v>1120</v>
      </c>
      <c r="D46" s="83">
        <v>612.5</v>
      </c>
      <c r="E46" s="83">
        <v>697000</v>
      </c>
      <c r="F46" s="83"/>
      <c r="G46" s="83"/>
      <c r="H46" s="83"/>
      <c r="I46" s="86">
        <v>1120</v>
      </c>
      <c r="J46" s="83">
        <v>612.5</v>
      </c>
      <c r="K46" s="86">
        <v>697000</v>
      </c>
      <c r="L46"/>
      <c r="M46"/>
      <c r="N46"/>
      <c r="O46"/>
      <c r="P46"/>
      <c r="Q46" s="102" t="s">
        <v>64</v>
      </c>
      <c r="R46" s="81" t="s">
        <v>65</v>
      </c>
      <c r="S46" s="104">
        <f t="shared" ref="S46:S54" ca="1" si="30">VLOOKUP(R46,B:N,2,0)</f>
        <v>1120</v>
      </c>
      <c r="T46" s="104">
        <f t="shared" ref="T46:T54" ca="1" si="31">VLOOKUP(R46,B:N,5,0)</f>
        <v>0</v>
      </c>
      <c r="U46" s="105">
        <f t="shared" ref="U46:U54" ca="1" si="32">SUM(S46:T46)</f>
        <v>1120</v>
      </c>
      <c r="V46" s="106">
        <f t="shared" ref="V46:V54" ca="1" si="33">W46/U46</f>
        <v>622.32142857142856</v>
      </c>
      <c r="W46" s="105">
        <f t="shared" ref="W46:W54" ca="1" si="34">VLOOKUP(R46,B:N,10,0)</f>
        <v>697000</v>
      </c>
      <c r="X46" s="25"/>
    </row>
    <row r="47" spans="1:24">
      <c r="A47" s="81"/>
      <c r="B47" s="81" t="s">
        <v>66</v>
      </c>
      <c r="C47" s="83">
        <v>210</v>
      </c>
      <c r="D47" s="83">
        <v>612.5</v>
      </c>
      <c r="E47" s="83">
        <v>131000</v>
      </c>
      <c r="F47" s="83">
        <v>0</v>
      </c>
      <c r="G47" s="83">
        <v>900</v>
      </c>
      <c r="H47" s="83">
        <v>0</v>
      </c>
      <c r="I47" s="86">
        <v>210</v>
      </c>
      <c r="J47" s="83">
        <v>708.33333333333337</v>
      </c>
      <c r="K47" s="86">
        <v>131000</v>
      </c>
      <c r="L47"/>
      <c r="M47"/>
      <c r="N47"/>
      <c r="O47"/>
      <c r="P47"/>
      <c r="Q47" s="102"/>
      <c r="R47" s="81" t="s">
        <v>66</v>
      </c>
      <c r="S47" s="104">
        <f t="shared" ca="1" si="30"/>
        <v>210</v>
      </c>
      <c r="T47" s="104">
        <f t="shared" ca="1" si="31"/>
        <v>0</v>
      </c>
      <c r="U47" s="105">
        <f t="shared" ca="1" si="32"/>
        <v>210</v>
      </c>
      <c r="V47" s="106">
        <f t="shared" ca="1" si="33"/>
        <v>623.80952380952385</v>
      </c>
      <c r="W47" s="105">
        <f t="shared" ca="1" si="34"/>
        <v>131000</v>
      </c>
      <c r="X47" s="25"/>
    </row>
    <row r="48" spans="1:24">
      <c r="A48" s="81"/>
      <c r="B48" s="81" t="s">
        <v>876</v>
      </c>
      <c r="C48" s="83">
        <v>238.14</v>
      </c>
      <c r="D48" s="83">
        <v>1790</v>
      </c>
      <c r="E48" s="83">
        <v>426270.6</v>
      </c>
      <c r="F48" s="83"/>
      <c r="G48" s="83"/>
      <c r="H48" s="83"/>
      <c r="I48" s="86">
        <v>238.14</v>
      </c>
      <c r="J48" s="83">
        <v>1790</v>
      </c>
      <c r="K48" s="86">
        <v>426270.6</v>
      </c>
      <c r="L48"/>
      <c r="M48"/>
      <c r="N48"/>
      <c r="O48"/>
      <c r="P48"/>
      <c r="Q48" s="102"/>
      <c r="R48" s="81" t="s">
        <v>876</v>
      </c>
      <c r="S48" s="104">
        <f t="shared" ref="S48:S49" ca="1" si="35">VLOOKUP(R48,B:N,2,0)</f>
        <v>238.14</v>
      </c>
      <c r="T48" s="104">
        <f t="shared" ref="T48:T49" ca="1" si="36">VLOOKUP(R48,B:N,5,0)</f>
        <v>0</v>
      </c>
      <c r="U48" s="105">
        <f t="shared" ca="1" si="32"/>
        <v>238.14</v>
      </c>
      <c r="V48" s="106">
        <f t="shared" ref="V48:V49" ca="1" si="37">W48/U48</f>
        <v>1790</v>
      </c>
      <c r="W48" s="105">
        <f t="shared" ca="1" si="34"/>
        <v>426270.6</v>
      </c>
      <c r="X48" s="25"/>
    </row>
    <row r="49" spans="1:24">
      <c r="A49" s="81"/>
      <c r="B49" s="81" t="s">
        <v>877</v>
      </c>
      <c r="C49" s="83">
        <v>238.14</v>
      </c>
      <c r="D49" s="83">
        <v>1750</v>
      </c>
      <c r="E49" s="83">
        <v>416745</v>
      </c>
      <c r="F49" s="83"/>
      <c r="G49" s="83"/>
      <c r="H49" s="83"/>
      <c r="I49" s="86">
        <v>238.14</v>
      </c>
      <c r="J49" s="83">
        <v>1750</v>
      </c>
      <c r="K49" s="86">
        <v>416745</v>
      </c>
      <c r="L49"/>
      <c r="M49"/>
      <c r="N49"/>
      <c r="O49"/>
      <c r="P49"/>
      <c r="Q49" s="102"/>
      <c r="R49" s="81" t="s">
        <v>877</v>
      </c>
      <c r="S49" s="104">
        <f t="shared" ca="1" si="35"/>
        <v>238.14</v>
      </c>
      <c r="T49" s="104">
        <f t="shared" ca="1" si="36"/>
        <v>0</v>
      </c>
      <c r="U49" s="105">
        <f t="shared" ca="1" si="32"/>
        <v>238.14</v>
      </c>
      <c r="V49" s="106">
        <f t="shared" ca="1" si="37"/>
        <v>1750</v>
      </c>
      <c r="W49" s="105">
        <f t="shared" ca="1" si="34"/>
        <v>416745</v>
      </c>
      <c r="X49" s="25"/>
    </row>
    <row r="50" spans="1:24">
      <c r="A50" s="81"/>
      <c r="B50" s="81" t="s">
        <v>70</v>
      </c>
      <c r="C50" s="83">
        <v>45.36</v>
      </c>
      <c r="D50" s="83">
        <v>1500</v>
      </c>
      <c r="E50" s="83">
        <v>68040</v>
      </c>
      <c r="F50" s="83">
        <v>55</v>
      </c>
      <c r="G50" s="83">
        <v>1500</v>
      </c>
      <c r="H50" s="83">
        <v>82500</v>
      </c>
      <c r="I50" s="86">
        <v>100.36</v>
      </c>
      <c r="J50" s="83">
        <v>1500</v>
      </c>
      <c r="K50" s="86">
        <v>150540</v>
      </c>
      <c r="L50"/>
      <c r="M50"/>
      <c r="N50"/>
      <c r="O50"/>
      <c r="P50"/>
      <c r="Q50" s="102"/>
      <c r="R50" s="81" t="s">
        <v>70</v>
      </c>
      <c r="S50" s="104">
        <f t="shared" ca="1" si="30"/>
        <v>45.36</v>
      </c>
      <c r="T50" s="104">
        <f t="shared" ca="1" si="31"/>
        <v>55</v>
      </c>
      <c r="U50" s="105">
        <f t="shared" ca="1" si="32"/>
        <v>100.36</v>
      </c>
      <c r="V50" s="106">
        <f t="shared" ca="1" si="33"/>
        <v>1500</v>
      </c>
      <c r="W50" s="105">
        <f t="shared" ca="1" si="34"/>
        <v>150540</v>
      </c>
      <c r="X50" s="25"/>
    </row>
    <row r="51" spans="1:24">
      <c r="A51" s="81"/>
      <c r="B51" s="81" t="s">
        <v>71</v>
      </c>
      <c r="C51" s="83">
        <v>362.88</v>
      </c>
      <c r="D51" s="83">
        <v>900</v>
      </c>
      <c r="E51" s="83">
        <v>326592</v>
      </c>
      <c r="F51" s="83">
        <v>11.34</v>
      </c>
      <c r="G51" s="83">
        <v>900</v>
      </c>
      <c r="H51" s="83">
        <v>10206</v>
      </c>
      <c r="I51" s="86">
        <v>374.21999999999997</v>
      </c>
      <c r="J51" s="83">
        <v>900</v>
      </c>
      <c r="K51" s="86">
        <v>336798</v>
      </c>
      <c r="L51"/>
      <c r="M51"/>
      <c r="N51"/>
      <c r="O51"/>
      <c r="P51"/>
      <c r="Q51" s="102"/>
      <c r="R51" s="81" t="s">
        <v>71</v>
      </c>
      <c r="S51" s="104">
        <f t="shared" ca="1" si="30"/>
        <v>362.88</v>
      </c>
      <c r="T51" s="104">
        <f t="shared" ca="1" si="31"/>
        <v>11.34</v>
      </c>
      <c r="U51" s="105">
        <f t="shared" ca="1" si="32"/>
        <v>374.21999999999997</v>
      </c>
      <c r="V51" s="106">
        <f t="shared" ca="1" si="33"/>
        <v>900.00000000000011</v>
      </c>
      <c r="W51" s="105">
        <f t="shared" ca="1" si="34"/>
        <v>336798</v>
      </c>
      <c r="X51" s="25"/>
    </row>
    <row r="52" spans="1:24">
      <c r="A52" s="81"/>
      <c r="B52" s="81" t="s">
        <v>67</v>
      </c>
      <c r="C52" s="83">
        <v>79.38</v>
      </c>
      <c r="D52" s="83">
        <v>1433</v>
      </c>
      <c r="E52" s="83">
        <v>113751.54</v>
      </c>
      <c r="F52" s="83"/>
      <c r="G52" s="83"/>
      <c r="H52" s="83"/>
      <c r="I52" s="86">
        <v>79.38</v>
      </c>
      <c r="J52" s="83">
        <v>1433</v>
      </c>
      <c r="K52" s="86">
        <v>113751.54</v>
      </c>
      <c r="L52"/>
      <c r="M52"/>
      <c r="N52"/>
      <c r="O52"/>
      <c r="P52"/>
      <c r="Q52" s="102"/>
      <c r="R52" s="81" t="s">
        <v>67</v>
      </c>
      <c r="S52" s="104">
        <f t="shared" ca="1" si="30"/>
        <v>79.38</v>
      </c>
      <c r="T52" s="104">
        <f t="shared" ca="1" si="31"/>
        <v>0</v>
      </c>
      <c r="U52" s="105">
        <f t="shared" ca="1" si="32"/>
        <v>79.38</v>
      </c>
      <c r="V52" s="106">
        <f t="shared" ca="1" si="33"/>
        <v>1433</v>
      </c>
      <c r="W52" s="105">
        <f t="shared" ca="1" si="34"/>
        <v>113751.54</v>
      </c>
      <c r="X52" s="25"/>
    </row>
    <row r="53" spans="1:24">
      <c r="A53" s="81"/>
      <c r="B53" s="81" t="s">
        <v>68</v>
      </c>
      <c r="C53" s="83">
        <v>158.76</v>
      </c>
      <c r="D53" s="83">
        <v>1277</v>
      </c>
      <c r="E53" s="83">
        <v>202736.52</v>
      </c>
      <c r="F53" s="83"/>
      <c r="G53" s="83"/>
      <c r="H53" s="83"/>
      <c r="I53" s="86">
        <v>158.76</v>
      </c>
      <c r="J53" s="83">
        <v>1277</v>
      </c>
      <c r="K53" s="86">
        <v>202736.52</v>
      </c>
      <c r="L53"/>
      <c r="M53"/>
      <c r="N53"/>
      <c r="O53"/>
      <c r="P53"/>
      <c r="Q53" s="102"/>
      <c r="R53" s="81" t="s">
        <v>68</v>
      </c>
      <c r="S53" s="104">
        <f t="shared" ca="1" si="30"/>
        <v>158.76</v>
      </c>
      <c r="T53" s="104">
        <f t="shared" ca="1" si="31"/>
        <v>0</v>
      </c>
      <c r="U53" s="105">
        <f t="shared" ca="1" si="32"/>
        <v>158.76</v>
      </c>
      <c r="V53" s="106">
        <f t="shared" ca="1" si="33"/>
        <v>1277</v>
      </c>
      <c r="W53" s="105">
        <f t="shared" ca="1" si="34"/>
        <v>202736.52</v>
      </c>
      <c r="X53" s="25"/>
    </row>
    <row r="54" spans="1:24">
      <c r="A54" s="81"/>
      <c r="B54" s="81" t="s">
        <v>69</v>
      </c>
      <c r="C54" s="83">
        <v>771.12</v>
      </c>
      <c r="D54" s="83">
        <v>1290</v>
      </c>
      <c r="E54" s="83">
        <v>994744.8</v>
      </c>
      <c r="F54" s="83"/>
      <c r="G54" s="83"/>
      <c r="H54" s="83"/>
      <c r="I54" s="86">
        <v>771.12</v>
      </c>
      <c r="J54" s="83">
        <v>1290</v>
      </c>
      <c r="K54" s="86">
        <v>994744.8</v>
      </c>
      <c r="L54"/>
      <c r="M54"/>
      <c r="N54"/>
      <c r="O54"/>
      <c r="P54"/>
      <c r="Q54" s="102"/>
      <c r="R54" s="81" t="s">
        <v>69</v>
      </c>
      <c r="S54" s="104">
        <f t="shared" ca="1" si="30"/>
        <v>771.12</v>
      </c>
      <c r="T54" s="104">
        <f t="shared" ca="1" si="31"/>
        <v>0</v>
      </c>
      <c r="U54" s="105">
        <f t="shared" ca="1" si="32"/>
        <v>771.12</v>
      </c>
      <c r="V54" s="106">
        <f t="shared" ca="1" si="33"/>
        <v>1290</v>
      </c>
      <c r="W54" s="105">
        <f t="shared" ca="1" si="34"/>
        <v>994744.8</v>
      </c>
      <c r="X54" s="25"/>
    </row>
    <row r="55" spans="1:24">
      <c r="A55" s="89" t="s">
        <v>869</v>
      </c>
      <c r="B55" s="89"/>
      <c r="C55" s="90">
        <v>3223.7799999999997</v>
      </c>
      <c r="D55" s="90">
        <v>1107.5</v>
      </c>
      <c r="E55" s="90">
        <v>3376880.46</v>
      </c>
      <c r="F55" s="90">
        <v>66.34</v>
      </c>
      <c r="G55" s="90">
        <v>1100</v>
      </c>
      <c r="H55" s="90">
        <v>92706</v>
      </c>
      <c r="I55" s="93">
        <v>3290.12</v>
      </c>
      <c r="J55" s="90">
        <v>1106</v>
      </c>
      <c r="K55" s="93">
        <v>3469586.46</v>
      </c>
      <c r="L55"/>
      <c r="M55"/>
      <c r="N55"/>
      <c r="O55"/>
      <c r="P55"/>
      <c r="Q55" s="103" t="s">
        <v>72</v>
      </c>
      <c r="R55" s="28"/>
      <c r="S55" s="29">
        <f ca="1">SUM(S46:S54)</f>
        <v>3223.7799999999997</v>
      </c>
      <c r="T55" s="29">
        <f ca="1">SUM(T46:T54)</f>
        <v>66.34</v>
      </c>
      <c r="U55" s="29">
        <f ca="1">SUM(U46:U54)</f>
        <v>3290.12</v>
      </c>
      <c r="V55" s="30">
        <f ca="1">W55/U55</f>
        <v>1054.5470864284587</v>
      </c>
      <c r="W55" s="29">
        <f ca="1">SUM(W46:W54)</f>
        <v>3469586.46</v>
      </c>
      <c r="X55" s="27"/>
    </row>
    <row r="56" spans="1:24">
      <c r="A56" s="81" t="s">
        <v>73</v>
      </c>
      <c r="B56" s="81" t="s">
        <v>73</v>
      </c>
      <c r="C56" s="83">
        <v>180</v>
      </c>
      <c r="D56" s="83">
        <v>1676.8</v>
      </c>
      <c r="E56" s="83">
        <v>301824</v>
      </c>
      <c r="F56" s="83"/>
      <c r="G56" s="83"/>
      <c r="H56" s="83"/>
      <c r="I56" s="86">
        <v>180</v>
      </c>
      <c r="J56" s="83">
        <v>1676.8</v>
      </c>
      <c r="K56" s="86">
        <v>301824</v>
      </c>
      <c r="L56"/>
      <c r="M56"/>
      <c r="N56"/>
      <c r="O56"/>
      <c r="P56"/>
      <c r="Q56" s="102" t="s">
        <v>73</v>
      </c>
      <c r="R56" s="99" t="s">
        <v>73</v>
      </c>
      <c r="S56" s="104">
        <f ca="1">VLOOKUP(R56,B:N,2,0)</f>
        <v>180</v>
      </c>
      <c r="T56" s="104">
        <f ca="1">VLOOKUP(R56,B:N,5,0)</f>
        <v>0</v>
      </c>
      <c r="U56" s="105">
        <f ca="1">SUM(S56:T56)</f>
        <v>180</v>
      </c>
      <c r="V56" s="106">
        <f ca="1">W56/U56</f>
        <v>1676.8</v>
      </c>
      <c r="W56" s="105">
        <f ca="1">VLOOKUP(R56,B:N,10,0)</f>
        <v>301824</v>
      </c>
      <c r="X56" s="25"/>
    </row>
    <row r="57" spans="1:24">
      <c r="A57" s="89" t="s">
        <v>74</v>
      </c>
      <c r="B57" s="89"/>
      <c r="C57" s="90">
        <v>180</v>
      </c>
      <c r="D57" s="90">
        <v>1676.8</v>
      </c>
      <c r="E57" s="90">
        <v>301824</v>
      </c>
      <c r="F57" s="90"/>
      <c r="G57" s="90"/>
      <c r="H57" s="90"/>
      <c r="I57" s="93">
        <v>180</v>
      </c>
      <c r="J57" s="90">
        <v>1676.8</v>
      </c>
      <c r="K57" s="93">
        <v>301824</v>
      </c>
      <c r="L57"/>
      <c r="M57"/>
      <c r="N57"/>
      <c r="O57"/>
      <c r="P57"/>
      <c r="Q57" s="103" t="s">
        <v>74</v>
      </c>
      <c r="R57" s="28"/>
      <c r="S57" s="29">
        <f t="shared" ref="S57:U57" ca="1" si="38">SUM(S56)</f>
        <v>180</v>
      </c>
      <c r="T57" s="29">
        <f t="shared" ca="1" si="38"/>
        <v>0</v>
      </c>
      <c r="U57" s="29">
        <f t="shared" ca="1" si="38"/>
        <v>180</v>
      </c>
      <c r="V57" s="30">
        <f ca="1">W57/U57</f>
        <v>1676.8</v>
      </c>
      <c r="W57" s="29">
        <f ca="1">SUM(W56)</f>
        <v>301824</v>
      </c>
      <c r="X57" s="27"/>
    </row>
    <row r="58" spans="1:24">
      <c r="A58" s="81" t="s">
        <v>124</v>
      </c>
      <c r="B58" s="81" t="s">
        <v>830</v>
      </c>
      <c r="C58" s="83"/>
      <c r="D58" s="83"/>
      <c r="E58" s="83"/>
      <c r="F58" s="83">
        <v>0</v>
      </c>
      <c r="G58" s="83">
        <v>1235</v>
      </c>
      <c r="H58" s="83">
        <v>0</v>
      </c>
      <c r="I58" s="86">
        <v>0</v>
      </c>
      <c r="J58" s="83">
        <v>1235</v>
      </c>
      <c r="K58" s="86">
        <v>0</v>
      </c>
      <c r="L58"/>
      <c r="M58"/>
      <c r="N58"/>
      <c r="O58"/>
      <c r="P58"/>
      <c r="Q58" s="102" t="s">
        <v>124</v>
      </c>
      <c r="R58" s="81" t="s">
        <v>830</v>
      </c>
      <c r="S58" s="104">
        <f ca="1">VLOOKUP(R58,B:N,2,0)</f>
        <v>0</v>
      </c>
      <c r="T58" s="104">
        <f ca="1">VLOOKUP(R58,B:N,5,0)</f>
        <v>0</v>
      </c>
      <c r="U58" s="105">
        <f ca="1">SUM(S58:T58)</f>
        <v>0</v>
      </c>
      <c r="V58" s="106" t="e">
        <f t="shared" ref="V58:V59" ca="1" si="39">W58/U58</f>
        <v>#DIV/0!</v>
      </c>
      <c r="W58" s="105">
        <f ca="1">VLOOKUP(R58,B:N,10,0)</f>
        <v>0</v>
      </c>
      <c r="X58" s="25"/>
    </row>
    <row r="59" spans="1:24">
      <c r="A59" s="89" t="s">
        <v>125</v>
      </c>
      <c r="B59" s="89"/>
      <c r="C59" s="90"/>
      <c r="D59" s="90"/>
      <c r="E59" s="90"/>
      <c r="F59" s="90">
        <v>0</v>
      </c>
      <c r="G59" s="90">
        <v>1235</v>
      </c>
      <c r="H59" s="90">
        <v>0</v>
      </c>
      <c r="I59" s="93">
        <v>0</v>
      </c>
      <c r="J59" s="90">
        <v>1235</v>
      </c>
      <c r="K59" s="93">
        <v>0</v>
      </c>
      <c r="L59"/>
      <c r="M59"/>
      <c r="N59"/>
      <c r="O59"/>
      <c r="P59"/>
      <c r="Q59" s="103" t="s">
        <v>125</v>
      </c>
      <c r="R59" s="28"/>
      <c r="S59" s="29">
        <f ca="1">SUM(S58:S58)</f>
        <v>0</v>
      </c>
      <c r="T59" s="29">
        <f ca="1">SUM(T58:T58)</f>
        <v>0</v>
      </c>
      <c r="U59" s="29">
        <f ca="1">SUM(U58:U58)</f>
        <v>0</v>
      </c>
      <c r="V59" s="30" t="e">
        <f t="shared" ca="1" si="39"/>
        <v>#DIV/0!</v>
      </c>
      <c r="W59" s="29">
        <f ca="1">SUM(W58:W58)</f>
        <v>0</v>
      </c>
      <c r="X59" s="27"/>
    </row>
    <row r="60" spans="1:24">
      <c r="A60" s="81" t="s">
        <v>75</v>
      </c>
      <c r="B60" s="81" t="s">
        <v>752</v>
      </c>
      <c r="C60" s="83"/>
      <c r="D60" s="83"/>
      <c r="E60" s="83"/>
      <c r="F60" s="83">
        <v>10.5</v>
      </c>
      <c r="G60" s="83">
        <v>130</v>
      </c>
      <c r="H60" s="83">
        <v>1365</v>
      </c>
      <c r="I60" s="86">
        <v>10.5</v>
      </c>
      <c r="J60" s="83">
        <v>130</v>
      </c>
      <c r="K60" s="86">
        <v>1365</v>
      </c>
      <c r="L60"/>
      <c r="M60"/>
      <c r="N60"/>
      <c r="O60"/>
      <c r="P60"/>
      <c r="Q60" s="102" t="s">
        <v>75</v>
      </c>
      <c r="R60" s="81" t="s">
        <v>76</v>
      </c>
      <c r="S60" s="104">
        <f ca="1">VLOOKUP(R60,B:N,2,0)</f>
        <v>0</v>
      </c>
      <c r="T60" s="104">
        <f ca="1">VLOOKUP(R60,B:N,5,0)</f>
        <v>650</v>
      </c>
      <c r="U60" s="105">
        <f t="shared" ref="U60:U69" ca="1" si="40">SUM(S60:T60)</f>
        <v>650</v>
      </c>
      <c r="V60" s="106">
        <f t="shared" ref="V60" ca="1" si="41">W60/U60</f>
        <v>120</v>
      </c>
      <c r="W60" s="105">
        <f t="shared" ref="W60:W69" ca="1" si="42">VLOOKUP(R60,B:N,10,0)</f>
        <v>78000</v>
      </c>
      <c r="X60" s="25"/>
    </row>
    <row r="61" spans="1:24">
      <c r="A61" s="81"/>
      <c r="B61" s="81" t="s">
        <v>745</v>
      </c>
      <c r="C61" s="83"/>
      <c r="D61" s="83"/>
      <c r="E61" s="83"/>
      <c r="F61" s="83">
        <v>9.6</v>
      </c>
      <c r="G61" s="83">
        <v>130</v>
      </c>
      <c r="H61" s="83">
        <v>1248</v>
      </c>
      <c r="I61" s="86">
        <v>9.6</v>
      </c>
      <c r="J61" s="83">
        <v>130</v>
      </c>
      <c r="K61" s="86">
        <v>1248</v>
      </c>
      <c r="L61"/>
      <c r="M61"/>
      <c r="N61"/>
      <c r="O61"/>
      <c r="P61"/>
      <c r="Q61" s="102"/>
      <c r="R61" s="81" t="s">
        <v>77</v>
      </c>
      <c r="S61" s="104">
        <f t="shared" ref="S61:S69" ca="1" si="43">VLOOKUP(R61,B:N,2,0)</f>
        <v>0</v>
      </c>
      <c r="T61" s="104">
        <f t="shared" ref="T61:T69" ca="1" si="44">VLOOKUP(R61,B:N,5,0)</f>
        <v>1497</v>
      </c>
      <c r="U61" s="105">
        <f t="shared" ca="1" si="40"/>
        <v>1497</v>
      </c>
      <c r="V61" s="106">
        <f t="shared" ref="V61:V69" ca="1" si="45">W61/U61</f>
        <v>270</v>
      </c>
      <c r="W61" s="105">
        <f t="shared" ca="1" si="42"/>
        <v>404190</v>
      </c>
      <c r="X61" s="25"/>
    </row>
    <row r="62" spans="1:24">
      <c r="A62" s="81"/>
      <c r="B62" s="81" t="s">
        <v>753</v>
      </c>
      <c r="C62" s="83"/>
      <c r="D62" s="83"/>
      <c r="E62" s="83"/>
      <c r="F62" s="83">
        <v>15.8</v>
      </c>
      <c r="G62" s="83">
        <v>130</v>
      </c>
      <c r="H62" s="83">
        <v>2054</v>
      </c>
      <c r="I62" s="86">
        <v>15.8</v>
      </c>
      <c r="J62" s="83">
        <v>130</v>
      </c>
      <c r="K62" s="86">
        <v>2054</v>
      </c>
      <c r="L62"/>
      <c r="M62"/>
      <c r="N62"/>
      <c r="O62"/>
      <c r="P62"/>
      <c r="Q62" s="102"/>
      <c r="R62" s="81" t="s">
        <v>733</v>
      </c>
      <c r="S62" s="104">
        <f t="shared" ca="1" si="43"/>
        <v>0</v>
      </c>
      <c r="T62" s="104">
        <f t="shared" ca="1" si="44"/>
        <v>13.7</v>
      </c>
      <c r="U62" s="105">
        <f t="shared" ca="1" si="40"/>
        <v>13.7</v>
      </c>
      <c r="V62" s="106">
        <f t="shared" ca="1" si="45"/>
        <v>112</v>
      </c>
      <c r="W62" s="105">
        <f t="shared" ca="1" si="42"/>
        <v>1534.3999999999999</v>
      </c>
      <c r="X62" s="25"/>
    </row>
    <row r="63" spans="1:24">
      <c r="A63" s="81"/>
      <c r="B63" s="81" t="s">
        <v>778</v>
      </c>
      <c r="C63" s="83"/>
      <c r="D63" s="83"/>
      <c r="E63" s="83"/>
      <c r="F63" s="83">
        <v>13.2</v>
      </c>
      <c r="G63" s="83">
        <v>130</v>
      </c>
      <c r="H63" s="83">
        <v>1716</v>
      </c>
      <c r="I63" s="86">
        <v>13.2</v>
      </c>
      <c r="J63" s="83">
        <v>130</v>
      </c>
      <c r="K63" s="86">
        <v>1716</v>
      </c>
      <c r="L63"/>
      <c r="M63"/>
      <c r="N63"/>
      <c r="O63"/>
      <c r="P63"/>
      <c r="Q63" s="102"/>
      <c r="R63" s="81" t="s">
        <v>745</v>
      </c>
      <c r="S63" s="104">
        <f t="shared" ca="1" si="43"/>
        <v>0</v>
      </c>
      <c r="T63" s="104">
        <f t="shared" ca="1" si="44"/>
        <v>9.6</v>
      </c>
      <c r="U63" s="105">
        <f t="shared" ca="1" si="40"/>
        <v>9.6</v>
      </c>
      <c r="V63" s="106">
        <f t="shared" ca="1" si="45"/>
        <v>130</v>
      </c>
      <c r="W63" s="105">
        <f t="shared" ca="1" si="42"/>
        <v>1248</v>
      </c>
      <c r="X63" s="25"/>
    </row>
    <row r="64" spans="1:24">
      <c r="A64" s="81"/>
      <c r="B64" s="81" t="s">
        <v>746</v>
      </c>
      <c r="C64" s="83"/>
      <c r="D64" s="83"/>
      <c r="E64" s="83"/>
      <c r="F64" s="83">
        <v>25.93</v>
      </c>
      <c r="G64" s="83">
        <v>130</v>
      </c>
      <c r="H64" s="83">
        <v>3370.9</v>
      </c>
      <c r="I64" s="86">
        <v>25.93</v>
      </c>
      <c r="J64" s="83">
        <v>130</v>
      </c>
      <c r="K64" s="86">
        <v>3370.9</v>
      </c>
      <c r="L64"/>
      <c r="M64"/>
      <c r="N64"/>
      <c r="O64"/>
      <c r="P64"/>
      <c r="Q64" s="102"/>
      <c r="R64" s="81" t="s">
        <v>778</v>
      </c>
      <c r="S64" s="104">
        <f t="shared" ca="1" si="43"/>
        <v>0</v>
      </c>
      <c r="T64" s="104">
        <f t="shared" ca="1" si="44"/>
        <v>13.2</v>
      </c>
      <c r="U64" s="105">
        <f t="shared" ca="1" si="40"/>
        <v>13.2</v>
      </c>
      <c r="V64" s="106">
        <f t="shared" ca="1" si="45"/>
        <v>130</v>
      </c>
      <c r="W64" s="105">
        <f t="shared" ca="1" si="42"/>
        <v>1716</v>
      </c>
      <c r="X64" s="25"/>
    </row>
    <row r="65" spans="1:24">
      <c r="A65" s="81"/>
      <c r="B65" s="81" t="s">
        <v>747</v>
      </c>
      <c r="C65" s="83"/>
      <c r="D65" s="83"/>
      <c r="E65" s="83"/>
      <c r="F65" s="83">
        <v>3.7</v>
      </c>
      <c r="G65" s="83">
        <v>130</v>
      </c>
      <c r="H65" s="83">
        <v>481</v>
      </c>
      <c r="I65" s="86">
        <v>3.7</v>
      </c>
      <c r="J65" s="83">
        <v>130</v>
      </c>
      <c r="K65" s="86">
        <v>481</v>
      </c>
      <c r="L65"/>
      <c r="M65"/>
      <c r="N65"/>
      <c r="O65"/>
      <c r="P65"/>
      <c r="Q65" s="102"/>
      <c r="R65" s="81" t="s">
        <v>746</v>
      </c>
      <c r="S65" s="104">
        <f t="shared" ca="1" si="43"/>
        <v>0</v>
      </c>
      <c r="T65" s="104">
        <f t="shared" ca="1" si="44"/>
        <v>25.93</v>
      </c>
      <c r="U65" s="105">
        <f t="shared" ca="1" si="40"/>
        <v>25.93</v>
      </c>
      <c r="V65" s="106">
        <f t="shared" ca="1" si="45"/>
        <v>130</v>
      </c>
      <c r="W65" s="105">
        <f t="shared" ca="1" si="42"/>
        <v>3370.9</v>
      </c>
      <c r="X65" s="25"/>
    </row>
    <row r="66" spans="1:24">
      <c r="A66" s="81"/>
      <c r="B66" s="81" t="s">
        <v>76</v>
      </c>
      <c r="C66" s="83"/>
      <c r="D66" s="83"/>
      <c r="E66" s="83"/>
      <c r="F66" s="83">
        <v>650</v>
      </c>
      <c r="G66" s="83">
        <v>120</v>
      </c>
      <c r="H66" s="83">
        <v>78000</v>
      </c>
      <c r="I66" s="86">
        <v>650</v>
      </c>
      <c r="J66" s="83">
        <v>120</v>
      </c>
      <c r="K66" s="86">
        <v>78000</v>
      </c>
      <c r="L66"/>
      <c r="M66"/>
      <c r="N66"/>
      <c r="O66"/>
      <c r="P66"/>
      <c r="Q66" s="102"/>
      <c r="R66" s="81" t="s">
        <v>747</v>
      </c>
      <c r="S66" s="104">
        <f t="shared" ca="1" si="43"/>
        <v>0</v>
      </c>
      <c r="T66" s="104">
        <f t="shared" ca="1" si="44"/>
        <v>3.7</v>
      </c>
      <c r="U66" s="105">
        <f t="shared" ca="1" si="40"/>
        <v>3.7</v>
      </c>
      <c r="V66" s="106">
        <f t="shared" ca="1" si="45"/>
        <v>130</v>
      </c>
      <c r="W66" s="105">
        <f t="shared" ca="1" si="42"/>
        <v>481</v>
      </c>
      <c r="X66" s="25"/>
    </row>
    <row r="67" spans="1:24">
      <c r="A67" s="81"/>
      <c r="B67" s="81" t="s">
        <v>733</v>
      </c>
      <c r="C67" s="83"/>
      <c r="D67" s="83"/>
      <c r="E67" s="83"/>
      <c r="F67" s="83">
        <v>13.7</v>
      </c>
      <c r="G67" s="83">
        <v>112</v>
      </c>
      <c r="H67" s="83">
        <v>1534.3999999999999</v>
      </c>
      <c r="I67" s="86">
        <v>13.7</v>
      </c>
      <c r="J67" s="83">
        <v>112</v>
      </c>
      <c r="K67" s="86">
        <v>1534.3999999999999</v>
      </c>
      <c r="L67"/>
      <c r="M67"/>
      <c r="N67"/>
      <c r="O67"/>
      <c r="P67"/>
      <c r="Q67" s="102"/>
      <c r="R67" s="81" t="s">
        <v>748</v>
      </c>
      <c r="S67" s="104">
        <f t="shared" ca="1" si="43"/>
        <v>0</v>
      </c>
      <c r="T67" s="104">
        <f t="shared" ca="1" si="44"/>
        <v>0</v>
      </c>
      <c r="U67" s="105">
        <f t="shared" ca="1" si="40"/>
        <v>0</v>
      </c>
      <c r="V67" s="106" t="e">
        <f t="shared" ca="1" si="45"/>
        <v>#DIV/0!</v>
      </c>
      <c r="W67" s="105">
        <f t="shared" ca="1" si="42"/>
        <v>0</v>
      </c>
      <c r="X67" s="25"/>
    </row>
    <row r="68" spans="1:24">
      <c r="A68" s="81"/>
      <c r="B68" s="81" t="s">
        <v>77</v>
      </c>
      <c r="C68" s="83"/>
      <c r="D68" s="83"/>
      <c r="E68" s="83"/>
      <c r="F68" s="83">
        <v>1497</v>
      </c>
      <c r="G68" s="83">
        <v>270</v>
      </c>
      <c r="H68" s="83">
        <v>404190</v>
      </c>
      <c r="I68" s="86">
        <v>1497</v>
      </c>
      <c r="J68" s="83">
        <v>270</v>
      </c>
      <c r="K68" s="86">
        <v>404190</v>
      </c>
      <c r="L68"/>
      <c r="M68"/>
      <c r="N68"/>
      <c r="O68"/>
      <c r="P68"/>
      <c r="Q68" s="102"/>
      <c r="R68" s="81" t="s">
        <v>752</v>
      </c>
      <c r="S68" s="104">
        <f t="shared" ca="1" si="43"/>
        <v>0</v>
      </c>
      <c r="T68" s="104">
        <f t="shared" ca="1" si="44"/>
        <v>10.5</v>
      </c>
      <c r="U68" s="105">
        <f t="shared" ca="1" si="40"/>
        <v>10.5</v>
      </c>
      <c r="V68" s="106">
        <f t="shared" ca="1" si="45"/>
        <v>130</v>
      </c>
      <c r="W68" s="105">
        <f t="shared" ca="1" si="42"/>
        <v>1365</v>
      </c>
      <c r="X68" s="25"/>
    </row>
    <row r="69" spans="1:24">
      <c r="A69" s="81"/>
      <c r="B69" s="81" t="s">
        <v>748</v>
      </c>
      <c r="C69" s="83"/>
      <c r="D69" s="83"/>
      <c r="E69" s="83"/>
      <c r="F69" s="83">
        <v>0</v>
      </c>
      <c r="G69" s="83">
        <v>130</v>
      </c>
      <c r="H69" s="83">
        <v>0</v>
      </c>
      <c r="I69" s="86">
        <v>0</v>
      </c>
      <c r="J69" s="83">
        <v>130</v>
      </c>
      <c r="K69" s="86">
        <v>0</v>
      </c>
      <c r="L69"/>
      <c r="M69"/>
      <c r="N69"/>
      <c r="O69"/>
      <c r="P69"/>
      <c r="Q69" s="102"/>
      <c r="R69" s="81" t="s">
        <v>753</v>
      </c>
      <c r="S69" s="104">
        <f t="shared" ca="1" si="43"/>
        <v>0</v>
      </c>
      <c r="T69" s="104">
        <f t="shared" ca="1" si="44"/>
        <v>15.8</v>
      </c>
      <c r="U69" s="105">
        <f t="shared" ca="1" si="40"/>
        <v>15.8</v>
      </c>
      <c r="V69" s="106">
        <f t="shared" ca="1" si="45"/>
        <v>130</v>
      </c>
      <c r="W69" s="105">
        <f t="shared" ca="1" si="42"/>
        <v>2054</v>
      </c>
      <c r="X69" s="25"/>
    </row>
    <row r="70" spans="1:24">
      <c r="A70" s="89" t="s">
        <v>78</v>
      </c>
      <c r="B70" s="89"/>
      <c r="C70" s="90"/>
      <c r="D70" s="90"/>
      <c r="E70" s="90"/>
      <c r="F70" s="90">
        <v>2239.4300000000003</v>
      </c>
      <c r="G70" s="90">
        <v>141.19999999999999</v>
      </c>
      <c r="H70" s="90">
        <v>493959.3</v>
      </c>
      <c r="I70" s="93">
        <v>2239.4300000000003</v>
      </c>
      <c r="J70" s="90">
        <v>141.19999999999999</v>
      </c>
      <c r="K70" s="93">
        <v>493959.3</v>
      </c>
      <c r="L70"/>
      <c r="M70"/>
      <c r="N70"/>
      <c r="O70"/>
      <c r="P70"/>
      <c r="Q70" s="103" t="s">
        <v>78</v>
      </c>
      <c r="R70" s="28"/>
      <c r="S70" s="29">
        <f ca="1">SUM(S60:S69)</f>
        <v>0</v>
      </c>
      <c r="T70" s="29">
        <f ca="1">SUM(T60:T69)</f>
        <v>2239.4299999999994</v>
      </c>
      <c r="U70" s="29">
        <f ca="1">SUM(U60:U69)</f>
        <v>2239.4299999999994</v>
      </c>
      <c r="V70" s="30">
        <f ca="1">W70/U70</f>
        <v>220.57367276494475</v>
      </c>
      <c r="W70" s="29">
        <f ca="1">SUM(W60:W69)</f>
        <v>493959.30000000005</v>
      </c>
      <c r="X70" s="27"/>
    </row>
    <row r="71" spans="1:24">
      <c r="A71" s="81" t="s">
        <v>79</v>
      </c>
      <c r="B71" s="81" t="s">
        <v>840</v>
      </c>
      <c r="C71" s="83">
        <v>421.6</v>
      </c>
      <c r="D71" s="83">
        <v>1550</v>
      </c>
      <c r="E71" s="83">
        <v>653480</v>
      </c>
      <c r="F71" s="83"/>
      <c r="G71" s="83"/>
      <c r="H71" s="83"/>
      <c r="I71" s="86">
        <v>421.6</v>
      </c>
      <c r="J71" s="83">
        <v>1550</v>
      </c>
      <c r="K71" s="86">
        <v>653480</v>
      </c>
      <c r="L71"/>
      <c r="M71"/>
      <c r="N71"/>
      <c r="O71"/>
      <c r="P71"/>
      <c r="Q71" s="102" t="s">
        <v>79</v>
      </c>
      <c r="R71" s="81" t="s">
        <v>81</v>
      </c>
      <c r="S71" s="104">
        <f ca="1">VLOOKUP(R71,B:N,2,0)</f>
        <v>720.8</v>
      </c>
      <c r="T71" s="104">
        <f ca="1">VLOOKUP(R71,B:N,5,0)</f>
        <v>0</v>
      </c>
      <c r="U71" s="105">
        <f ca="1">SUM(S71:T71)</f>
        <v>720.8</v>
      </c>
      <c r="V71" s="106">
        <f t="shared" ref="V71:V73" ca="1" si="46">W71/U71</f>
        <v>1380</v>
      </c>
      <c r="W71" s="105">
        <f ca="1">VLOOKUP(R71,B:N,10,0)</f>
        <v>994704</v>
      </c>
      <c r="X71" s="25"/>
    </row>
    <row r="72" spans="1:24">
      <c r="A72" s="81"/>
      <c r="B72" s="81" t="s">
        <v>81</v>
      </c>
      <c r="C72" s="83">
        <v>720.8</v>
      </c>
      <c r="D72" s="83">
        <v>1380</v>
      </c>
      <c r="E72" s="83">
        <v>994704</v>
      </c>
      <c r="F72" s="83"/>
      <c r="G72" s="83"/>
      <c r="H72" s="83"/>
      <c r="I72" s="86">
        <v>720.8</v>
      </c>
      <c r="J72" s="83">
        <v>1380</v>
      </c>
      <c r="K72" s="86">
        <v>994704</v>
      </c>
      <c r="L72"/>
      <c r="M72"/>
      <c r="N72"/>
      <c r="O72"/>
      <c r="P72"/>
      <c r="Q72" s="102"/>
      <c r="R72" s="81" t="s">
        <v>840</v>
      </c>
      <c r="S72" s="104">
        <f ca="1">VLOOKUP(R72,B:N,2,0)</f>
        <v>421.6</v>
      </c>
      <c r="T72" s="104">
        <f ca="1">VLOOKUP(R72,B:N,5,0)</f>
        <v>0</v>
      </c>
      <c r="U72" s="105">
        <f ca="1">SUM(S72:T72)</f>
        <v>421.6</v>
      </c>
      <c r="V72" s="106">
        <f t="shared" ref="V72" ca="1" si="47">W72/U72</f>
        <v>1550</v>
      </c>
      <c r="W72" s="105">
        <f ca="1">VLOOKUP(R72,B:N,10,0)</f>
        <v>653480</v>
      </c>
      <c r="X72" s="25"/>
    </row>
    <row r="73" spans="1:24">
      <c r="A73" s="81"/>
      <c r="B73" s="81" t="s">
        <v>80</v>
      </c>
      <c r="C73" s="83"/>
      <c r="D73" s="83"/>
      <c r="E73" s="83"/>
      <c r="F73" s="83">
        <v>186</v>
      </c>
      <c r="G73" s="83">
        <v>1440</v>
      </c>
      <c r="H73" s="83">
        <v>267840</v>
      </c>
      <c r="I73" s="86">
        <v>186</v>
      </c>
      <c r="J73" s="83">
        <v>1440</v>
      </c>
      <c r="K73" s="86">
        <v>267840</v>
      </c>
      <c r="L73"/>
      <c r="M73"/>
      <c r="N73"/>
      <c r="O73"/>
      <c r="P73"/>
      <c r="Q73" s="102"/>
      <c r="R73" s="81" t="s">
        <v>80</v>
      </c>
      <c r="S73" s="104">
        <f ca="1">VLOOKUP(R73,B:N,2,0)</f>
        <v>0</v>
      </c>
      <c r="T73" s="104">
        <f ca="1">VLOOKUP(R73,B:N,5,0)</f>
        <v>186</v>
      </c>
      <c r="U73" s="105">
        <f ca="1">SUM(S73:T73)</f>
        <v>186</v>
      </c>
      <c r="V73" s="106">
        <f t="shared" ca="1" si="46"/>
        <v>1440</v>
      </c>
      <c r="W73" s="105">
        <f ca="1">VLOOKUP(R73,B:N,10,0)</f>
        <v>267840</v>
      </c>
      <c r="X73" s="25"/>
    </row>
    <row r="74" spans="1:24">
      <c r="A74" s="81"/>
      <c r="B74" s="81" t="s">
        <v>755</v>
      </c>
      <c r="C74" s="83"/>
      <c r="D74" s="83"/>
      <c r="E74" s="83"/>
      <c r="F74" s="83">
        <v>90</v>
      </c>
      <c r="G74" s="83">
        <v>464.5</v>
      </c>
      <c r="H74" s="83">
        <v>41805</v>
      </c>
      <c r="I74" s="86">
        <v>90</v>
      </c>
      <c r="J74" s="83">
        <v>464.5</v>
      </c>
      <c r="K74" s="86">
        <v>41805</v>
      </c>
      <c r="L74"/>
      <c r="M74"/>
      <c r="N74"/>
      <c r="O74"/>
      <c r="P74"/>
      <c r="Q74" s="102"/>
      <c r="R74" s="81" t="s">
        <v>755</v>
      </c>
      <c r="S74" s="104">
        <f ca="1">VLOOKUP(R74,B:N,2,0)</f>
        <v>0</v>
      </c>
      <c r="T74" s="104">
        <f ca="1">VLOOKUP(R74,B:N,5,0)</f>
        <v>90</v>
      </c>
      <c r="U74" s="105">
        <f ca="1">SUM(S74:T74)</f>
        <v>90</v>
      </c>
      <c r="V74" s="106">
        <f t="shared" ref="V74" ca="1" si="48">W74/U74</f>
        <v>464.5</v>
      </c>
      <c r="W74" s="105">
        <f ca="1">VLOOKUP(R74,B:N,10,0)</f>
        <v>41805</v>
      </c>
      <c r="X74" s="25"/>
    </row>
    <row r="75" spans="1:24">
      <c r="A75" s="89" t="s">
        <v>82</v>
      </c>
      <c r="B75" s="89"/>
      <c r="C75" s="90">
        <v>1142.4000000000001</v>
      </c>
      <c r="D75" s="90">
        <v>1428.5714285714287</v>
      </c>
      <c r="E75" s="90">
        <v>1648184</v>
      </c>
      <c r="F75" s="90">
        <v>276</v>
      </c>
      <c r="G75" s="90">
        <v>952.25</v>
      </c>
      <c r="H75" s="90">
        <v>309645</v>
      </c>
      <c r="I75" s="93">
        <v>1418.4</v>
      </c>
      <c r="J75" s="90">
        <v>1322.7222222222222</v>
      </c>
      <c r="K75" s="93">
        <v>1957829</v>
      </c>
      <c r="L75"/>
      <c r="M75"/>
      <c r="N75"/>
      <c r="O75"/>
      <c r="P75"/>
      <c r="Q75" s="103" t="s">
        <v>82</v>
      </c>
      <c r="R75" s="28"/>
      <c r="S75" s="29">
        <f ca="1">SUM(S71:S74)</f>
        <v>1142.4000000000001</v>
      </c>
      <c r="T75" s="29">
        <f ca="1">SUM(T71:T74)</f>
        <v>276</v>
      </c>
      <c r="U75" s="29">
        <f ca="1">SUM(U71:U74)</f>
        <v>1418.4</v>
      </c>
      <c r="V75" s="30">
        <f ca="1">W75/U75</f>
        <v>1380.3080936266215</v>
      </c>
      <c r="W75" s="29">
        <f ca="1">SUM(W71:W74)</f>
        <v>1957829</v>
      </c>
      <c r="X75" s="27"/>
    </row>
    <row r="76" spans="1:24">
      <c r="A76" s="81" t="s">
        <v>83</v>
      </c>
      <c r="B76" s="81" t="s">
        <v>85</v>
      </c>
      <c r="C76" s="83"/>
      <c r="D76" s="83"/>
      <c r="E76" s="83"/>
      <c r="F76" s="83">
        <v>16</v>
      </c>
      <c r="G76" s="83">
        <v>834</v>
      </c>
      <c r="H76" s="83">
        <v>13344</v>
      </c>
      <c r="I76" s="86">
        <v>16</v>
      </c>
      <c r="J76" s="83">
        <v>834</v>
      </c>
      <c r="K76" s="86">
        <v>13344</v>
      </c>
      <c r="L76"/>
      <c r="M76"/>
      <c r="N76"/>
      <c r="O76"/>
      <c r="P76"/>
      <c r="Q76" s="102" t="s">
        <v>83</v>
      </c>
      <c r="R76" s="99" t="s">
        <v>84</v>
      </c>
      <c r="S76" s="104">
        <f ca="1">VLOOKUP(R76,B:N,2,0)</f>
        <v>2143.2599999999998</v>
      </c>
      <c r="T76" s="104">
        <f ca="1">VLOOKUP(R76,B:N,5,0)</f>
        <v>0</v>
      </c>
      <c r="U76" s="105">
        <f ca="1">SUM(S76:T76)</f>
        <v>2143.2599999999998</v>
      </c>
      <c r="V76" s="106">
        <f t="shared" ref="V76:V80" ca="1" si="49">W76/U76</f>
        <v>876.66</v>
      </c>
      <c r="W76" s="105">
        <f ca="1">VLOOKUP(R76,B:N,10,0)</f>
        <v>1878910.3115999997</v>
      </c>
      <c r="X76" s="25"/>
    </row>
    <row r="77" spans="1:24">
      <c r="A77" s="81"/>
      <c r="B77" s="81" t="s">
        <v>749</v>
      </c>
      <c r="C77" s="83"/>
      <c r="D77" s="83"/>
      <c r="E77" s="83"/>
      <c r="F77" s="83">
        <v>114</v>
      </c>
      <c r="G77" s="83">
        <v>900</v>
      </c>
      <c r="H77" s="83">
        <v>102600</v>
      </c>
      <c r="I77" s="86">
        <v>114</v>
      </c>
      <c r="J77" s="83">
        <v>900</v>
      </c>
      <c r="K77" s="86">
        <v>102600</v>
      </c>
      <c r="L77"/>
      <c r="M77"/>
      <c r="N77"/>
      <c r="O77"/>
      <c r="P77"/>
      <c r="Q77" s="102"/>
      <c r="R77" s="99" t="s">
        <v>85</v>
      </c>
      <c r="S77" s="104">
        <f ca="1">VLOOKUP(R77,B:N,2,0)</f>
        <v>0</v>
      </c>
      <c r="T77" s="104">
        <f ca="1">VLOOKUP(R77,B:N,5,0)</f>
        <v>16</v>
      </c>
      <c r="U77" s="105">
        <f ca="1">SUM(S77:T77)</f>
        <v>16</v>
      </c>
      <c r="V77" s="106">
        <f t="shared" ca="1" si="49"/>
        <v>834</v>
      </c>
      <c r="W77" s="105">
        <f ca="1">VLOOKUP(R77,B:N,10,0)</f>
        <v>13344</v>
      </c>
      <c r="X77" s="25"/>
    </row>
    <row r="78" spans="1:24">
      <c r="A78" s="81"/>
      <c r="B78" s="81" t="s">
        <v>84</v>
      </c>
      <c r="C78" s="83">
        <v>2143.2599999999998</v>
      </c>
      <c r="D78" s="83">
        <v>876.66</v>
      </c>
      <c r="E78" s="83">
        <v>1878910.3115999997</v>
      </c>
      <c r="F78" s="83"/>
      <c r="G78" s="83"/>
      <c r="H78" s="83"/>
      <c r="I78" s="86">
        <v>2143.2599999999998</v>
      </c>
      <c r="J78" s="83">
        <v>876.66</v>
      </c>
      <c r="K78" s="86">
        <v>1878910.3115999997</v>
      </c>
      <c r="L78"/>
      <c r="M78"/>
      <c r="N78"/>
      <c r="O78"/>
      <c r="P78"/>
      <c r="Q78" s="102"/>
      <c r="R78" s="99" t="s">
        <v>86</v>
      </c>
      <c r="S78" s="104">
        <f ca="1">VLOOKUP(R78,B:N,2,0)</f>
        <v>0</v>
      </c>
      <c r="T78" s="104">
        <f ca="1">VLOOKUP(R78,B:N,5,0)</f>
        <v>1249</v>
      </c>
      <c r="U78" s="105">
        <f ca="1">SUM(S78:T78)</f>
        <v>1249</v>
      </c>
      <c r="V78" s="106">
        <f t="shared" ca="1" si="49"/>
        <v>650</v>
      </c>
      <c r="W78" s="105">
        <f ca="1">VLOOKUP(R78,B:N,10,0)</f>
        <v>811850</v>
      </c>
      <c r="X78" s="25"/>
    </row>
    <row r="79" spans="1:24">
      <c r="A79" s="81"/>
      <c r="B79" s="81" t="s">
        <v>86</v>
      </c>
      <c r="C79" s="83"/>
      <c r="D79" s="83"/>
      <c r="E79" s="83"/>
      <c r="F79" s="83">
        <v>1249</v>
      </c>
      <c r="G79" s="83">
        <v>650</v>
      </c>
      <c r="H79" s="83">
        <v>811850</v>
      </c>
      <c r="I79" s="86">
        <v>1249</v>
      </c>
      <c r="J79" s="83">
        <v>650</v>
      </c>
      <c r="K79" s="86">
        <v>811850</v>
      </c>
      <c r="L79"/>
      <c r="M79"/>
      <c r="N79"/>
      <c r="O79"/>
      <c r="P79"/>
      <c r="Q79" s="102"/>
      <c r="R79" s="99" t="s">
        <v>87</v>
      </c>
      <c r="S79" s="104">
        <f ca="1">VLOOKUP(R79,B:N,2,0)</f>
        <v>0</v>
      </c>
      <c r="T79" s="104">
        <f ca="1">VLOOKUP(R79,B:N,5,0)</f>
        <v>295</v>
      </c>
      <c r="U79" s="105">
        <f ca="1">SUM(S79:T79)</f>
        <v>295</v>
      </c>
      <c r="V79" s="106">
        <f t="shared" ca="1" si="49"/>
        <v>1500</v>
      </c>
      <c r="W79" s="105">
        <f ca="1">VLOOKUP(R79,B:N,10,0)</f>
        <v>442500</v>
      </c>
      <c r="X79" s="25"/>
    </row>
    <row r="80" spans="1:24">
      <c r="A80" s="81"/>
      <c r="B80" s="81" t="s">
        <v>87</v>
      </c>
      <c r="C80" s="83"/>
      <c r="D80" s="83"/>
      <c r="E80" s="83"/>
      <c r="F80" s="83">
        <v>295</v>
      </c>
      <c r="G80" s="83">
        <v>1500</v>
      </c>
      <c r="H80" s="83">
        <v>442500</v>
      </c>
      <c r="I80" s="86">
        <v>295</v>
      </c>
      <c r="J80" s="83">
        <v>1500</v>
      </c>
      <c r="K80" s="86">
        <v>442500</v>
      </c>
      <c r="L80"/>
      <c r="M80"/>
      <c r="N80"/>
      <c r="O80"/>
      <c r="P80"/>
      <c r="Q80" s="102"/>
      <c r="R80" s="81" t="s">
        <v>749</v>
      </c>
      <c r="S80" s="104">
        <f ca="1">VLOOKUP(R80,B:N,2,0)</f>
        <v>0</v>
      </c>
      <c r="T80" s="104">
        <f ca="1">VLOOKUP(R80,B:N,5,0)</f>
        <v>114</v>
      </c>
      <c r="U80" s="105">
        <f ca="1">SUM(S80:T80)</f>
        <v>114</v>
      </c>
      <c r="V80" s="106">
        <f t="shared" ca="1" si="49"/>
        <v>900</v>
      </c>
      <c r="W80" s="105">
        <f ca="1">VLOOKUP(R80,B:N,10,0)</f>
        <v>102600</v>
      </c>
      <c r="X80" s="25"/>
    </row>
    <row r="81" spans="1:24">
      <c r="A81" s="89" t="s">
        <v>88</v>
      </c>
      <c r="B81" s="89"/>
      <c r="C81" s="90">
        <v>2143.2599999999998</v>
      </c>
      <c r="D81" s="90">
        <v>876.66</v>
      </c>
      <c r="E81" s="90">
        <v>1878910.3115999997</v>
      </c>
      <c r="F81" s="90">
        <v>1674</v>
      </c>
      <c r="G81" s="90">
        <v>971</v>
      </c>
      <c r="H81" s="90">
        <v>1370294</v>
      </c>
      <c r="I81" s="93">
        <v>3817.2599999999998</v>
      </c>
      <c r="J81" s="90">
        <v>952.13199999999995</v>
      </c>
      <c r="K81" s="93">
        <v>3249204.3115999997</v>
      </c>
      <c r="L81"/>
      <c r="M81"/>
      <c r="N81"/>
      <c r="O81"/>
      <c r="P81"/>
      <c r="Q81" s="103" t="s">
        <v>88</v>
      </c>
      <c r="R81" s="28"/>
      <c r="S81" s="29">
        <f ca="1">SUM(S76:S80)</f>
        <v>2143.2599999999998</v>
      </c>
      <c r="T81" s="29">
        <f ca="1">SUM(T76:T80)</f>
        <v>1674</v>
      </c>
      <c r="U81" s="29">
        <f ca="1">SUM(U76:U80)</f>
        <v>3817.2599999999998</v>
      </c>
      <c r="V81" s="30">
        <f ca="1">W81/U81</f>
        <v>851.18758261161145</v>
      </c>
      <c r="W81" s="29">
        <f ca="1">SUM(W76:W80)</f>
        <v>3249204.3115999997</v>
      </c>
      <c r="X81" s="27"/>
    </row>
    <row r="82" spans="1:24">
      <c r="A82" s="81" t="s">
        <v>89</v>
      </c>
      <c r="B82" s="81" t="s">
        <v>825</v>
      </c>
      <c r="C82" s="83">
        <v>5068.9799999999996</v>
      </c>
      <c r="D82" s="83">
        <v>470</v>
      </c>
      <c r="E82" s="83">
        <v>2382420.6</v>
      </c>
      <c r="F82" s="83">
        <v>4486</v>
      </c>
      <c r="G82" s="83">
        <v>470</v>
      </c>
      <c r="H82" s="83">
        <v>2108420</v>
      </c>
      <c r="I82" s="86">
        <v>9554.98</v>
      </c>
      <c r="J82" s="83">
        <v>470</v>
      </c>
      <c r="K82" s="86">
        <v>4490840.5999999996</v>
      </c>
      <c r="L82"/>
      <c r="M82"/>
      <c r="N82"/>
      <c r="O82"/>
      <c r="P82"/>
      <c r="Q82" s="102" t="s">
        <v>89</v>
      </c>
      <c r="R82" s="81" t="s">
        <v>825</v>
      </c>
      <c r="S82" s="104">
        <f ca="1">VLOOKUP(R82,B:N,2,0)</f>
        <v>5068.9799999999996</v>
      </c>
      <c r="T82" s="104">
        <f ca="1">VLOOKUP(R82,B:N,5,0)</f>
        <v>4486</v>
      </c>
      <c r="U82" s="105">
        <f ca="1">SUM(S82:T82)</f>
        <v>9554.98</v>
      </c>
      <c r="V82" s="106">
        <f ca="1">W82/U82</f>
        <v>470</v>
      </c>
      <c r="W82" s="105">
        <f ca="1">VLOOKUP(R82,B:N,10,0)</f>
        <v>4490840.5999999996</v>
      </c>
      <c r="X82" s="25"/>
    </row>
    <row r="83" spans="1:24">
      <c r="A83" s="89" t="s">
        <v>91</v>
      </c>
      <c r="B83" s="89"/>
      <c r="C83" s="90">
        <v>5068.9799999999996</v>
      </c>
      <c r="D83" s="90">
        <v>470</v>
      </c>
      <c r="E83" s="90">
        <v>2382420.6</v>
      </c>
      <c r="F83" s="90">
        <v>4486</v>
      </c>
      <c r="G83" s="90">
        <v>470</v>
      </c>
      <c r="H83" s="90">
        <v>2108420</v>
      </c>
      <c r="I83" s="93">
        <v>9554.98</v>
      </c>
      <c r="J83" s="90">
        <v>470</v>
      </c>
      <c r="K83" s="93">
        <v>4490840.5999999996</v>
      </c>
      <c r="L83"/>
      <c r="M83"/>
      <c r="N83"/>
      <c r="O83"/>
      <c r="P83"/>
      <c r="Q83" s="103" t="s">
        <v>91</v>
      </c>
      <c r="R83" s="28"/>
      <c r="S83" s="29">
        <f ca="1">SUM(S82:S82)</f>
        <v>5068.9799999999996</v>
      </c>
      <c r="T83" s="29">
        <f ca="1">SUM(T82:T82)</f>
        <v>4486</v>
      </c>
      <c r="U83" s="29">
        <f ca="1">SUM(U82:U82)</f>
        <v>9554.98</v>
      </c>
      <c r="V83" s="30">
        <f ca="1">W83/U83</f>
        <v>470</v>
      </c>
      <c r="W83" s="29">
        <f ca="1">SUM(W82:W82)</f>
        <v>4490840.5999999996</v>
      </c>
      <c r="X83" s="27"/>
    </row>
    <row r="84" spans="1:24">
      <c r="A84" s="81" t="s">
        <v>92</v>
      </c>
      <c r="B84" s="81" t="s">
        <v>94</v>
      </c>
      <c r="C84" s="83"/>
      <c r="D84" s="83"/>
      <c r="E84" s="83"/>
      <c r="F84" s="83">
        <v>599</v>
      </c>
      <c r="G84" s="83">
        <v>266</v>
      </c>
      <c r="H84" s="83">
        <v>159334</v>
      </c>
      <c r="I84" s="86">
        <v>599</v>
      </c>
      <c r="J84" s="83">
        <v>266</v>
      </c>
      <c r="K84" s="86">
        <v>159334</v>
      </c>
      <c r="L84"/>
      <c r="M84"/>
      <c r="N84"/>
      <c r="O84"/>
      <c r="P84"/>
      <c r="Q84" s="102" t="s">
        <v>92</v>
      </c>
      <c r="R84" s="81" t="s">
        <v>94</v>
      </c>
      <c r="S84" s="104">
        <f t="shared" ref="S84:S91" ca="1" si="50">VLOOKUP(R84,B:N,2,0)</f>
        <v>0</v>
      </c>
      <c r="T84" s="104">
        <f t="shared" ref="T84:T91" ca="1" si="51">VLOOKUP(R84,B:N,5,0)</f>
        <v>599</v>
      </c>
      <c r="U84" s="105">
        <f t="shared" ref="U84:U91" ca="1" si="52">SUM(S84:T84)</f>
        <v>599</v>
      </c>
      <c r="V84" s="106">
        <f t="shared" ref="V84:V91" ca="1" si="53">W84/U84</f>
        <v>266</v>
      </c>
      <c r="W84" s="105">
        <f t="shared" ref="W84:W91" ca="1" si="54">VLOOKUP(R84,B:N,10,0)</f>
        <v>159334</v>
      </c>
      <c r="X84" s="25"/>
    </row>
    <row r="85" spans="1:24">
      <c r="A85" s="81"/>
      <c r="B85" s="81" t="s">
        <v>95</v>
      </c>
      <c r="C85" s="83"/>
      <c r="D85" s="83"/>
      <c r="E85" s="83"/>
      <c r="F85" s="83">
        <v>588</v>
      </c>
      <c r="G85" s="83">
        <v>370</v>
      </c>
      <c r="H85" s="83">
        <v>217560</v>
      </c>
      <c r="I85" s="86">
        <v>588</v>
      </c>
      <c r="J85" s="83">
        <v>370</v>
      </c>
      <c r="K85" s="86">
        <v>217560</v>
      </c>
      <c r="L85"/>
      <c r="M85"/>
      <c r="N85"/>
      <c r="O85"/>
      <c r="P85"/>
      <c r="Q85" s="102"/>
      <c r="R85" s="81" t="s">
        <v>95</v>
      </c>
      <c r="S85" s="104">
        <f t="shared" ca="1" si="50"/>
        <v>0</v>
      </c>
      <c r="T85" s="104">
        <f t="shared" ca="1" si="51"/>
        <v>588</v>
      </c>
      <c r="U85" s="105">
        <f t="shared" ca="1" si="52"/>
        <v>588</v>
      </c>
      <c r="V85" s="106">
        <f t="shared" ca="1" si="53"/>
        <v>370</v>
      </c>
      <c r="W85" s="105">
        <f t="shared" ca="1" si="54"/>
        <v>217560</v>
      </c>
      <c r="X85" s="25"/>
    </row>
    <row r="86" spans="1:24">
      <c r="A86" s="81"/>
      <c r="B86" s="81" t="s">
        <v>8</v>
      </c>
      <c r="C86" s="83">
        <v>40</v>
      </c>
      <c r="D86" s="83">
        <v>501</v>
      </c>
      <c r="E86" s="83">
        <v>20040</v>
      </c>
      <c r="F86" s="83"/>
      <c r="G86" s="83"/>
      <c r="H86" s="83"/>
      <c r="I86" s="86">
        <v>40</v>
      </c>
      <c r="J86" s="83">
        <v>501</v>
      </c>
      <c r="K86" s="86">
        <v>20040</v>
      </c>
      <c r="L86"/>
      <c r="M86"/>
      <c r="N86"/>
      <c r="O86"/>
      <c r="P86"/>
      <c r="Q86" s="102"/>
      <c r="R86" s="81" t="s">
        <v>8</v>
      </c>
      <c r="S86" s="104">
        <f t="shared" ca="1" si="50"/>
        <v>40</v>
      </c>
      <c r="T86" s="104">
        <f t="shared" ca="1" si="51"/>
        <v>0</v>
      </c>
      <c r="U86" s="105">
        <f t="shared" ca="1" si="52"/>
        <v>40</v>
      </c>
      <c r="V86" s="106">
        <f t="shared" ca="1" si="53"/>
        <v>501</v>
      </c>
      <c r="W86" s="105">
        <f t="shared" ca="1" si="54"/>
        <v>20040</v>
      </c>
      <c r="X86" s="25"/>
    </row>
    <row r="87" spans="1:24">
      <c r="A87" s="81"/>
      <c r="B87" s="81" t="s">
        <v>96</v>
      </c>
      <c r="C87" s="83"/>
      <c r="D87" s="83"/>
      <c r="E87" s="83"/>
      <c r="F87" s="83">
        <v>32</v>
      </c>
      <c r="G87" s="83">
        <v>725</v>
      </c>
      <c r="H87" s="83">
        <v>23200</v>
      </c>
      <c r="I87" s="86">
        <v>32</v>
      </c>
      <c r="J87" s="83">
        <v>725</v>
      </c>
      <c r="K87" s="86">
        <v>23200</v>
      </c>
      <c r="L87"/>
      <c r="M87"/>
      <c r="N87"/>
      <c r="O87"/>
      <c r="P87"/>
      <c r="Q87" s="102"/>
      <c r="R87" s="81" t="s">
        <v>96</v>
      </c>
      <c r="S87" s="104">
        <f t="shared" ca="1" si="50"/>
        <v>0</v>
      </c>
      <c r="T87" s="104">
        <f t="shared" ca="1" si="51"/>
        <v>32</v>
      </c>
      <c r="U87" s="105">
        <f t="shared" ca="1" si="52"/>
        <v>32</v>
      </c>
      <c r="V87" s="106">
        <f t="shared" ca="1" si="53"/>
        <v>725</v>
      </c>
      <c r="W87" s="105">
        <f t="shared" ca="1" si="54"/>
        <v>23200</v>
      </c>
      <c r="X87" s="25"/>
    </row>
    <row r="88" spans="1:24">
      <c r="A88" s="81"/>
      <c r="B88" s="81" t="s">
        <v>10</v>
      </c>
      <c r="C88" s="83">
        <v>0</v>
      </c>
      <c r="D88" s="83">
        <v>266</v>
      </c>
      <c r="E88" s="83">
        <v>0</v>
      </c>
      <c r="F88" s="83"/>
      <c r="G88" s="83"/>
      <c r="H88" s="83"/>
      <c r="I88" s="86">
        <v>0</v>
      </c>
      <c r="J88" s="83">
        <v>266</v>
      </c>
      <c r="K88" s="86">
        <v>0</v>
      </c>
      <c r="L88"/>
      <c r="M88"/>
      <c r="N88"/>
      <c r="O88"/>
      <c r="P88"/>
      <c r="Q88" s="102"/>
      <c r="R88" s="81" t="s">
        <v>10</v>
      </c>
      <c r="S88" s="104">
        <f t="shared" ca="1" si="50"/>
        <v>0</v>
      </c>
      <c r="T88" s="104">
        <f t="shared" ca="1" si="51"/>
        <v>0</v>
      </c>
      <c r="U88" s="105">
        <f t="shared" ca="1" si="52"/>
        <v>0</v>
      </c>
      <c r="V88" s="106" t="e">
        <f t="shared" ca="1" si="53"/>
        <v>#DIV/0!</v>
      </c>
      <c r="W88" s="105">
        <f t="shared" ca="1" si="54"/>
        <v>0</v>
      </c>
      <c r="X88" s="25"/>
    </row>
    <row r="89" spans="1:24">
      <c r="A89" s="81"/>
      <c r="B89" s="81" t="s">
        <v>12</v>
      </c>
      <c r="C89" s="83"/>
      <c r="D89" s="83"/>
      <c r="E89" s="83"/>
      <c r="F89" s="83">
        <v>7.5</v>
      </c>
      <c r="G89" s="83">
        <v>600</v>
      </c>
      <c r="H89" s="83">
        <v>4500</v>
      </c>
      <c r="I89" s="86">
        <v>7.5</v>
      </c>
      <c r="J89" s="83">
        <v>600</v>
      </c>
      <c r="K89" s="86">
        <v>4500</v>
      </c>
      <c r="L89"/>
      <c r="M89"/>
      <c r="N89"/>
      <c r="O89"/>
      <c r="P89"/>
      <c r="Q89" s="102"/>
      <c r="R89" s="81" t="s">
        <v>12</v>
      </c>
      <c r="S89" s="104">
        <f t="shared" ca="1" si="50"/>
        <v>0</v>
      </c>
      <c r="T89" s="104">
        <f t="shared" ca="1" si="51"/>
        <v>7.5</v>
      </c>
      <c r="U89" s="105">
        <f t="shared" ca="1" si="52"/>
        <v>7.5</v>
      </c>
      <c r="V89" s="106">
        <f t="shared" ca="1" si="53"/>
        <v>600</v>
      </c>
      <c r="W89" s="105">
        <f t="shared" ca="1" si="54"/>
        <v>4500</v>
      </c>
      <c r="X89" s="25"/>
    </row>
    <row r="90" spans="1:24">
      <c r="A90" s="81"/>
      <c r="B90" s="81" t="s">
        <v>93</v>
      </c>
      <c r="C90" s="83">
        <v>2025</v>
      </c>
      <c r="D90" s="83">
        <v>339.90625</v>
      </c>
      <c r="E90" s="83">
        <v>695711.25</v>
      </c>
      <c r="F90" s="83">
        <v>0</v>
      </c>
      <c r="G90" s="83">
        <v>400</v>
      </c>
      <c r="H90" s="83">
        <v>0</v>
      </c>
      <c r="I90" s="86">
        <v>2025</v>
      </c>
      <c r="J90" s="83">
        <v>346.58333333333331</v>
      </c>
      <c r="K90" s="86">
        <v>695711.25</v>
      </c>
      <c r="L90"/>
      <c r="M90"/>
      <c r="N90"/>
      <c r="O90"/>
      <c r="P90"/>
      <c r="Q90" s="102"/>
      <c r="R90" s="81" t="s">
        <v>93</v>
      </c>
      <c r="S90" s="104">
        <f t="shared" ca="1" si="50"/>
        <v>2025</v>
      </c>
      <c r="T90" s="104">
        <f t="shared" ca="1" si="51"/>
        <v>0</v>
      </c>
      <c r="U90" s="105">
        <f t="shared" ca="1" si="52"/>
        <v>2025</v>
      </c>
      <c r="V90" s="106">
        <f t="shared" ca="1" si="53"/>
        <v>343.56111111111113</v>
      </c>
      <c r="W90" s="105">
        <f t="shared" ca="1" si="54"/>
        <v>695711.25</v>
      </c>
      <c r="X90" s="25"/>
    </row>
    <row r="91" spans="1:24">
      <c r="A91" s="81"/>
      <c r="B91" s="81" t="s">
        <v>15</v>
      </c>
      <c r="C91" s="83"/>
      <c r="D91" s="83"/>
      <c r="E91" s="83"/>
      <c r="F91" s="83">
        <v>4.4000000000000004</v>
      </c>
      <c r="G91" s="83">
        <v>295</v>
      </c>
      <c r="H91" s="83">
        <v>1298</v>
      </c>
      <c r="I91" s="86">
        <v>4.4000000000000004</v>
      </c>
      <c r="J91" s="83">
        <v>295</v>
      </c>
      <c r="K91" s="86">
        <v>1298</v>
      </c>
      <c r="L91"/>
      <c r="M91"/>
      <c r="N91"/>
      <c r="O91"/>
      <c r="P91"/>
      <c r="Q91" s="102"/>
      <c r="R91" s="81" t="s">
        <v>15</v>
      </c>
      <c r="S91" s="104">
        <f t="shared" ca="1" si="50"/>
        <v>0</v>
      </c>
      <c r="T91" s="104">
        <f t="shared" ca="1" si="51"/>
        <v>4.4000000000000004</v>
      </c>
      <c r="U91" s="105">
        <f t="shared" ca="1" si="52"/>
        <v>4.4000000000000004</v>
      </c>
      <c r="V91" s="106">
        <f t="shared" ca="1" si="53"/>
        <v>295</v>
      </c>
      <c r="W91" s="105">
        <f t="shared" ca="1" si="54"/>
        <v>1298</v>
      </c>
      <c r="X91" s="25"/>
    </row>
    <row r="92" spans="1:24">
      <c r="A92" s="89" t="s">
        <v>97</v>
      </c>
      <c r="B92" s="89"/>
      <c r="C92" s="90">
        <v>2065</v>
      </c>
      <c r="D92" s="90">
        <v>348.625</v>
      </c>
      <c r="E92" s="90">
        <v>715751.25</v>
      </c>
      <c r="F92" s="90">
        <v>1230.9000000000001</v>
      </c>
      <c r="G92" s="90">
        <v>442.66666666666669</v>
      </c>
      <c r="H92" s="90">
        <v>405892</v>
      </c>
      <c r="I92" s="93">
        <v>3295.9</v>
      </c>
      <c r="J92" s="90">
        <v>383.890625</v>
      </c>
      <c r="K92" s="93">
        <v>1121643.25</v>
      </c>
      <c r="L92"/>
      <c r="M92"/>
      <c r="N92"/>
      <c r="O92"/>
      <c r="P92"/>
      <c r="Q92" s="103" t="s">
        <v>97</v>
      </c>
      <c r="R92" s="28"/>
      <c r="S92" s="29">
        <f ca="1">SUM(S84:S91)</f>
        <v>2065</v>
      </c>
      <c r="T92" s="29">
        <f ca="1">SUM(T84:T91)</f>
        <v>1230.9000000000001</v>
      </c>
      <c r="U92" s="29">
        <f ca="1">SUM(U84:U91)</f>
        <v>3295.9</v>
      </c>
      <c r="V92" s="30">
        <f ca="1">W92/U92</f>
        <v>340.31470918413788</v>
      </c>
      <c r="W92" s="29">
        <f ca="1">SUM(W84:W91)</f>
        <v>1121643.25</v>
      </c>
      <c r="X92" s="27"/>
    </row>
    <row r="93" spans="1:24">
      <c r="A93" s="81" t="s">
        <v>101</v>
      </c>
      <c r="B93" s="81" t="s">
        <v>120</v>
      </c>
      <c r="C93" s="83"/>
      <c r="D93" s="83"/>
      <c r="E93" s="83"/>
      <c r="F93" s="83">
        <v>8</v>
      </c>
      <c r="G93" s="83">
        <v>285</v>
      </c>
      <c r="H93" s="83">
        <v>2280</v>
      </c>
      <c r="I93" s="86">
        <v>8</v>
      </c>
      <c r="J93" s="83">
        <v>285</v>
      </c>
      <c r="K93" s="86">
        <v>2280</v>
      </c>
      <c r="L93"/>
      <c r="M93"/>
      <c r="N93"/>
      <c r="O93"/>
      <c r="P93"/>
      <c r="Q93" s="102" t="s">
        <v>101</v>
      </c>
      <c r="R93" s="81" t="s">
        <v>120</v>
      </c>
      <c r="S93" s="104">
        <f t="shared" ref="S93:S119" ca="1" si="55">VLOOKUP(R93,B:N,2,0)</f>
        <v>0</v>
      </c>
      <c r="T93" s="104">
        <f t="shared" ref="T93:T119" ca="1" si="56">VLOOKUP(R93,B:N,5,0)</f>
        <v>8</v>
      </c>
      <c r="U93" s="105">
        <f t="shared" ref="U93:U119" ca="1" si="57">SUM(S93:T93)</f>
        <v>8</v>
      </c>
      <c r="V93" s="106">
        <f t="shared" ref="V93:V119" ca="1" si="58">W93/U93</f>
        <v>285</v>
      </c>
      <c r="W93" s="105">
        <f t="shared" ref="W93:W119" ca="1" si="59">VLOOKUP(R93,B:N,10,0)</f>
        <v>2280</v>
      </c>
      <c r="X93" s="25"/>
    </row>
    <row r="94" spans="1:24">
      <c r="A94" s="81"/>
      <c r="B94" s="81" t="s">
        <v>105</v>
      </c>
      <c r="C94" s="83"/>
      <c r="D94" s="83"/>
      <c r="E94" s="83"/>
      <c r="F94" s="83">
        <v>95</v>
      </c>
      <c r="G94" s="83">
        <v>260</v>
      </c>
      <c r="H94" s="83">
        <v>24700</v>
      </c>
      <c r="I94" s="86">
        <v>95</v>
      </c>
      <c r="J94" s="83">
        <v>260</v>
      </c>
      <c r="K94" s="86">
        <v>24700</v>
      </c>
      <c r="L94"/>
      <c r="M94"/>
      <c r="N94"/>
      <c r="O94"/>
      <c r="P94"/>
      <c r="Q94" s="102"/>
      <c r="R94" s="81" t="s">
        <v>105</v>
      </c>
      <c r="S94" s="104">
        <f t="shared" ca="1" si="55"/>
        <v>0</v>
      </c>
      <c r="T94" s="104">
        <f t="shared" ca="1" si="56"/>
        <v>95</v>
      </c>
      <c r="U94" s="105">
        <f t="shared" ca="1" si="57"/>
        <v>95</v>
      </c>
      <c r="V94" s="106">
        <f t="shared" ca="1" si="58"/>
        <v>260</v>
      </c>
      <c r="W94" s="105">
        <f t="shared" ca="1" si="59"/>
        <v>24700</v>
      </c>
      <c r="X94" s="25"/>
    </row>
    <row r="95" spans="1:24">
      <c r="A95" s="81"/>
      <c r="B95" s="81" t="s">
        <v>106</v>
      </c>
      <c r="C95" s="83"/>
      <c r="D95" s="83"/>
      <c r="E95" s="83"/>
      <c r="F95" s="83">
        <v>315</v>
      </c>
      <c r="G95" s="83">
        <v>230</v>
      </c>
      <c r="H95" s="83">
        <v>72450</v>
      </c>
      <c r="I95" s="86">
        <v>315</v>
      </c>
      <c r="J95" s="83">
        <v>230</v>
      </c>
      <c r="K95" s="86">
        <v>72450</v>
      </c>
      <c r="L95"/>
      <c r="M95"/>
      <c r="N95"/>
      <c r="O95"/>
      <c r="P95"/>
      <c r="Q95" s="102"/>
      <c r="R95" s="81" t="s">
        <v>106</v>
      </c>
      <c r="S95" s="104">
        <f t="shared" ca="1" si="55"/>
        <v>0</v>
      </c>
      <c r="T95" s="104">
        <f t="shared" ca="1" si="56"/>
        <v>315</v>
      </c>
      <c r="U95" s="105">
        <f t="shared" ca="1" si="57"/>
        <v>315</v>
      </c>
      <c r="V95" s="106">
        <f t="shared" ca="1" si="58"/>
        <v>230</v>
      </c>
      <c r="W95" s="105">
        <f t="shared" ca="1" si="59"/>
        <v>72450</v>
      </c>
      <c r="X95" s="25"/>
    </row>
    <row r="96" spans="1:24">
      <c r="A96" s="81"/>
      <c r="B96" s="81" t="s">
        <v>107</v>
      </c>
      <c r="C96" s="83"/>
      <c r="D96" s="83"/>
      <c r="E96" s="83"/>
      <c r="F96" s="83">
        <v>35</v>
      </c>
      <c r="G96" s="83">
        <v>255</v>
      </c>
      <c r="H96" s="83">
        <v>8925</v>
      </c>
      <c r="I96" s="86">
        <v>35</v>
      </c>
      <c r="J96" s="83">
        <v>255</v>
      </c>
      <c r="K96" s="86">
        <v>8925</v>
      </c>
      <c r="L96"/>
      <c r="M96"/>
      <c r="N96"/>
      <c r="O96"/>
      <c r="P96"/>
      <c r="Q96" s="102"/>
      <c r="R96" s="81" t="s">
        <v>107</v>
      </c>
      <c r="S96" s="104">
        <f t="shared" ca="1" si="55"/>
        <v>0</v>
      </c>
      <c r="T96" s="104">
        <f t="shared" ca="1" si="56"/>
        <v>35</v>
      </c>
      <c r="U96" s="105">
        <f t="shared" ca="1" si="57"/>
        <v>35</v>
      </c>
      <c r="V96" s="106">
        <f t="shared" ca="1" si="58"/>
        <v>255</v>
      </c>
      <c r="W96" s="105">
        <f t="shared" ca="1" si="59"/>
        <v>8925</v>
      </c>
      <c r="X96" s="25"/>
    </row>
    <row r="97" spans="1:24">
      <c r="A97" s="81"/>
      <c r="B97" s="81" t="s">
        <v>108</v>
      </c>
      <c r="C97" s="83"/>
      <c r="D97" s="83"/>
      <c r="E97" s="83"/>
      <c r="F97" s="83">
        <v>107</v>
      </c>
      <c r="G97" s="83">
        <v>540</v>
      </c>
      <c r="H97" s="83">
        <v>57780</v>
      </c>
      <c r="I97" s="86">
        <v>107</v>
      </c>
      <c r="J97" s="83">
        <v>540</v>
      </c>
      <c r="K97" s="86">
        <v>57780</v>
      </c>
      <c r="L97"/>
      <c r="M97"/>
      <c r="N97"/>
      <c r="O97"/>
      <c r="P97"/>
      <c r="Q97" s="102"/>
      <c r="R97" s="81" t="s">
        <v>108</v>
      </c>
      <c r="S97" s="104">
        <f t="shared" ca="1" si="55"/>
        <v>0</v>
      </c>
      <c r="T97" s="104">
        <f t="shared" ca="1" si="56"/>
        <v>107</v>
      </c>
      <c r="U97" s="105">
        <f t="shared" ca="1" si="57"/>
        <v>107</v>
      </c>
      <c r="V97" s="106">
        <f t="shared" ca="1" si="58"/>
        <v>540</v>
      </c>
      <c r="W97" s="105">
        <f t="shared" ca="1" si="59"/>
        <v>57780</v>
      </c>
      <c r="X97" s="25"/>
    </row>
    <row r="98" spans="1:24">
      <c r="A98" s="81"/>
      <c r="B98" s="81" t="s">
        <v>779</v>
      </c>
      <c r="C98" s="83"/>
      <c r="D98" s="83"/>
      <c r="E98" s="83"/>
      <c r="F98" s="83">
        <v>25</v>
      </c>
      <c r="G98" s="83">
        <v>255</v>
      </c>
      <c r="H98" s="83">
        <v>6375</v>
      </c>
      <c r="I98" s="86">
        <v>25</v>
      </c>
      <c r="J98" s="83">
        <v>255</v>
      </c>
      <c r="K98" s="86">
        <v>6375</v>
      </c>
      <c r="L98"/>
      <c r="M98"/>
      <c r="N98"/>
      <c r="O98"/>
      <c r="P98"/>
      <c r="Q98" s="102"/>
      <c r="R98" s="81" t="s">
        <v>779</v>
      </c>
      <c r="S98" s="104">
        <f t="shared" ca="1" si="55"/>
        <v>0</v>
      </c>
      <c r="T98" s="104">
        <f t="shared" ca="1" si="56"/>
        <v>25</v>
      </c>
      <c r="U98" s="105">
        <f t="shared" ca="1" si="57"/>
        <v>25</v>
      </c>
      <c r="V98" s="106">
        <f t="shared" ca="1" si="58"/>
        <v>255</v>
      </c>
      <c r="W98" s="105">
        <f t="shared" ca="1" si="59"/>
        <v>6375</v>
      </c>
      <c r="X98" s="25"/>
    </row>
    <row r="99" spans="1:24">
      <c r="A99" s="81"/>
      <c r="B99" s="81" t="s">
        <v>119</v>
      </c>
      <c r="C99" s="83"/>
      <c r="D99" s="83"/>
      <c r="E99" s="83"/>
      <c r="F99" s="83">
        <v>50</v>
      </c>
      <c r="G99" s="83">
        <v>250</v>
      </c>
      <c r="H99" s="83">
        <v>12500</v>
      </c>
      <c r="I99" s="86">
        <v>50</v>
      </c>
      <c r="J99" s="83">
        <v>250</v>
      </c>
      <c r="K99" s="86">
        <v>12500</v>
      </c>
      <c r="L99"/>
      <c r="M99"/>
      <c r="N99"/>
      <c r="O99"/>
      <c r="P99"/>
      <c r="Q99" s="102"/>
      <c r="R99" s="81" t="s">
        <v>119</v>
      </c>
      <c r="S99" s="104">
        <f t="shared" ca="1" si="55"/>
        <v>0</v>
      </c>
      <c r="T99" s="104">
        <f t="shared" ca="1" si="56"/>
        <v>50</v>
      </c>
      <c r="U99" s="105">
        <f t="shared" ca="1" si="57"/>
        <v>50</v>
      </c>
      <c r="V99" s="106">
        <f t="shared" ca="1" si="58"/>
        <v>250</v>
      </c>
      <c r="W99" s="105">
        <f t="shared" ca="1" si="59"/>
        <v>12500</v>
      </c>
      <c r="X99" s="25"/>
    </row>
    <row r="100" spans="1:24">
      <c r="A100" s="81"/>
      <c r="B100" s="81" t="s">
        <v>773</v>
      </c>
      <c r="C100" s="83"/>
      <c r="D100" s="83"/>
      <c r="E100" s="83"/>
      <c r="F100" s="83">
        <v>25</v>
      </c>
      <c r="G100" s="83">
        <v>300</v>
      </c>
      <c r="H100" s="83">
        <v>7500</v>
      </c>
      <c r="I100" s="86">
        <v>25</v>
      </c>
      <c r="J100" s="83">
        <v>300</v>
      </c>
      <c r="K100" s="86">
        <v>7500</v>
      </c>
      <c r="L100"/>
      <c r="M100"/>
      <c r="N100"/>
      <c r="O100"/>
      <c r="P100"/>
      <c r="Q100" s="102"/>
      <c r="R100" s="81" t="s">
        <v>773</v>
      </c>
      <c r="S100" s="104">
        <f t="shared" ca="1" si="55"/>
        <v>0</v>
      </c>
      <c r="T100" s="104">
        <f t="shared" ca="1" si="56"/>
        <v>25</v>
      </c>
      <c r="U100" s="105">
        <f t="shared" ca="1" si="57"/>
        <v>25</v>
      </c>
      <c r="V100" s="106">
        <f t="shared" ca="1" si="58"/>
        <v>300</v>
      </c>
      <c r="W100" s="105">
        <f t="shared" ca="1" si="59"/>
        <v>7500</v>
      </c>
      <c r="X100" s="25"/>
    </row>
    <row r="101" spans="1:24">
      <c r="A101" s="81"/>
      <c r="B101" s="81" t="s">
        <v>109</v>
      </c>
      <c r="C101" s="83"/>
      <c r="D101" s="83"/>
      <c r="E101" s="83"/>
      <c r="F101" s="83">
        <v>100</v>
      </c>
      <c r="G101" s="83">
        <v>259</v>
      </c>
      <c r="H101" s="83">
        <v>25900</v>
      </c>
      <c r="I101" s="86">
        <v>100</v>
      </c>
      <c r="J101" s="83">
        <v>259</v>
      </c>
      <c r="K101" s="86">
        <v>25900</v>
      </c>
      <c r="L101"/>
      <c r="M101"/>
      <c r="N101"/>
      <c r="O101"/>
      <c r="P101"/>
      <c r="Q101" s="102"/>
      <c r="R101" s="81" t="s">
        <v>109</v>
      </c>
      <c r="S101" s="104">
        <f t="shared" ca="1" si="55"/>
        <v>0</v>
      </c>
      <c r="T101" s="104">
        <f t="shared" ca="1" si="56"/>
        <v>100</v>
      </c>
      <c r="U101" s="105">
        <f t="shared" ca="1" si="57"/>
        <v>100</v>
      </c>
      <c r="V101" s="106">
        <f t="shared" ca="1" si="58"/>
        <v>259</v>
      </c>
      <c r="W101" s="105">
        <f t="shared" ca="1" si="59"/>
        <v>25900</v>
      </c>
      <c r="X101" s="25"/>
    </row>
    <row r="102" spans="1:24">
      <c r="A102" s="81"/>
      <c r="B102" s="81" t="s">
        <v>764</v>
      </c>
      <c r="C102" s="83"/>
      <c r="D102" s="83"/>
      <c r="E102" s="83"/>
      <c r="F102" s="83">
        <v>8.75</v>
      </c>
      <c r="G102" s="83">
        <v>296.60000000000002</v>
      </c>
      <c r="H102" s="83">
        <v>2595.25</v>
      </c>
      <c r="I102" s="86">
        <v>8.75</v>
      </c>
      <c r="J102" s="83">
        <v>296.60000000000002</v>
      </c>
      <c r="K102" s="86">
        <v>2595.25</v>
      </c>
      <c r="L102"/>
      <c r="M102"/>
      <c r="N102"/>
      <c r="O102"/>
      <c r="P102"/>
      <c r="Q102" s="102"/>
      <c r="R102" s="81" t="s">
        <v>764</v>
      </c>
      <c r="S102" s="104">
        <f t="shared" ref="S102" ca="1" si="60">VLOOKUP(R102,B:N,2,0)</f>
        <v>0</v>
      </c>
      <c r="T102" s="104">
        <f t="shared" ref="T102" ca="1" si="61">VLOOKUP(R102,B:N,5,0)</f>
        <v>8.75</v>
      </c>
      <c r="U102" s="105">
        <f t="shared" ca="1" si="57"/>
        <v>8.75</v>
      </c>
      <c r="V102" s="106">
        <f t="shared" ref="V102" ca="1" si="62">W102/U102</f>
        <v>296.60000000000002</v>
      </c>
      <c r="W102" s="105">
        <f t="shared" ca="1" si="59"/>
        <v>2595.25</v>
      </c>
      <c r="X102" s="25"/>
    </row>
    <row r="103" spans="1:24">
      <c r="A103" s="81"/>
      <c r="B103" s="81" t="s">
        <v>831</v>
      </c>
      <c r="C103" s="83"/>
      <c r="D103" s="83"/>
      <c r="E103" s="83"/>
      <c r="F103" s="83">
        <v>2</v>
      </c>
      <c r="G103" s="83">
        <v>250</v>
      </c>
      <c r="H103" s="83">
        <v>500</v>
      </c>
      <c r="I103" s="86">
        <v>2</v>
      </c>
      <c r="J103" s="83">
        <v>250</v>
      </c>
      <c r="K103" s="86">
        <v>500</v>
      </c>
      <c r="L103"/>
      <c r="M103"/>
      <c r="N103"/>
      <c r="O103"/>
      <c r="P103"/>
      <c r="Q103" s="102"/>
      <c r="R103" s="81" t="s">
        <v>831</v>
      </c>
      <c r="S103" s="104">
        <f t="shared" ref="S103" ca="1" si="63">VLOOKUP(R103,B:N,2,0)</f>
        <v>0</v>
      </c>
      <c r="T103" s="104">
        <f t="shared" ref="T103" ca="1" si="64">VLOOKUP(R103,B:N,5,0)</f>
        <v>2</v>
      </c>
      <c r="U103" s="105">
        <f t="shared" ca="1" si="57"/>
        <v>2</v>
      </c>
      <c r="V103" s="106">
        <f t="shared" ref="V103" ca="1" si="65">W103/U103</f>
        <v>250</v>
      </c>
      <c r="W103" s="105">
        <f t="shared" ca="1" si="59"/>
        <v>500</v>
      </c>
      <c r="X103" s="25"/>
    </row>
    <row r="104" spans="1:24">
      <c r="A104" s="81"/>
      <c r="B104" s="81" t="s">
        <v>110</v>
      </c>
      <c r="C104" s="83"/>
      <c r="D104" s="83"/>
      <c r="E104" s="83"/>
      <c r="F104" s="83">
        <v>50</v>
      </c>
      <c r="G104" s="83">
        <v>210</v>
      </c>
      <c r="H104" s="83">
        <v>10500</v>
      </c>
      <c r="I104" s="86">
        <v>50</v>
      </c>
      <c r="J104" s="83">
        <v>210</v>
      </c>
      <c r="K104" s="86">
        <v>10500</v>
      </c>
      <c r="L104"/>
      <c r="M104"/>
      <c r="N104"/>
      <c r="O104"/>
      <c r="P104"/>
      <c r="Q104" s="102"/>
      <c r="R104" s="81" t="s">
        <v>110</v>
      </c>
      <c r="S104" s="104">
        <f t="shared" ca="1" si="55"/>
        <v>0</v>
      </c>
      <c r="T104" s="104">
        <f t="shared" ca="1" si="56"/>
        <v>50</v>
      </c>
      <c r="U104" s="105">
        <f t="shared" ca="1" si="57"/>
        <v>50</v>
      </c>
      <c r="V104" s="106">
        <f t="shared" ca="1" si="58"/>
        <v>210</v>
      </c>
      <c r="W104" s="105">
        <f t="shared" ca="1" si="59"/>
        <v>10500</v>
      </c>
      <c r="X104" s="25"/>
    </row>
    <row r="105" spans="1:24">
      <c r="A105" s="81"/>
      <c r="B105" s="81" t="s">
        <v>734</v>
      </c>
      <c r="C105" s="83"/>
      <c r="D105" s="83"/>
      <c r="E105" s="83"/>
      <c r="F105" s="83">
        <v>25</v>
      </c>
      <c r="G105" s="83">
        <v>230</v>
      </c>
      <c r="H105" s="83">
        <v>5750</v>
      </c>
      <c r="I105" s="86">
        <v>25</v>
      </c>
      <c r="J105" s="83">
        <v>230</v>
      </c>
      <c r="K105" s="86">
        <v>5750</v>
      </c>
      <c r="L105"/>
      <c r="M105"/>
      <c r="N105"/>
      <c r="O105"/>
      <c r="P105"/>
      <c r="Q105" s="102"/>
      <c r="R105" s="81" t="s">
        <v>734</v>
      </c>
      <c r="S105" s="104">
        <f t="shared" ca="1" si="55"/>
        <v>0</v>
      </c>
      <c r="T105" s="104">
        <f t="shared" ca="1" si="56"/>
        <v>25</v>
      </c>
      <c r="U105" s="105">
        <f t="shared" ca="1" si="57"/>
        <v>25</v>
      </c>
      <c r="V105" s="106">
        <f t="shared" ca="1" si="58"/>
        <v>230</v>
      </c>
      <c r="W105" s="105">
        <f t="shared" ca="1" si="59"/>
        <v>5750</v>
      </c>
      <c r="X105" s="25"/>
    </row>
    <row r="106" spans="1:24">
      <c r="A106" s="81"/>
      <c r="B106" s="81" t="s">
        <v>111</v>
      </c>
      <c r="C106" s="83"/>
      <c r="D106" s="83"/>
      <c r="E106" s="83"/>
      <c r="F106" s="83">
        <v>20</v>
      </c>
      <c r="G106" s="83">
        <v>217</v>
      </c>
      <c r="H106" s="83">
        <v>4340</v>
      </c>
      <c r="I106" s="86">
        <v>20</v>
      </c>
      <c r="J106" s="83">
        <v>217</v>
      </c>
      <c r="K106" s="86">
        <v>4340</v>
      </c>
      <c r="L106"/>
      <c r="M106"/>
      <c r="N106"/>
      <c r="O106"/>
      <c r="P106"/>
      <c r="Q106" s="102"/>
      <c r="R106" s="81" t="s">
        <v>111</v>
      </c>
      <c r="S106" s="104">
        <f t="shared" ca="1" si="55"/>
        <v>0</v>
      </c>
      <c r="T106" s="104">
        <f t="shared" ca="1" si="56"/>
        <v>20</v>
      </c>
      <c r="U106" s="105">
        <f t="shared" ca="1" si="57"/>
        <v>20</v>
      </c>
      <c r="V106" s="106">
        <f t="shared" ca="1" si="58"/>
        <v>217</v>
      </c>
      <c r="W106" s="105">
        <f t="shared" ca="1" si="59"/>
        <v>4340</v>
      </c>
      <c r="X106" s="25"/>
    </row>
    <row r="107" spans="1:24">
      <c r="A107" s="81"/>
      <c r="B107" s="81" t="s">
        <v>102</v>
      </c>
      <c r="C107" s="83"/>
      <c r="D107" s="83"/>
      <c r="E107" s="83"/>
      <c r="F107" s="83">
        <v>1300</v>
      </c>
      <c r="G107" s="83">
        <v>270</v>
      </c>
      <c r="H107" s="83">
        <v>351000</v>
      </c>
      <c r="I107" s="86">
        <v>1300</v>
      </c>
      <c r="J107" s="83">
        <v>270</v>
      </c>
      <c r="K107" s="86">
        <v>351000</v>
      </c>
      <c r="L107"/>
      <c r="M107"/>
      <c r="N107"/>
      <c r="O107"/>
      <c r="P107"/>
      <c r="Q107" s="102"/>
      <c r="R107" s="81" t="s">
        <v>102</v>
      </c>
      <c r="S107" s="104">
        <f t="shared" ca="1" si="55"/>
        <v>0</v>
      </c>
      <c r="T107" s="104">
        <f t="shared" ca="1" si="56"/>
        <v>1300</v>
      </c>
      <c r="U107" s="105">
        <f t="shared" ca="1" si="57"/>
        <v>1300</v>
      </c>
      <c r="V107" s="106">
        <f t="shared" ca="1" si="58"/>
        <v>270</v>
      </c>
      <c r="W107" s="105">
        <f t="shared" ca="1" si="59"/>
        <v>351000</v>
      </c>
      <c r="X107" s="25"/>
    </row>
    <row r="108" spans="1:24">
      <c r="A108" s="81"/>
      <c r="B108" s="81" t="s">
        <v>112</v>
      </c>
      <c r="C108" s="83"/>
      <c r="D108" s="83"/>
      <c r="E108" s="83"/>
      <c r="F108" s="83">
        <v>55</v>
      </c>
      <c r="G108" s="83">
        <v>230</v>
      </c>
      <c r="H108" s="83">
        <v>12650</v>
      </c>
      <c r="I108" s="86">
        <v>55</v>
      </c>
      <c r="J108" s="83">
        <v>230</v>
      </c>
      <c r="K108" s="86">
        <v>12650</v>
      </c>
      <c r="L108"/>
      <c r="M108"/>
      <c r="N108"/>
      <c r="O108"/>
      <c r="P108"/>
      <c r="Q108" s="102"/>
      <c r="R108" s="81" t="s">
        <v>112</v>
      </c>
      <c r="S108" s="104">
        <f t="shared" ca="1" si="55"/>
        <v>0</v>
      </c>
      <c r="T108" s="104">
        <f t="shared" ca="1" si="56"/>
        <v>55</v>
      </c>
      <c r="U108" s="105">
        <f t="shared" ca="1" si="57"/>
        <v>55</v>
      </c>
      <c r="V108" s="106">
        <f t="shared" ca="1" si="58"/>
        <v>230</v>
      </c>
      <c r="W108" s="105">
        <f t="shared" ca="1" si="59"/>
        <v>12650</v>
      </c>
      <c r="X108" s="25"/>
    </row>
    <row r="109" spans="1:24">
      <c r="A109" s="81"/>
      <c r="B109" s="81" t="s">
        <v>113</v>
      </c>
      <c r="C109" s="83"/>
      <c r="D109" s="83"/>
      <c r="E109" s="83"/>
      <c r="F109" s="83">
        <v>0</v>
      </c>
      <c r="G109" s="83">
        <v>245</v>
      </c>
      <c r="H109" s="83">
        <v>0</v>
      </c>
      <c r="I109" s="86">
        <v>0</v>
      </c>
      <c r="J109" s="83">
        <v>245</v>
      </c>
      <c r="K109" s="86">
        <v>0</v>
      </c>
      <c r="L109"/>
      <c r="M109"/>
      <c r="N109"/>
      <c r="O109"/>
      <c r="P109"/>
      <c r="Q109" s="102"/>
      <c r="R109" s="81" t="s">
        <v>113</v>
      </c>
      <c r="S109" s="104">
        <f t="shared" ca="1" si="55"/>
        <v>0</v>
      </c>
      <c r="T109" s="104">
        <f t="shared" ca="1" si="56"/>
        <v>0</v>
      </c>
      <c r="U109" s="105">
        <f t="shared" ca="1" si="57"/>
        <v>0</v>
      </c>
      <c r="V109" s="106" t="e">
        <f t="shared" ca="1" si="58"/>
        <v>#DIV/0!</v>
      </c>
      <c r="W109" s="105">
        <f t="shared" ca="1" si="59"/>
        <v>0</v>
      </c>
      <c r="X109" s="25"/>
    </row>
    <row r="110" spans="1:24">
      <c r="A110" s="81"/>
      <c r="B110" s="81" t="s">
        <v>103</v>
      </c>
      <c r="C110" s="83"/>
      <c r="D110" s="83"/>
      <c r="E110" s="83"/>
      <c r="F110" s="83">
        <v>375</v>
      </c>
      <c r="G110" s="83">
        <v>250</v>
      </c>
      <c r="H110" s="83">
        <v>93750</v>
      </c>
      <c r="I110" s="86">
        <v>375</v>
      </c>
      <c r="J110" s="83">
        <v>250</v>
      </c>
      <c r="K110" s="86">
        <v>93750</v>
      </c>
      <c r="L110"/>
      <c r="M110"/>
      <c r="N110"/>
      <c r="O110"/>
      <c r="P110"/>
      <c r="Q110" s="102"/>
      <c r="R110" s="81" t="s">
        <v>103</v>
      </c>
      <c r="S110" s="104">
        <f t="shared" ca="1" si="55"/>
        <v>0</v>
      </c>
      <c r="T110" s="104">
        <f t="shared" ca="1" si="56"/>
        <v>375</v>
      </c>
      <c r="U110" s="105">
        <f t="shared" ca="1" si="57"/>
        <v>375</v>
      </c>
      <c r="V110" s="106">
        <f t="shared" ca="1" si="58"/>
        <v>250</v>
      </c>
      <c r="W110" s="105">
        <f t="shared" ca="1" si="59"/>
        <v>93750</v>
      </c>
      <c r="X110" s="25"/>
    </row>
    <row r="111" spans="1:24">
      <c r="A111" s="81"/>
      <c r="B111" s="81" t="s">
        <v>114</v>
      </c>
      <c r="C111" s="83"/>
      <c r="D111" s="83"/>
      <c r="E111" s="83"/>
      <c r="F111" s="83">
        <v>150</v>
      </c>
      <c r="G111" s="83">
        <v>815</v>
      </c>
      <c r="H111" s="83">
        <v>122250</v>
      </c>
      <c r="I111" s="86">
        <v>150</v>
      </c>
      <c r="J111" s="83">
        <v>815</v>
      </c>
      <c r="K111" s="86">
        <v>122250</v>
      </c>
      <c r="L111"/>
      <c r="M111"/>
      <c r="N111"/>
      <c r="O111"/>
      <c r="P111"/>
      <c r="Q111" s="102"/>
      <c r="R111" s="81" t="s">
        <v>114</v>
      </c>
      <c r="S111" s="104">
        <f t="shared" ca="1" si="55"/>
        <v>0</v>
      </c>
      <c r="T111" s="104">
        <f t="shared" ca="1" si="56"/>
        <v>150</v>
      </c>
      <c r="U111" s="105">
        <f t="shared" ca="1" si="57"/>
        <v>150</v>
      </c>
      <c r="V111" s="106">
        <f t="shared" ca="1" si="58"/>
        <v>815</v>
      </c>
      <c r="W111" s="105">
        <f t="shared" ca="1" si="59"/>
        <v>122250</v>
      </c>
      <c r="X111" s="25"/>
    </row>
    <row r="112" spans="1:24">
      <c r="A112" s="81"/>
      <c r="B112" s="81" t="s">
        <v>104</v>
      </c>
      <c r="C112" s="83"/>
      <c r="D112" s="83"/>
      <c r="E112" s="83"/>
      <c r="F112" s="83">
        <v>23</v>
      </c>
      <c r="G112" s="83">
        <v>450</v>
      </c>
      <c r="H112" s="83">
        <v>10350</v>
      </c>
      <c r="I112" s="86">
        <v>23</v>
      </c>
      <c r="J112" s="83">
        <v>450</v>
      </c>
      <c r="K112" s="86">
        <v>10350</v>
      </c>
      <c r="L112"/>
      <c r="M112"/>
      <c r="N112"/>
      <c r="O112"/>
      <c r="P112"/>
      <c r="Q112" s="102"/>
      <c r="R112" s="81" t="s">
        <v>104</v>
      </c>
      <c r="S112" s="104">
        <f t="shared" ca="1" si="55"/>
        <v>0</v>
      </c>
      <c r="T112" s="104">
        <f t="shared" ca="1" si="56"/>
        <v>23</v>
      </c>
      <c r="U112" s="105">
        <f t="shared" ca="1" si="57"/>
        <v>23</v>
      </c>
      <c r="V112" s="106">
        <f t="shared" ca="1" si="58"/>
        <v>450</v>
      </c>
      <c r="W112" s="105">
        <f t="shared" ca="1" si="59"/>
        <v>10350</v>
      </c>
      <c r="X112" s="25"/>
    </row>
    <row r="113" spans="1:24">
      <c r="A113" s="81"/>
      <c r="B113" s="81" t="s">
        <v>115</v>
      </c>
      <c r="C113" s="83"/>
      <c r="D113" s="83"/>
      <c r="E113" s="83"/>
      <c r="F113" s="83">
        <v>20</v>
      </c>
      <c r="G113" s="83">
        <v>210</v>
      </c>
      <c r="H113" s="83">
        <v>4200</v>
      </c>
      <c r="I113" s="86">
        <v>20</v>
      </c>
      <c r="J113" s="83">
        <v>210</v>
      </c>
      <c r="K113" s="86">
        <v>4200</v>
      </c>
      <c r="L113"/>
      <c r="M113"/>
      <c r="N113"/>
      <c r="O113"/>
      <c r="P113"/>
      <c r="Q113" s="102"/>
      <c r="R113" s="81" t="s">
        <v>115</v>
      </c>
      <c r="S113" s="104">
        <f t="shared" ca="1" si="55"/>
        <v>0</v>
      </c>
      <c r="T113" s="104">
        <f t="shared" ca="1" si="56"/>
        <v>20</v>
      </c>
      <c r="U113" s="105">
        <f t="shared" ca="1" si="57"/>
        <v>20</v>
      </c>
      <c r="V113" s="106">
        <f t="shared" ca="1" si="58"/>
        <v>210</v>
      </c>
      <c r="W113" s="105">
        <f t="shared" ca="1" si="59"/>
        <v>4200</v>
      </c>
      <c r="X113" s="25"/>
    </row>
    <row r="114" spans="1:24">
      <c r="A114" s="81"/>
      <c r="B114" s="81" t="s">
        <v>116</v>
      </c>
      <c r="C114" s="83"/>
      <c r="D114" s="83"/>
      <c r="E114" s="83"/>
      <c r="F114" s="83">
        <v>50</v>
      </c>
      <c r="G114" s="83">
        <v>260</v>
      </c>
      <c r="H114" s="83">
        <v>13000</v>
      </c>
      <c r="I114" s="86">
        <v>50</v>
      </c>
      <c r="J114" s="83">
        <v>260</v>
      </c>
      <c r="K114" s="86">
        <v>13000</v>
      </c>
      <c r="L114"/>
      <c r="M114"/>
      <c r="N114"/>
      <c r="O114"/>
      <c r="P114"/>
      <c r="Q114" s="102"/>
      <c r="R114" s="81" t="s">
        <v>116</v>
      </c>
      <c r="S114" s="104">
        <f t="shared" ca="1" si="55"/>
        <v>0</v>
      </c>
      <c r="T114" s="104">
        <f t="shared" ca="1" si="56"/>
        <v>50</v>
      </c>
      <c r="U114" s="105">
        <f t="shared" ca="1" si="57"/>
        <v>50</v>
      </c>
      <c r="V114" s="106">
        <f t="shared" ca="1" si="58"/>
        <v>260</v>
      </c>
      <c r="W114" s="105">
        <f t="shared" ca="1" si="59"/>
        <v>13000</v>
      </c>
      <c r="X114" s="25"/>
    </row>
    <row r="115" spans="1:24">
      <c r="A115" s="81"/>
      <c r="B115" s="81" t="s">
        <v>117</v>
      </c>
      <c r="C115" s="83"/>
      <c r="D115" s="83"/>
      <c r="E115" s="83"/>
      <c r="F115" s="83">
        <v>21</v>
      </c>
      <c r="G115" s="83">
        <v>186</v>
      </c>
      <c r="H115" s="83">
        <v>3906</v>
      </c>
      <c r="I115" s="86">
        <v>21</v>
      </c>
      <c r="J115" s="83">
        <v>186</v>
      </c>
      <c r="K115" s="86">
        <v>3906</v>
      </c>
      <c r="L115"/>
      <c r="M115"/>
      <c r="N115"/>
      <c r="O115"/>
      <c r="P115"/>
      <c r="Q115" s="102"/>
      <c r="R115" s="81" t="s">
        <v>117</v>
      </c>
      <c r="S115" s="104">
        <f t="shared" ca="1" si="55"/>
        <v>0</v>
      </c>
      <c r="T115" s="104">
        <f t="shared" ca="1" si="56"/>
        <v>21</v>
      </c>
      <c r="U115" s="105">
        <f t="shared" ca="1" si="57"/>
        <v>21</v>
      </c>
      <c r="V115" s="106">
        <f t="shared" ca="1" si="58"/>
        <v>186</v>
      </c>
      <c r="W115" s="105">
        <f t="shared" ca="1" si="59"/>
        <v>3906</v>
      </c>
      <c r="X115" s="25"/>
    </row>
    <row r="116" spans="1:24">
      <c r="A116" s="81"/>
      <c r="B116" s="81" t="s">
        <v>833</v>
      </c>
      <c r="C116" s="83"/>
      <c r="D116" s="83"/>
      <c r="E116" s="83"/>
      <c r="F116" s="83">
        <v>0.9</v>
      </c>
      <c r="G116" s="83">
        <v>186</v>
      </c>
      <c r="H116" s="83">
        <v>167.4</v>
      </c>
      <c r="I116" s="86">
        <v>0.9</v>
      </c>
      <c r="J116" s="83">
        <v>186</v>
      </c>
      <c r="K116" s="86">
        <v>167.4</v>
      </c>
      <c r="L116"/>
      <c r="M116"/>
      <c r="N116"/>
      <c r="O116"/>
      <c r="P116"/>
      <c r="Q116" s="102"/>
      <c r="R116" s="81" t="s">
        <v>833</v>
      </c>
      <c r="S116" s="104">
        <f t="shared" ref="S116:S118" ca="1" si="66">VLOOKUP(R116,B:N,2,0)</f>
        <v>0</v>
      </c>
      <c r="T116" s="104">
        <f t="shared" ref="T116:T118" ca="1" si="67">VLOOKUP(R116,B:N,5,0)</f>
        <v>0.9</v>
      </c>
      <c r="U116" s="105">
        <f t="shared" ca="1" si="57"/>
        <v>0.9</v>
      </c>
      <c r="V116" s="106">
        <f t="shared" ref="V116:V118" ca="1" si="68">W116/U116</f>
        <v>186</v>
      </c>
      <c r="W116" s="105">
        <f t="shared" ca="1" si="59"/>
        <v>167.4</v>
      </c>
      <c r="X116" s="25"/>
    </row>
    <row r="117" spans="1:24">
      <c r="A117" s="81"/>
      <c r="B117" s="81" t="s">
        <v>735</v>
      </c>
      <c r="C117" s="83"/>
      <c r="D117" s="83"/>
      <c r="E117" s="83"/>
      <c r="F117" s="83">
        <v>3</v>
      </c>
      <c r="G117" s="83">
        <v>595</v>
      </c>
      <c r="H117" s="83">
        <v>1785</v>
      </c>
      <c r="I117" s="86">
        <v>3</v>
      </c>
      <c r="J117" s="83">
        <v>595</v>
      </c>
      <c r="K117" s="86">
        <v>1785</v>
      </c>
      <c r="L117"/>
      <c r="M117"/>
      <c r="N117"/>
      <c r="O117"/>
      <c r="P117"/>
      <c r="Q117" s="102"/>
      <c r="R117" s="81" t="s">
        <v>735</v>
      </c>
      <c r="S117" s="104">
        <f t="shared" ca="1" si="66"/>
        <v>0</v>
      </c>
      <c r="T117" s="104">
        <f t="shared" ca="1" si="67"/>
        <v>3</v>
      </c>
      <c r="U117" s="105">
        <f t="shared" ca="1" si="57"/>
        <v>3</v>
      </c>
      <c r="V117" s="106">
        <f t="shared" ca="1" si="68"/>
        <v>595</v>
      </c>
      <c r="W117" s="105">
        <f t="shared" ca="1" si="59"/>
        <v>1785</v>
      </c>
      <c r="X117" s="25"/>
    </row>
    <row r="118" spans="1:24">
      <c r="A118" s="81"/>
      <c r="B118" s="81" t="s">
        <v>834</v>
      </c>
      <c r="C118" s="83"/>
      <c r="D118" s="83"/>
      <c r="E118" s="83"/>
      <c r="F118" s="83">
        <v>1</v>
      </c>
      <c r="G118" s="83">
        <v>186</v>
      </c>
      <c r="H118" s="83">
        <v>186</v>
      </c>
      <c r="I118" s="86">
        <v>1</v>
      </c>
      <c r="J118" s="83">
        <v>186</v>
      </c>
      <c r="K118" s="86">
        <v>186</v>
      </c>
      <c r="L118"/>
      <c r="M118"/>
      <c r="N118"/>
      <c r="O118"/>
      <c r="P118"/>
      <c r="Q118" s="102"/>
      <c r="R118" s="81" t="s">
        <v>834</v>
      </c>
      <c r="S118" s="104">
        <f t="shared" ca="1" si="66"/>
        <v>0</v>
      </c>
      <c r="T118" s="104">
        <f t="shared" ca="1" si="67"/>
        <v>1</v>
      </c>
      <c r="U118" s="105">
        <f t="shared" ca="1" si="57"/>
        <v>1</v>
      </c>
      <c r="V118" s="106">
        <f t="shared" ca="1" si="68"/>
        <v>186</v>
      </c>
      <c r="W118" s="105">
        <f t="shared" ca="1" si="59"/>
        <v>186</v>
      </c>
      <c r="X118" s="25"/>
    </row>
    <row r="119" spans="1:24">
      <c r="A119" s="81"/>
      <c r="B119" s="81" t="s">
        <v>118</v>
      </c>
      <c r="C119" s="83"/>
      <c r="D119" s="83"/>
      <c r="E119" s="83"/>
      <c r="F119" s="83">
        <v>60</v>
      </c>
      <c r="G119" s="83">
        <v>228</v>
      </c>
      <c r="H119" s="83">
        <v>13680</v>
      </c>
      <c r="I119" s="86">
        <v>60</v>
      </c>
      <c r="J119" s="83">
        <v>228</v>
      </c>
      <c r="K119" s="86">
        <v>13680</v>
      </c>
      <c r="L119"/>
      <c r="M119"/>
      <c r="N119"/>
      <c r="O119"/>
      <c r="P119"/>
      <c r="Q119" s="102"/>
      <c r="R119" s="81" t="s">
        <v>118</v>
      </c>
      <c r="S119" s="104">
        <f t="shared" ca="1" si="55"/>
        <v>0</v>
      </c>
      <c r="T119" s="104">
        <f t="shared" ca="1" si="56"/>
        <v>60</v>
      </c>
      <c r="U119" s="105">
        <f t="shared" ca="1" si="57"/>
        <v>60</v>
      </c>
      <c r="V119" s="106">
        <f t="shared" ca="1" si="58"/>
        <v>228</v>
      </c>
      <c r="W119" s="105">
        <f t="shared" ca="1" si="59"/>
        <v>13680</v>
      </c>
      <c r="X119" s="25"/>
    </row>
    <row r="120" spans="1:24">
      <c r="A120" s="89" t="s">
        <v>121</v>
      </c>
      <c r="B120" s="89"/>
      <c r="C120" s="90"/>
      <c r="D120" s="90"/>
      <c r="E120" s="90"/>
      <c r="F120" s="90">
        <v>2924.65</v>
      </c>
      <c r="G120" s="90">
        <v>294.39259259259262</v>
      </c>
      <c r="H120" s="90">
        <v>869019.65</v>
      </c>
      <c r="I120" s="93">
        <v>2924.65</v>
      </c>
      <c r="J120" s="90">
        <v>294.39259259259262</v>
      </c>
      <c r="K120" s="93">
        <v>869019.65</v>
      </c>
      <c r="L120"/>
      <c r="M120"/>
      <c r="N120"/>
      <c r="O120"/>
      <c r="P120"/>
      <c r="Q120" s="103" t="s">
        <v>121</v>
      </c>
      <c r="R120" s="28"/>
      <c r="S120" s="29">
        <f ca="1">SUM(S93:S119)</f>
        <v>0</v>
      </c>
      <c r="T120" s="29">
        <f ca="1">SUM(T93:T119)</f>
        <v>2924.65</v>
      </c>
      <c r="U120" s="29">
        <f ca="1">SUM(U93:U119)</f>
        <v>2924.65</v>
      </c>
      <c r="V120" s="30">
        <f ca="1">W120/U120</f>
        <v>297.1362898124562</v>
      </c>
      <c r="W120" s="29">
        <f ca="1">SUM(W93:W119)</f>
        <v>869019.65</v>
      </c>
      <c r="X120" s="27"/>
    </row>
    <row r="121" spans="1:24">
      <c r="A121" s="81" t="s">
        <v>762</v>
      </c>
      <c r="B121" s="81" t="s">
        <v>793</v>
      </c>
      <c r="C121" s="83"/>
      <c r="D121" s="83"/>
      <c r="E121" s="83"/>
      <c r="F121" s="83">
        <v>0</v>
      </c>
      <c r="G121" s="83">
        <v>180</v>
      </c>
      <c r="H121" s="83">
        <v>0</v>
      </c>
      <c r="I121" s="86">
        <v>0</v>
      </c>
      <c r="J121" s="83">
        <v>180</v>
      </c>
      <c r="K121" s="86">
        <v>0</v>
      </c>
      <c r="L121"/>
      <c r="M121"/>
      <c r="N121"/>
      <c r="O121"/>
      <c r="P121"/>
      <c r="Q121" s="102" t="s">
        <v>122</v>
      </c>
      <c r="R121" s="81" t="s">
        <v>744</v>
      </c>
      <c r="S121" s="104">
        <f ca="1">VLOOKUP(R121,B:N,2,0)</f>
        <v>0</v>
      </c>
      <c r="T121" s="104">
        <f ca="1">VLOOKUP(R121,B:N,5,0)</f>
        <v>5.22</v>
      </c>
      <c r="U121" s="105">
        <f ca="1">SUM(S121:T121)</f>
        <v>5.22</v>
      </c>
      <c r="V121" s="106">
        <f ca="1">W121/U121</f>
        <v>655</v>
      </c>
      <c r="W121" s="105">
        <f ca="1">VLOOKUP(R121,B:N,10,0)</f>
        <v>3419.1</v>
      </c>
      <c r="X121" s="25"/>
    </row>
    <row r="122" spans="1:24">
      <c r="A122" s="81"/>
      <c r="B122" s="81" t="s">
        <v>906</v>
      </c>
      <c r="C122" s="83">
        <v>2950</v>
      </c>
      <c r="D122" s="83">
        <v>548</v>
      </c>
      <c r="E122" s="83">
        <v>1616600</v>
      </c>
      <c r="F122" s="83"/>
      <c r="G122" s="83"/>
      <c r="H122" s="83"/>
      <c r="I122" s="86">
        <v>2950</v>
      </c>
      <c r="J122" s="83">
        <v>548</v>
      </c>
      <c r="K122" s="86">
        <v>1616600</v>
      </c>
      <c r="L122"/>
      <c r="M122"/>
      <c r="N122"/>
      <c r="O122"/>
      <c r="P122"/>
      <c r="Q122" s="102"/>
      <c r="R122" s="81" t="s">
        <v>777</v>
      </c>
      <c r="S122" s="104">
        <f ca="1">VLOOKUP(R122,B:N,2,0)</f>
        <v>0</v>
      </c>
      <c r="T122" s="104">
        <f ca="1">VLOOKUP(R122,B:N,5,0)</f>
        <v>5.9399999999999995</v>
      </c>
      <c r="U122" s="105">
        <f ca="1">SUM(S122:T122)</f>
        <v>5.9399999999999995</v>
      </c>
      <c r="V122" s="106">
        <f ca="1">W122/U122</f>
        <v>140</v>
      </c>
      <c r="W122" s="105">
        <f ca="1">VLOOKUP(R122,B:N,10,0)</f>
        <v>831.59999999999991</v>
      </c>
      <c r="X122" s="25"/>
    </row>
    <row r="123" spans="1:24">
      <c r="A123" s="89" t="s">
        <v>763</v>
      </c>
      <c r="B123" s="89"/>
      <c r="C123" s="90">
        <v>2950</v>
      </c>
      <c r="D123" s="90">
        <v>548</v>
      </c>
      <c r="E123" s="90">
        <v>1616600</v>
      </c>
      <c r="F123" s="90">
        <v>0</v>
      </c>
      <c r="G123" s="90">
        <v>180</v>
      </c>
      <c r="H123" s="90">
        <v>0</v>
      </c>
      <c r="I123" s="93">
        <v>2950</v>
      </c>
      <c r="J123" s="90">
        <v>364</v>
      </c>
      <c r="K123" s="93">
        <v>1616600</v>
      </c>
      <c r="L123"/>
      <c r="M123"/>
      <c r="N123"/>
      <c r="O123"/>
      <c r="P123"/>
      <c r="Q123" s="103" t="s">
        <v>123</v>
      </c>
      <c r="R123" s="28"/>
      <c r="S123" s="29">
        <f ca="1">SUM(S121:S122)</f>
        <v>0</v>
      </c>
      <c r="T123" s="29">
        <f t="shared" ref="T123:W123" ca="1" si="69">SUM(T121:T122)</f>
        <v>11.16</v>
      </c>
      <c r="U123" s="29">
        <f t="shared" ca="1" si="69"/>
        <v>11.16</v>
      </c>
      <c r="V123" s="30">
        <f ca="1">W123/U123</f>
        <v>380.88709677419354</v>
      </c>
      <c r="W123" s="29">
        <f t="shared" ca="1" si="69"/>
        <v>4250.7</v>
      </c>
      <c r="X123" s="27"/>
    </row>
    <row r="124" spans="1:24">
      <c r="A124" s="81" t="s">
        <v>126</v>
      </c>
      <c r="B124" s="81" t="s">
        <v>750</v>
      </c>
      <c r="C124" s="83"/>
      <c r="D124" s="83"/>
      <c r="E124" s="83"/>
      <c r="F124" s="83">
        <v>4.9000000000000004</v>
      </c>
      <c r="G124" s="83">
        <v>530</v>
      </c>
      <c r="H124" s="83">
        <v>2597</v>
      </c>
      <c r="I124" s="86">
        <v>4.9000000000000004</v>
      </c>
      <c r="J124" s="83">
        <v>530</v>
      </c>
      <c r="K124" s="86">
        <v>2597</v>
      </c>
      <c r="L124"/>
      <c r="M124"/>
      <c r="N124"/>
      <c r="O124"/>
      <c r="P124"/>
      <c r="Q124" s="102" t="s">
        <v>762</v>
      </c>
      <c r="R124" s="81" t="s">
        <v>793</v>
      </c>
      <c r="S124" s="104">
        <f ca="1">VLOOKUP(R124,B:N,2,0)</f>
        <v>0</v>
      </c>
      <c r="T124" s="104">
        <f ca="1">VLOOKUP(R124,B:N,5,0)</f>
        <v>0</v>
      </c>
      <c r="U124" s="105">
        <f ca="1">SUM(S124:T124)</f>
        <v>0</v>
      </c>
      <c r="V124" s="106" t="e">
        <f t="shared" ref="V124" ca="1" si="70">W124/U124</f>
        <v>#DIV/0!</v>
      </c>
      <c r="W124" s="105">
        <f ca="1">VLOOKUP(R124,B:N,10,0)</f>
        <v>0</v>
      </c>
    </row>
    <row r="125" spans="1:24">
      <c r="A125" s="81"/>
      <c r="B125" s="81" t="s">
        <v>754</v>
      </c>
      <c r="C125" s="83"/>
      <c r="D125" s="83"/>
      <c r="E125" s="83"/>
      <c r="F125" s="83">
        <v>38.9</v>
      </c>
      <c r="G125" s="83">
        <v>900</v>
      </c>
      <c r="H125" s="83">
        <v>35010</v>
      </c>
      <c r="I125" s="86">
        <v>38.9</v>
      </c>
      <c r="J125" s="83">
        <v>900</v>
      </c>
      <c r="K125" s="86">
        <v>35010</v>
      </c>
      <c r="L125"/>
      <c r="M125"/>
      <c r="N125"/>
      <c r="O125"/>
      <c r="P125"/>
      <c r="Q125" s="102"/>
      <c r="R125" s="81" t="s">
        <v>906</v>
      </c>
      <c r="S125" s="104">
        <f ca="1">VLOOKUP(R125,B:N,2,0)</f>
        <v>2950</v>
      </c>
      <c r="T125" s="104">
        <f ca="1">VLOOKUP(R125,B:N,5,0)</f>
        <v>0</v>
      </c>
      <c r="U125" s="105">
        <f ca="1">SUM(S125:T125)</f>
        <v>2950</v>
      </c>
      <c r="V125" s="106">
        <f t="shared" ref="V125" ca="1" si="71">W125/U125</f>
        <v>548</v>
      </c>
      <c r="W125" s="105">
        <f ca="1">VLOOKUP(R125,B:N,10,0)</f>
        <v>1616600</v>
      </c>
    </row>
    <row r="126" spans="1:24">
      <c r="A126" s="81"/>
      <c r="B126" s="81" t="s">
        <v>127</v>
      </c>
      <c r="C126" s="83"/>
      <c r="D126" s="83"/>
      <c r="E126" s="83"/>
      <c r="F126" s="83">
        <v>2.94</v>
      </c>
      <c r="G126" s="83">
        <v>500</v>
      </c>
      <c r="H126" s="83">
        <v>1470</v>
      </c>
      <c r="I126" s="86">
        <v>2.94</v>
      </c>
      <c r="J126" s="83">
        <v>500</v>
      </c>
      <c r="K126" s="86">
        <v>1470</v>
      </c>
      <c r="L126"/>
      <c r="M126"/>
      <c r="N126"/>
      <c r="O126"/>
      <c r="P126"/>
      <c r="Q126" s="103" t="s">
        <v>763</v>
      </c>
      <c r="R126" s="103"/>
      <c r="S126" s="29">
        <f ca="1">SUM(S124:S125)</f>
        <v>2950</v>
      </c>
      <c r="T126" s="29">
        <f t="shared" ref="T126:W126" ca="1" si="72">SUM(T124:T125)</f>
        <v>0</v>
      </c>
      <c r="U126" s="29">
        <f t="shared" ca="1" si="72"/>
        <v>2950</v>
      </c>
      <c r="V126" s="30">
        <f t="shared" ref="V126" ca="1" si="73">W126/U126</f>
        <v>548</v>
      </c>
      <c r="W126" s="29">
        <f t="shared" ca="1" si="72"/>
        <v>1616600</v>
      </c>
      <c r="X126" s="27"/>
    </row>
    <row r="127" spans="1:24">
      <c r="A127" s="81"/>
      <c r="B127" s="81" t="s">
        <v>126</v>
      </c>
      <c r="C127" s="83"/>
      <c r="D127" s="83"/>
      <c r="E127" s="83"/>
      <c r="F127" s="83">
        <v>13.6</v>
      </c>
      <c r="G127" s="83">
        <v>1000</v>
      </c>
      <c r="H127" s="83">
        <v>13600</v>
      </c>
      <c r="I127" s="86">
        <v>13.6</v>
      </c>
      <c r="J127" s="83">
        <v>1000</v>
      </c>
      <c r="K127" s="86">
        <v>13600</v>
      </c>
      <c r="L127"/>
      <c r="M127"/>
      <c r="N127"/>
      <c r="O127"/>
      <c r="P127"/>
      <c r="Q127" s="102" t="s">
        <v>126</v>
      </c>
      <c r="R127" s="81" t="s">
        <v>750</v>
      </c>
      <c r="S127" s="104">
        <f t="shared" ref="S127:S130" ca="1" si="74">VLOOKUP(R127,B:N,2,0)</f>
        <v>0</v>
      </c>
      <c r="T127" s="104">
        <f t="shared" ref="T127:T130" ca="1" si="75">VLOOKUP(R127,B:N,5,0)</f>
        <v>4.9000000000000004</v>
      </c>
      <c r="U127" s="105">
        <f ca="1">SUM(S127:T127)</f>
        <v>4.9000000000000004</v>
      </c>
      <c r="V127" s="106">
        <f t="shared" ref="V127:V130" ca="1" si="76">W127/U127</f>
        <v>530</v>
      </c>
      <c r="W127" s="105">
        <f ca="1">VLOOKUP(R127,B:N,10,0)</f>
        <v>2597</v>
      </c>
      <c r="X127" s="25"/>
    </row>
    <row r="128" spans="1:24">
      <c r="A128" s="89" t="s">
        <v>128</v>
      </c>
      <c r="B128" s="89"/>
      <c r="C128" s="90"/>
      <c r="D128" s="90"/>
      <c r="E128" s="90"/>
      <c r="F128" s="90">
        <v>60.339999999999996</v>
      </c>
      <c r="G128" s="90">
        <v>732.5</v>
      </c>
      <c r="H128" s="90">
        <v>52677</v>
      </c>
      <c r="I128" s="93">
        <v>60.339999999999996</v>
      </c>
      <c r="J128" s="90">
        <v>732.5</v>
      </c>
      <c r="K128" s="93">
        <v>52677</v>
      </c>
      <c r="L128"/>
      <c r="M128"/>
      <c r="N128"/>
      <c r="O128"/>
      <c r="P128"/>
      <c r="Q128" s="102"/>
      <c r="R128" s="81" t="s">
        <v>754</v>
      </c>
      <c r="S128" s="104">
        <f t="shared" ca="1" si="74"/>
        <v>0</v>
      </c>
      <c r="T128" s="104">
        <f t="shared" ca="1" si="75"/>
        <v>38.9</v>
      </c>
      <c r="U128" s="105">
        <f ca="1">SUM(S128:T128)</f>
        <v>38.9</v>
      </c>
      <c r="V128" s="106">
        <f t="shared" ca="1" si="76"/>
        <v>900</v>
      </c>
      <c r="W128" s="105">
        <f ca="1">VLOOKUP(R128,B:N,10,0)</f>
        <v>35010</v>
      </c>
      <c r="X128" s="25"/>
    </row>
    <row r="129" spans="1:24">
      <c r="A129" s="81" t="s">
        <v>129</v>
      </c>
      <c r="B129" s="81" t="s">
        <v>130</v>
      </c>
      <c r="C129" s="83"/>
      <c r="D129" s="83"/>
      <c r="E129" s="83"/>
      <c r="F129" s="83">
        <v>50</v>
      </c>
      <c r="G129" s="83">
        <v>491.87</v>
      </c>
      <c r="H129" s="83">
        <v>24593.5</v>
      </c>
      <c r="I129" s="86">
        <v>50</v>
      </c>
      <c r="J129" s="83">
        <v>491.87</v>
      </c>
      <c r="K129" s="86">
        <v>24593.5</v>
      </c>
      <c r="L129"/>
      <c r="M129"/>
      <c r="N129"/>
      <c r="O129"/>
      <c r="P129"/>
      <c r="Q129" s="102"/>
      <c r="R129" s="81" t="s">
        <v>127</v>
      </c>
      <c r="S129" s="104">
        <f t="shared" ca="1" si="74"/>
        <v>0</v>
      </c>
      <c r="T129" s="104">
        <f t="shared" ca="1" si="75"/>
        <v>2.94</v>
      </c>
      <c r="U129" s="105">
        <f ca="1">SUM(S129:T129)</f>
        <v>2.94</v>
      </c>
      <c r="V129" s="106">
        <f t="shared" ca="1" si="76"/>
        <v>500</v>
      </c>
      <c r="W129" s="105">
        <f ca="1">VLOOKUP(R129,B:N,10,0)</f>
        <v>1470</v>
      </c>
      <c r="X129" s="25"/>
    </row>
    <row r="130" spans="1:24">
      <c r="A130" s="81"/>
      <c r="B130" s="81" t="s">
        <v>131</v>
      </c>
      <c r="C130" s="83">
        <v>158.19999999999999</v>
      </c>
      <c r="D130" s="83">
        <v>1285</v>
      </c>
      <c r="E130" s="83">
        <v>203287</v>
      </c>
      <c r="F130" s="83"/>
      <c r="G130" s="83"/>
      <c r="H130" s="83"/>
      <c r="I130" s="86">
        <v>158.19999999999999</v>
      </c>
      <c r="J130" s="83">
        <v>1285</v>
      </c>
      <c r="K130" s="86">
        <v>203287</v>
      </c>
      <c r="L130"/>
      <c r="M130"/>
      <c r="N130"/>
      <c r="O130"/>
      <c r="P130"/>
      <c r="Q130" s="102"/>
      <c r="R130" s="81" t="s">
        <v>126</v>
      </c>
      <c r="S130" s="104">
        <f t="shared" ca="1" si="74"/>
        <v>0</v>
      </c>
      <c r="T130" s="104">
        <f t="shared" ca="1" si="75"/>
        <v>13.6</v>
      </c>
      <c r="U130" s="105">
        <f ca="1">SUM(S130:T130)</f>
        <v>13.6</v>
      </c>
      <c r="V130" s="106">
        <f t="shared" ca="1" si="76"/>
        <v>1000</v>
      </c>
      <c r="W130" s="105">
        <f ca="1">VLOOKUP(R130,B:N,10,0)</f>
        <v>13600</v>
      </c>
      <c r="X130" s="25"/>
    </row>
    <row r="131" spans="1:24">
      <c r="A131" s="81"/>
      <c r="B131" s="81" t="s">
        <v>775</v>
      </c>
      <c r="C131" s="83"/>
      <c r="D131" s="83"/>
      <c r="E131" s="83"/>
      <c r="F131" s="83">
        <v>30</v>
      </c>
      <c r="G131" s="83">
        <v>775</v>
      </c>
      <c r="H131" s="83">
        <v>23250</v>
      </c>
      <c r="I131" s="86">
        <v>30</v>
      </c>
      <c r="J131" s="83">
        <v>775</v>
      </c>
      <c r="K131" s="86">
        <v>23250</v>
      </c>
      <c r="L131"/>
      <c r="M131"/>
      <c r="N131"/>
      <c r="O131"/>
      <c r="P131"/>
      <c r="Q131" s="103" t="s">
        <v>128</v>
      </c>
      <c r="R131" s="28"/>
      <c r="S131" s="29">
        <f ca="1">SUM(S127:S130)</f>
        <v>0</v>
      </c>
      <c r="T131" s="29">
        <f ca="1">SUM(T127:T130)</f>
        <v>60.339999999999996</v>
      </c>
      <c r="U131" s="29">
        <f ca="1">SUM(U127:U130)</f>
        <v>60.339999999999996</v>
      </c>
      <c r="V131" s="30">
        <f ca="1">W131/U131</f>
        <v>873.00298309579057</v>
      </c>
      <c r="W131" s="29">
        <f ca="1">SUM(W127:W130)</f>
        <v>52677</v>
      </c>
      <c r="X131" s="27"/>
    </row>
    <row r="132" spans="1:24">
      <c r="A132" s="81"/>
      <c r="B132" s="81" t="s">
        <v>776</v>
      </c>
      <c r="C132" s="83"/>
      <c r="D132" s="83"/>
      <c r="E132" s="83"/>
      <c r="F132" s="83">
        <v>130</v>
      </c>
      <c r="G132" s="83">
        <v>950</v>
      </c>
      <c r="H132" s="83">
        <v>123500</v>
      </c>
      <c r="I132" s="86">
        <v>130</v>
      </c>
      <c r="J132" s="83">
        <v>950</v>
      </c>
      <c r="K132" s="86">
        <v>123500</v>
      </c>
      <c r="L132"/>
      <c r="M132"/>
      <c r="N132"/>
      <c r="O132"/>
      <c r="P132"/>
      <c r="Q132" s="102" t="s">
        <v>129</v>
      </c>
      <c r="R132" s="81" t="s">
        <v>130</v>
      </c>
      <c r="S132" s="104">
        <f ca="1">VLOOKUP(R132,B:N,2,0)</f>
        <v>0</v>
      </c>
      <c r="T132" s="104">
        <f ca="1">VLOOKUP(R132,B:N,5,0)</f>
        <v>50</v>
      </c>
      <c r="U132" s="105">
        <f ca="1">SUM(S132:T132)</f>
        <v>50</v>
      </c>
      <c r="V132" s="106">
        <f t="shared" ref="V132" ca="1" si="77">W132/U132</f>
        <v>491.87</v>
      </c>
      <c r="W132" s="105">
        <f ca="1">VLOOKUP(R132,B:N,10,0)</f>
        <v>24593.5</v>
      </c>
      <c r="X132" s="25"/>
    </row>
    <row r="133" spans="1:24">
      <c r="A133" s="89" t="s">
        <v>132</v>
      </c>
      <c r="B133" s="89"/>
      <c r="C133" s="90">
        <v>158.19999999999999</v>
      </c>
      <c r="D133" s="90">
        <v>1285</v>
      </c>
      <c r="E133" s="90">
        <v>203287</v>
      </c>
      <c r="F133" s="90">
        <v>210</v>
      </c>
      <c r="G133" s="90">
        <v>738.95666666666659</v>
      </c>
      <c r="H133" s="90">
        <v>171343.5</v>
      </c>
      <c r="I133" s="93">
        <v>368.2</v>
      </c>
      <c r="J133" s="90">
        <v>957.37400000000002</v>
      </c>
      <c r="K133" s="93">
        <v>374630.5</v>
      </c>
      <c r="L133"/>
      <c r="M133"/>
      <c r="N133"/>
      <c r="O133"/>
      <c r="P133"/>
      <c r="Q133" s="102"/>
      <c r="R133" s="81" t="s">
        <v>131</v>
      </c>
      <c r="S133" s="104">
        <f t="shared" ref="S133:S135" ca="1" si="78">VLOOKUP(R133,B:N,2,0)</f>
        <v>158.19999999999999</v>
      </c>
      <c r="T133" s="104">
        <f t="shared" ref="T133:T135" ca="1" si="79">VLOOKUP(R133,B:N,5,0)</f>
        <v>0</v>
      </c>
      <c r="U133" s="105">
        <f ca="1">SUM(S133:T133)</f>
        <v>158.19999999999999</v>
      </c>
      <c r="V133" s="106">
        <f t="shared" ref="V133:V135" ca="1" si="80">W133/U133</f>
        <v>1285</v>
      </c>
      <c r="W133" s="105">
        <f ca="1">VLOOKUP(R133,B:N,10,0)</f>
        <v>203287</v>
      </c>
      <c r="X133" s="25"/>
    </row>
    <row r="134" spans="1:24">
      <c r="A134" s="81" t="s">
        <v>7</v>
      </c>
      <c r="B134" s="81"/>
      <c r="C134" s="83">
        <v>29767.679999999993</v>
      </c>
      <c r="D134" s="83">
        <v>921.33673076923083</v>
      </c>
      <c r="E134" s="83">
        <v>18884852.521600001</v>
      </c>
      <c r="F134" s="83">
        <v>20415.830000000002</v>
      </c>
      <c r="G134" s="83">
        <v>537.34848837209302</v>
      </c>
      <c r="H134" s="83">
        <v>9284957.0500000007</v>
      </c>
      <c r="I134" s="86">
        <v>50183.51</v>
      </c>
      <c r="J134" s="83">
        <v>682.03971014492765</v>
      </c>
      <c r="K134" s="86">
        <v>28169809.571599998</v>
      </c>
      <c r="L134"/>
      <c r="M134"/>
      <c r="N134"/>
      <c r="O134"/>
      <c r="P134"/>
      <c r="Q134" s="102"/>
      <c r="R134" s="81" t="s">
        <v>775</v>
      </c>
      <c r="S134" s="104">
        <f t="shared" ca="1" si="78"/>
        <v>0</v>
      </c>
      <c r="T134" s="104">
        <f t="shared" ca="1" si="79"/>
        <v>30</v>
      </c>
      <c r="U134" s="105">
        <f ca="1">SUM(S134:T134)</f>
        <v>30</v>
      </c>
      <c r="V134" s="106">
        <f t="shared" ca="1" si="80"/>
        <v>775</v>
      </c>
      <c r="W134" s="105">
        <f ca="1">VLOOKUP(R134,B:N,10,0)</f>
        <v>23250</v>
      </c>
      <c r="X134" s="25"/>
    </row>
    <row r="135" spans="1:24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 s="102"/>
      <c r="R135" s="81" t="s">
        <v>776</v>
      </c>
      <c r="S135" s="104">
        <f t="shared" ca="1" si="78"/>
        <v>0</v>
      </c>
      <c r="T135" s="104">
        <f t="shared" ca="1" si="79"/>
        <v>130</v>
      </c>
      <c r="U135" s="105">
        <f ca="1">SUM(S135:T135)</f>
        <v>130</v>
      </c>
      <c r="V135" s="106">
        <f t="shared" ca="1" si="80"/>
        <v>950</v>
      </c>
      <c r="W135" s="105">
        <f ca="1">VLOOKUP(R135,B:N,10,0)</f>
        <v>123500</v>
      </c>
      <c r="X135" s="25"/>
    </row>
    <row r="136" spans="1:24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 s="103" t="s">
        <v>132</v>
      </c>
      <c r="R136" s="28"/>
      <c r="S136" s="29">
        <f ca="1">SUM(S132:S135)</f>
        <v>158.19999999999999</v>
      </c>
      <c r="T136" s="29">
        <f ca="1">SUM(T132:T135)</f>
        <v>210</v>
      </c>
      <c r="U136" s="29">
        <f ca="1">SUM(U132:U135)</f>
        <v>368.2</v>
      </c>
      <c r="V136" s="30">
        <f ca="1">W136/U136</f>
        <v>1017.4646931015752</v>
      </c>
      <c r="W136" s="29">
        <f ca="1">SUM(W132:W135)</f>
        <v>374630.5</v>
      </c>
      <c r="X136" s="27"/>
    </row>
    <row r="137" spans="1:24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 s="102" t="s">
        <v>720</v>
      </c>
      <c r="R137" s="102" t="s">
        <v>720</v>
      </c>
      <c r="S137" s="104">
        <f ca="1">VLOOKUP(R137,B:N,2,0)</f>
        <v>200</v>
      </c>
      <c r="T137" s="104">
        <f ca="1">VLOOKUP(R137,B:N,5,0)</f>
        <v>8.8000000000000007</v>
      </c>
      <c r="U137" s="105">
        <f ca="1">SUM(S137:T137)</f>
        <v>208.8</v>
      </c>
      <c r="V137" s="106">
        <f t="shared" ref="V137" ca="1" si="81">W137/U137</f>
        <v>2704.2145593869732</v>
      </c>
      <c r="W137" s="105">
        <f ca="1">VLOOKUP(R137,B:N,10,0)</f>
        <v>564640</v>
      </c>
    </row>
    <row r="138" spans="1:24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 s="103" t="s">
        <v>721</v>
      </c>
      <c r="R138" s="28"/>
      <c r="S138" s="29">
        <f ca="1">SUM(S137)</f>
        <v>200</v>
      </c>
      <c r="T138" s="29">
        <f ca="1">SUM(T135:T137)</f>
        <v>348.8</v>
      </c>
      <c r="U138" s="29">
        <f ca="1">SUM(U137)</f>
        <v>208.8</v>
      </c>
      <c r="V138" s="30">
        <f ca="1">W138/U138</f>
        <v>2704.2145593869732</v>
      </c>
      <c r="W138" s="29">
        <f ca="1">SUM(W137)</f>
        <v>564640</v>
      </c>
    </row>
    <row r="139" spans="1:24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 s="2"/>
      <c r="R139" s="2"/>
      <c r="S139" s="2"/>
    </row>
    <row r="140" spans="1:24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 s="2"/>
      <c r="S140" s="2"/>
      <c r="T140" s="2"/>
    </row>
    <row r="141" spans="1:24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 s="2"/>
      <c r="S141" s="2"/>
      <c r="T141" s="2"/>
    </row>
    <row r="142" spans="1:24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 s="2"/>
      <c r="P142" s="2"/>
      <c r="R142" s="2"/>
      <c r="S142" s="2"/>
      <c r="T142" s="2"/>
    </row>
    <row r="143" spans="1:24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 s="2"/>
      <c r="P143" s="2"/>
      <c r="R143" s="2"/>
      <c r="S143" s="2"/>
      <c r="T143" s="2"/>
    </row>
    <row r="144" spans="1:24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 s="2"/>
      <c r="P144" s="2"/>
      <c r="R144" s="2"/>
      <c r="S144" s="2"/>
      <c r="T144" s="2"/>
    </row>
    <row r="145" spans="1:20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 s="2"/>
      <c r="P145" s="2"/>
      <c r="R145" s="2"/>
      <c r="S145" s="2"/>
      <c r="T145" s="2"/>
    </row>
    <row r="146" spans="1:20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 s="2"/>
      <c r="P146" s="2"/>
      <c r="R146" s="2"/>
      <c r="S146" s="2"/>
      <c r="T146" s="2"/>
    </row>
    <row r="147" spans="1:20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 s="2"/>
      <c r="P147" s="2"/>
      <c r="R147" s="2"/>
      <c r="S147" s="2"/>
      <c r="T147" s="2"/>
    </row>
    <row r="148" spans="1:20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 s="111"/>
      <c r="O148" s="2"/>
      <c r="P148" s="2"/>
      <c r="R148" s="2"/>
      <c r="S148" s="2"/>
      <c r="T148" s="2"/>
    </row>
    <row r="149" spans="1:20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 s="111"/>
      <c r="O149" s="2"/>
      <c r="P149" s="2"/>
      <c r="R149" s="2"/>
      <c r="S149" s="2"/>
      <c r="T149" s="2"/>
    </row>
    <row r="150" spans="1:20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 s="111"/>
      <c r="O150" s="2"/>
      <c r="P150" s="2"/>
      <c r="R150" s="2"/>
      <c r="S150" s="2"/>
      <c r="T150" s="2"/>
    </row>
    <row r="151" spans="1:20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 s="111"/>
      <c r="O151" s="2"/>
      <c r="P151" s="2"/>
      <c r="R151" s="2"/>
      <c r="S151" s="2"/>
      <c r="T151" s="2"/>
    </row>
    <row r="152" spans="1:20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 s="111"/>
      <c r="O152" s="2"/>
      <c r="P152" s="2"/>
      <c r="R152" s="2"/>
      <c r="S152" s="2"/>
      <c r="T152" s="2"/>
    </row>
    <row r="153" spans="1:20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112"/>
      <c r="O153" s="2"/>
      <c r="P153" s="2"/>
      <c r="R153" s="2"/>
      <c r="S153" s="2"/>
      <c r="T153" s="2"/>
    </row>
    <row r="154" spans="1:20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112"/>
      <c r="O154" s="2"/>
      <c r="P154" s="2"/>
      <c r="R154" s="2"/>
      <c r="S154" s="2"/>
      <c r="T154" s="2"/>
    </row>
    <row r="155" spans="1:20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112"/>
      <c r="O155" s="2"/>
      <c r="P155" s="2"/>
      <c r="R155" s="2"/>
      <c r="S155" s="2"/>
      <c r="T155" s="2"/>
    </row>
    <row r="156" spans="1:20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112"/>
      <c r="O156" s="2"/>
      <c r="P156" s="2"/>
      <c r="R156" s="2"/>
      <c r="S156" s="2"/>
      <c r="T156" s="2"/>
    </row>
    <row r="157" spans="1:20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112"/>
      <c r="O157" s="2"/>
      <c r="P157" s="2"/>
      <c r="R157" s="2"/>
      <c r="S157" s="2"/>
      <c r="T157" s="2"/>
    </row>
    <row r="158" spans="1:20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112"/>
      <c r="O158" s="2"/>
      <c r="P158" s="2"/>
      <c r="R158" s="2"/>
      <c r="S158" s="2"/>
      <c r="T158" s="2"/>
    </row>
    <row r="159" spans="1:20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112"/>
      <c r="O159" s="2"/>
      <c r="P159" s="2"/>
      <c r="R159" s="2"/>
      <c r="S159" s="2"/>
      <c r="T159" s="2"/>
    </row>
    <row r="160" spans="1:2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112"/>
      <c r="O160" s="2"/>
      <c r="P160" s="2"/>
      <c r="R160" s="2"/>
      <c r="S160" s="2"/>
      <c r="T160" s="2"/>
    </row>
    <row r="161" spans="1:20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112"/>
      <c r="O161" s="2"/>
      <c r="P161" s="2"/>
      <c r="R161" s="2"/>
      <c r="S161" s="2"/>
      <c r="T161" s="2"/>
    </row>
    <row r="162" spans="1:20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112"/>
      <c r="O162" s="2"/>
      <c r="P162" s="2"/>
      <c r="R162" s="2"/>
      <c r="S162" s="2"/>
      <c r="T162" s="2"/>
    </row>
    <row r="163" spans="1:20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112"/>
      <c r="O163" s="2"/>
      <c r="P163" s="2"/>
      <c r="R163" s="2"/>
      <c r="S163" s="2"/>
      <c r="T163" s="2"/>
    </row>
    <row r="164" spans="1:20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112"/>
      <c r="O164" s="2"/>
      <c r="P164" s="2"/>
      <c r="R164" s="2"/>
      <c r="S164" s="2"/>
      <c r="T164" s="2"/>
    </row>
    <row r="165" spans="1:20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112"/>
      <c r="O165" s="2"/>
      <c r="P165" s="2"/>
      <c r="R165" s="2"/>
      <c r="S165" s="2"/>
      <c r="T165" s="2"/>
    </row>
    <row r="166" spans="1:20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112"/>
      <c r="O166" s="2"/>
      <c r="P166" s="2"/>
      <c r="R166" s="2"/>
      <c r="S166" s="2"/>
      <c r="T166" s="2"/>
    </row>
    <row r="167" spans="1:20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112"/>
      <c r="O167" s="2"/>
      <c r="P167" s="2"/>
      <c r="R167" s="2"/>
      <c r="S167" s="2"/>
      <c r="T167" s="2"/>
    </row>
    <row r="168" spans="1:20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112"/>
      <c r="O168" s="2"/>
      <c r="P168" s="2"/>
      <c r="R168" s="2"/>
      <c r="S168" s="2"/>
      <c r="T168" s="2"/>
    </row>
    <row r="169" spans="1:20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112"/>
      <c r="O169" s="2"/>
      <c r="P169" s="2"/>
      <c r="R169" s="2"/>
      <c r="S169" s="2"/>
      <c r="T169" s="2"/>
    </row>
    <row r="170" spans="1:2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112"/>
      <c r="O170" s="2"/>
      <c r="P170" s="2"/>
      <c r="R170" s="2"/>
      <c r="S170" s="2"/>
      <c r="T170" s="2"/>
    </row>
    <row r="171" spans="1:20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112"/>
      <c r="O171" s="2"/>
      <c r="P171" s="2"/>
      <c r="R171" s="2"/>
      <c r="S171" s="2"/>
      <c r="T171" s="2"/>
    </row>
    <row r="172" spans="1:20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112"/>
      <c r="O172" s="2"/>
      <c r="P172" s="2"/>
      <c r="R172" s="2"/>
      <c r="S172" s="2"/>
      <c r="T172" s="2"/>
    </row>
    <row r="173" spans="1:20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112"/>
      <c r="O173" s="2"/>
      <c r="P173" s="2"/>
      <c r="R173" s="2"/>
      <c r="S173" s="2"/>
      <c r="T173" s="2"/>
    </row>
    <row r="174" spans="1:20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112"/>
      <c r="O174" s="2"/>
      <c r="P174" s="2"/>
      <c r="R174" s="2"/>
      <c r="S174" s="2"/>
      <c r="T174" s="2"/>
    </row>
    <row r="175" spans="1:20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112"/>
      <c r="O175" s="2"/>
      <c r="P175" s="2"/>
      <c r="R175" s="2"/>
      <c r="S175" s="2"/>
      <c r="T175" s="2"/>
    </row>
    <row r="176" spans="1:20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112"/>
      <c r="O176" s="2"/>
      <c r="P176" s="2"/>
      <c r="R176" s="2"/>
      <c r="S176" s="2"/>
      <c r="T176" s="2"/>
    </row>
    <row r="177" spans="1:20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112"/>
      <c r="O177" s="2"/>
      <c r="P177" s="2"/>
      <c r="R177" s="2"/>
      <c r="S177" s="2"/>
      <c r="T177" s="2"/>
    </row>
    <row r="178" spans="1:20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112"/>
      <c r="O178" s="2"/>
      <c r="P178" s="2"/>
      <c r="R178" s="2"/>
      <c r="S178" s="2"/>
      <c r="T178" s="2"/>
    </row>
    <row r="179" spans="1:20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112"/>
      <c r="O179" s="2"/>
      <c r="P179" s="2"/>
      <c r="R179" s="2"/>
      <c r="S179" s="2"/>
      <c r="T179" s="2"/>
    </row>
    <row r="180" spans="1:2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112"/>
      <c r="O180" s="2"/>
      <c r="P180" s="2"/>
      <c r="R180" s="2"/>
      <c r="S180" s="2"/>
      <c r="T180" s="2"/>
    </row>
    <row r="181" spans="1:20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112"/>
      <c r="O181" s="2"/>
      <c r="P181" s="2"/>
      <c r="R181" s="2"/>
      <c r="S181" s="2"/>
      <c r="T181" s="2"/>
    </row>
    <row r="182" spans="1:20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112"/>
      <c r="O182" s="2"/>
      <c r="P182" s="2"/>
      <c r="R182" s="2"/>
      <c r="S182" s="2"/>
      <c r="T182" s="2"/>
    </row>
    <row r="183" spans="1:20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112"/>
      <c r="O183" s="2"/>
      <c r="P183" s="2"/>
      <c r="R183" s="2"/>
      <c r="S183" s="2"/>
      <c r="T183" s="2"/>
    </row>
    <row r="184" spans="1:20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112"/>
      <c r="O184" s="2"/>
      <c r="P184" s="2"/>
      <c r="R184" s="2"/>
      <c r="S184" s="2"/>
      <c r="T184" s="2"/>
    </row>
    <row r="185" spans="1:20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112"/>
      <c r="O185" s="2"/>
      <c r="P185" s="2"/>
      <c r="R185" s="2"/>
      <c r="S185" s="2"/>
      <c r="T185" s="2"/>
    </row>
    <row r="186" spans="1:20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112"/>
      <c r="O186" s="2"/>
      <c r="P186" s="2"/>
      <c r="R186" s="2"/>
      <c r="S186" s="2"/>
      <c r="T186" s="2"/>
    </row>
    <row r="187" spans="1:20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112"/>
      <c r="O187" s="2"/>
      <c r="P187" s="2"/>
      <c r="R187" s="2"/>
      <c r="S187" s="2"/>
      <c r="T187" s="2"/>
    </row>
    <row r="188" spans="1:20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112"/>
      <c r="O188" s="2"/>
      <c r="P188" s="2"/>
      <c r="R188" s="2"/>
      <c r="S188" s="2"/>
      <c r="T188" s="2"/>
    </row>
    <row r="189" spans="1:20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112"/>
      <c r="O189" s="2"/>
      <c r="P189" s="2"/>
      <c r="R189" s="2"/>
      <c r="S189" s="2"/>
      <c r="T189" s="2"/>
    </row>
    <row r="190" spans="1:2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112"/>
      <c r="O190" s="2"/>
      <c r="P190" s="2"/>
      <c r="R190" s="2"/>
      <c r="S190" s="2"/>
      <c r="T190" s="2"/>
    </row>
    <row r="191" spans="1:20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112"/>
      <c r="O191" s="2"/>
      <c r="P191" s="2"/>
      <c r="R191" s="2"/>
      <c r="S191" s="2"/>
      <c r="T191" s="2"/>
    </row>
    <row r="192" spans="1:20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112"/>
      <c r="O192" s="2"/>
      <c r="P192" s="2"/>
      <c r="R192" s="2"/>
      <c r="S192" s="2"/>
      <c r="T192" s="2"/>
    </row>
    <row r="193" spans="1:20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112"/>
      <c r="O193" s="2"/>
      <c r="P193" s="2"/>
      <c r="R193" s="2"/>
      <c r="S193" s="2"/>
      <c r="T193" s="2"/>
    </row>
    <row r="194" spans="1:20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112"/>
      <c r="O194" s="2"/>
      <c r="P194" s="2"/>
      <c r="R194" s="2"/>
      <c r="S194" s="2"/>
      <c r="T194" s="2"/>
    </row>
    <row r="195" spans="1:20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112"/>
      <c r="O195" s="2"/>
      <c r="P195" s="2"/>
      <c r="R195" s="2"/>
      <c r="S195" s="2"/>
      <c r="T195" s="2"/>
    </row>
    <row r="196" spans="1:20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112"/>
      <c r="O196" s="2"/>
      <c r="P196" s="2"/>
      <c r="R196" s="2"/>
      <c r="S196" s="2"/>
      <c r="T196" s="2"/>
    </row>
    <row r="197" spans="1:20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112"/>
      <c r="O197" s="2"/>
      <c r="P197" s="2"/>
      <c r="R197" s="2"/>
      <c r="S197" s="2"/>
      <c r="T197" s="2"/>
    </row>
    <row r="198" spans="1:20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112"/>
      <c r="O198" s="2"/>
      <c r="P198" s="2"/>
      <c r="R198" s="2"/>
      <c r="S198" s="2"/>
      <c r="T198" s="2"/>
    </row>
    <row r="199" spans="1:20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112"/>
      <c r="O199" s="2"/>
      <c r="P199" s="2"/>
      <c r="R199" s="2"/>
      <c r="S199" s="2"/>
      <c r="T199" s="2"/>
    </row>
    <row r="200" spans="1:2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112"/>
      <c r="O200" s="2"/>
      <c r="P200" s="2"/>
      <c r="R200" s="2"/>
      <c r="S200" s="2"/>
      <c r="T200" s="2"/>
    </row>
    <row r="201" spans="1:20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112"/>
      <c r="O201" s="2"/>
      <c r="P201" s="2"/>
      <c r="R201" s="2"/>
      <c r="S201" s="2"/>
      <c r="T201" s="2"/>
    </row>
    <row r="202" spans="1:20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112"/>
      <c r="O202" s="2"/>
      <c r="P202" s="2"/>
      <c r="R202" s="2"/>
      <c r="S202" s="2"/>
      <c r="T202" s="2"/>
    </row>
    <row r="203" spans="1:20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112"/>
      <c r="O203" s="2"/>
      <c r="P203" s="2"/>
      <c r="R203" s="2"/>
      <c r="S203" s="2"/>
      <c r="T203" s="2"/>
    </row>
    <row r="204" spans="1:20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112"/>
      <c r="O204" s="2"/>
      <c r="P204" s="2"/>
      <c r="R204" s="2"/>
      <c r="S204" s="2"/>
      <c r="T204" s="2"/>
    </row>
    <row r="205" spans="1:20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112"/>
      <c r="O205" s="2"/>
      <c r="P205" s="2"/>
      <c r="R205" s="2"/>
      <c r="S205" s="2"/>
      <c r="T205" s="2"/>
    </row>
    <row r="206" spans="1:20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112"/>
      <c r="O206" s="2"/>
      <c r="P206" s="2"/>
      <c r="R206" s="2"/>
      <c r="S206" s="2"/>
      <c r="T206" s="2"/>
    </row>
    <row r="207" spans="1:20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112"/>
      <c r="O207" s="2"/>
      <c r="P207" s="2"/>
      <c r="R207" s="2"/>
      <c r="S207" s="2"/>
      <c r="T207" s="2"/>
    </row>
    <row r="208" spans="1:20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112"/>
      <c r="O208" s="2"/>
      <c r="P208" s="2"/>
      <c r="R208" s="2"/>
      <c r="S208" s="2"/>
      <c r="T208" s="2"/>
    </row>
    <row r="209" spans="1:20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112"/>
      <c r="O209" s="2"/>
      <c r="P209" s="2"/>
      <c r="R209" s="2"/>
      <c r="S209" s="2"/>
      <c r="T209" s="2"/>
    </row>
    <row r="210" spans="1:2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112"/>
      <c r="O210" s="2"/>
      <c r="P210" s="2"/>
      <c r="R210" s="2"/>
      <c r="S210" s="2"/>
      <c r="T210" s="2"/>
    </row>
    <row r="211" spans="1:20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112"/>
      <c r="O211" s="2"/>
      <c r="P211" s="2"/>
      <c r="R211" s="2"/>
      <c r="S211" s="2"/>
      <c r="T211" s="2"/>
    </row>
    <row r="212" spans="1:20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112"/>
      <c r="O212" s="2"/>
      <c r="P212" s="2"/>
      <c r="R212" s="2"/>
      <c r="S212" s="2"/>
      <c r="T212" s="2"/>
    </row>
    <row r="213" spans="1:20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112"/>
      <c r="O213" s="2"/>
      <c r="P213" s="2"/>
      <c r="R213" s="2"/>
      <c r="S213" s="2"/>
      <c r="T213" s="2"/>
    </row>
    <row r="214" spans="1:20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112"/>
      <c r="O214" s="2"/>
      <c r="P214" s="2"/>
      <c r="R214" s="2"/>
      <c r="S214" s="2"/>
      <c r="T214" s="2"/>
    </row>
    <row r="215" spans="1:20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112"/>
      <c r="O215" s="2"/>
      <c r="P215" s="2"/>
      <c r="R215" s="2"/>
      <c r="S215" s="2"/>
      <c r="T215" s="2"/>
    </row>
    <row r="216" spans="1:20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112"/>
      <c r="O216" s="2"/>
      <c r="P216" s="2"/>
      <c r="R216" s="2"/>
      <c r="S216" s="2"/>
      <c r="T216" s="2"/>
    </row>
    <row r="217" spans="1:20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112"/>
      <c r="O217" s="2"/>
      <c r="P217" s="2"/>
      <c r="R217" s="2"/>
      <c r="S217" s="2"/>
      <c r="T217" s="2"/>
    </row>
    <row r="218" spans="1:20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112"/>
      <c r="O218" s="2"/>
      <c r="P218" s="2"/>
      <c r="R218" s="2"/>
      <c r="S218" s="2"/>
      <c r="T218" s="2"/>
    </row>
    <row r="219" spans="1:20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112"/>
      <c r="O219" s="2"/>
      <c r="P219" s="2"/>
      <c r="R219" s="2"/>
      <c r="S219" s="2"/>
      <c r="T219" s="2"/>
    </row>
    <row r="220" spans="1: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112"/>
      <c r="O220" s="2"/>
      <c r="P220" s="2"/>
      <c r="R220" s="2"/>
      <c r="S220" s="2"/>
      <c r="T220" s="2"/>
    </row>
    <row r="221" spans="1:20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112"/>
      <c r="O221" s="2"/>
      <c r="P221" s="2"/>
      <c r="R221" s="2"/>
      <c r="S221" s="2"/>
      <c r="T221" s="2"/>
    </row>
    <row r="222" spans="1:20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112"/>
      <c r="O222" s="2"/>
      <c r="P222" s="2"/>
      <c r="R222" s="2"/>
      <c r="S222" s="2"/>
      <c r="T222" s="2"/>
    </row>
    <row r="223" spans="1:20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112"/>
      <c r="O223" s="2"/>
      <c r="P223" s="2"/>
      <c r="R223" s="2"/>
      <c r="S223" s="2"/>
      <c r="T223" s="2"/>
    </row>
    <row r="224" spans="1:20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112"/>
      <c r="O224" s="2"/>
      <c r="P224" s="2"/>
      <c r="R224" s="2"/>
      <c r="S224" s="2"/>
      <c r="T224" s="2"/>
    </row>
    <row r="225" spans="1:20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112"/>
      <c r="O225" s="2"/>
      <c r="P225" s="2"/>
      <c r="R225" s="2"/>
      <c r="S225" s="2"/>
      <c r="T225" s="2"/>
    </row>
    <row r="226" spans="1:20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112"/>
      <c r="O226" s="2"/>
      <c r="P226" s="2"/>
      <c r="R226" s="2"/>
      <c r="S226" s="2"/>
      <c r="T226" s="2"/>
    </row>
    <row r="227" spans="1:20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112"/>
      <c r="O227" s="2"/>
      <c r="P227" s="2"/>
      <c r="R227" s="2"/>
      <c r="S227" s="2"/>
      <c r="T227" s="2"/>
    </row>
    <row r="228" spans="1:20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112"/>
      <c r="O228" s="2"/>
      <c r="P228" s="2"/>
      <c r="R228" s="2"/>
      <c r="S228" s="2"/>
      <c r="T228" s="2"/>
    </row>
    <row r="229" spans="1:20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112"/>
      <c r="O229" s="2"/>
      <c r="P229" s="2"/>
      <c r="R229" s="2"/>
      <c r="S229" s="2"/>
      <c r="T229" s="2"/>
    </row>
    <row r="230" spans="1:2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112"/>
      <c r="O230" s="2"/>
      <c r="P230" s="2"/>
      <c r="R230" s="2"/>
      <c r="S230" s="2"/>
      <c r="T230" s="2"/>
    </row>
    <row r="231" spans="1:20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112"/>
      <c r="O231" s="2"/>
      <c r="P231" s="2"/>
      <c r="R231" s="2"/>
      <c r="S231" s="2"/>
      <c r="T231" s="2"/>
    </row>
    <row r="232" spans="1:20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112"/>
      <c r="O232" s="2"/>
      <c r="P232" s="2"/>
      <c r="R232" s="2"/>
      <c r="S232" s="2"/>
      <c r="T232" s="2"/>
    </row>
    <row r="233" spans="1:20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112"/>
      <c r="O233" s="2"/>
      <c r="P233" s="2"/>
      <c r="R233" s="2"/>
      <c r="S233" s="2"/>
      <c r="T233" s="2"/>
    </row>
    <row r="234" spans="1:20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112"/>
      <c r="O234" s="2"/>
      <c r="P234" s="2"/>
      <c r="R234" s="2"/>
      <c r="S234" s="2"/>
      <c r="T234" s="2"/>
    </row>
    <row r="235" spans="1:20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112"/>
      <c r="O235" s="2"/>
      <c r="P235" s="2"/>
    </row>
    <row r="236" spans="1:20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112"/>
      <c r="O236" s="2"/>
      <c r="P236" s="2"/>
    </row>
    <row r="237" spans="1:20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112"/>
      <c r="O237" s="2"/>
      <c r="P237" s="2"/>
    </row>
    <row r="238" spans="1:20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112"/>
      <c r="O238" s="2"/>
      <c r="P238" s="2"/>
    </row>
    <row r="239" spans="1:20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112"/>
      <c r="O239" s="2"/>
      <c r="P239" s="2"/>
    </row>
    <row r="240" spans="1:2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112"/>
      <c r="O240" s="2"/>
      <c r="P240" s="2"/>
    </row>
    <row r="241" spans="1:1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112"/>
      <c r="O241" s="2"/>
      <c r="P241" s="2"/>
    </row>
    <row r="242" spans="1:1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112"/>
      <c r="O242" s="2"/>
      <c r="P242" s="2"/>
    </row>
    <row r="243" spans="1:1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112"/>
      <c r="O243" s="2"/>
      <c r="P243" s="2"/>
    </row>
    <row r="244" spans="1:1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112"/>
      <c r="O244" s="2"/>
      <c r="P244" s="2"/>
    </row>
    <row r="245" spans="1:1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112"/>
      <c r="O245" s="2"/>
      <c r="P245" s="2"/>
    </row>
    <row r="246" spans="1:1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112"/>
      <c r="O246" s="2"/>
      <c r="P246" s="2"/>
    </row>
    <row r="247" spans="1:1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112"/>
      <c r="O247" s="2"/>
      <c r="P247" s="2"/>
    </row>
    <row r="248" spans="1:1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112"/>
      <c r="O248" s="2"/>
      <c r="P248" s="2"/>
    </row>
    <row r="249" spans="1:1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112"/>
      <c r="O249" s="2"/>
      <c r="P249" s="2"/>
    </row>
    <row r="250" spans="1:1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112"/>
      <c r="O250" s="2"/>
      <c r="P250" s="2"/>
    </row>
    <row r="251" spans="1:1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112"/>
      <c r="O251" s="2"/>
      <c r="P251" s="2"/>
    </row>
    <row r="252" spans="1:1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112"/>
      <c r="O252" s="2"/>
      <c r="P252" s="2"/>
    </row>
    <row r="253" spans="1:1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112"/>
      <c r="O253" s="2"/>
      <c r="P253" s="2"/>
    </row>
    <row r="254" spans="1:1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112"/>
      <c r="O254" s="2"/>
      <c r="P254" s="2"/>
    </row>
    <row r="255" spans="1:1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112"/>
      <c r="O255" s="2"/>
      <c r="P255" s="2"/>
    </row>
    <row r="256" spans="1:1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112"/>
      <c r="O256" s="2"/>
      <c r="P256" s="2"/>
    </row>
    <row r="257" spans="1:1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112"/>
      <c r="O257" s="2"/>
      <c r="P257" s="2"/>
    </row>
    <row r="258" spans="1:1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112"/>
      <c r="O258" s="2"/>
      <c r="P258" s="2"/>
    </row>
    <row r="259" spans="1:1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112"/>
    </row>
    <row r="260" spans="1:1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112"/>
    </row>
    <row r="261" spans="1:1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112"/>
    </row>
    <row r="262" spans="1:1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112"/>
    </row>
    <row r="263" spans="1:1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112"/>
    </row>
    <row r="264" spans="1:16">
      <c r="A264" s="2"/>
      <c r="B264" s="2"/>
      <c r="C264" s="2"/>
      <c r="D264" s="2"/>
      <c r="E264" s="2"/>
      <c r="F264" s="2"/>
      <c r="G264" s="2"/>
      <c r="H264" s="2"/>
      <c r="I264" s="2"/>
      <c r="N264" s="113"/>
    </row>
    <row r="265" spans="1:16">
      <c r="A265" s="2"/>
      <c r="B265" s="2"/>
      <c r="C265" s="2"/>
      <c r="D265" s="2"/>
      <c r="E265" s="2"/>
      <c r="F265" s="2"/>
      <c r="G265" s="2"/>
      <c r="H265" s="2"/>
      <c r="I265" s="2"/>
      <c r="N265" s="113"/>
    </row>
    <row r="266" spans="1:16">
      <c r="A266" s="2"/>
      <c r="B266" s="2"/>
      <c r="C266" s="2"/>
      <c r="D266" s="2"/>
      <c r="E266" s="2"/>
      <c r="F266" s="2"/>
      <c r="G266" s="2"/>
      <c r="H266" s="2"/>
      <c r="I266" s="2"/>
      <c r="N266" s="113"/>
    </row>
    <row r="267" spans="1:16">
      <c r="A267" s="2"/>
      <c r="B267" s="2"/>
      <c r="C267" s="2"/>
      <c r="D267" s="2"/>
      <c r="E267" s="2"/>
      <c r="F267" s="2"/>
      <c r="G267" s="2"/>
      <c r="H267" s="2"/>
      <c r="I267" s="2"/>
      <c r="N267" s="113"/>
    </row>
    <row r="268" spans="1:16">
      <c r="A268" s="2"/>
      <c r="B268" s="2"/>
      <c r="C268" s="2"/>
      <c r="D268" s="2"/>
      <c r="E268" s="2"/>
      <c r="F268" s="2"/>
      <c r="G268" s="2"/>
      <c r="H268" s="2"/>
      <c r="I268" s="2"/>
      <c r="N268" s="113"/>
    </row>
    <row r="269" spans="1:16">
      <c r="A269" s="2"/>
      <c r="B269" s="2"/>
      <c r="C269" s="2"/>
      <c r="D269" s="2"/>
      <c r="E269" s="2"/>
      <c r="F269" s="2"/>
      <c r="G269" s="2"/>
      <c r="H269" s="2"/>
      <c r="I269" s="2"/>
      <c r="N269" s="113"/>
    </row>
    <row r="270" spans="1:16">
      <c r="A270" s="2"/>
      <c r="B270" s="2"/>
      <c r="C270" s="2"/>
      <c r="D270" s="2"/>
      <c r="E270" s="2"/>
      <c r="F270" s="2"/>
      <c r="G270" s="2"/>
      <c r="H270" s="2"/>
      <c r="I270" s="2"/>
      <c r="N270" s="113"/>
    </row>
    <row r="271" spans="1:16">
      <c r="A271" s="2"/>
      <c r="B271" s="2"/>
      <c r="C271" s="2"/>
      <c r="D271" s="2"/>
      <c r="E271" s="2"/>
      <c r="F271" s="2"/>
      <c r="G271" s="2"/>
      <c r="H271" s="2"/>
      <c r="I271" s="2"/>
      <c r="N271" s="113"/>
    </row>
    <row r="272" spans="1:16">
      <c r="A272" s="2"/>
      <c r="B272" s="2"/>
      <c r="C272" s="2"/>
      <c r="D272" s="2"/>
      <c r="E272" s="2"/>
      <c r="F272" s="2"/>
      <c r="G272" s="2"/>
      <c r="H272" s="2"/>
      <c r="I272" s="2"/>
      <c r="N272" s="113"/>
    </row>
    <row r="273" spans="1:14">
      <c r="A273" s="2"/>
      <c r="B273" s="2"/>
      <c r="C273" s="2"/>
      <c r="D273" s="2"/>
      <c r="E273" s="2"/>
      <c r="F273" s="2"/>
      <c r="G273" s="2"/>
      <c r="H273" s="2"/>
      <c r="I273" s="2"/>
      <c r="N273" s="113"/>
    </row>
    <row r="274" spans="1:14">
      <c r="A274" s="2"/>
      <c r="B274" s="2"/>
      <c r="C274" s="2"/>
      <c r="D274" s="2"/>
      <c r="E274" s="2"/>
      <c r="F274" s="2"/>
      <c r="G274" s="2"/>
      <c r="H274" s="2"/>
      <c r="I274" s="2"/>
      <c r="N274" s="113"/>
    </row>
    <row r="275" spans="1:14">
      <c r="A275" s="2"/>
      <c r="B275" s="2"/>
      <c r="C275" s="2"/>
      <c r="D275" s="2"/>
      <c r="E275" s="2"/>
      <c r="F275" s="2"/>
      <c r="G275" s="2"/>
      <c r="H275" s="2"/>
      <c r="I275" s="2"/>
      <c r="N275" s="113"/>
    </row>
    <row r="276" spans="1:14">
      <c r="A276" s="2"/>
      <c r="B276" s="2"/>
      <c r="C276" s="2"/>
      <c r="D276" s="2"/>
      <c r="E276" s="2"/>
      <c r="F276" s="2"/>
      <c r="G276" s="2"/>
      <c r="H276" s="2"/>
      <c r="I276" s="2"/>
      <c r="N276" s="113"/>
    </row>
    <row r="277" spans="1:14">
      <c r="A277" s="2"/>
      <c r="B277" s="2"/>
      <c r="C277" s="2"/>
      <c r="D277" s="2"/>
      <c r="E277" s="2"/>
      <c r="F277" s="2"/>
      <c r="G277" s="2"/>
      <c r="H277" s="2"/>
      <c r="I277" s="2"/>
      <c r="N277" s="113"/>
    </row>
    <row r="278" spans="1:14">
      <c r="A278" s="2"/>
      <c r="B278" s="2"/>
      <c r="C278" s="2"/>
      <c r="D278" s="2"/>
      <c r="E278" s="2"/>
      <c r="F278" s="2"/>
      <c r="G278" s="2"/>
      <c r="H278" s="2"/>
      <c r="I278" s="2"/>
      <c r="N278" s="113"/>
    </row>
    <row r="279" spans="1:14">
      <c r="A279" s="2"/>
      <c r="B279" s="2"/>
      <c r="C279" s="2"/>
      <c r="D279" s="2"/>
      <c r="E279" s="2"/>
      <c r="F279" s="2"/>
      <c r="G279" s="2"/>
      <c r="H279" s="2"/>
      <c r="I279" s="2"/>
      <c r="N279" s="113"/>
    </row>
    <row r="280" spans="1:14">
      <c r="A280" s="2"/>
      <c r="B280" s="2"/>
      <c r="C280" s="2"/>
      <c r="D280" s="2"/>
      <c r="E280" s="2"/>
      <c r="F280" s="2"/>
      <c r="G280" s="2"/>
      <c r="H280" s="2"/>
      <c r="I280" s="2"/>
      <c r="N280" s="113"/>
    </row>
    <row r="281" spans="1:14">
      <c r="A281" s="2"/>
      <c r="B281" s="2"/>
      <c r="C281" s="2"/>
      <c r="D281" s="2"/>
      <c r="E281" s="2"/>
      <c r="F281" s="2"/>
      <c r="G281" s="2"/>
      <c r="H281" s="2"/>
      <c r="I281" s="2"/>
      <c r="N281" s="113"/>
    </row>
    <row r="282" spans="1:14">
      <c r="A282" s="2"/>
      <c r="B282" s="2"/>
      <c r="C282" s="2"/>
      <c r="D282" s="2"/>
      <c r="E282" s="2"/>
      <c r="F282" s="2"/>
      <c r="G282" s="2"/>
      <c r="H282" s="2"/>
      <c r="I282" s="2"/>
      <c r="N282" s="113"/>
    </row>
    <row r="283" spans="1:14">
      <c r="A283" s="2"/>
      <c r="B283" s="2"/>
      <c r="C283" s="2"/>
      <c r="D283" s="2"/>
      <c r="E283" s="2"/>
      <c r="F283" s="2"/>
      <c r="G283" s="2"/>
      <c r="H283" s="2"/>
      <c r="I283" s="2"/>
      <c r="N283" s="113"/>
    </row>
    <row r="284" spans="1:14">
      <c r="A284" s="2"/>
      <c r="B284" s="2"/>
      <c r="C284" s="2"/>
      <c r="D284" s="2"/>
      <c r="E284" s="2"/>
      <c r="F284" s="2"/>
      <c r="G284" s="2"/>
      <c r="H284" s="2"/>
      <c r="I284" s="2"/>
      <c r="N284" s="113"/>
    </row>
    <row r="285" spans="1:14">
      <c r="A285" s="2"/>
      <c r="B285" s="2"/>
      <c r="C285" s="2"/>
      <c r="D285" s="2"/>
      <c r="E285" s="2"/>
      <c r="F285" s="2"/>
      <c r="G285" s="2"/>
      <c r="H285" s="2"/>
      <c r="I285" s="2"/>
      <c r="N285" s="113"/>
    </row>
    <row r="286" spans="1:14">
      <c r="A286" s="2"/>
      <c r="B286" s="2"/>
      <c r="C286" s="2"/>
      <c r="D286" s="2"/>
      <c r="E286" s="2"/>
      <c r="F286" s="2"/>
      <c r="G286" s="2"/>
      <c r="H286" s="2"/>
      <c r="I286" s="2"/>
      <c r="N286" s="113"/>
    </row>
    <row r="287" spans="1:14">
      <c r="A287" s="2"/>
      <c r="B287" s="2"/>
      <c r="C287" s="2"/>
      <c r="D287" s="2"/>
      <c r="E287" s="2"/>
      <c r="F287" s="2"/>
      <c r="G287" s="2"/>
      <c r="H287" s="2"/>
      <c r="I287" s="2"/>
      <c r="N287" s="113"/>
    </row>
    <row r="288" spans="1:14">
      <c r="A288" s="2"/>
      <c r="B288" s="2"/>
      <c r="C288" s="2"/>
      <c r="D288" s="2"/>
      <c r="E288" s="2"/>
      <c r="F288" s="2"/>
      <c r="G288" s="2"/>
      <c r="H288" s="2"/>
      <c r="I288" s="2"/>
      <c r="N288" s="113"/>
    </row>
    <row r="289" spans="1:14">
      <c r="A289" s="2"/>
      <c r="B289" s="2"/>
      <c r="C289" s="2"/>
      <c r="D289" s="2"/>
      <c r="E289" s="2"/>
      <c r="F289" s="2"/>
      <c r="G289" s="2"/>
      <c r="H289" s="2"/>
      <c r="I289" s="2"/>
      <c r="N289" s="113"/>
    </row>
    <row r="290" spans="1:14">
      <c r="A290" s="2"/>
      <c r="B290" s="2"/>
      <c r="C290" s="2"/>
      <c r="D290" s="2"/>
      <c r="E290" s="2"/>
      <c r="F290" s="2"/>
      <c r="G290" s="2"/>
      <c r="H290" s="2"/>
      <c r="I290" s="2"/>
      <c r="N290" s="113"/>
    </row>
    <row r="291" spans="1:14">
      <c r="A291" s="2"/>
      <c r="B291" s="2"/>
      <c r="C291" s="2"/>
      <c r="D291" s="2"/>
      <c r="E291" s="2"/>
      <c r="F291" s="2"/>
      <c r="G291" s="2"/>
      <c r="H291" s="2"/>
      <c r="I291" s="2"/>
      <c r="N291" s="113"/>
    </row>
    <row r="292" spans="1:14">
      <c r="A292" s="2"/>
      <c r="B292" s="2"/>
      <c r="C292" s="2"/>
      <c r="D292" s="2"/>
      <c r="E292" s="2"/>
      <c r="F292" s="2"/>
      <c r="G292" s="2"/>
      <c r="H292" s="2"/>
      <c r="I292" s="2"/>
      <c r="N292" s="113"/>
    </row>
    <row r="293" spans="1:14">
      <c r="A293" s="2"/>
      <c r="B293" s="2"/>
      <c r="C293" s="2"/>
      <c r="D293" s="2"/>
      <c r="E293" s="2"/>
      <c r="F293" s="2"/>
      <c r="G293" s="2"/>
      <c r="H293" s="2"/>
      <c r="I293" s="2"/>
      <c r="N293" s="113"/>
    </row>
    <row r="294" spans="1:14">
      <c r="A294" s="2"/>
      <c r="B294" s="2"/>
      <c r="C294" s="2"/>
      <c r="D294" s="2"/>
      <c r="E294" s="2"/>
      <c r="F294" s="2"/>
      <c r="G294" s="2"/>
      <c r="H294" s="2"/>
      <c r="I294" s="2"/>
      <c r="N294" s="113"/>
    </row>
    <row r="295" spans="1:14">
      <c r="A295" s="2"/>
      <c r="B295" s="2"/>
      <c r="C295" s="2"/>
      <c r="D295" s="2"/>
      <c r="E295" s="2"/>
      <c r="F295" s="2"/>
      <c r="G295" s="2"/>
      <c r="H295" s="2"/>
      <c r="I295" s="2"/>
      <c r="N295" s="113"/>
    </row>
    <row r="296" spans="1:14">
      <c r="A296" s="2"/>
      <c r="B296" s="2"/>
      <c r="C296" s="2"/>
      <c r="D296" s="2"/>
      <c r="E296" s="2"/>
      <c r="F296" s="2"/>
      <c r="G296" s="2"/>
      <c r="H296" s="2"/>
      <c r="I296" s="2"/>
      <c r="N296" s="113"/>
    </row>
    <row r="297" spans="1:14">
      <c r="A297" s="2"/>
      <c r="B297" s="2"/>
      <c r="C297" s="2"/>
      <c r="D297" s="2"/>
      <c r="E297" s="2"/>
      <c r="F297" s="2"/>
      <c r="G297" s="2"/>
      <c r="H297" s="2"/>
      <c r="I297" s="2"/>
      <c r="N297" s="113"/>
    </row>
    <row r="298" spans="1:14">
      <c r="A298" s="2"/>
      <c r="B298" s="2"/>
      <c r="C298" s="2"/>
      <c r="D298" s="2"/>
      <c r="E298" s="2"/>
      <c r="F298" s="2"/>
      <c r="G298" s="2"/>
      <c r="H298" s="2"/>
      <c r="I298" s="2"/>
      <c r="N298" s="113"/>
    </row>
    <row r="299" spans="1:14">
      <c r="A299" s="2"/>
      <c r="B299" s="2"/>
      <c r="C299" s="2"/>
      <c r="D299" s="2"/>
      <c r="E299" s="2"/>
      <c r="F299" s="2"/>
      <c r="G299" s="2"/>
      <c r="H299" s="2"/>
      <c r="I299" s="2"/>
      <c r="N299" s="113"/>
    </row>
    <row r="300" spans="1:14">
      <c r="A300" s="2"/>
      <c r="B300" s="2"/>
      <c r="C300" s="2"/>
      <c r="D300" s="2"/>
      <c r="E300" s="2"/>
      <c r="F300" s="2"/>
      <c r="G300" s="2"/>
      <c r="H300" s="2"/>
      <c r="I300" s="2"/>
      <c r="N300" s="113"/>
    </row>
    <row r="301" spans="1:14">
      <c r="A301" s="2"/>
      <c r="B301" s="2"/>
      <c r="C301" s="2"/>
      <c r="D301" s="2"/>
      <c r="E301" s="2"/>
      <c r="F301" s="2"/>
      <c r="G301" s="2"/>
      <c r="H301" s="2"/>
      <c r="I301" s="2"/>
      <c r="N301" s="113"/>
    </row>
    <row r="302" spans="1:14">
      <c r="A302" s="2"/>
      <c r="B302" s="2"/>
      <c r="C302" s="2"/>
      <c r="D302" s="2"/>
      <c r="E302" s="2"/>
      <c r="F302" s="2"/>
      <c r="G302" s="2"/>
      <c r="H302" s="2"/>
      <c r="I302" s="2"/>
      <c r="N302" s="113"/>
    </row>
    <row r="303" spans="1:14">
      <c r="A303" s="2"/>
      <c r="B303" s="2"/>
      <c r="C303" s="2"/>
      <c r="D303" s="2"/>
      <c r="E303" s="2"/>
      <c r="F303" s="2"/>
      <c r="G303" s="2"/>
      <c r="H303" s="2"/>
      <c r="I303" s="2"/>
      <c r="N303" s="113"/>
    </row>
    <row r="304" spans="1:14">
      <c r="A304" s="2"/>
      <c r="B304" s="2"/>
      <c r="C304" s="2"/>
      <c r="D304" s="2"/>
      <c r="E304" s="2"/>
      <c r="F304" s="2"/>
      <c r="G304" s="2"/>
      <c r="H304" s="2"/>
      <c r="I304" s="2"/>
      <c r="N304" s="113"/>
    </row>
    <row r="305" spans="1:14">
      <c r="A305" s="2"/>
      <c r="B305" s="2"/>
      <c r="C305" s="2"/>
      <c r="D305" s="2"/>
      <c r="E305" s="2"/>
      <c r="F305" s="2"/>
      <c r="G305" s="2"/>
      <c r="H305" s="2"/>
      <c r="I305" s="2"/>
      <c r="N305" s="113"/>
    </row>
    <row r="306" spans="1:14">
      <c r="A306" s="2"/>
      <c r="B306" s="2"/>
      <c r="C306" s="2"/>
      <c r="D306" s="2"/>
      <c r="E306" s="2"/>
      <c r="F306" s="2"/>
      <c r="G306" s="2"/>
      <c r="H306" s="2"/>
      <c r="I306" s="2"/>
      <c r="N306" s="113"/>
    </row>
    <row r="307" spans="1:14">
      <c r="A307" s="2"/>
      <c r="B307" s="2"/>
      <c r="C307" s="2"/>
      <c r="D307" s="2"/>
      <c r="E307" s="2"/>
      <c r="F307" s="2"/>
      <c r="G307" s="2"/>
      <c r="H307" s="2"/>
      <c r="I307" s="2"/>
      <c r="N307" s="113"/>
    </row>
    <row r="308" spans="1:14">
      <c r="A308" s="2"/>
      <c r="B308" s="2"/>
      <c r="C308" s="2"/>
      <c r="D308" s="2"/>
      <c r="E308" s="2"/>
      <c r="F308" s="2"/>
      <c r="G308" s="2"/>
      <c r="H308" s="2"/>
      <c r="I308" s="2"/>
      <c r="N308" s="113"/>
    </row>
    <row r="309" spans="1:14">
      <c r="A309" s="2"/>
      <c r="B309" s="2"/>
      <c r="C309" s="2"/>
      <c r="D309" s="2"/>
      <c r="E309" s="2"/>
      <c r="F309" s="2"/>
      <c r="G309" s="2"/>
      <c r="H309" s="2"/>
      <c r="I309" s="2"/>
      <c r="N309" s="113"/>
    </row>
    <row r="310" spans="1:14">
      <c r="A310" s="2"/>
      <c r="B310" s="2"/>
      <c r="C310" s="2"/>
      <c r="D310" s="2"/>
      <c r="E310" s="2"/>
      <c r="F310" s="2"/>
      <c r="G310" s="2"/>
      <c r="H310" s="2"/>
      <c r="I310" s="2"/>
      <c r="N310" s="113"/>
    </row>
    <row r="311" spans="1:14">
      <c r="A311" s="2"/>
      <c r="B311" s="2"/>
      <c r="C311" s="2"/>
      <c r="D311" s="2"/>
      <c r="E311" s="2"/>
      <c r="F311" s="2"/>
      <c r="G311" s="2"/>
      <c r="H311" s="2"/>
      <c r="I311" s="2"/>
      <c r="N311" s="113"/>
    </row>
    <row r="312" spans="1:14">
      <c r="A312" s="2"/>
      <c r="B312" s="2"/>
      <c r="C312" s="2"/>
      <c r="D312" s="2"/>
      <c r="E312" s="2"/>
      <c r="F312" s="2"/>
      <c r="G312" s="2"/>
      <c r="H312" s="2"/>
      <c r="I312" s="2"/>
      <c r="N312" s="113"/>
    </row>
    <row r="313" spans="1:14">
      <c r="A313" s="2"/>
      <c r="B313" s="2"/>
      <c r="C313" s="2"/>
      <c r="D313" s="2"/>
      <c r="E313" s="2"/>
      <c r="F313" s="2"/>
      <c r="G313" s="2"/>
      <c r="H313" s="2"/>
      <c r="I313" s="2"/>
      <c r="N313" s="113"/>
    </row>
    <row r="314" spans="1:14">
      <c r="A314" s="2"/>
      <c r="B314" s="2"/>
      <c r="C314" s="2"/>
      <c r="D314" s="2"/>
      <c r="E314" s="2"/>
      <c r="F314" s="2"/>
      <c r="G314" s="2"/>
      <c r="H314" s="2"/>
      <c r="I314" s="2"/>
      <c r="N314" s="113"/>
    </row>
    <row r="315" spans="1:14">
      <c r="A315" s="2"/>
      <c r="B315" s="2"/>
      <c r="C315" s="2"/>
      <c r="D315" s="2"/>
      <c r="E315" s="2"/>
      <c r="F315" s="2"/>
      <c r="G315" s="2"/>
      <c r="H315" s="2"/>
      <c r="I315" s="2"/>
      <c r="N315" s="113"/>
    </row>
    <row r="316" spans="1:14">
      <c r="A316" s="2"/>
      <c r="B316" s="2"/>
      <c r="C316" s="2"/>
      <c r="D316" s="2"/>
      <c r="E316" s="2"/>
      <c r="F316" s="2"/>
      <c r="G316" s="2"/>
      <c r="H316" s="2"/>
      <c r="I316" s="2"/>
      <c r="N316" s="113"/>
    </row>
    <row r="317" spans="1:14">
      <c r="A317" s="2"/>
      <c r="B317" s="2"/>
      <c r="C317" s="2"/>
      <c r="D317" s="2"/>
      <c r="E317" s="2"/>
      <c r="F317" s="2"/>
      <c r="G317" s="2"/>
      <c r="H317" s="2"/>
      <c r="I317" s="2"/>
      <c r="N317" s="113"/>
    </row>
    <row r="318" spans="1:14">
      <c r="A318" s="2"/>
      <c r="B318" s="2"/>
      <c r="C318" s="2"/>
      <c r="D318" s="2"/>
      <c r="E318" s="2"/>
      <c r="F318" s="2"/>
      <c r="G318" s="2"/>
      <c r="H318" s="2"/>
      <c r="I318" s="2"/>
      <c r="N318" s="113"/>
    </row>
    <row r="319" spans="1:14">
      <c r="A319" s="2"/>
      <c r="B319" s="2"/>
      <c r="C319" s="2"/>
      <c r="D319" s="2"/>
      <c r="E319" s="2"/>
      <c r="F319" s="2"/>
      <c r="G319" s="2"/>
      <c r="H319" s="2"/>
      <c r="I319" s="2"/>
      <c r="N319" s="113"/>
    </row>
    <row r="320" spans="1:14">
      <c r="A320" s="2"/>
      <c r="B320" s="2"/>
      <c r="C320" s="2"/>
      <c r="D320" s="2"/>
      <c r="E320" s="2"/>
      <c r="F320" s="2"/>
      <c r="G320" s="2"/>
      <c r="H320" s="2"/>
      <c r="I320" s="2"/>
      <c r="N320" s="113"/>
    </row>
    <row r="321" spans="1:14">
      <c r="A321" s="2"/>
      <c r="B321" s="2"/>
      <c r="C321" s="2"/>
      <c r="D321" s="2"/>
      <c r="E321" s="2"/>
      <c r="F321" s="2"/>
      <c r="G321" s="2"/>
      <c r="H321" s="2"/>
      <c r="I321" s="2"/>
      <c r="N321" s="113"/>
    </row>
    <row r="322" spans="1:14">
      <c r="A322" s="2"/>
      <c r="B322" s="2"/>
      <c r="C322" s="2"/>
      <c r="D322" s="2"/>
      <c r="E322" s="2"/>
      <c r="F322" s="2"/>
      <c r="G322" s="2"/>
      <c r="H322" s="2"/>
      <c r="I322" s="2"/>
      <c r="N322" s="113"/>
    </row>
    <row r="323" spans="1:14">
      <c r="A323" s="2"/>
      <c r="B323" s="2"/>
      <c r="C323" s="2"/>
      <c r="D323" s="2"/>
      <c r="E323" s="2"/>
      <c r="F323" s="2"/>
      <c r="G323" s="2"/>
      <c r="H323" s="2"/>
      <c r="I323" s="2"/>
      <c r="N323" s="113"/>
    </row>
    <row r="324" spans="1:14">
      <c r="A324" s="2"/>
      <c r="B324" s="2"/>
      <c r="C324" s="2"/>
      <c r="D324" s="2"/>
      <c r="E324" s="2"/>
      <c r="F324" s="2"/>
      <c r="G324" s="2"/>
      <c r="H324" s="2"/>
      <c r="I324" s="2"/>
      <c r="N324" s="113"/>
    </row>
    <row r="325" spans="1:14">
      <c r="A325" s="2"/>
      <c r="B325" s="2"/>
      <c r="C325" s="2"/>
      <c r="D325" s="2"/>
      <c r="E325" s="2"/>
      <c r="F325" s="2"/>
      <c r="G325" s="2"/>
      <c r="H325" s="2"/>
      <c r="I325" s="2"/>
      <c r="N325" s="113"/>
    </row>
    <row r="326" spans="1:14">
      <c r="A326" s="2"/>
      <c r="B326" s="2"/>
      <c r="C326" s="2"/>
      <c r="D326" s="2"/>
      <c r="E326" s="2"/>
      <c r="F326" s="2"/>
      <c r="G326" s="2"/>
      <c r="H326" s="2"/>
      <c r="I326" s="2"/>
      <c r="N326" s="113"/>
    </row>
    <row r="327" spans="1:14">
      <c r="A327" s="2"/>
      <c r="B327" s="2"/>
      <c r="C327" s="2"/>
      <c r="D327" s="2"/>
      <c r="E327" s="2"/>
      <c r="F327" s="2"/>
      <c r="G327" s="2"/>
      <c r="H327" s="2"/>
      <c r="I327" s="2"/>
      <c r="N327" s="113"/>
    </row>
    <row r="328" spans="1:14">
      <c r="A328" s="2"/>
      <c r="B328" s="2"/>
      <c r="C328" s="2"/>
      <c r="D328" s="2"/>
      <c r="E328" s="2"/>
      <c r="F328" s="2"/>
      <c r="G328" s="2"/>
      <c r="H328" s="2"/>
      <c r="I328" s="2"/>
      <c r="N328" s="113"/>
    </row>
    <row r="329" spans="1:14">
      <c r="A329" s="2"/>
      <c r="B329" s="2"/>
      <c r="C329" s="2"/>
      <c r="D329" s="2"/>
      <c r="E329" s="2"/>
      <c r="F329" s="2"/>
      <c r="G329" s="2"/>
      <c r="H329" s="2"/>
      <c r="I329" s="2"/>
      <c r="N329" s="113"/>
    </row>
    <row r="330" spans="1:14">
      <c r="A330" s="2"/>
      <c r="B330" s="2"/>
      <c r="C330" s="2"/>
      <c r="D330" s="2"/>
      <c r="E330" s="2"/>
      <c r="F330" s="2"/>
      <c r="G330" s="2"/>
      <c r="H330" s="2"/>
      <c r="I330" s="2"/>
      <c r="N330" s="113"/>
    </row>
    <row r="331" spans="1:14">
      <c r="A331" s="2"/>
      <c r="B331" s="2"/>
      <c r="C331" s="2"/>
      <c r="D331" s="2"/>
      <c r="E331" s="2"/>
      <c r="F331" s="2"/>
      <c r="G331" s="2"/>
      <c r="H331" s="2"/>
      <c r="I331" s="2"/>
      <c r="N331" s="113"/>
    </row>
    <row r="332" spans="1:14">
      <c r="A332" s="2"/>
      <c r="B332" s="2"/>
      <c r="C332" s="2"/>
      <c r="D332" s="2"/>
      <c r="E332" s="2"/>
      <c r="F332" s="2"/>
      <c r="G332" s="2"/>
      <c r="H332" s="2"/>
      <c r="I332" s="2"/>
      <c r="N332" s="113"/>
    </row>
    <row r="333" spans="1:14">
      <c r="A333" s="2"/>
      <c r="B333" s="2"/>
      <c r="C333" s="2"/>
      <c r="D333" s="2"/>
      <c r="E333" s="2"/>
      <c r="F333" s="2"/>
      <c r="G333" s="2"/>
      <c r="H333" s="2"/>
      <c r="I333" s="2"/>
      <c r="N333" s="113"/>
    </row>
    <row r="334" spans="1:14">
      <c r="A334" s="2"/>
      <c r="B334" s="2"/>
      <c r="C334" s="2"/>
      <c r="D334" s="2"/>
      <c r="E334" s="2"/>
      <c r="F334" s="2"/>
      <c r="G334" s="2"/>
      <c r="H334" s="2"/>
      <c r="I334" s="2"/>
      <c r="N334" s="113"/>
    </row>
    <row r="335" spans="1:14">
      <c r="A335" s="2"/>
      <c r="B335" s="2"/>
      <c r="C335" s="2"/>
      <c r="D335" s="2"/>
      <c r="E335" s="2"/>
      <c r="F335" s="2"/>
      <c r="G335" s="2"/>
      <c r="H335" s="2"/>
      <c r="I335" s="2"/>
      <c r="N335" s="113"/>
    </row>
    <row r="336" spans="1:14">
      <c r="A336" s="2"/>
      <c r="B336" s="2"/>
      <c r="C336" s="2"/>
      <c r="D336" s="2"/>
      <c r="E336" s="2"/>
      <c r="F336" s="2"/>
      <c r="G336" s="2"/>
      <c r="H336" s="2"/>
      <c r="I336" s="2"/>
      <c r="N336" s="113"/>
    </row>
    <row r="337" spans="1:14">
      <c r="A337" s="2"/>
      <c r="B337" s="2"/>
      <c r="C337" s="2"/>
      <c r="D337" s="2"/>
      <c r="E337" s="2"/>
      <c r="F337" s="2"/>
      <c r="G337" s="2"/>
      <c r="H337" s="2"/>
      <c r="I337" s="2"/>
      <c r="N337" s="113"/>
    </row>
    <row r="338" spans="1:14">
      <c r="A338" s="2"/>
      <c r="B338" s="2"/>
      <c r="C338" s="2"/>
      <c r="D338" s="2"/>
      <c r="E338" s="2"/>
      <c r="F338" s="2"/>
      <c r="G338" s="2"/>
      <c r="H338" s="2"/>
      <c r="I338" s="2"/>
      <c r="N338" s="113"/>
    </row>
    <row r="339" spans="1:14">
      <c r="A339" s="2"/>
      <c r="B339" s="2"/>
      <c r="C339" s="2"/>
      <c r="D339" s="2"/>
      <c r="E339" s="2"/>
      <c r="F339" s="2"/>
      <c r="G339" s="2"/>
      <c r="H339" s="2"/>
      <c r="I339" s="2"/>
      <c r="N339" s="113"/>
    </row>
    <row r="340" spans="1:14">
      <c r="A340" s="2"/>
      <c r="B340" s="2"/>
      <c r="C340" s="2"/>
      <c r="D340" s="2"/>
      <c r="E340" s="2"/>
      <c r="F340" s="2"/>
      <c r="G340" s="2"/>
      <c r="H340" s="2"/>
      <c r="I340" s="2"/>
      <c r="N340" s="113"/>
    </row>
    <row r="341" spans="1:14">
      <c r="A341" s="2"/>
      <c r="B341" s="2"/>
      <c r="C341" s="2"/>
      <c r="D341" s="2"/>
      <c r="E341" s="2"/>
      <c r="F341" s="2"/>
      <c r="G341" s="2"/>
      <c r="H341" s="2"/>
      <c r="I341" s="2"/>
      <c r="N341" s="113"/>
    </row>
    <row r="342" spans="1:14">
      <c r="A342" s="2"/>
      <c r="B342" s="2"/>
      <c r="C342" s="2"/>
      <c r="D342" s="2"/>
      <c r="E342" s="2"/>
      <c r="F342" s="2"/>
      <c r="G342" s="2"/>
      <c r="H342" s="2"/>
      <c r="I342" s="2"/>
      <c r="N342" s="113"/>
    </row>
    <row r="343" spans="1:14">
      <c r="A343" s="2"/>
      <c r="B343" s="2"/>
      <c r="C343" s="2"/>
      <c r="D343" s="2"/>
      <c r="E343" s="2"/>
      <c r="F343" s="2"/>
      <c r="G343" s="2"/>
      <c r="H343" s="2"/>
      <c r="I343" s="2"/>
      <c r="N343" s="113"/>
    </row>
    <row r="344" spans="1:14">
      <c r="A344" s="2"/>
      <c r="B344" s="2"/>
      <c r="C344" s="2"/>
      <c r="D344" s="2"/>
      <c r="E344" s="2"/>
      <c r="F344" s="2"/>
      <c r="G344" s="2"/>
      <c r="H344" s="2"/>
      <c r="I344" s="2"/>
      <c r="N344" s="113"/>
    </row>
    <row r="345" spans="1:14">
      <c r="A345" s="2"/>
      <c r="B345" s="2"/>
      <c r="C345" s="2"/>
      <c r="D345" s="2"/>
      <c r="E345" s="2"/>
      <c r="F345" s="2"/>
      <c r="G345" s="2"/>
      <c r="H345" s="2"/>
      <c r="I345" s="2"/>
      <c r="N345" s="113"/>
    </row>
    <row r="346" spans="1:14">
      <c r="A346" s="2"/>
      <c r="B346" s="2"/>
      <c r="C346" s="2"/>
      <c r="D346" s="2"/>
      <c r="E346" s="2"/>
      <c r="F346" s="2"/>
      <c r="G346" s="2"/>
      <c r="H346" s="2"/>
      <c r="I346" s="2"/>
      <c r="N346" s="113"/>
    </row>
    <row r="347" spans="1:14">
      <c r="A347" s="2"/>
      <c r="B347" s="2"/>
      <c r="C347" s="2"/>
      <c r="D347" s="2"/>
      <c r="E347" s="2"/>
      <c r="F347" s="2"/>
      <c r="G347" s="2"/>
      <c r="H347" s="2"/>
      <c r="I347" s="2"/>
      <c r="N347" s="113"/>
    </row>
    <row r="348" spans="1:14">
      <c r="A348" s="2"/>
      <c r="B348" s="2"/>
      <c r="C348" s="2"/>
      <c r="D348" s="2"/>
      <c r="E348" s="2"/>
      <c r="F348" s="2"/>
      <c r="G348" s="2"/>
      <c r="H348" s="2"/>
      <c r="I348" s="2"/>
      <c r="N348" s="113"/>
    </row>
    <row r="349" spans="1:14">
      <c r="A349" s="2"/>
      <c r="B349" s="2"/>
      <c r="C349" s="2"/>
      <c r="D349" s="2"/>
      <c r="E349" s="2"/>
      <c r="F349" s="2"/>
      <c r="G349" s="2"/>
      <c r="H349" s="2"/>
      <c r="I349" s="2"/>
      <c r="N349" s="113"/>
    </row>
    <row r="350" spans="1:14">
      <c r="A350" s="2"/>
      <c r="B350" s="2"/>
      <c r="C350" s="2"/>
      <c r="D350" s="2"/>
      <c r="E350" s="2"/>
      <c r="F350" s="2"/>
      <c r="G350" s="2"/>
      <c r="H350" s="2"/>
      <c r="I350" s="2"/>
      <c r="N350" s="113"/>
    </row>
    <row r="351" spans="1:14">
      <c r="A351" s="2"/>
      <c r="B351" s="2"/>
      <c r="C351" s="2"/>
      <c r="D351" s="2"/>
      <c r="E351" s="2"/>
      <c r="F351" s="2"/>
      <c r="G351" s="2"/>
      <c r="H351" s="2"/>
      <c r="I351" s="2"/>
      <c r="N351" s="113"/>
    </row>
    <row r="352" spans="1:14">
      <c r="A352" s="2"/>
      <c r="B352" s="2"/>
      <c r="C352" s="2"/>
      <c r="D352" s="2"/>
      <c r="E352" s="2"/>
      <c r="F352" s="2"/>
      <c r="G352" s="2"/>
      <c r="H352" s="2"/>
      <c r="I352" s="2"/>
      <c r="N352" s="113"/>
    </row>
    <row r="353" spans="1:14">
      <c r="A353" s="2"/>
      <c r="B353" s="2"/>
      <c r="C353" s="2"/>
      <c r="D353" s="2"/>
      <c r="E353" s="2"/>
      <c r="F353" s="2"/>
      <c r="G353" s="2"/>
      <c r="H353" s="2"/>
      <c r="I353" s="2"/>
      <c r="N353" s="113"/>
    </row>
    <row r="354" spans="1:14">
      <c r="A354" s="2"/>
      <c r="B354" s="2"/>
      <c r="C354" s="2"/>
      <c r="D354" s="2"/>
      <c r="E354" s="2"/>
      <c r="F354" s="2"/>
      <c r="G354" s="2"/>
      <c r="H354" s="2"/>
      <c r="I354" s="2"/>
      <c r="N354" s="113"/>
    </row>
    <row r="355" spans="1:14">
      <c r="A355" s="2"/>
      <c r="B355" s="2"/>
      <c r="C355" s="2"/>
      <c r="D355" s="2"/>
      <c r="E355" s="2"/>
      <c r="F355" s="2"/>
      <c r="G355" s="2"/>
      <c r="H355" s="2"/>
      <c r="I355" s="2"/>
      <c r="N355" s="113"/>
    </row>
    <row r="356" spans="1:14">
      <c r="A356" s="2"/>
      <c r="B356" s="2"/>
      <c r="C356" s="2"/>
      <c r="D356" s="2"/>
      <c r="E356" s="2"/>
      <c r="F356" s="2"/>
      <c r="G356" s="2"/>
      <c r="H356" s="2"/>
      <c r="I356" s="2"/>
      <c r="N356" s="113"/>
    </row>
    <row r="357" spans="1:14">
      <c r="A357" s="2"/>
      <c r="B357" s="2"/>
      <c r="C357" s="2"/>
      <c r="D357" s="2"/>
      <c r="E357" s="2"/>
      <c r="F357" s="2"/>
      <c r="G357" s="2"/>
      <c r="H357" s="2"/>
      <c r="I357" s="2"/>
      <c r="N357" s="113"/>
    </row>
    <row r="358" spans="1:14">
      <c r="A358" s="2"/>
      <c r="B358" s="2"/>
      <c r="C358" s="2"/>
      <c r="D358" s="2"/>
      <c r="E358" s="2"/>
      <c r="F358" s="2"/>
      <c r="G358" s="2"/>
      <c r="H358" s="2"/>
      <c r="I358" s="2"/>
      <c r="N358" s="113"/>
    </row>
    <row r="359" spans="1:14">
      <c r="A359" s="2"/>
      <c r="B359" s="2"/>
      <c r="C359" s="2"/>
      <c r="D359" s="2"/>
      <c r="E359" s="2"/>
      <c r="F359" s="2"/>
      <c r="G359" s="2"/>
      <c r="H359" s="2"/>
      <c r="I359" s="2"/>
      <c r="N359" s="113"/>
    </row>
    <row r="360" spans="1:14">
      <c r="A360" s="2"/>
      <c r="B360" s="2"/>
      <c r="C360" s="2"/>
      <c r="D360" s="2"/>
      <c r="E360" s="2"/>
      <c r="F360" s="2"/>
      <c r="G360" s="2"/>
      <c r="H360" s="2"/>
      <c r="I360" s="2"/>
      <c r="N360" s="113"/>
    </row>
    <row r="361" spans="1:14">
      <c r="A361" s="2"/>
      <c r="B361" s="2"/>
      <c r="C361" s="2"/>
      <c r="D361" s="2"/>
      <c r="E361" s="2"/>
      <c r="F361" s="2"/>
      <c r="G361" s="2"/>
      <c r="H361" s="2"/>
      <c r="I361" s="2"/>
      <c r="N361" s="113"/>
    </row>
    <row r="362" spans="1:14">
      <c r="A362" s="2"/>
      <c r="B362" s="2"/>
      <c r="C362" s="2"/>
      <c r="D362" s="2"/>
      <c r="E362" s="2"/>
      <c r="F362" s="2"/>
      <c r="G362" s="2"/>
      <c r="H362" s="2"/>
      <c r="I362" s="2"/>
      <c r="N362" s="113"/>
    </row>
    <row r="363" spans="1:14">
      <c r="A363" s="2"/>
      <c r="B363" s="2"/>
      <c r="C363" s="2"/>
      <c r="D363" s="2"/>
      <c r="E363" s="2"/>
      <c r="F363" s="2"/>
      <c r="G363" s="2"/>
      <c r="H363" s="2"/>
      <c r="I363" s="2"/>
      <c r="N363" s="113"/>
    </row>
    <row r="364" spans="1:14">
      <c r="A364" s="2"/>
      <c r="B364" s="2"/>
      <c r="C364" s="2"/>
      <c r="D364" s="2"/>
      <c r="E364" s="2"/>
      <c r="F364" s="2"/>
      <c r="G364" s="2"/>
      <c r="H364" s="2"/>
      <c r="I364" s="2"/>
      <c r="N364" s="113"/>
    </row>
    <row r="365" spans="1:14">
      <c r="A365" s="2"/>
      <c r="B365" s="2"/>
      <c r="C365" s="2"/>
      <c r="D365" s="2"/>
      <c r="E365" s="2"/>
      <c r="F365" s="2"/>
      <c r="G365" s="2"/>
      <c r="H365" s="2"/>
      <c r="I365" s="2"/>
      <c r="N365" s="113"/>
    </row>
    <row r="366" spans="1:14">
      <c r="A366" s="2"/>
      <c r="B366" s="2"/>
      <c r="C366" s="2"/>
      <c r="D366" s="2"/>
      <c r="E366" s="2"/>
      <c r="F366" s="2"/>
      <c r="G366" s="2"/>
      <c r="H366" s="2"/>
      <c r="I366" s="2"/>
      <c r="N366" s="113"/>
    </row>
    <row r="367" spans="1:14">
      <c r="A367" s="2"/>
      <c r="B367" s="2"/>
      <c r="C367" s="2"/>
      <c r="D367" s="2"/>
      <c r="E367" s="2"/>
      <c r="F367" s="2"/>
      <c r="G367" s="2"/>
      <c r="H367" s="2"/>
      <c r="I367" s="2"/>
      <c r="N367" s="113"/>
    </row>
    <row r="368" spans="1:14">
      <c r="A368" s="2"/>
      <c r="B368" s="2"/>
      <c r="C368" s="2"/>
      <c r="D368" s="2"/>
      <c r="E368" s="2"/>
      <c r="F368" s="2"/>
      <c r="G368" s="2"/>
      <c r="H368" s="2"/>
      <c r="I368" s="2"/>
      <c r="N368" s="113"/>
    </row>
    <row r="369" spans="1:14">
      <c r="A369" s="2"/>
      <c r="B369" s="2"/>
      <c r="C369" s="2"/>
      <c r="D369" s="2"/>
      <c r="E369" s="2"/>
      <c r="F369" s="2"/>
      <c r="G369" s="2"/>
      <c r="H369" s="2"/>
      <c r="I369" s="2"/>
      <c r="N369" s="113"/>
    </row>
    <row r="370" spans="1:14">
      <c r="A370" s="2"/>
      <c r="B370" s="2"/>
      <c r="C370" s="2"/>
      <c r="D370" s="2"/>
      <c r="E370" s="2"/>
      <c r="F370" s="2"/>
      <c r="G370" s="2"/>
      <c r="H370" s="2"/>
      <c r="I370" s="2"/>
      <c r="N370" s="113"/>
    </row>
    <row r="371" spans="1:14">
      <c r="A371" s="2"/>
      <c r="B371" s="2"/>
      <c r="C371" s="2"/>
      <c r="D371" s="2"/>
      <c r="E371" s="2"/>
      <c r="F371" s="2"/>
      <c r="G371" s="2"/>
      <c r="H371" s="2"/>
      <c r="I371" s="2"/>
      <c r="N371" s="113"/>
    </row>
    <row r="372" spans="1:14">
      <c r="A372" s="2"/>
      <c r="B372" s="2"/>
      <c r="C372" s="2"/>
      <c r="D372" s="2"/>
      <c r="E372" s="2"/>
      <c r="F372" s="2"/>
      <c r="G372" s="2"/>
      <c r="H372" s="2"/>
      <c r="I372" s="2"/>
      <c r="N372" s="113"/>
    </row>
    <row r="373" spans="1:14">
      <c r="A373" s="2"/>
      <c r="B373" s="2"/>
      <c r="C373" s="2"/>
      <c r="D373" s="2"/>
      <c r="E373" s="2"/>
      <c r="F373" s="2"/>
      <c r="G373" s="2"/>
      <c r="H373" s="2"/>
      <c r="I373" s="2"/>
      <c r="N373" s="113"/>
    </row>
    <row r="374" spans="1:14">
      <c r="A374" s="2"/>
      <c r="B374" s="2"/>
      <c r="C374" s="2"/>
      <c r="D374" s="2"/>
      <c r="E374" s="2"/>
      <c r="F374" s="2"/>
      <c r="G374" s="2"/>
      <c r="H374" s="2"/>
      <c r="I374" s="2"/>
      <c r="N374" s="113"/>
    </row>
    <row r="375" spans="1:14">
      <c r="A375" s="2"/>
      <c r="B375" s="2"/>
      <c r="C375" s="2"/>
      <c r="D375" s="2"/>
      <c r="E375" s="2"/>
      <c r="F375" s="2"/>
      <c r="G375" s="2"/>
      <c r="H375" s="2"/>
      <c r="I375" s="2"/>
      <c r="N375" s="113"/>
    </row>
    <row r="376" spans="1:14">
      <c r="A376" s="2"/>
      <c r="B376" s="2"/>
      <c r="C376" s="2"/>
      <c r="D376" s="2"/>
      <c r="E376" s="2"/>
      <c r="F376" s="2"/>
      <c r="G376" s="2"/>
      <c r="H376" s="2"/>
      <c r="I376" s="2"/>
      <c r="N376" s="113"/>
    </row>
    <row r="377" spans="1:14">
      <c r="A377" s="2"/>
      <c r="B377" s="2"/>
      <c r="C377" s="2"/>
      <c r="D377" s="2"/>
      <c r="E377" s="2"/>
      <c r="F377" s="2"/>
      <c r="G377" s="2"/>
      <c r="H377" s="2"/>
      <c r="I377" s="2"/>
      <c r="N377" s="113"/>
    </row>
    <row r="378" spans="1:14">
      <c r="A378" s="2"/>
      <c r="B378" s="2"/>
      <c r="C378" s="2"/>
      <c r="D378" s="2"/>
      <c r="E378" s="2"/>
      <c r="F378" s="2"/>
      <c r="G378" s="2"/>
      <c r="H378" s="2"/>
      <c r="I378" s="2"/>
      <c r="N378" s="113"/>
    </row>
    <row r="379" spans="1:14">
      <c r="A379" s="2"/>
      <c r="B379" s="2"/>
      <c r="C379" s="2"/>
      <c r="D379" s="2"/>
      <c r="E379" s="2"/>
      <c r="F379" s="2"/>
      <c r="G379" s="2"/>
      <c r="H379" s="2"/>
      <c r="I379" s="2"/>
      <c r="N379" s="113"/>
    </row>
    <row r="380" spans="1:14">
      <c r="A380" s="2"/>
      <c r="B380" s="2"/>
      <c r="C380" s="2"/>
      <c r="D380" s="2"/>
      <c r="E380" s="2"/>
      <c r="F380" s="2"/>
      <c r="G380" s="2"/>
      <c r="H380" s="2"/>
      <c r="I380" s="2"/>
      <c r="N380" s="113"/>
    </row>
    <row r="381" spans="1:14">
      <c r="A381" s="2"/>
      <c r="B381" s="2"/>
      <c r="C381" s="2"/>
      <c r="D381" s="2"/>
      <c r="E381" s="2"/>
      <c r="F381" s="2"/>
      <c r="G381" s="2"/>
      <c r="H381" s="2"/>
      <c r="I381" s="2"/>
      <c r="N381" s="113"/>
    </row>
    <row r="382" spans="1:14">
      <c r="A382" s="2"/>
      <c r="B382" s="2"/>
      <c r="C382" s="2"/>
      <c r="D382" s="2"/>
      <c r="E382" s="2"/>
      <c r="F382" s="2"/>
      <c r="G382" s="2"/>
      <c r="H382" s="2"/>
      <c r="I382" s="2"/>
      <c r="N382" s="113"/>
    </row>
    <row r="383" spans="1:14">
      <c r="A383" s="2"/>
      <c r="B383" s="2"/>
      <c r="C383" s="2"/>
      <c r="D383" s="2"/>
      <c r="E383" s="2"/>
      <c r="F383" s="2"/>
      <c r="G383" s="2"/>
      <c r="H383" s="2"/>
      <c r="I383" s="2"/>
      <c r="N383" s="113"/>
    </row>
    <row r="384" spans="1:14">
      <c r="A384" s="2"/>
      <c r="B384" s="2"/>
      <c r="C384" s="2"/>
      <c r="D384" s="2"/>
      <c r="E384" s="2"/>
      <c r="F384" s="2"/>
      <c r="G384" s="2"/>
      <c r="H384" s="2"/>
      <c r="I384" s="2"/>
      <c r="N384" s="113"/>
    </row>
    <row r="385" spans="1:14">
      <c r="A385" s="2"/>
      <c r="B385" s="2"/>
      <c r="C385" s="2"/>
      <c r="D385" s="2"/>
      <c r="E385" s="2"/>
      <c r="F385" s="2"/>
      <c r="G385" s="2"/>
      <c r="H385" s="2"/>
      <c r="I385" s="2"/>
      <c r="N385" s="113"/>
    </row>
    <row r="386" spans="1:14">
      <c r="A386" s="2"/>
      <c r="B386" s="2"/>
      <c r="C386" s="2"/>
      <c r="D386" s="2"/>
      <c r="E386" s="2"/>
      <c r="F386" s="2"/>
      <c r="G386" s="2"/>
      <c r="H386" s="2"/>
      <c r="I386" s="2"/>
      <c r="N386" s="113"/>
    </row>
    <row r="387" spans="1:14">
      <c r="A387" s="2"/>
      <c r="B387" s="2"/>
      <c r="C387" s="2"/>
      <c r="D387" s="2"/>
      <c r="E387" s="2"/>
      <c r="F387" s="2"/>
      <c r="G387" s="2"/>
      <c r="H387" s="2"/>
      <c r="I387" s="2"/>
      <c r="N387" s="113"/>
    </row>
    <row r="388" spans="1:14">
      <c r="A388" s="2"/>
      <c r="B388" s="2"/>
      <c r="C388" s="2"/>
      <c r="D388" s="2"/>
      <c r="E388" s="2"/>
      <c r="F388" s="2"/>
      <c r="G388" s="2"/>
      <c r="H388" s="2"/>
      <c r="I388" s="2"/>
      <c r="N388" s="113"/>
    </row>
    <row r="389" spans="1:14">
      <c r="A389" s="2"/>
      <c r="B389" s="2"/>
      <c r="C389" s="2"/>
      <c r="D389" s="2"/>
      <c r="E389" s="2"/>
      <c r="F389" s="2"/>
      <c r="G389" s="2"/>
      <c r="H389" s="2"/>
      <c r="I389" s="2"/>
      <c r="N389" s="113"/>
    </row>
    <row r="390" spans="1:14">
      <c r="A390" s="2"/>
      <c r="B390" s="2"/>
      <c r="C390" s="2"/>
      <c r="D390" s="2"/>
      <c r="E390" s="2"/>
      <c r="F390" s="2"/>
      <c r="G390" s="2"/>
      <c r="H390" s="2"/>
      <c r="I390" s="2"/>
      <c r="N390" s="113"/>
    </row>
    <row r="391" spans="1:14">
      <c r="A391" s="2"/>
      <c r="B391" s="2"/>
      <c r="C391" s="2"/>
      <c r="D391" s="2"/>
      <c r="E391" s="2"/>
      <c r="F391" s="2"/>
      <c r="G391" s="2"/>
      <c r="H391" s="2"/>
      <c r="I391" s="2"/>
      <c r="N391" s="113"/>
    </row>
    <row r="392" spans="1:14">
      <c r="A392" s="2"/>
      <c r="B392" s="2"/>
      <c r="C392" s="2"/>
      <c r="D392" s="2"/>
      <c r="E392" s="2"/>
      <c r="F392" s="2"/>
      <c r="G392" s="2"/>
      <c r="H392" s="2"/>
      <c r="I392" s="2"/>
      <c r="N392" s="113"/>
    </row>
    <row r="393" spans="1:14">
      <c r="A393" s="2"/>
      <c r="B393" s="2"/>
      <c r="C393" s="2"/>
      <c r="D393" s="2"/>
      <c r="E393" s="2"/>
      <c r="F393" s="2"/>
      <c r="G393" s="2"/>
      <c r="H393" s="2"/>
      <c r="I393" s="2"/>
      <c r="N393" s="113"/>
    </row>
    <row r="394" spans="1:14">
      <c r="A394" s="2"/>
      <c r="B394" s="2"/>
      <c r="C394" s="2"/>
      <c r="D394" s="2"/>
      <c r="E394" s="2"/>
      <c r="F394" s="2"/>
      <c r="G394" s="2"/>
      <c r="H394" s="2"/>
      <c r="I394" s="2"/>
      <c r="N394" s="113"/>
    </row>
    <row r="395" spans="1:14">
      <c r="A395" s="2"/>
      <c r="B395" s="2"/>
      <c r="C395" s="2"/>
      <c r="D395" s="2"/>
      <c r="E395" s="2"/>
      <c r="F395" s="2"/>
      <c r="G395" s="2"/>
      <c r="H395" s="2"/>
      <c r="I395" s="2"/>
      <c r="N395" s="113"/>
    </row>
    <row r="396" spans="1:14">
      <c r="A396" s="2"/>
      <c r="B396" s="2"/>
      <c r="C396" s="2"/>
      <c r="D396" s="2"/>
      <c r="E396" s="2"/>
      <c r="F396" s="2"/>
      <c r="G396" s="2"/>
      <c r="H396" s="2"/>
      <c r="I396" s="2"/>
      <c r="N396" s="113"/>
    </row>
    <row r="397" spans="1:14">
      <c r="A397" s="2"/>
      <c r="B397" s="2"/>
      <c r="C397" s="2"/>
      <c r="D397" s="2"/>
      <c r="E397" s="2"/>
      <c r="F397" s="2"/>
      <c r="G397" s="2"/>
      <c r="H397" s="2"/>
      <c r="I397" s="2"/>
      <c r="N397" s="113"/>
    </row>
    <row r="398" spans="1:14">
      <c r="A398" s="2"/>
      <c r="B398" s="2"/>
      <c r="C398" s="2"/>
      <c r="D398" s="2"/>
      <c r="E398" s="2"/>
      <c r="F398" s="2"/>
      <c r="G398" s="2"/>
      <c r="H398" s="2"/>
      <c r="I398" s="2"/>
      <c r="N398" s="113"/>
    </row>
    <row r="399" spans="1:14">
      <c r="A399" s="2"/>
      <c r="B399" s="2"/>
      <c r="C399" s="2"/>
      <c r="D399" s="2"/>
      <c r="E399" s="2"/>
      <c r="F399" s="2"/>
      <c r="G399" s="2"/>
      <c r="H399" s="2"/>
      <c r="I399" s="2"/>
      <c r="N399" s="113"/>
    </row>
    <row r="400" spans="1:14">
      <c r="A400" s="2"/>
      <c r="B400" s="2"/>
      <c r="C400" s="2"/>
      <c r="D400" s="2"/>
      <c r="E400" s="2"/>
      <c r="F400" s="2"/>
      <c r="G400" s="2"/>
      <c r="H400" s="2"/>
      <c r="I400" s="2"/>
      <c r="N400" s="113"/>
    </row>
    <row r="401" spans="1:14">
      <c r="A401" s="2"/>
      <c r="B401" s="2"/>
      <c r="C401" s="2"/>
      <c r="D401" s="2"/>
      <c r="E401" s="2"/>
      <c r="F401" s="2"/>
      <c r="G401" s="2"/>
      <c r="H401" s="2"/>
      <c r="I401" s="2"/>
      <c r="N401" s="113"/>
    </row>
    <row r="402" spans="1:14">
      <c r="A402" s="2"/>
      <c r="B402" s="2"/>
      <c r="C402" s="2"/>
      <c r="D402" s="2"/>
      <c r="E402" s="2"/>
      <c r="F402" s="2"/>
      <c r="G402" s="2"/>
      <c r="H402" s="2"/>
      <c r="I402" s="2"/>
      <c r="N402" s="113"/>
    </row>
    <row r="403" spans="1:14">
      <c r="A403" s="2"/>
      <c r="B403" s="2"/>
      <c r="C403" s="2"/>
      <c r="D403" s="2"/>
      <c r="E403" s="2"/>
      <c r="F403" s="2"/>
      <c r="G403" s="2"/>
      <c r="H403" s="2"/>
      <c r="I403" s="2"/>
      <c r="N403" s="113"/>
    </row>
    <row r="404" spans="1:14">
      <c r="A404" s="2"/>
      <c r="B404" s="2"/>
      <c r="C404" s="2"/>
      <c r="D404" s="2"/>
      <c r="E404" s="2"/>
      <c r="F404" s="2"/>
      <c r="G404" s="2"/>
      <c r="H404" s="2"/>
      <c r="I404" s="2"/>
      <c r="N404" s="113"/>
    </row>
    <row r="405" spans="1:14">
      <c r="A405" s="2"/>
      <c r="B405" s="2"/>
      <c r="C405" s="2"/>
      <c r="D405" s="2"/>
      <c r="E405" s="2"/>
      <c r="F405" s="2"/>
      <c r="G405" s="2"/>
      <c r="H405" s="2"/>
      <c r="I405" s="2"/>
      <c r="N405" s="113"/>
    </row>
    <row r="406" spans="1:14">
      <c r="A406" s="2"/>
      <c r="B406" s="2"/>
      <c r="C406" s="2"/>
      <c r="D406" s="2"/>
      <c r="E406" s="2"/>
      <c r="F406" s="2"/>
      <c r="G406" s="2"/>
      <c r="H406" s="2"/>
      <c r="I406" s="2"/>
      <c r="N406" s="113"/>
    </row>
    <row r="407" spans="1:14">
      <c r="A407" s="2"/>
      <c r="B407" s="2"/>
      <c r="C407" s="2"/>
      <c r="D407" s="2"/>
      <c r="E407" s="2"/>
      <c r="F407" s="2"/>
      <c r="G407" s="2"/>
      <c r="H407" s="2"/>
      <c r="I407" s="2"/>
      <c r="N407" s="113"/>
    </row>
    <row r="408" spans="1:14">
      <c r="A408" s="2"/>
      <c r="B408" s="2"/>
      <c r="C408" s="2"/>
      <c r="D408" s="2"/>
      <c r="E408" s="2"/>
      <c r="F408" s="2"/>
      <c r="G408" s="2"/>
      <c r="H408" s="2"/>
      <c r="I408" s="2"/>
      <c r="N408" s="113"/>
    </row>
    <row r="409" spans="1:14">
      <c r="A409" s="2"/>
      <c r="B409" s="2"/>
      <c r="C409" s="2"/>
      <c r="D409" s="2"/>
      <c r="E409" s="2"/>
      <c r="F409" s="2"/>
      <c r="G409" s="2"/>
      <c r="H409" s="2"/>
      <c r="I409" s="2"/>
      <c r="N409" s="113"/>
    </row>
    <row r="410" spans="1:14">
      <c r="A410" s="2"/>
      <c r="B410" s="2"/>
      <c r="C410" s="2"/>
      <c r="D410" s="2"/>
      <c r="E410" s="2"/>
      <c r="F410" s="2"/>
      <c r="G410" s="2"/>
      <c r="H410" s="2"/>
      <c r="I410" s="2"/>
      <c r="N410" s="113"/>
    </row>
    <row r="411" spans="1:14">
      <c r="A411" s="2"/>
      <c r="B411" s="2"/>
      <c r="C411" s="2"/>
      <c r="D411" s="2"/>
      <c r="E411" s="2"/>
      <c r="F411" s="2"/>
      <c r="G411" s="2"/>
      <c r="H411" s="2"/>
      <c r="I411" s="2"/>
      <c r="N411" s="113"/>
    </row>
    <row r="412" spans="1:14">
      <c r="A412" s="2"/>
      <c r="B412" s="2"/>
      <c r="C412" s="2"/>
      <c r="D412" s="2"/>
      <c r="E412" s="2"/>
      <c r="F412" s="2"/>
      <c r="G412" s="2"/>
      <c r="H412" s="2"/>
      <c r="I412" s="2"/>
      <c r="N412" s="113"/>
    </row>
    <row r="413" spans="1:14">
      <c r="A413" s="2"/>
      <c r="B413" s="2"/>
      <c r="C413" s="2"/>
      <c r="D413" s="2"/>
      <c r="E413" s="2"/>
      <c r="F413" s="2"/>
      <c r="G413" s="2"/>
      <c r="H413" s="2"/>
      <c r="I413" s="2"/>
      <c r="N413" s="113"/>
    </row>
    <row r="414" spans="1:14">
      <c r="A414" s="2"/>
      <c r="B414" s="2"/>
      <c r="C414" s="2"/>
      <c r="D414" s="2"/>
      <c r="E414" s="2"/>
      <c r="F414" s="2"/>
      <c r="G414" s="2"/>
      <c r="H414" s="2"/>
      <c r="I414" s="2"/>
      <c r="N414" s="113"/>
    </row>
    <row r="415" spans="1:14">
      <c r="A415" s="2"/>
      <c r="B415" s="2"/>
      <c r="C415" s="2"/>
      <c r="D415" s="2"/>
      <c r="E415" s="2"/>
      <c r="F415" s="2"/>
      <c r="G415" s="2"/>
      <c r="H415" s="2"/>
      <c r="I415" s="2"/>
      <c r="N415" s="113"/>
    </row>
    <row r="416" spans="1:14">
      <c r="A416" s="2"/>
      <c r="B416" s="2"/>
      <c r="C416" s="2"/>
      <c r="D416" s="2"/>
      <c r="E416" s="2"/>
      <c r="F416" s="2"/>
      <c r="G416" s="2"/>
      <c r="H416" s="2"/>
      <c r="I416" s="2"/>
      <c r="N416" s="113"/>
    </row>
    <row r="417" spans="1:14">
      <c r="A417" s="2"/>
      <c r="B417" s="2"/>
      <c r="C417" s="2"/>
      <c r="D417" s="2"/>
      <c r="E417" s="2"/>
      <c r="F417" s="2"/>
      <c r="G417" s="2"/>
      <c r="H417" s="2"/>
      <c r="I417" s="2"/>
      <c r="N417" s="113"/>
    </row>
    <row r="418" spans="1:14">
      <c r="A418" s="2"/>
      <c r="B418" s="2"/>
      <c r="C418" s="2"/>
      <c r="D418" s="2"/>
      <c r="E418" s="2"/>
      <c r="F418" s="2"/>
      <c r="G418" s="2"/>
      <c r="H418" s="2"/>
      <c r="I418" s="2"/>
      <c r="N418" s="113"/>
    </row>
    <row r="419" spans="1:14">
      <c r="A419" s="2"/>
      <c r="B419" s="2"/>
      <c r="C419" s="2"/>
      <c r="D419" s="2"/>
      <c r="E419" s="2"/>
      <c r="F419" s="2"/>
      <c r="G419" s="2"/>
      <c r="H419" s="2"/>
      <c r="I419" s="2"/>
      <c r="N419" s="113"/>
    </row>
    <row r="420" spans="1:14">
      <c r="A420" s="2"/>
      <c r="B420" s="2"/>
      <c r="C420" s="2"/>
      <c r="D420" s="2"/>
      <c r="E420" s="2"/>
      <c r="F420" s="2"/>
      <c r="G420" s="2"/>
      <c r="H420" s="2"/>
      <c r="I420" s="2"/>
      <c r="N420" s="113"/>
    </row>
    <row r="421" spans="1:14">
      <c r="A421" s="2"/>
      <c r="B421" s="2"/>
      <c r="C421" s="2"/>
      <c r="D421" s="2"/>
      <c r="E421" s="2"/>
      <c r="F421" s="2"/>
      <c r="G421" s="2"/>
      <c r="H421" s="2"/>
      <c r="I421" s="2"/>
      <c r="N421" s="113"/>
    </row>
    <row r="422" spans="1:14">
      <c r="A422" s="2"/>
      <c r="B422" s="2"/>
      <c r="C422" s="2"/>
      <c r="D422" s="2"/>
      <c r="E422" s="2"/>
      <c r="F422" s="2"/>
      <c r="G422" s="2"/>
      <c r="H422" s="2"/>
      <c r="I422" s="2"/>
      <c r="N422" s="113"/>
    </row>
    <row r="423" spans="1:14">
      <c r="A423" s="2"/>
      <c r="B423" s="2"/>
      <c r="C423" s="2"/>
      <c r="D423" s="2"/>
      <c r="E423" s="2"/>
      <c r="F423" s="2"/>
      <c r="G423" s="2"/>
      <c r="H423" s="2"/>
      <c r="I423" s="2"/>
      <c r="N423" s="113"/>
    </row>
    <row r="424" spans="1:14">
      <c r="A424" s="2"/>
      <c r="B424" s="2"/>
      <c r="C424" s="2"/>
      <c r="D424" s="2"/>
      <c r="E424" s="2"/>
      <c r="F424" s="2"/>
      <c r="G424" s="2"/>
      <c r="H424" s="2"/>
      <c r="I424" s="2"/>
      <c r="N424" s="113"/>
    </row>
    <row r="425" spans="1:14">
      <c r="A425" s="2"/>
      <c r="B425" s="2"/>
      <c r="C425" s="2"/>
      <c r="D425" s="2"/>
      <c r="E425" s="2"/>
      <c r="F425" s="2"/>
      <c r="G425" s="2"/>
      <c r="H425" s="2"/>
      <c r="I425" s="2"/>
      <c r="N425" s="113"/>
    </row>
    <row r="426" spans="1:14">
      <c r="A426" s="2"/>
      <c r="B426" s="2"/>
      <c r="C426" s="2"/>
      <c r="D426" s="2"/>
      <c r="E426" s="2"/>
      <c r="F426" s="2"/>
      <c r="G426" s="2"/>
      <c r="H426" s="2"/>
      <c r="I426" s="2"/>
      <c r="N426" s="113"/>
    </row>
    <row r="427" spans="1:14">
      <c r="A427" s="2"/>
      <c r="B427" s="2"/>
      <c r="C427" s="2"/>
      <c r="D427" s="2"/>
      <c r="E427" s="2"/>
      <c r="F427" s="2"/>
      <c r="G427" s="2"/>
      <c r="H427" s="2"/>
      <c r="I427" s="2"/>
      <c r="N427" s="113"/>
    </row>
    <row r="428" spans="1:14">
      <c r="A428" s="2"/>
      <c r="B428" s="2"/>
      <c r="C428" s="2"/>
      <c r="D428" s="2"/>
      <c r="E428" s="2"/>
      <c r="F428" s="2"/>
      <c r="G428" s="2"/>
      <c r="H428" s="2"/>
      <c r="I428" s="2"/>
      <c r="N428" s="113"/>
    </row>
    <row r="429" spans="1:14">
      <c r="A429" s="2"/>
      <c r="B429" s="2"/>
      <c r="C429" s="2"/>
      <c r="D429" s="2"/>
      <c r="E429" s="2"/>
      <c r="F429" s="2"/>
      <c r="G429" s="2"/>
      <c r="H429" s="2"/>
      <c r="I429" s="2"/>
      <c r="N429" s="113"/>
    </row>
    <row r="430" spans="1:14">
      <c r="A430" s="2"/>
      <c r="B430" s="2"/>
      <c r="C430" s="2"/>
      <c r="D430" s="2"/>
      <c r="E430" s="2"/>
      <c r="F430" s="2"/>
      <c r="G430" s="2"/>
      <c r="H430" s="2"/>
      <c r="I430" s="2"/>
      <c r="N430" s="113"/>
    </row>
    <row r="431" spans="1:14">
      <c r="A431" s="2"/>
      <c r="B431" s="2"/>
      <c r="C431" s="2"/>
      <c r="D431" s="2"/>
      <c r="E431" s="2"/>
      <c r="F431" s="2"/>
      <c r="G431" s="2"/>
      <c r="H431" s="2"/>
      <c r="I431" s="2"/>
      <c r="N431" s="113"/>
    </row>
    <row r="432" spans="1:14">
      <c r="A432" s="2"/>
      <c r="B432" s="2"/>
      <c r="C432" s="2"/>
      <c r="D432" s="2"/>
      <c r="E432" s="2"/>
      <c r="F432" s="2"/>
      <c r="G432" s="2"/>
      <c r="H432" s="2"/>
      <c r="I432" s="2"/>
      <c r="N432" s="113"/>
    </row>
    <row r="433" spans="1:14">
      <c r="A433" s="2"/>
      <c r="B433" s="2"/>
      <c r="C433" s="2"/>
      <c r="D433" s="2"/>
      <c r="E433" s="2"/>
      <c r="F433" s="2"/>
      <c r="G433" s="2"/>
      <c r="H433" s="2"/>
      <c r="I433" s="2"/>
      <c r="N433" s="113"/>
    </row>
    <row r="434" spans="1:14">
      <c r="A434" s="2"/>
      <c r="B434" s="2"/>
      <c r="C434" s="2"/>
      <c r="D434" s="2"/>
      <c r="E434" s="2"/>
      <c r="F434" s="2"/>
      <c r="G434" s="2"/>
      <c r="H434" s="2"/>
      <c r="I434" s="2"/>
      <c r="N434" s="113"/>
    </row>
    <row r="435" spans="1:14">
      <c r="A435" s="2"/>
      <c r="B435" s="2"/>
      <c r="C435" s="2"/>
      <c r="D435" s="2"/>
      <c r="E435" s="2"/>
      <c r="F435" s="2"/>
      <c r="G435" s="2"/>
      <c r="H435" s="2"/>
      <c r="I435" s="2"/>
      <c r="N435" s="113"/>
    </row>
    <row r="436" spans="1:14">
      <c r="A436" s="2"/>
      <c r="B436" s="2"/>
      <c r="C436" s="2"/>
      <c r="D436" s="2"/>
      <c r="E436" s="2"/>
      <c r="F436" s="2"/>
      <c r="G436" s="2"/>
      <c r="H436" s="2"/>
      <c r="I436" s="2"/>
      <c r="N436" s="113"/>
    </row>
    <row r="437" spans="1:14">
      <c r="A437" s="2"/>
      <c r="B437" s="2"/>
      <c r="C437" s="2"/>
      <c r="D437" s="2"/>
      <c r="E437" s="2"/>
      <c r="F437" s="2"/>
      <c r="G437" s="2"/>
      <c r="H437" s="2"/>
      <c r="I437" s="2"/>
      <c r="N437" s="113"/>
    </row>
    <row r="438" spans="1:14">
      <c r="A438" s="2"/>
      <c r="B438" s="2"/>
      <c r="C438" s="2"/>
      <c r="D438" s="2"/>
      <c r="E438" s="2"/>
      <c r="F438" s="2"/>
      <c r="G438" s="2"/>
      <c r="H438" s="2"/>
      <c r="I438" s="2"/>
      <c r="N438" s="113"/>
    </row>
    <row r="439" spans="1:14">
      <c r="A439" s="2"/>
      <c r="B439" s="2"/>
      <c r="C439" s="2"/>
      <c r="D439" s="2"/>
      <c r="E439" s="2"/>
      <c r="F439" s="2"/>
      <c r="G439" s="2"/>
      <c r="H439" s="2"/>
      <c r="I439" s="2"/>
      <c r="N439" s="113"/>
    </row>
    <row r="440" spans="1:14">
      <c r="A440" s="2"/>
      <c r="B440" s="2"/>
      <c r="C440" s="2"/>
      <c r="D440" s="2"/>
      <c r="E440" s="2"/>
      <c r="F440" s="2"/>
      <c r="G440" s="2"/>
      <c r="H440" s="2"/>
      <c r="I440" s="2"/>
      <c r="N440" s="113"/>
    </row>
    <row r="441" spans="1:14">
      <c r="A441" s="2"/>
      <c r="B441" s="2"/>
      <c r="C441" s="2"/>
      <c r="D441" s="2"/>
      <c r="E441" s="2"/>
      <c r="F441" s="2"/>
      <c r="G441" s="2"/>
      <c r="H441" s="2"/>
      <c r="I441" s="2"/>
      <c r="N441" s="113"/>
    </row>
    <row r="442" spans="1:14">
      <c r="A442" s="2"/>
      <c r="B442" s="2"/>
      <c r="C442" s="2"/>
      <c r="D442" s="2"/>
      <c r="E442" s="2"/>
      <c r="F442" s="2"/>
      <c r="G442" s="2"/>
      <c r="H442" s="2"/>
      <c r="I442" s="2"/>
      <c r="N442" s="113"/>
    </row>
    <row r="443" spans="1:14">
      <c r="A443" s="2"/>
      <c r="B443" s="2"/>
      <c r="C443" s="2"/>
      <c r="D443" s="2"/>
      <c r="E443" s="2"/>
      <c r="F443" s="2"/>
      <c r="G443" s="2"/>
      <c r="H443" s="2"/>
      <c r="I443" s="2"/>
      <c r="N443" s="113"/>
    </row>
    <row r="444" spans="1:14">
      <c r="A444" s="2"/>
      <c r="B444" s="2"/>
      <c r="C444" s="2"/>
      <c r="D444" s="2"/>
      <c r="E444" s="2"/>
      <c r="F444" s="2"/>
      <c r="G444" s="2"/>
      <c r="H444" s="2"/>
      <c r="I444" s="2"/>
      <c r="N444" s="113"/>
    </row>
    <row r="445" spans="1:14">
      <c r="A445" s="2"/>
      <c r="B445" s="2"/>
      <c r="C445" s="2"/>
      <c r="D445" s="2"/>
      <c r="E445" s="2"/>
      <c r="F445" s="2"/>
      <c r="G445" s="2"/>
      <c r="H445" s="2"/>
      <c r="I445" s="2"/>
      <c r="N445" s="113"/>
    </row>
    <row r="446" spans="1:14">
      <c r="A446" s="2"/>
      <c r="B446" s="2"/>
      <c r="C446" s="2"/>
      <c r="D446" s="2"/>
      <c r="E446" s="2"/>
      <c r="F446" s="2"/>
      <c r="G446" s="2"/>
      <c r="H446" s="2"/>
      <c r="I446" s="2"/>
      <c r="N446" s="113"/>
    </row>
    <row r="447" spans="1:14">
      <c r="A447" s="2"/>
      <c r="B447" s="2"/>
      <c r="C447" s="2"/>
      <c r="D447" s="2"/>
      <c r="E447" s="2"/>
      <c r="F447" s="2"/>
      <c r="G447" s="2"/>
      <c r="H447" s="2"/>
      <c r="I447" s="2"/>
      <c r="N447" s="113"/>
    </row>
    <row r="448" spans="1:14">
      <c r="A448" s="2"/>
      <c r="B448" s="2"/>
      <c r="C448" s="2"/>
      <c r="D448" s="2"/>
      <c r="E448" s="2"/>
      <c r="F448" s="2"/>
      <c r="G448" s="2"/>
      <c r="H448" s="2"/>
      <c r="I448" s="2"/>
      <c r="N448" s="113"/>
    </row>
    <row r="449" spans="1:14">
      <c r="A449" s="2"/>
      <c r="B449" s="2"/>
      <c r="C449" s="2"/>
      <c r="D449" s="2"/>
      <c r="E449" s="2"/>
      <c r="F449" s="2"/>
      <c r="G449" s="2"/>
      <c r="H449" s="2"/>
      <c r="I449" s="2"/>
      <c r="N449" s="113"/>
    </row>
    <row r="450" spans="1:14">
      <c r="A450" s="2"/>
      <c r="B450" s="2"/>
      <c r="C450" s="2"/>
      <c r="D450" s="2"/>
      <c r="E450" s="2"/>
      <c r="F450" s="2"/>
      <c r="G450" s="2"/>
      <c r="H450" s="2"/>
      <c r="I450" s="2"/>
      <c r="N450" s="113"/>
    </row>
    <row r="451" spans="1:14">
      <c r="A451" s="2"/>
      <c r="B451" s="2"/>
      <c r="C451" s="2"/>
      <c r="D451" s="2"/>
      <c r="E451" s="2"/>
      <c r="F451" s="2"/>
      <c r="G451" s="2"/>
      <c r="H451" s="2"/>
      <c r="I451" s="2"/>
      <c r="N451" s="113"/>
    </row>
    <row r="452" spans="1:14">
      <c r="A452" s="2"/>
      <c r="B452" s="2"/>
      <c r="C452" s="2"/>
      <c r="D452" s="2"/>
      <c r="E452" s="2"/>
      <c r="F452" s="2"/>
      <c r="G452" s="2"/>
      <c r="H452" s="2"/>
      <c r="I452" s="2"/>
      <c r="N452" s="113"/>
    </row>
    <row r="453" spans="1:14">
      <c r="A453" s="2"/>
      <c r="B453" s="2"/>
      <c r="C453" s="2"/>
      <c r="D453" s="2"/>
      <c r="E453" s="2"/>
      <c r="F453" s="2"/>
      <c r="G453" s="2"/>
      <c r="H453" s="2"/>
      <c r="I453" s="2"/>
      <c r="N453" s="113"/>
    </row>
    <row r="454" spans="1:14">
      <c r="A454" s="2"/>
      <c r="B454" s="2"/>
      <c r="C454" s="2"/>
      <c r="D454" s="2"/>
      <c r="E454" s="2"/>
      <c r="F454" s="2"/>
      <c r="G454" s="2"/>
      <c r="H454" s="2"/>
      <c r="I454" s="2"/>
      <c r="N454" s="113"/>
    </row>
    <row r="455" spans="1:14">
      <c r="A455" s="2"/>
      <c r="B455" s="2"/>
      <c r="C455" s="2"/>
      <c r="D455" s="2"/>
      <c r="E455" s="2"/>
      <c r="F455" s="2"/>
      <c r="G455" s="2"/>
      <c r="H455" s="2"/>
      <c r="I455" s="2"/>
      <c r="N455" s="113"/>
    </row>
    <row r="456" spans="1:14">
      <c r="A456" s="2"/>
      <c r="B456" s="2"/>
      <c r="C456" s="2"/>
      <c r="D456" s="2"/>
      <c r="E456" s="2"/>
      <c r="F456" s="2"/>
      <c r="G456" s="2"/>
      <c r="H456" s="2"/>
      <c r="I456" s="2"/>
      <c r="N456" s="113"/>
    </row>
    <row r="457" spans="1:14">
      <c r="A457" s="2"/>
      <c r="B457" s="2"/>
      <c r="C457" s="2"/>
      <c r="D457" s="2"/>
      <c r="E457" s="2"/>
      <c r="F457" s="2"/>
      <c r="G457" s="2"/>
      <c r="H457" s="2"/>
      <c r="I457" s="2"/>
      <c r="N457" s="113"/>
    </row>
    <row r="458" spans="1:14">
      <c r="A458" s="2"/>
      <c r="B458" s="2"/>
      <c r="C458" s="2"/>
      <c r="D458" s="2"/>
      <c r="E458" s="2"/>
      <c r="F458" s="2"/>
      <c r="G458" s="2"/>
      <c r="H458" s="2"/>
      <c r="I458" s="2"/>
      <c r="N458" s="113"/>
    </row>
    <row r="459" spans="1:14">
      <c r="A459" s="2"/>
      <c r="B459" s="2"/>
      <c r="C459" s="2"/>
      <c r="D459" s="2"/>
      <c r="E459" s="2"/>
      <c r="F459" s="2"/>
      <c r="G459" s="2"/>
      <c r="H459" s="2"/>
      <c r="I459" s="2"/>
      <c r="N459" s="113"/>
    </row>
    <row r="460" spans="1:14">
      <c r="A460" s="2"/>
      <c r="B460" s="2"/>
      <c r="C460" s="2"/>
      <c r="D460" s="2"/>
      <c r="E460" s="2"/>
      <c r="F460" s="2"/>
      <c r="G460" s="2"/>
      <c r="H460" s="2"/>
      <c r="I460" s="2"/>
      <c r="N460" s="113"/>
    </row>
    <row r="461" spans="1:14">
      <c r="A461" s="2"/>
      <c r="B461" s="2"/>
      <c r="C461" s="2"/>
      <c r="D461" s="2"/>
      <c r="E461" s="2"/>
      <c r="F461" s="2"/>
      <c r="G461" s="2"/>
      <c r="H461" s="2"/>
      <c r="I461" s="2"/>
      <c r="N461" s="113"/>
    </row>
    <row r="462" spans="1:14">
      <c r="A462" s="2"/>
      <c r="B462" s="2"/>
      <c r="C462" s="2"/>
      <c r="D462" s="2"/>
      <c r="E462" s="2"/>
      <c r="F462" s="2"/>
      <c r="G462" s="2"/>
      <c r="H462" s="2"/>
      <c r="I462" s="2"/>
      <c r="N462" s="113"/>
    </row>
    <row r="463" spans="1:14">
      <c r="A463" s="2"/>
      <c r="B463" s="2"/>
      <c r="C463" s="2"/>
      <c r="D463" s="2"/>
      <c r="E463" s="2"/>
      <c r="F463" s="2"/>
      <c r="G463" s="2"/>
      <c r="H463" s="2"/>
      <c r="I463" s="2"/>
      <c r="N463" s="113"/>
    </row>
    <row r="464" spans="1:14">
      <c r="A464" s="2"/>
      <c r="B464" s="2"/>
      <c r="C464" s="2"/>
      <c r="D464" s="2"/>
      <c r="E464" s="2"/>
      <c r="F464" s="2"/>
      <c r="G464" s="2"/>
      <c r="H464" s="2"/>
      <c r="I464" s="2"/>
      <c r="N464" s="113"/>
    </row>
    <row r="465" spans="1:14">
      <c r="A465" s="2"/>
      <c r="B465" s="2"/>
      <c r="C465" s="2"/>
      <c r="D465" s="2"/>
      <c r="E465" s="2"/>
      <c r="F465" s="2"/>
      <c r="G465" s="2"/>
      <c r="H465" s="2"/>
      <c r="I465" s="2"/>
      <c r="N465" s="113"/>
    </row>
    <row r="466" spans="1:14">
      <c r="A466" s="2"/>
      <c r="B466" s="2"/>
      <c r="C466" s="2"/>
      <c r="D466" s="2"/>
      <c r="E466" s="2"/>
      <c r="F466" s="2"/>
      <c r="G466" s="2"/>
      <c r="H466" s="2"/>
      <c r="I466" s="2"/>
      <c r="N466" s="113"/>
    </row>
    <row r="467" spans="1:14">
      <c r="A467" s="2"/>
      <c r="B467" s="2"/>
      <c r="C467" s="2"/>
      <c r="D467" s="2"/>
      <c r="E467" s="2"/>
      <c r="F467" s="2"/>
      <c r="G467" s="2"/>
      <c r="H467" s="2"/>
      <c r="I467" s="2"/>
      <c r="N467" s="113"/>
    </row>
    <row r="468" spans="1:14">
      <c r="A468" s="2"/>
      <c r="B468" s="2"/>
      <c r="C468" s="2"/>
      <c r="D468" s="2"/>
      <c r="E468" s="2"/>
      <c r="F468" s="2"/>
      <c r="G468" s="2"/>
      <c r="H468" s="2"/>
      <c r="I468" s="2"/>
      <c r="N468" s="113"/>
    </row>
    <row r="469" spans="1:14">
      <c r="A469" s="2"/>
      <c r="B469" s="2"/>
      <c r="C469" s="2"/>
      <c r="D469" s="2"/>
      <c r="E469" s="2"/>
      <c r="F469" s="2"/>
      <c r="G469" s="2"/>
      <c r="H469" s="2"/>
      <c r="I469" s="2"/>
      <c r="N469" s="113"/>
    </row>
    <row r="470" spans="1:14">
      <c r="A470" s="2"/>
      <c r="B470" s="2"/>
      <c r="C470" s="2"/>
      <c r="D470" s="2"/>
      <c r="E470" s="2"/>
      <c r="F470" s="2"/>
      <c r="G470" s="2"/>
      <c r="H470" s="2"/>
      <c r="I470" s="2"/>
      <c r="N470" s="113"/>
    </row>
    <row r="471" spans="1:14">
      <c r="A471" s="2"/>
      <c r="B471" s="2"/>
      <c r="C471" s="2"/>
      <c r="D471" s="2"/>
      <c r="E471" s="2"/>
      <c r="F471" s="2"/>
      <c r="G471" s="2"/>
      <c r="H471" s="2"/>
      <c r="I471" s="2"/>
      <c r="N471" s="113"/>
    </row>
    <row r="472" spans="1:14">
      <c r="A472" s="2"/>
      <c r="B472" s="2"/>
      <c r="C472" s="2"/>
      <c r="D472" s="2"/>
      <c r="E472" s="2"/>
      <c r="F472" s="2"/>
      <c r="G472" s="2"/>
      <c r="H472" s="2"/>
      <c r="I472" s="2"/>
      <c r="N472" s="113"/>
    </row>
    <row r="473" spans="1:14">
      <c r="A473" s="2"/>
      <c r="B473" s="2"/>
      <c r="C473" s="2"/>
      <c r="D473" s="2"/>
      <c r="E473" s="2"/>
      <c r="F473" s="2"/>
      <c r="G473" s="2"/>
      <c r="H473" s="2"/>
      <c r="I473" s="2"/>
      <c r="N473" s="113"/>
    </row>
    <row r="474" spans="1:14">
      <c r="A474" s="2"/>
      <c r="B474" s="2"/>
      <c r="C474" s="2"/>
      <c r="D474" s="2"/>
      <c r="E474" s="2"/>
      <c r="F474" s="2"/>
      <c r="G474" s="2"/>
      <c r="H474" s="2"/>
      <c r="I474" s="2"/>
      <c r="N474" s="113"/>
    </row>
    <row r="475" spans="1:14">
      <c r="A475" s="2"/>
      <c r="B475" s="2"/>
      <c r="C475" s="2"/>
      <c r="D475" s="2"/>
      <c r="E475" s="2"/>
      <c r="F475" s="2"/>
      <c r="G475" s="2"/>
      <c r="H475" s="2"/>
      <c r="I475" s="2"/>
      <c r="N475" s="113"/>
    </row>
    <row r="476" spans="1:14">
      <c r="A476" s="2"/>
      <c r="B476" s="2"/>
      <c r="C476" s="2"/>
      <c r="D476" s="2"/>
      <c r="E476" s="2"/>
      <c r="F476" s="2"/>
      <c r="G476" s="2"/>
      <c r="H476" s="2"/>
      <c r="I476" s="2"/>
      <c r="N476" s="113"/>
    </row>
    <row r="477" spans="1:14">
      <c r="A477" s="2"/>
      <c r="B477" s="2"/>
      <c r="C477" s="2"/>
      <c r="D477" s="2"/>
      <c r="E477" s="2"/>
      <c r="F477" s="2"/>
      <c r="G477" s="2"/>
      <c r="H477" s="2"/>
      <c r="I477" s="2"/>
      <c r="N477" s="113"/>
    </row>
    <row r="478" spans="1:14">
      <c r="A478" s="2"/>
      <c r="B478" s="2"/>
      <c r="C478" s="2"/>
      <c r="D478" s="2"/>
      <c r="E478" s="2"/>
      <c r="F478" s="2"/>
      <c r="G478" s="2"/>
      <c r="H478" s="2"/>
      <c r="I478" s="2"/>
      <c r="N478" s="113"/>
    </row>
    <row r="479" spans="1:14">
      <c r="A479" s="2"/>
      <c r="B479" s="2"/>
      <c r="C479" s="2"/>
      <c r="D479" s="2"/>
      <c r="E479" s="2"/>
      <c r="F479" s="2"/>
      <c r="G479" s="2"/>
      <c r="H479" s="2"/>
      <c r="I479" s="2"/>
      <c r="N479" s="113"/>
    </row>
    <row r="480" spans="1:14">
      <c r="A480" s="2"/>
      <c r="B480" s="2"/>
      <c r="C480" s="2"/>
      <c r="D480" s="2"/>
      <c r="E480" s="2"/>
      <c r="F480" s="2"/>
      <c r="G480" s="2"/>
      <c r="H480" s="2"/>
      <c r="I480" s="2"/>
      <c r="N480" s="113"/>
    </row>
    <row r="481" spans="1:14">
      <c r="A481" s="2"/>
      <c r="B481" s="2"/>
      <c r="C481" s="2"/>
      <c r="D481" s="2"/>
      <c r="E481" s="2"/>
      <c r="F481" s="2"/>
      <c r="G481" s="2"/>
      <c r="H481" s="2"/>
      <c r="I481" s="2"/>
      <c r="N481" s="113"/>
    </row>
    <row r="482" spans="1:14">
      <c r="A482" s="2"/>
      <c r="B482" s="2"/>
      <c r="C482" s="2"/>
      <c r="D482" s="2"/>
      <c r="E482" s="2"/>
      <c r="F482" s="2"/>
      <c r="G482" s="2"/>
      <c r="H482" s="2"/>
      <c r="I482" s="2"/>
      <c r="N482" s="113"/>
    </row>
    <row r="483" spans="1:14">
      <c r="A483" s="2"/>
      <c r="B483" s="2"/>
      <c r="C483" s="2"/>
      <c r="D483" s="2"/>
      <c r="E483" s="2"/>
      <c r="F483" s="2"/>
      <c r="G483" s="2"/>
      <c r="H483" s="2"/>
      <c r="I483" s="2"/>
      <c r="N483" s="113"/>
    </row>
    <row r="484" spans="1:14">
      <c r="A484" s="2"/>
      <c r="B484" s="2"/>
      <c r="C484" s="2"/>
      <c r="D484" s="2"/>
      <c r="E484" s="2"/>
      <c r="F484" s="2"/>
      <c r="G484" s="2"/>
      <c r="H484" s="2"/>
      <c r="I484" s="2"/>
      <c r="N484" s="113"/>
    </row>
    <row r="485" spans="1:14">
      <c r="A485" s="2"/>
      <c r="B485" s="2"/>
      <c r="C485" s="2"/>
      <c r="D485" s="2"/>
      <c r="E485" s="2"/>
      <c r="F485" s="2"/>
      <c r="G485" s="2"/>
      <c r="H485" s="2"/>
      <c r="I485" s="2"/>
      <c r="N485" s="113"/>
    </row>
    <row r="486" spans="1:14">
      <c r="A486" s="2"/>
      <c r="B486" s="2"/>
      <c r="C486" s="2"/>
      <c r="D486" s="2"/>
      <c r="E486" s="2"/>
      <c r="F486" s="2"/>
      <c r="G486" s="2"/>
      <c r="H486" s="2"/>
      <c r="I486" s="2"/>
      <c r="N486" s="113"/>
    </row>
    <row r="487" spans="1:14">
      <c r="A487" s="2"/>
      <c r="B487" s="2"/>
      <c r="C487" s="2"/>
      <c r="D487" s="2"/>
      <c r="E487" s="2"/>
      <c r="F487" s="2"/>
      <c r="G487" s="2"/>
      <c r="H487" s="2"/>
      <c r="I487" s="2"/>
      <c r="N487" s="113"/>
    </row>
    <row r="488" spans="1:14">
      <c r="A488" s="2"/>
      <c r="B488" s="2"/>
      <c r="C488" s="2"/>
      <c r="D488" s="2"/>
      <c r="E488" s="2"/>
      <c r="F488" s="2"/>
      <c r="G488" s="2"/>
      <c r="H488" s="2"/>
      <c r="I488" s="2"/>
      <c r="N488" s="113"/>
    </row>
    <row r="489" spans="1:14">
      <c r="A489" s="2"/>
      <c r="B489" s="2"/>
      <c r="C489" s="2"/>
      <c r="D489" s="2"/>
      <c r="E489" s="2"/>
      <c r="F489" s="2"/>
      <c r="G489" s="2"/>
      <c r="H489" s="2"/>
      <c r="I489" s="2"/>
      <c r="N489" s="113"/>
    </row>
    <row r="490" spans="1:14">
      <c r="A490" s="2"/>
      <c r="B490" s="2"/>
      <c r="C490" s="2"/>
      <c r="D490" s="2"/>
      <c r="E490" s="2"/>
      <c r="F490" s="2"/>
      <c r="G490" s="2"/>
      <c r="H490" s="2"/>
      <c r="I490" s="2"/>
      <c r="N490" s="113"/>
    </row>
    <row r="491" spans="1:14">
      <c r="A491" s="2"/>
      <c r="B491" s="2"/>
      <c r="C491" s="2"/>
      <c r="D491" s="2"/>
      <c r="E491" s="2"/>
      <c r="F491" s="2"/>
      <c r="G491" s="2"/>
      <c r="H491" s="2"/>
      <c r="I491" s="2"/>
      <c r="N491" s="113"/>
    </row>
    <row r="492" spans="1:14">
      <c r="A492" s="2"/>
      <c r="B492" s="2"/>
      <c r="C492" s="2"/>
      <c r="D492" s="2"/>
      <c r="E492" s="2"/>
      <c r="F492" s="2"/>
      <c r="G492" s="2"/>
      <c r="H492" s="2"/>
      <c r="I492" s="2"/>
      <c r="N492" s="113"/>
    </row>
    <row r="493" spans="1:14">
      <c r="A493" s="2"/>
      <c r="B493" s="2"/>
      <c r="C493" s="2"/>
      <c r="D493" s="2"/>
      <c r="E493" s="2"/>
      <c r="F493" s="2"/>
      <c r="G493" s="2"/>
      <c r="H493" s="2"/>
      <c r="I493" s="2"/>
      <c r="N493" s="113"/>
    </row>
    <row r="494" spans="1:14">
      <c r="A494" s="2"/>
      <c r="B494" s="2"/>
      <c r="C494" s="2"/>
      <c r="D494" s="2"/>
      <c r="E494" s="2"/>
      <c r="F494" s="2"/>
      <c r="G494" s="2"/>
      <c r="H494" s="2"/>
      <c r="I494" s="2"/>
      <c r="N494" s="113"/>
    </row>
    <row r="495" spans="1:14">
      <c r="A495" s="2"/>
      <c r="B495" s="2"/>
      <c r="C495" s="2"/>
      <c r="D495" s="2"/>
      <c r="E495" s="2"/>
      <c r="F495" s="2"/>
      <c r="G495" s="2"/>
      <c r="H495" s="2"/>
      <c r="I495" s="2"/>
      <c r="N495" s="113"/>
    </row>
    <row r="496" spans="1:14">
      <c r="A496" s="2"/>
      <c r="B496" s="2"/>
      <c r="C496" s="2"/>
      <c r="D496" s="2"/>
      <c r="E496" s="2"/>
      <c r="F496" s="2"/>
      <c r="G496" s="2"/>
      <c r="H496" s="2"/>
      <c r="I496" s="2"/>
      <c r="N496" s="113"/>
    </row>
    <row r="497" spans="1:14">
      <c r="A497" s="2"/>
      <c r="B497" s="2"/>
      <c r="C497" s="2"/>
      <c r="D497" s="2"/>
      <c r="E497" s="2"/>
      <c r="F497" s="2"/>
      <c r="G497" s="2"/>
      <c r="H497" s="2"/>
      <c r="I497" s="2"/>
      <c r="N497" s="113"/>
    </row>
    <row r="498" spans="1:14">
      <c r="A498" s="2"/>
      <c r="B498" s="2"/>
      <c r="C498" s="2"/>
      <c r="D498" s="2"/>
      <c r="E498" s="2"/>
      <c r="F498" s="2"/>
      <c r="G498" s="2"/>
      <c r="H498" s="2"/>
      <c r="I498" s="2"/>
      <c r="N498" s="113"/>
    </row>
    <row r="499" spans="1:14">
      <c r="A499" s="2"/>
      <c r="B499" s="2"/>
      <c r="C499" s="2"/>
      <c r="D499" s="2"/>
      <c r="E499" s="2"/>
      <c r="F499" s="2"/>
      <c r="G499" s="2"/>
      <c r="H499" s="2"/>
      <c r="I499" s="2"/>
      <c r="N499" s="113"/>
    </row>
    <row r="500" spans="1:14">
      <c r="A500" s="2"/>
      <c r="B500" s="2"/>
      <c r="C500" s="2"/>
      <c r="D500" s="2"/>
      <c r="E500" s="2"/>
      <c r="F500" s="2"/>
      <c r="G500" s="2"/>
      <c r="H500" s="2"/>
      <c r="I500" s="2"/>
      <c r="N500" s="113"/>
    </row>
    <row r="501" spans="1:14">
      <c r="A501" s="2"/>
      <c r="B501" s="2"/>
      <c r="C501" s="2"/>
      <c r="D501" s="2"/>
      <c r="E501" s="2"/>
      <c r="F501" s="2"/>
      <c r="G501" s="2"/>
      <c r="H501" s="2"/>
      <c r="I501" s="2"/>
      <c r="N501" s="113"/>
    </row>
    <row r="502" spans="1:14">
      <c r="A502" s="2"/>
      <c r="B502" s="2"/>
      <c r="C502" s="2"/>
      <c r="D502" s="2"/>
      <c r="E502" s="2"/>
      <c r="F502" s="2"/>
      <c r="G502" s="2"/>
      <c r="H502" s="2"/>
      <c r="I502" s="2"/>
      <c r="N502" s="113"/>
    </row>
    <row r="503" spans="1:14">
      <c r="A503" s="2"/>
      <c r="B503" s="2"/>
      <c r="C503" s="2"/>
      <c r="D503" s="2"/>
      <c r="E503" s="2"/>
      <c r="F503" s="2"/>
      <c r="G503" s="2"/>
      <c r="H503" s="2"/>
      <c r="I503" s="2"/>
      <c r="N503" s="113"/>
    </row>
    <row r="504" spans="1:14">
      <c r="A504" s="2"/>
      <c r="B504" s="2"/>
      <c r="C504" s="2"/>
      <c r="D504" s="2"/>
      <c r="E504" s="2"/>
      <c r="F504" s="2"/>
      <c r="G504" s="2"/>
      <c r="H504" s="2"/>
      <c r="I504" s="2"/>
      <c r="N504" s="113"/>
    </row>
    <row r="505" spans="1:14">
      <c r="A505" s="2"/>
      <c r="B505" s="2"/>
      <c r="C505" s="2"/>
      <c r="D505" s="2"/>
      <c r="E505" s="2"/>
      <c r="F505" s="2"/>
      <c r="G505" s="2"/>
      <c r="H505" s="2"/>
      <c r="I505" s="2"/>
      <c r="N505" s="113"/>
    </row>
    <row r="506" spans="1:14">
      <c r="A506" s="2"/>
      <c r="B506" s="2"/>
      <c r="C506" s="2"/>
      <c r="D506" s="2"/>
      <c r="E506" s="2"/>
      <c r="F506" s="2"/>
      <c r="G506" s="2"/>
      <c r="H506" s="2"/>
      <c r="I506" s="2"/>
      <c r="N506" s="113"/>
    </row>
    <row r="507" spans="1:14">
      <c r="A507" s="2"/>
      <c r="B507" s="2"/>
      <c r="C507" s="2"/>
      <c r="D507" s="2"/>
      <c r="E507" s="2"/>
      <c r="F507" s="2"/>
      <c r="G507" s="2"/>
      <c r="H507" s="2"/>
      <c r="I507" s="2"/>
      <c r="N507" s="113"/>
    </row>
    <row r="508" spans="1:14">
      <c r="A508" s="2"/>
      <c r="B508" s="2"/>
      <c r="C508" s="2"/>
      <c r="D508" s="2"/>
      <c r="E508" s="2"/>
      <c r="F508" s="2"/>
      <c r="G508" s="2"/>
      <c r="H508" s="2"/>
      <c r="I508" s="2"/>
      <c r="N508" s="113"/>
    </row>
    <row r="509" spans="1:14">
      <c r="A509" s="2"/>
      <c r="B509" s="2"/>
      <c r="C509" s="2"/>
      <c r="D509" s="2"/>
      <c r="E509" s="2"/>
      <c r="F509" s="2"/>
      <c r="G509" s="2"/>
      <c r="H509" s="2"/>
      <c r="I509" s="2"/>
      <c r="N509" s="113"/>
    </row>
    <row r="510" spans="1:14">
      <c r="A510" s="2"/>
      <c r="B510" s="2"/>
      <c r="C510" s="2"/>
      <c r="D510" s="2"/>
      <c r="E510" s="2"/>
      <c r="F510" s="2"/>
      <c r="G510" s="2"/>
      <c r="H510" s="2"/>
      <c r="I510" s="2"/>
      <c r="N510" s="113"/>
    </row>
    <row r="511" spans="1:14">
      <c r="A511" s="2"/>
      <c r="B511" s="2"/>
      <c r="C511" s="2"/>
      <c r="D511" s="2"/>
      <c r="E511" s="2"/>
      <c r="F511" s="2"/>
      <c r="G511" s="2"/>
      <c r="H511" s="2"/>
      <c r="I511" s="2"/>
      <c r="N511" s="113"/>
    </row>
    <row r="512" spans="1:14">
      <c r="A512" s="2"/>
      <c r="B512" s="2"/>
      <c r="C512" s="2"/>
      <c r="D512" s="2"/>
      <c r="E512" s="2"/>
      <c r="F512" s="2"/>
      <c r="G512" s="2"/>
      <c r="H512" s="2"/>
      <c r="I512" s="2"/>
      <c r="N512" s="113"/>
    </row>
    <row r="513" spans="1:14">
      <c r="A513" s="2"/>
      <c r="B513" s="2"/>
      <c r="C513" s="2"/>
      <c r="D513" s="2"/>
      <c r="E513" s="2"/>
      <c r="F513" s="2"/>
      <c r="G513" s="2"/>
      <c r="H513" s="2"/>
      <c r="I513" s="2"/>
      <c r="N513" s="113"/>
    </row>
    <row r="514" spans="1:14">
      <c r="A514" s="2"/>
      <c r="B514" s="2"/>
      <c r="C514" s="2"/>
      <c r="D514" s="2"/>
      <c r="E514" s="2"/>
      <c r="F514" s="2"/>
      <c r="G514" s="2"/>
      <c r="H514" s="2"/>
      <c r="I514" s="2"/>
      <c r="N514" s="113"/>
    </row>
    <row r="515" spans="1:14">
      <c r="A515" s="2"/>
      <c r="B515" s="2"/>
      <c r="C515" s="2"/>
      <c r="D515" s="2"/>
      <c r="E515" s="2"/>
      <c r="F515" s="2"/>
      <c r="G515" s="2"/>
      <c r="H515" s="2"/>
      <c r="I515" s="2"/>
      <c r="N515" s="113"/>
    </row>
    <row r="516" spans="1:14">
      <c r="A516" s="2"/>
      <c r="B516" s="2"/>
      <c r="C516" s="2"/>
      <c r="D516" s="2"/>
      <c r="E516" s="2"/>
      <c r="F516" s="2"/>
      <c r="G516" s="2"/>
      <c r="H516" s="2"/>
      <c r="I516" s="2"/>
      <c r="N516" s="113"/>
    </row>
    <row r="517" spans="1:14">
      <c r="A517" s="2"/>
      <c r="B517" s="2"/>
      <c r="C517" s="2"/>
      <c r="D517" s="2"/>
      <c r="E517" s="2"/>
      <c r="F517" s="2"/>
      <c r="G517" s="2"/>
      <c r="H517" s="2"/>
      <c r="I517" s="2"/>
      <c r="N517" s="113"/>
    </row>
    <row r="518" spans="1:14">
      <c r="A518" s="2"/>
      <c r="B518" s="2"/>
      <c r="C518" s="2"/>
      <c r="D518" s="2"/>
      <c r="E518" s="2"/>
      <c r="F518" s="2"/>
      <c r="G518" s="2"/>
      <c r="H518" s="2"/>
      <c r="I518" s="2"/>
      <c r="N518" s="113"/>
    </row>
    <row r="519" spans="1:14">
      <c r="A519" s="2"/>
      <c r="B519" s="2"/>
      <c r="C519" s="2"/>
      <c r="D519" s="2"/>
      <c r="E519" s="2"/>
      <c r="F519" s="2"/>
      <c r="G519" s="2"/>
      <c r="H519" s="2"/>
      <c r="I519" s="2"/>
      <c r="N519" s="113"/>
    </row>
    <row r="520" spans="1:14">
      <c r="A520" s="2"/>
      <c r="B520" s="2"/>
      <c r="C520" s="2"/>
      <c r="D520" s="2"/>
      <c r="E520" s="2"/>
      <c r="F520" s="2"/>
      <c r="G520" s="2"/>
      <c r="H520" s="2"/>
      <c r="I520" s="2"/>
      <c r="N520" s="113"/>
    </row>
    <row r="521" spans="1:14">
      <c r="A521" s="2"/>
      <c r="B521" s="2"/>
      <c r="C521" s="2"/>
      <c r="D521" s="2"/>
      <c r="E521" s="2"/>
      <c r="F521" s="2"/>
      <c r="G521" s="2"/>
      <c r="H521" s="2"/>
      <c r="I521" s="2"/>
      <c r="N521" s="113"/>
    </row>
    <row r="522" spans="1:14">
      <c r="A522" s="2"/>
      <c r="B522" s="2"/>
      <c r="C522" s="2"/>
      <c r="D522" s="2"/>
      <c r="E522" s="2"/>
      <c r="F522" s="2"/>
      <c r="G522" s="2"/>
      <c r="H522" s="2"/>
      <c r="I522" s="2"/>
      <c r="N522" s="113"/>
    </row>
    <row r="523" spans="1:14">
      <c r="A523" s="2"/>
      <c r="B523" s="2"/>
      <c r="C523" s="2"/>
      <c r="D523" s="2"/>
      <c r="E523" s="2"/>
      <c r="F523" s="2"/>
      <c r="G523" s="2"/>
      <c r="H523" s="2"/>
      <c r="I523" s="2"/>
      <c r="N523" s="113"/>
    </row>
    <row r="524" spans="1:14">
      <c r="A524" s="2"/>
      <c r="B524" s="2"/>
      <c r="C524" s="2"/>
      <c r="D524" s="2"/>
      <c r="E524" s="2"/>
      <c r="F524" s="2"/>
      <c r="G524" s="2"/>
      <c r="H524" s="2"/>
      <c r="I524" s="2"/>
      <c r="N524" s="113"/>
    </row>
    <row r="525" spans="1:14">
      <c r="A525" s="2"/>
      <c r="B525" s="2"/>
      <c r="C525" s="2"/>
      <c r="D525" s="2"/>
      <c r="E525" s="2"/>
      <c r="F525" s="2"/>
      <c r="G525" s="2"/>
      <c r="H525" s="2"/>
      <c r="I525" s="2"/>
      <c r="N525" s="113"/>
    </row>
    <row r="526" spans="1:14">
      <c r="A526" s="2"/>
      <c r="B526" s="2"/>
      <c r="C526" s="2"/>
      <c r="D526" s="2"/>
      <c r="E526" s="2"/>
      <c r="F526" s="2"/>
      <c r="G526" s="2"/>
      <c r="H526" s="2"/>
      <c r="I526" s="2"/>
      <c r="N526" s="113"/>
    </row>
    <row r="527" spans="1:14">
      <c r="A527" s="2"/>
      <c r="B527" s="2"/>
      <c r="C527" s="2"/>
      <c r="D527" s="2"/>
      <c r="E527" s="2"/>
      <c r="F527" s="2"/>
      <c r="G527" s="2"/>
      <c r="H527" s="2"/>
      <c r="I527" s="2"/>
      <c r="N527" s="113"/>
    </row>
    <row r="528" spans="1:14">
      <c r="A528" s="2"/>
      <c r="B528" s="2"/>
      <c r="C528" s="2"/>
      <c r="D528" s="2"/>
      <c r="E528" s="2"/>
      <c r="F528" s="2"/>
      <c r="G528" s="2"/>
      <c r="H528" s="2"/>
      <c r="I528" s="2"/>
      <c r="N528" s="113"/>
    </row>
    <row r="529" spans="1:14">
      <c r="A529" s="2"/>
      <c r="B529" s="2"/>
      <c r="C529" s="2"/>
      <c r="D529" s="2"/>
      <c r="E529" s="2"/>
      <c r="F529" s="2"/>
      <c r="G529" s="2"/>
      <c r="H529" s="2"/>
      <c r="I529" s="2"/>
      <c r="N529" s="113"/>
    </row>
    <row r="530" spans="1:14">
      <c r="A530" s="2"/>
      <c r="B530" s="2"/>
      <c r="C530" s="2"/>
      <c r="D530" s="2"/>
      <c r="E530" s="2"/>
      <c r="F530" s="2"/>
      <c r="G530" s="2"/>
      <c r="H530" s="2"/>
      <c r="I530" s="2"/>
      <c r="N530" s="113"/>
    </row>
    <row r="531" spans="1:14">
      <c r="A531" s="2"/>
      <c r="B531" s="2"/>
      <c r="C531" s="2"/>
      <c r="D531" s="2"/>
      <c r="E531" s="2"/>
      <c r="F531" s="2"/>
      <c r="G531" s="2"/>
      <c r="H531" s="2"/>
      <c r="I531" s="2"/>
      <c r="N531" s="113"/>
    </row>
    <row r="532" spans="1:14">
      <c r="A532" s="2"/>
      <c r="B532" s="2"/>
      <c r="C532" s="2"/>
      <c r="D532" s="2"/>
      <c r="E532" s="2"/>
      <c r="F532" s="2"/>
      <c r="G532" s="2"/>
      <c r="H532" s="2"/>
      <c r="I532" s="2"/>
      <c r="N532" s="113"/>
    </row>
    <row r="533" spans="1:14">
      <c r="A533" s="2"/>
      <c r="B533" s="2"/>
      <c r="C533" s="2"/>
      <c r="D533" s="2"/>
      <c r="E533" s="2"/>
      <c r="F533" s="2"/>
      <c r="G533" s="2"/>
      <c r="H533" s="2"/>
      <c r="I533" s="2"/>
      <c r="N533" s="113"/>
    </row>
    <row r="534" spans="1:14">
      <c r="A534" s="2"/>
      <c r="B534" s="2"/>
      <c r="C534" s="2"/>
      <c r="D534" s="2"/>
      <c r="E534" s="2"/>
      <c r="F534" s="2"/>
      <c r="G534" s="2"/>
      <c r="H534" s="2"/>
      <c r="I534" s="2"/>
      <c r="N534" s="113"/>
    </row>
    <row r="535" spans="1:14">
      <c r="A535" s="2"/>
      <c r="B535" s="2"/>
      <c r="C535" s="2"/>
      <c r="D535" s="2"/>
      <c r="E535" s="2"/>
      <c r="F535" s="2"/>
      <c r="G535" s="2"/>
      <c r="H535" s="2"/>
      <c r="I535" s="2"/>
      <c r="N535" s="113"/>
    </row>
    <row r="536" spans="1:14">
      <c r="A536" s="2"/>
      <c r="B536" s="2"/>
      <c r="C536" s="2"/>
      <c r="D536" s="2"/>
      <c r="E536" s="2"/>
      <c r="F536" s="2"/>
      <c r="G536" s="2"/>
      <c r="H536" s="2"/>
      <c r="I536" s="2"/>
      <c r="N536" s="113"/>
    </row>
    <row r="537" spans="1:14">
      <c r="A537" s="2"/>
      <c r="B537" s="2"/>
      <c r="C537" s="2"/>
      <c r="D537" s="2"/>
      <c r="E537" s="2"/>
      <c r="F537" s="2"/>
      <c r="G537" s="2"/>
      <c r="H537" s="2"/>
      <c r="I537" s="2"/>
      <c r="N537" s="113"/>
    </row>
    <row r="538" spans="1:14">
      <c r="A538" s="2"/>
      <c r="B538" s="2"/>
      <c r="C538" s="2"/>
      <c r="D538" s="2"/>
      <c r="E538" s="2"/>
      <c r="F538" s="2"/>
      <c r="G538" s="2"/>
      <c r="H538" s="2"/>
      <c r="I538" s="2"/>
      <c r="N538" s="113"/>
    </row>
    <row r="539" spans="1:14">
      <c r="A539" s="2"/>
      <c r="B539" s="2"/>
      <c r="C539" s="2"/>
      <c r="D539" s="2"/>
      <c r="E539" s="2"/>
      <c r="F539" s="2"/>
      <c r="G539" s="2"/>
      <c r="H539" s="2"/>
      <c r="I539" s="2"/>
      <c r="N539" s="113"/>
    </row>
    <row r="540" spans="1:14">
      <c r="A540" s="2"/>
      <c r="B540" s="2"/>
      <c r="C540" s="2"/>
      <c r="D540" s="2"/>
      <c r="E540" s="2"/>
      <c r="F540" s="2"/>
      <c r="G540" s="2"/>
      <c r="H540" s="2"/>
      <c r="I540" s="2"/>
      <c r="N540" s="113"/>
    </row>
    <row r="541" spans="1:14">
      <c r="A541" s="2"/>
      <c r="B541" s="2"/>
      <c r="C541" s="2"/>
      <c r="D541" s="2"/>
      <c r="E541" s="2"/>
      <c r="F541" s="2"/>
      <c r="G541" s="2"/>
      <c r="H541" s="2"/>
      <c r="I541" s="2"/>
      <c r="N541" s="113"/>
    </row>
    <row r="542" spans="1:14">
      <c r="A542" s="2"/>
      <c r="B542" s="2"/>
      <c r="C542" s="2"/>
      <c r="D542" s="2"/>
      <c r="E542" s="2"/>
      <c r="F542" s="2"/>
      <c r="G542" s="2"/>
      <c r="H542" s="2"/>
      <c r="I542" s="2"/>
      <c r="N542" s="113"/>
    </row>
    <row r="543" spans="1:14">
      <c r="A543" s="2"/>
      <c r="B543" s="2"/>
      <c r="C543" s="2"/>
      <c r="D543" s="2"/>
      <c r="E543" s="2"/>
      <c r="F543" s="2"/>
      <c r="G543" s="2"/>
      <c r="H543" s="2"/>
      <c r="I543" s="2"/>
      <c r="N543" s="113"/>
    </row>
    <row r="544" spans="1:14">
      <c r="A544" s="2"/>
      <c r="B544" s="2"/>
      <c r="C544" s="2"/>
      <c r="D544" s="2"/>
      <c r="E544" s="2"/>
      <c r="F544" s="2"/>
      <c r="G544" s="2"/>
      <c r="H544" s="2"/>
      <c r="I544" s="2"/>
      <c r="N544" s="113"/>
    </row>
    <row r="545" spans="1:14">
      <c r="A545" s="2"/>
      <c r="B545" s="2"/>
      <c r="C545" s="2"/>
      <c r="D545" s="2"/>
      <c r="E545" s="2"/>
      <c r="F545" s="2"/>
      <c r="G545" s="2"/>
      <c r="H545" s="2"/>
      <c r="I545" s="2"/>
      <c r="N545" s="113"/>
    </row>
    <row r="546" spans="1:14">
      <c r="A546" s="2"/>
      <c r="B546" s="2"/>
      <c r="C546" s="2"/>
      <c r="D546" s="2"/>
      <c r="E546" s="2"/>
      <c r="F546" s="2"/>
      <c r="G546" s="2"/>
      <c r="H546" s="2"/>
      <c r="I546" s="2"/>
      <c r="N546" s="113"/>
    </row>
    <row r="547" spans="1:14">
      <c r="A547" s="2"/>
      <c r="B547" s="2"/>
      <c r="C547" s="2"/>
      <c r="D547" s="2"/>
      <c r="E547" s="2"/>
      <c r="F547" s="2"/>
      <c r="G547" s="2"/>
      <c r="H547" s="2"/>
      <c r="I547" s="2"/>
      <c r="N547" s="113"/>
    </row>
    <row r="548" spans="1:14">
      <c r="A548" s="2"/>
      <c r="B548" s="2"/>
      <c r="C548" s="2"/>
      <c r="D548" s="2"/>
      <c r="E548" s="2"/>
      <c r="F548" s="2"/>
      <c r="G548" s="2"/>
      <c r="H548" s="2"/>
      <c r="I548" s="2"/>
      <c r="N548" s="113"/>
    </row>
    <row r="549" spans="1:14">
      <c r="A549" s="2"/>
      <c r="B549" s="2"/>
      <c r="C549" s="2"/>
      <c r="D549" s="2"/>
      <c r="E549" s="2"/>
      <c r="F549" s="2"/>
      <c r="G549" s="2"/>
      <c r="H549" s="2"/>
      <c r="I549" s="2"/>
      <c r="N549" s="113"/>
    </row>
    <row r="550" spans="1:14">
      <c r="A550" s="2"/>
      <c r="B550" s="2"/>
      <c r="C550" s="2"/>
      <c r="D550" s="2"/>
      <c r="E550" s="2"/>
      <c r="F550" s="2"/>
      <c r="G550" s="2"/>
      <c r="H550" s="2"/>
      <c r="I550" s="2"/>
      <c r="N550" s="113"/>
    </row>
    <row r="551" spans="1:14">
      <c r="A551" s="2"/>
      <c r="B551" s="2"/>
      <c r="C551" s="2"/>
      <c r="D551" s="2"/>
      <c r="E551" s="2"/>
      <c r="F551" s="2"/>
      <c r="G551" s="2"/>
      <c r="H551" s="2"/>
      <c r="I551" s="2"/>
      <c r="N551" s="113"/>
    </row>
    <row r="552" spans="1:14">
      <c r="A552" s="2"/>
      <c r="B552" s="2"/>
      <c r="C552" s="2"/>
      <c r="D552" s="2"/>
      <c r="E552" s="2"/>
      <c r="F552" s="2"/>
      <c r="G552" s="2"/>
      <c r="H552" s="2"/>
      <c r="I552" s="2"/>
      <c r="N552" s="113"/>
    </row>
    <row r="553" spans="1:14">
      <c r="A553" s="2"/>
      <c r="B553" s="2"/>
      <c r="C553" s="2"/>
      <c r="D553" s="2"/>
      <c r="E553" s="2"/>
      <c r="F553" s="2"/>
      <c r="G553" s="2"/>
      <c r="H553" s="2"/>
      <c r="I553" s="2"/>
      <c r="N553" s="113"/>
    </row>
    <row r="554" spans="1:14">
      <c r="A554" s="2"/>
      <c r="B554" s="2"/>
      <c r="C554" s="2"/>
      <c r="D554" s="2"/>
      <c r="E554" s="2"/>
      <c r="F554" s="2"/>
      <c r="G554" s="2"/>
      <c r="H554" s="2"/>
      <c r="I554" s="2"/>
      <c r="N554" s="113"/>
    </row>
    <row r="555" spans="1:14">
      <c r="A555" s="2"/>
      <c r="B555" s="2"/>
      <c r="C555" s="2"/>
      <c r="D555" s="2"/>
      <c r="E555" s="2"/>
      <c r="F555" s="2"/>
      <c r="G555" s="2"/>
      <c r="H555" s="2"/>
      <c r="I555" s="2"/>
      <c r="N555" s="113"/>
    </row>
    <row r="556" spans="1:14">
      <c r="A556" s="2"/>
      <c r="B556" s="2"/>
      <c r="C556" s="2"/>
      <c r="D556" s="2"/>
      <c r="E556" s="2"/>
      <c r="F556" s="2"/>
      <c r="G556" s="2"/>
      <c r="H556" s="2"/>
      <c r="I556" s="2"/>
      <c r="N556" s="113"/>
    </row>
    <row r="557" spans="1:14">
      <c r="A557" s="2"/>
      <c r="B557" s="2"/>
      <c r="C557" s="2"/>
      <c r="D557" s="2"/>
      <c r="E557" s="2"/>
      <c r="F557" s="2"/>
      <c r="G557" s="2"/>
      <c r="H557" s="2"/>
      <c r="I557" s="2"/>
      <c r="N557" s="113"/>
    </row>
    <row r="558" spans="1:14">
      <c r="A558" s="2"/>
      <c r="B558" s="2"/>
      <c r="C558" s="2"/>
      <c r="D558" s="2"/>
      <c r="E558" s="2"/>
      <c r="F558" s="2"/>
      <c r="G558" s="2"/>
      <c r="H558" s="2"/>
      <c r="I558" s="2"/>
      <c r="N558" s="113"/>
    </row>
    <row r="559" spans="1:14">
      <c r="A559" s="2"/>
      <c r="B559" s="2"/>
      <c r="C559" s="2"/>
      <c r="D559" s="2"/>
      <c r="E559" s="2"/>
      <c r="F559" s="2"/>
      <c r="G559" s="2"/>
      <c r="H559" s="2"/>
      <c r="I559" s="2"/>
      <c r="N559" s="113"/>
    </row>
    <row r="560" spans="1:14">
      <c r="A560" s="2"/>
      <c r="B560" s="2"/>
      <c r="C560" s="2"/>
      <c r="D560" s="2"/>
      <c r="E560" s="2"/>
      <c r="F560" s="2"/>
      <c r="G560" s="2"/>
      <c r="H560" s="2"/>
      <c r="I560" s="2"/>
      <c r="N560" s="113"/>
    </row>
    <row r="561" spans="1:14">
      <c r="A561" s="2"/>
      <c r="B561" s="2"/>
      <c r="C561" s="2"/>
      <c r="D561" s="2"/>
      <c r="E561" s="2"/>
      <c r="F561" s="2"/>
      <c r="G561" s="2"/>
      <c r="H561" s="2"/>
      <c r="I561" s="2"/>
      <c r="N561" s="113"/>
    </row>
    <row r="562" spans="1:14">
      <c r="A562" s="2"/>
      <c r="B562" s="2"/>
      <c r="C562" s="2"/>
      <c r="D562" s="2"/>
      <c r="E562" s="2"/>
      <c r="F562" s="2"/>
      <c r="G562" s="2"/>
      <c r="H562" s="2"/>
      <c r="I562" s="2"/>
      <c r="N562" s="113"/>
    </row>
    <row r="563" spans="1:14">
      <c r="A563" s="2"/>
      <c r="B563" s="2"/>
      <c r="C563" s="2"/>
      <c r="D563" s="2"/>
      <c r="E563" s="2"/>
      <c r="F563" s="2"/>
      <c r="G563" s="2"/>
      <c r="H563" s="2"/>
      <c r="I563" s="2"/>
      <c r="N563" s="113"/>
    </row>
    <row r="564" spans="1:14">
      <c r="A564" s="2"/>
      <c r="B564" s="2"/>
      <c r="C564" s="2"/>
      <c r="D564" s="2"/>
      <c r="E564" s="2"/>
      <c r="F564" s="2"/>
      <c r="G564" s="2"/>
      <c r="H564" s="2"/>
      <c r="I564" s="2"/>
      <c r="N564" s="113"/>
    </row>
    <row r="565" spans="1:14">
      <c r="A565" s="2"/>
      <c r="B565" s="2"/>
      <c r="C565" s="2"/>
      <c r="D565" s="2"/>
      <c r="E565" s="2"/>
      <c r="F565" s="2"/>
      <c r="G565" s="2"/>
      <c r="H565" s="2"/>
      <c r="I565" s="2"/>
      <c r="N565" s="113"/>
    </row>
    <row r="566" spans="1:14">
      <c r="A566" s="2"/>
      <c r="B566" s="2"/>
      <c r="C566" s="2"/>
      <c r="D566" s="2"/>
      <c r="E566" s="2"/>
      <c r="F566" s="2"/>
      <c r="G566" s="2"/>
      <c r="H566" s="2"/>
      <c r="I566" s="2"/>
      <c r="N566" s="113"/>
    </row>
    <row r="567" spans="1:14">
      <c r="A567" s="2"/>
      <c r="B567" s="2"/>
      <c r="C567" s="2"/>
      <c r="D567" s="2"/>
      <c r="E567" s="2"/>
      <c r="F567" s="2"/>
      <c r="G567" s="2"/>
      <c r="H567" s="2"/>
      <c r="I567" s="2"/>
      <c r="N567" s="113"/>
    </row>
    <row r="568" spans="1:14">
      <c r="A568" s="2"/>
      <c r="B568" s="2"/>
      <c r="C568" s="2"/>
      <c r="D568" s="2"/>
      <c r="E568" s="2"/>
      <c r="F568" s="2"/>
      <c r="G568" s="2"/>
      <c r="H568" s="2"/>
      <c r="I568" s="2"/>
      <c r="N568" s="113"/>
    </row>
    <row r="569" spans="1:14">
      <c r="A569" s="2"/>
      <c r="B569" s="2"/>
      <c r="C569" s="2"/>
      <c r="D569" s="2"/>
      <c r="E569" s="2"/>
      <c r="F569" s="2"/>
      <c r="G569" s="2"/>
      <c r="H569" s="2"/>
      <c r="I569" s="2"/>
      <c r="N569" s="113"/>
    </row>
    <row r="570" spans="1:14">
      <c r="A570" s="2"/>
      <c r="B570" s="2"/>
      <c r="C570" s="2"/>
      <c r="D570" s="2"/>
      <c r="E570" s="2"/>
      <c r="F570" s="2"/>
      <c r="G570" s="2"/>
      <c r="H570" s="2"/>
      <c r="I570" s="2"/>
      <c r="N570" s="113"/>
    </row>
    <row r="571" spans="1:14">
      <c r="A571" s="2"/>
      <c r="B571" s="2"/>
      <c r="C571" s="2"/>
      <c r="D571" s="2"/>
      <c r="E571" s="2"/>
      <c r="F571" s="2"/>
      <c r="G571" s="2"/>
      <c r="H571" s="2"/>
      <c r="I571" s="2"/>
      <c r="N571" s="113"/>
    </row>
    <row r="572" spans="1:14">
      <c r="A572" s="2"/>
      <c r="B572" s="2"/>
      <c r="C572" s="2"/>
      <c r="D572" s="2"/>
      <c r="E572" s="2"/>
      <c r="F572" s="2"/>
      <c r="G572" s="2"/>
      <c r="H572" s="2"/>
      <c r="I572" s="2"/>
      <c r="N572" s="113"/>
    </row>
    <row r="573" spans="1:14">
      <c r="A573" s="2"/>
      <c r="B573" s="2"/>
      <c r="C573" s="2"/>
      <c r="D573" s="2"/>
      <c r="E573" s="2"/>
      <c r="F573" s="2"/>
      <c r="G573" s="2"/>
      <c r="H573" s="2"/>
      <c r="I573" s="2"/>
      <c r="N573" s="113"/>
    </row>
    <row r="574" spans="1:14">
      <c r="A574" s="2"/>
      <c r="B574" s="2"/>
      <c r="C574" s="2"/>
      <c r="D574" s="2"/>
      <c r="E574" s="2"/>
      <c r="F574" s="2"/>
      <c r="G574" s="2"/>
      <c r="H574" s="2"/>
      <c r="I574" s="2"/>
      <c r="N574" s="113"/>
    </row>
    <row r="575" spans="1:14">
      <c r="A575" s="2"/>
      <c r="B575" s="2"/>
      <c r="C575" s="2"/>
      <c r="D575" s="2"/>
      <c r="E575" s="2"/>
      <c r="F575" s="2"/>
      <c r="G575" s="2"/>
      <c r="H575" s="2"/>
      <c r="I575" s="2"/>
      <c r="N575" s="113"/>
    </row>
    <row r="576" spans="1:14">
      <c r="A576" s="2"/>
      <c r="B576" s="2"/>
      <c r="C576" s="2"/>
      <c r="D576" s="2"/>
      <c r="E576" s="2"/>
      <c r="F576" s="2"/>
      <c r="G576" s="2"/>
      <c r="H576" s="2"/>
      <c r="I576" s="2"/>
      <c r="N576" s="113"/>
    </row>
    <row r="577" spans="1:14">
      <c r="A577" s="2"/>
      <c r="B577" s="2"/>
      <c r="C577" s="2"/>
      <c r="D577" s="2"/>
      <c r="E577" s="2"/>
      <c r="F577" s="2"/>
      <c r="G577" s="2"/>
      <c r="H577" s="2"/>
      <c r="I577" s="2"/>
      <c r="N577" s="113"/>
    </row>
    <row r="578" spans="1:14">
      <c r="A578" s="2"/>
      <c r="B578" s="2"/>
      <c r="C578" s="2"/>
      <c r="D578" s="2"/>
      <c r="E578" s="2"/>
      <c r="F578" s="2"/>
      <c r="G578" s="2"/>
      <c r="H578" s="2"/>
      <c r="I578" s="2"/>
      <c r="N578" s="113"/>
    </row>
    <row r="579" spans="1:14">
      <c r="A579" s="2"/>
      <c r="B579" s="2"/>
      <c r="C579" s="2"/>
      <c r="D579" s="2"/>
      <c r="E579" s="2"/>
      <c r="F579" s="2"/>
      <c r="G579" s="2"/>
      <c r="H579" s="2"/>
      <c r="I579" s="2"/>
      <c r="N579" s="113"/>
    </row>
    <row r="580" spans="1:14">
      <c r="A580" s="2"/>
      <c r="B580" s="2"/>
      <c r="C580" s="2"/>
      <c r="D580" s="2"/>
      <c r="E580" s="2"/>
      <c r="F580" s="2"/>
      <c r="G580" s="2"/>
      <c r="H580" s="2"/>
      <c r="I580" s="2"/>
      <c r="N580" s="113"/>
    </row>
    <row r="581" spans="1:14">
      <c r="A581" s="2"/>
      <c r="B581" s="2"/>
      <c r="C581" s="2"/>
      <c r="D581" s="2"/>
      <c r="E581" s="2"/>
      <c r="F581" s="2"/>
      <c r="G581" s="2"/>
      <c r="H581" s="2"/>
      <c r="I581" s="2"/>
      <c r="N581" s="113"/>
    </row>
    <row r="582" spans="1:14">
      <c r="A582" s="2"/>
      <c r="B582" s="2"/>
      <c r="C582" s="2"/>
      <c r="D582" s="2"/>
      <c r="E582" s="2"/>
      <c r="F582" s="2"/>
      <c r="G582" s="2"/>
      <c r="H582" s="2"/>
      <c r="I582" s="2"/>
      <c r="N582" s="113"/>
    </row>
    <row r="583" spans="1:14">
      <c r="A583" s="2"/>
      <c r="B583" s="2"/>
      <c r="C583" s="2"/>
      <c r="D583" s="2"/>
      <c r="E583" s="2"/>
      <c r="F583" s="2"/>
      <c r="G583" s="2"/>
      <c r="H583" s="2"/>
      <c r="I583" s="2"/>
      <c r="N583" s="113"/>
    </row>
    <row r="584" spans="1:14">
      <c r="A584" s="2"/>
      <c r="B584" s="2"/>
      <c r="C584" s="2"/>
      <c r="D584" s="2"/>
      <c r="E584" s="2"/>
      <c r="F584" s="2"/>
      <c r="G584" s="2"/>
      <c r="H584" s="2"/>
      <c r="I584" s="2"/>
      <c r="N584" s="113"/>
    </row>
    <row r="585" spans="1:14">
      <c r="A585" s="2"/>
      <c r="B585" s="2"/>
      <c r="C585" s="2"/>
      <c r="D585" s="2"/>
      <c r="E585" s="2"/>
      <c r="F585" s="2"/>
      <c r="G585" s="2"/>
      <c r="H585" s="2"/>
      <c r="I585" s="2"/>
      <c r="N585" s="113"/>
    </row>
    <row r="586" spans="1:14">
      <c r="A586" s="2"/>
      <c r="B586" s="2"/>
      <c r="C586" s="2"/>
      <c r="D586" s="2"/>
      <c r="E586" s="2"/>
      <c r="F586" s="2"/>
      <c r="G586" s="2"/>
      <c r="H586" s="2"/>
      <c r="I586" s="2"/>
      <c r="N586" s="113"/>
    </row>
    <row r="587" spans="1:14">
      <c r="A587" s="2"/>
      <c r="B587" s="2"/>
      <c r="C587" s="2"/>
      <c r="D587" s="2"/>
      <c r="E587" s="2"/>
      <c r="F587" s="2"/>
      <c r="G587" s="2"/>
      <c r="H587" s="2"/>
      <c r="I587" s="2"/>
      <c r="N587" s="113"/>
    </row>
    <row r="588" spans="1:14">
      <c r="A588" s="2"/>
      <c r="B588" s="2"/>
      <c r="C588" s="2"/>
      <c r="D588" s="2"/>
      <c r="E588" s="2"/>
      <c r="F588" s="2"/>
      <c r="G588" s="2"/>
      <c r="H588" s="2"/>
      <c r="I588" s="2"/>
      <c r="N588" s="113"/>
    </row>
    <row r="589" spans="1:14">
      <c r="A589" s="2"/>
      <c r="B589" s="2"/>
      <c r="C589" s="2"/>
      <c r="D589" s="2"/>
      <c r="E589" s="2"/>
      <c r="F589" s="2"/>
      <c r="G589" s="2"/>
      <c r="H589" s="2"/>
      <c r="I589" s="2"/>
      <c r="N589" s="113"/>
    </row>
    <row r="590" spans="1:14">
      <c r="A590" s="2"/>
      <c r="B590" s="2"/>
      <c r="C590" s="2"/>
      <c r="D590" s="2"/>
      <c r="E590" s="2"/>
      <c r="F590" s="2"/>
      <c r="G590" s="2"/>
      <c r="H590" s="2"/>
      <c r="I590" s="2"/>
      <c r="N590" s="113"/>
    </row>
    <row r="591" spans="1:14">
      <c r="A591" s="2"/>
      <c r="B591" s="2"/>
      <c r="C591" s="2"/>
      <c r="D591" s="2"/>
      <c r="E591" s="2"/>
      <c r="F591" s="2"/>
      <c r="G591" s="2"/>
      <c r="H591" s="2"/>
      <c r="I591" s="2"/>
      <c r="N591" s="113"/>
    </row>
    <row r="592" spans="1:14">
      <c r="A592" s="2"/>
      <c r="B592" s="2"/>
      <c r="C592" s="2"/>
      <c r="D592" s="2"/>
      <c r="E592" s="2"/>
      <c r="F592" s="2"/>
      <c r="G592" s="2"/>
      <c r="H592" s="2"/>
      <c r="I592" s="2"/>
      <c r="N592" s="113"/>
    </row>
    <row r="593" spans="1:14">
      <c r="A593" s="2"/>
      <c r="B593" s="2"/>
      <c r="C593" s="2"/>
      <c r="D593" s="2"/>
      <c r="E593" s="2"/>
      <c r="F593" s="2"/>
      <c r="G593" s="2"/>
      <c r="H593" s="2"/>
      <c r="I593" s="2"/>
      <c r="N593" s="113"/>
    </row>
    <row r="594" spans="1:14">
      <c r="A594" s="2"/>
      <c r="B594" s="2"/>
      <c r="C594" s="2"/>
      <c r="D594" s="2"/>
      <c r="E594" s="2"/>
      <c r="F594" s="2"/>
      <c r="G594" s="2"/>
      <c r="H594" s="2"/>
      <c r="I594" s="2"/>
      <c r="N594" s="113"/>
    </row>
    <row r="595" spans="1:14">
      <c r="A595" s="2"/>
      <c r="B595" s="2"/>
      <c r="C595" s="2"/>
      <c r="D595" s="2"/>
      <c r="E595" s="2"/>
      <c r="F595" s="2"/>
      <c r="G595" s="2"/>
      <c r="H595" s="2"/>
      <c r="I595" s="2"/>
      <c r="N595" s="113"/>
    </row>
    <row r="596" spans="1:14">
      <c r="A596" s="2"/>
      <c r="B596" s="2"/>
      <c r="C596" s="2"/>
      <c r="D596" s="2"/>
      <c r="E596" s="2"/>
      <c r="F596" s="2"/>
      <c r="G596" s="2"/>
      <c r="H596" s="2"/>
      <c r="I596" s="2"/>
      <c r="N596" s="113"/>
    </row>
    <row r="597" spans="1:14">
      <c r="A597" s="2"/>
      <c r="B597" s="2"/>
      <c r="C597" s="2"/>
      <c r="D597" s="2"/>
      <c r="E597" s="2"/>
      <c r="F597" s="2"/>
      <c r="G597" s="2"/>
      <c r="H597" s="2"/>
      <c r="I597" s="2"/>
      <c r="N597" s="113"/>
    </row>
    <row r="598" spans="1:14">
      <c r="A598" s="2"/>
      <c r="B598" s="2"/>
      <c r="C598" s="2"/>
      <c r="D598" s="2"/>
      <c r="E598" s="2"/>
      <c r="F598" s="2"/>
      <c r="G598" s="2"/>
      <c r="H598" s="2"/>
      <c r="I598" s="2"/>
      <c r="N598" s="113"/>
    </row>
    <row r="599" spans="1:14">
      <c r="A599" s="2"/>
      <c r="B599" s="2"/>
      <c r="C599" s="2"/>
      <c r="D599" s="2"/>
      <c r="E599" s="2"/>
      <c r="F599" s="2"/>
      <c r="G599" s="2"/>
      <c r="H599" s="2"/>
      <c r="I599" s="2"/>
      <c r="N599" s="113"/>
    </row>
    <row r="600" spans="1:14">
      <c r="A600" s="2"/>
      <c r="B600" s="2"/>
      <c r="C600" s="2"/>
      <c r="D600" s="2"/>
      <c r="E600" s="2"/>
      <c r="F600" s="2"/>
      <c r="G600" s="2"/>
      <c r="H600" s="2"/>
      <c r="I600" s="2"/>
      <c r="N600" s="113"/>
    </row>
    <row r="601" spans="1:14">
      <c r="A601" s="2"/>
      <c r="B601" s="2"/>
      <c r="C601" s="2"/>
      <c r="D601" s="2"/>
      <c r="E601" s="2"/>
      <c r="F601" s="2"/>
      <c r="G601" s="2"/>
      <c r="H601" s="2"/>
      <c r="I601" s="2"/>
      <c r="N601" s="113"/>
    </row>
    <row r="602" spans="1:14">
      <c r="A602" s="2"/>
      <c r="B602" s="2"/>
      <c r="C602" s="2"/>
      <c r="D602" s="2"/>
      <c r="E602" s="2"/>
      <c r="F602" s="2"/>
      <c r="G602" s="2"/>
      <c r="H602" s="2"/>
      <c r="I602" s="2"/>
      <c r="N602" s="113"/>
    </row>
    <row r="603" spans="1:14">
      <c r="A603" s="2"/>
      <c r="B603" s="2"/>
      <c r="C603" s="2"/>
      <c r="D603" s="2"/>
      <c r="E603" s="2"/>
      <c r="F603" s="2"/>
      <c r="G603" s="2"/>
      <c r="H603" s="2"/>
      <c r="I603" s="2"/>
      <c r="N603" s="113"/>
    </row>
    <row r="604" spans="1:14">
      <c r="A604" s="2"/>
      <c r="B604" s="2"/>
      <c r="C604" s="2"/>
      <c r="D604" s="2"/>
      <c r="E604" s="2"/>
      <c r="F604" s="2"/>
      <c r="G604" s="2"/>
      <c r="H604" s="2"/>
      <c r="I604" s="2"/>
      <c r="N604" s="113"/>
    </row>
    <row r="605" spans="1:14">
      <c r="A605" s="2"/>
      <c r="B605" s="2"/>
      <c r="C605" s="2"/>
      <c r="D605" s="2"/>
      <c r="E605" s="2"/>
      <c r="F605" s="2"/>
      <c r="G605" s="2"/>
      <c r="H605" s="2"/>
      <c r="I605" s="2"/>
      <c r="N605" s="113"/>
    </row>
    <row r="606" spans="1:14">
      <c r="A606" s="2"/>
      <c r="B606" s="2"/>
      <c r="C606" s="2"/>
      <c r="D606" s="2"/>
      <c r="E606" s="2"/>
      <c r="F606" s="2"/>
      <c r="G606" s="2"/>
      <c r="H606" s="2"/>
      <c r="I606" s="2"/>
      <c r="N606" s="113"/>
    </row>
    <row r="607" spans="1:14">
      <c r="A607" s="2"/>
      <c r="B607" s="2"/>
      <c r="C607" s="2"/>
      <c r="D607" s="2"/>
      <c r="E607" s="2"/>
      <c r="F607" s="2"/>
      <c r="G607" s="2"/>
      <c r="H607" s="2"/>
      <c r="I607" s="2"/>
      <c r="N607" s="113"/>
    </row>
    <row r="608" spans="1:14">
      <c r="A608" s="2"/>
      <c r="B608" s="2"/>
      <c r="C608" s="2"/>
      <c r="D608" s="2"/>
      <c r="E608" s="2"/>
      <c r="F608" s="2"/>
      <c r="G608" s="2"/>
      <c r="H608" s="2"/>
      <c r="I608" s="2"/>
      <c r="N608" s="113"/>
    </row>
    <row r="609" spans="1:14">
      <c r="A609" s="2"/>
      <c r="B609" s="2"/>
      <c r="C609" s="2"/>
      <c r="D609" s="2"/>
      <c r="E609" s="2"/>
      <c r="F609" s="2"/>
      <c r="G609" s="2"/>
      <c r="H609" s="2"/>
      <c r="I609" s="2"/>
      <c r="N609" s="113"/>
    </row>
    <row r="610" spans="1:14">
      <c r="A610" s="2"/>
      <c r="B610" s="2"/>
      <c r="C610" s="2"/>
      <c r="D610" s="2"/>
      <c r="E610" s="2"/>
      <c r="F610" s="2"/>
      <c r="G610" s="2"/>
      <c r="H610" s="2"/>
      <c r="I610" s="2"/>
      <c r="N610" s="113"/>
    </row>
    <row r="611" spans="1:14">
      <c r="A611" s="2"/>
      <c r="B611" s="2"/>
      <c r="C611" s="2"/>
      <c r="D611" s="2"/>
      <c r="E611" s="2"/>
      <c r="F611" s="2"/>
      <c r="G611" s="2"/>
      <c r="H611" s="2"/>
      <c r="I611" s="2"/>
      <c r="N611" s="113"/>
    </row>
    <row r="612" spans="1:14">
      <c r="A612" s="2"/>
      <c r="B612" s="2"/>
      <c r="C612" s="2"/>
      <c r="D612" s="2"/>
      <c r="E612" s="2"/>
      <c r="F612" s="2"/>
      <c r="G612" s="2"/>
      <c r="H612" s="2"/>
      <c r="I612" s="2"/>
      <c r="N612" s="113"/>
    </row>
    <row r="613" spans="1:14">
      <c r="A613" s="2"/>
      <c r="B613" s="2"/>
      <c r="C613" s="2"/>
      <c r="D613" s="2"/>
      <c r="E613" s="2"/>
      <c r="F613" s="2"/>
      <c r="G613" s="2"/>
      <c r="H613" s="2"/>
      <c r="I613" s="2"/>
      <c r="N613" s="113"/>
    </row>
    <row r="614" spans="1:14">
      <c r="A614" s="2"/>
      <c r="B614" s="2"/>
      <c r="C614" s="2"/>
      <c r="D614" s="2"/>
      <c r="E614" s="2"/>
      <c r="F614" s="2"/>
      <c r="G614" s="2"/>
      <c r="H614" s="2"/>
      <c r="I614" s="2"/>
      <c r="N614" s="113"/>
    </row>
    <row r="615" spans="1:14">
      <c r="A615" s="2"/>
      <c r="B615" s="2"/>
      <c r="C615" s="2"/>
      <c r="D615" s="2"/>
      <c r="E615" s="2"/>
      <c r="F615" s="2"/>
      <c r="G615" s="2"/>
      <c r="H615" s="2"/>
      <c r="I615" s="2"/>
      <c r="N615" s="113"/>
    </row>
    <row r="616" spans="1:14">
      <c r="A616" s="2"/>
      <c r="B616" s="2"/>
      <c r="C616" s="2"/>
      <c r="D616" s="2"/>
      <c r="E616" s="2"/>
      <c r="F616" s="2"/>
      <c r="G616" s="2"/>
      <c r="H616" s="2"/>
      <c r="I616" s="2"/>
      <c r="N616" s="113"/>
    </row>
    <row r="617" spans="1:14">
      <c r="A617" s="2"/>
      <c r="B617" s="2"/>
      <c r="C617" s="2"/>
      <c r="D617" s="2"/>
      <c r="E617" s="2"/>
      <c r="F617" s="2"/>
      <c r="G617" s="2"/>
      <c r="H617" s="2"/>
      <c r="I617" s="2"/>
      <c r="N617" s="113"/>
    </row>
    <row r="618" spans="1:14">
      <c r="A618" s="2"/>
      <c r="B618" s="2"/>
      <c r="C618" s="2"/>
      <c r="D618" s="2"/>
      <c r="E618" s="2"/>
      <c r="F618" s="2"/>
      <c r="G618" s="2"/>
      <c r="H618" s="2"/>
      <c r="I618" s="2"/>
      <c r="N618" s="113"/>
    </row>
    <row r="619" spans="1:14">
      <c r="A619" s="2"/>
      <c r="B619" s="2"/>
      <c r="C619" s="2"/>
      <c r="D619" s="2"/>
      <c r="E619" s="2"/>
      <c r="F619" s="2"/>
      <c r="G619" s="2"/>
      <c r="H619" s="2"/>
      <c r="I619" s="2"/>
      <c r="N619" s="113"/>
    </row>
    <row r="620" spans="1:14">
      <c r="A620" s="2"/>
      <c r="B620" s="2"/>
      <c r="C620" s="2"/>
      <c r="D620" s="2"/>
      <c r="E620" s="2"/>
      <c r="F620" s="2"/>
      <c r="G620" s="2"/>
      <c r="H620" s="2"/>
      <c r="I620" s="2"/>
      <c r="N620" s="113"/>
    </row>
    <row r="621" spans="1:14">
      <c r="A621" s="2"/>
      <c r="B621" s="2"/>
      <c r="C621" s="2"/>
      <c r="D621" s="2"/>
      <c r="E621" s="2"/>
      <c r="F621" s="2"/>
      <c r="G621" s="2"/>
      <c r="H621" s="2"/>
      <c r="I621" s="2"/>
      <c r="N621" s="113"/>
    </row>
    <row r="622" spans="1:14">
      <c r="A622" s="2"/>
      <c r="B622" s="2"/>
      <c r="C622" s="2"/>
      <c r="D622" s="2"/>
      <c r="E622" s="2"/>
      <c r="F622" s="2"/>
      <c r="G622" s="2"/>
      <c r="H622" s="2"/>
      <c r="I622" s="2"/>
      <c r="N622" s="113"/>
    </row>
    <row r="623" spans="1:14">
      <c r="A623" s="2"/>
      <c r="B623" s="2"/>
      <c r="C623" s="2"/>
      <c r="D623" s="2"/>
      <c r="E623" s="2"/>
      <c r="F623" s="2"/>
      <c r="G623" s="2"/>
      <c r="H623" s="2"/>
      <c r="I623" s="2"/>
      <c r="N623" s="113"/>
    </row>
    <row r="624" spans="1:14">
      <c r="A624" s="2"/>
      <c r="B624" s="2"/>
      <c r="C624" s="2"/>
      <c r="D624" s="2"/>
      <c r="E624" s="2"/>
      <c r="F624" s="2"/>
      <c r="G624" s="2"/>
      <c r="H624" s="2"/>
      <c r="I624" s="2"/>
      <c r="N624" s="113"/>
    </row>
    <row r="625" spans="1:14">
      <c r="A625" s="2"/>
      <c r="B625" s="2"/>
      <c r="C625" s="2"/>
      <c r="D625" s="2"/>
      <c r="E625" s="2"/>
      <c r="F625" s="2"/>
      <c r="G625" s="2"/>
      <c r="H625" s="2"/>
      <c r="I625" s="2"/>
      <c r="N625" s="113"/>
    </row>
    <row r="626" spans="1:14">
      <c r="A626" s="2"/>
      <c r="B626" s="2"/>
      <c r="C626" s="2"/>
      <c r="D626" s="2"/>
      <c r="E626" s="2"/>
      <c r="F626" s="2"/>
      <c r="G626" s="2"/>
      <c r="H626" s="2"/>
      <c r="I626" s="2"/>
      <c r="N626" s="113"/>
    </row>
    <row r="627" spans="1:14">
      <c r="A627" s="2"/>
      <c r="B627" s="2"/>
      <c r="C627" s="2"/>
      <c r="D627" s="2"/>
      <c r="E627" s="2"/>
      <c r="F627" s="2"/>
      <c r="G627" s="2"/>
      <c r="H627" s="2"/>
      <c r="I627" s="2"/>
      <c r="N627" s="113"/>
    </row>
    <row r="628" spans="1:14">
      <c r="A628" s="2"/>
      <c r="B628" s="2"/>
      <c r="C628" s="2"/>
      <c r="D628" s="2"/>
      <c r="E628" s="2"/>
      <c r="F628" s="2"/>
      <c r="G628" s="2"/>
      <c r="H628" s="2"/>
      <c r="I628" s="2"/>
      <c r="N628" s="113"/>
    </row>
    <row r="629" spans="1:14">
      <c r="A629" s="2"/>
      <c r="B629" s="2"/>
      <c r="C629" s="2"/>
      <c r="D629" s="2"/>
      <c r="E629" s="2"/>
      <c r="F629" s="2"/>
      <c r="G629" s="2"/>
      <c r="H629" s="2"/>
      <c r="I629" s="2"/>
      <c r="N629" s="113"/>
    </row>
    <row r="630" spans="1:14">
      <c r="A630" s="2"/>
      <c r="B630" s="2"/>
      <c r="C630" s="2"/>
      <c r="D630" s="2"/>
      <c r="E630" s="2"/>
      <c r="F630" s="2"/>
      <c r="G630" s="2"/>
      <c r="H630" s="2"/>
      <c r="I630" s="2"/>
      <c r="N630" s="113"/>
    </row>
    <row r="631" spans="1:14">
      <c r="A631" s="2"/>
      <c r="B631" s="2"/>
      <c r="C631" s="2"/>
      <c r="D631" s="2"/>
      <c r="E631" s="2"/>
      <c r="F631" s="2"/>
      <c r="G631" s="2"/>
      <c r="H631" s="2"/>
      <c r="I631" s="2"/>
      <c r="N631" s="113"/>
    </row>
    <row r="632" spans="1:14">
      <c r="A632" s="2"/>
      <c r="B632" s="2"/>
      <c r="C632" s="2"/>
      <c r="D632" s="2"/>
      <c r="E632" s="2"/>
      <c r="F632" s="2"/>
      <c r="G632" s="2"/>
      <c r="H632" s="2"/>
      <c r="I632" s="2"/>
      <c r="N632" s="113"/>
    </row>
    <row r="633" spans="1:14">
      <c r="A633" s="2"/>
      <c r="B633" s="2"/>
      <c r="C633" s="2"/>
      <c r="D633" s="2"/>
      <c r="E633" s="2"/>
      <c r="F633" s="2"/>
      <c r="G633" s="2"/>
      <c r="H633" s="2"/>
      <c r="I633" s="2"/>
      <c r="N633" s="113"/>
    </row>
    <row r="634" spans="1:14">
      <c r="A634" s="2"/>
      <c r="B634" s="2"/>
      <c r="C634" s="2"/>
      <c r="D634" s="2"/>
      <c r="E634" s="2"/>
      <c r="F634" s="2"/>
      <c r="G634" s="2"/>
      <c r="H634" s="2"/>
      <c r="I634" s="2"/>
      <c r="N634" s="113"/>
    </row>
    <row r="635" spans="1:14">
      <c r="A635" s="2"/>
      <c r="B635" s="2"/>
      <c r="C635" s="2"/>
      <c r="D635" s="2"/>
      <c r="E635" s="2"/>
      <c r="F635" s="2"/>
      <c r="G635" s="2"/>
      <c r="H635" s="2"/>
      <c r="I635" s="2"/>
      <c r="N635" s="113"/>
    </row>
    <row r="636" spans="1:14">
      <c r="A636" s="2"/>
      <c r="B636" s="2"/>
      <c r="C636" s="2"/>
      <c r="D636" s="2"/>
      <c r="E636" s="2"/>
      <c r="F636" s="2"/>
      <c r="G636" s="2"/>
      <c r="H636" s="2"/>
      <c r="I636" s="2"/>
      <c r="N636" s="113"/>
    </row>
    <row r="637" spans="1:14">
      <c r="A637" s="2"/>
      <c r="B637" s="2"/>
      <c r="C637" s="2"/>
      <c r="D637" s="2"/>
      <c r="E637" s="2"/>
      <c r="F637" s="2"/>
      <c r="G637" s="2"/>
      <c r="H637" s="2"/>
      <c r="I637" s="2"/>
      <c r="N637" s="113"/>
    </row>
    <row r="638" spans="1:14">
      <c r="A638" s="2"/>
      <c r="B638" s="2"/>
      <c r="C638" s="2"/>
      <c r="D638" s="2"/>
      <c r="E638" s="2"/>
      <c r="F638" s="2"/>
      <c r="G638" s="2"/>
      <c r="H638" s="2"/>
      <c r="I638" s="2"/>
      <c r="N638" s="113"/>
    </row>
    <row r="639" spans="1:14">
      <c r="A639" s="2"/>
      <c r="B639" s="2"/>
      <c r="C639" s="2"/>
      <c r="D639" s="2"/>
      <c r="E639" s="2"/>
      <c r="F639" s="2"/>
      <c r="G639" s="2"/>
      <c r="H639" s="2"/>
      <c r="I639" s="2"/>
      <c r="N639" s="113"/>
    </row>
    <row r="640" spans="1:14">
      <c r="A640" s="2"/>
      <c r="B640" s="2"/>
      <c r="C640" s="2"/>
      <c r="D640" s="2"/>
      <c r="E640" s="2"/>
      <c r="F640" s="2"/>
      <c r="G640" s="2"/>
      <c r="H640" s="2"/>
      <c r="I640" s="2"/>
      <c r="N640" s="113"/>
    </row>
    <row r="641" spans="1:14">
      <c r="A641" s="2"/>
      <c r="B641" s="2"/>
      <c r="C641" s="2"/>
      <c r="D641" s="2"/>
      <c r="E641" s="2"/>
      <c r="F641" s="2"/>
      <c r="G641" s="2"/>
      <c r="H641" s="2"/>
      <c r="I641" s="2"/>
      <c r="N641" s="113"/>
    </row>
    <row r="642" spans="1:14">
      <c r="A642" s="2"/>
      <c r="B642" s="2"/>
      <c r="C642" s="2"/>
      <c r="D642" s="2"/>
      <c r="E642" s="2"/>
      <c r="F642" s="2"/>
      <c r="G642" s="2"/>
      <c r="H642" s="2"/>
      <c r="I642" s="2"/>
      <c r="N642" s="113"/>
    </row>
    <row r="643" spans="1:14">
      <c r="A643" s="2"/>
      <c r="B643" s="2"/>
      <c r="C643" s="2"/>
      <c r="D643" s="2"/>
      <c r="E643" s="2"/>
      <c r="F643" s="2"/>
      <c r="G643" s="2"/>
      <c r="H643" s="2"/>
      <c r="I643" s="2"/>
      <c r="N643" s="113"/>
    </row>
    <row r="644" spans="1:14">
      <c r="A644" s="2"/>
      <c r="B644" s="2"/>
      <c r="C644" s="2"/>
      <c r="D644" s="2"/>
      <c r="E644" s="2"/>
      <c r="F644" s="2"/>
      <c r="G644" s="2"/>
      <c r="H644" s="2"/>
      <c r="I644" s="2"/>
      <c r="N644" s="113"/>
    </row>
    <row r="645" spans="1:14">
      <c r="A645" s="2"/>
      <c r="B645" s="2"/>
      <c r="C645" s="2"/>
      <c r="D645" s="2"/>
      <c r="E645" s="2"/>
      <c r="F645" s="2"/>
      <c r="G645" s="2"/>
      <c r="H645" s="2"/>
      <c r="I645" s="2"/>
      <c r="N645" s="113"/>
    </row>
    <row r="646" spans="1:14">
      <c r="A646" s="2"/>
      <c r="B646" s="2"/>
      <c r="C646" s="2"/>
      <c r="D646" s="2"/>
      <c r="E646" s="2"/>
      <c r="F646" s="2"/>
      <c r="G646" s="2"/>
      <c r="H646" s="2"/>
      <c r="I646" s="2"/>
      <c r="N646" s="113"/>
    </row>
    <row r="647" spans="1:14">
      <c r="A647" s="2"/>
      <c r="B647" s="2"/>
      <c r="C647" s="2"/>
      <c r="D647" s="2"/>
      <c r="E647" s="2"/>
      <c r="F647" s="2"/>
      <c r="G647" s="2"/>
      <c r="H647" s="2"/>
      <c r="I647" s="2"/>
      <c r="N647" s="113"/>
    </row>
    <row r="648" spans="1:14">
      <c r="A648" s="2"/>
      <c r="B648" s="2"/>
      <c r="C648" s="2"/>
      <c r="D648" s="2"/>
      <c r="E648" s="2"/>
      <c r="F648" s="2"/>
      <c r="G648" s="2"/>
      <c r="H648" s="2"/>
      <c r="I648" s="2"/>
      <c r="N648" s="113"/>
    </row>
    <row r="649" spans="1:14">
      <c r="A649" s="2"/>
      <c r="B649" s="2"/>
      <c r="C649" s="2"/>
      <c r="D649" s="2"/>
      <c r="E649" s="2"/>
      <c r="F649" s="2"/>
      <c r="G649" s="2"/>
      <c r="H649" s="2"/>
      <c r="I649" s="2"/>
      <c r="N649" s="113"/>
    </row>
    <row r="650" spans="1:14">
      <c r="A650" s="2"/>
      <c r="B650" s="2"/>
      <c r="C650" s="2"/>
      <c r="D650" s="2"/>
      <c r="E650" s="2"/>
      <c r="F650" s="2"/>
      <c r="G650" s="2"/>
      <c r="H650" s="2"/>
      <c r="I650" s="2"/>
      <c r="N650" s="113"/>
    </row>
    <row r="651" spans="1:14">
      <c r="A651" s="2"/>
      <c r="B651" s="2"/>
      <c r="C651" s="2"/>
      <c r="D651" s="2"/>
      <c r="E651" s="2"/>
      <c r="F651" s="2"/>
      <c r="G651" s="2"/>
      <c r="H651" s="2"/>
      <c r="I651" s="2"/>
      <c r="N651" s="113"/>
    </row>
    <row r="652" spans="1:14">
      <c r="A652" s="2"/>
      <c r="B652" s="2"/>
      <c r="C652" s="2"/>
      <c r="D652" s="2"/>
      <c r="E652" s="2"/>
      <c r="F652" s="2"/>
      <c r="G652" s="2"/>
      <c r="H652" s="2"/>
      <c r="I652" s="2"/>
      <c r="N652" s="113"/>
    </row>
    <row r="653" spans="1:14">
      <c r="A653" s="2"/>
      <c r="B653" s="2"/>
      <c r="C653" s="2"/>
      <c r="D653" s="2"/>
      <c r="E653" s="2"/>
      <c r="F653" s="2"/>
      <c r="G653" s="2"/>
      <c r="H653" s="2"/>
      <c r="I653" s="2"/>
      <c r="N653" s="113"/>
    </row>
    <row r="654" spans="1:14">
      <c r="A654" s="2"/>
      <c r="B654" s="2"/>
      <c r="C654" s="2"/>
      <c r="D654" s="2"/>
      <c r="E654" s="2"/>
      <c r="F654" s="2"/>
      <c r="G654" s="2"/>
      <c r="H654" s="2"/>
      <c r="I654" s="2"/>
      <c r="N654" s="113"/>
    </row>
    <row r="655" spans="1:14">
      <c r="A655" s="2"/>
      <c r="B655" s="2"/>
      <c r="C655" s="2"/>
      <c r="D655" s="2"/>
      <c r="E655" s="2"/>
      <c r="F655" s="2"/>
      <c r="G655" s="2"/>
      <c r="H655" s="2"/>
      <c r="I655" s="2"/>
      <c r="N655" s="113"/>
    </row>
    <row r="656" spans="1:14">
      <c r="A656" s="2"/>
      <c r="B656" s="2"/>
      <c r="C656" s="2"/>
      <c r="D656" s="2"/>
      <c r="E656" s="2"/>
      <c r="F656" s="2"/>
      <c r="G656" s="2"/>
      <c r="H656" s="2"/>
      <c r="I656" s="2"/>
      <c r="N656" s="113"/>
    </row>
    <row r="657" spans="1:14">
      <c r="A657" s="2"/>
      <c r="B657" s="2"/>
      <c r="C657" s="2"/>
      <c r="D657" s="2"/>
      <c r="E657" s="2"/>
      <c r="F657" s="2"/>
      <c r="G657" s="2"/>
      <c r="H657" s="2"/>
      <c r="I657" s="2"/>
      <c r="N657" s="113"/>
    </row>
    <row r="658" spans="1:14">
      <c r="A658" s="2"/>
      <c r="B658" s="2"/>
      <c r="C658" s="2"/>
      <c r="D658" s="2"/>
      <c r="E658" s="2"/>
      <c r="F658" s="2"/>
      <c r="G658" s="2"/>
      <c r="H658" s="2"/>
      <c r="I658" s="2"/>
      <c r="N658" s="113"/>
    </row>
    <row r="659" spans="1:14">
      <c r="A659" s="2"/>
      <c r="B659" s="2"/>
      <c r="C659" s="2"/>
      <c r="D659" s="2"/>
      <c r="E659" s="2"/>
      <c r="F659" s="2"/>
      <c r="G659" s="2"/>
      <c r="H659" s="2"/>
      <c r="I659" s="2"/>
      <c r="N659" s="113"/>
    </row>
    <row r="660" spans="1:14">
      <c r="A660" s="2"/>
      <c r="B660" s="2"/>
      <c r="C660" s="2"/>
      <c r="D660" s="2"/>
      <c r="E660" s="2"/>
      <c r="F660" s="2"/>
      <c r="G660" s="2"/>
      <c r="H660" s="2"/>
      <c r="I660" s="2"/>
      <c r="N660" s="113"/>
    </row>
    <row r="661" spans="1:14">
      <c r="A661" s="2"/>
      <c r="B661" s="2"/>
      <c r="C661" s="2"/>
      <c r="D661" s="2"/>
      <c r="E661" s="2"/>
      <c r="F661" s="2"/>
      <c r="G661" s="2"/>
      <c r="H661" s="2"/>
      <c r="I661" s="2"/>
      <c r="N661" s="113"/>
    </row>
    <row r="662" spans="1:14">
      <c r="A662" s="2"/>
      <c r="B662" s="2"/>
      <c r="C662" s="2"/>
      <c r="D662" s="2"/>
      <c r="E662" s="2"/>
      <c r="F662" s="2"/>
      <c r="G662" s="2"/>
      <c r="H662" s="2"/>
      <c r="I662" s="2"/>
      <c r="N662" s="113"/>
    </row>
    <row r="663" spans="1:14">
      <c r="A663" s="2"/>
      <c r="B663" s="2"/>
      <c r="C663" s="2"/>
      <c r="D663" s="2"/>
      <c r="E663" s="2"/>
      <c r="F663" s="2"/>
      <c r="G663" s="2"/>
      <c r="H663" s="2"/>
      <c r="I663" s="2"/>
      <c r="N663" s="113"/>
    </row>
    <row r="664" spans="1:14">
      <c r="A664" s="2"/>
      <c r="B664" s="2"/>
      <c r="C664" s="2"/>
      <c r="D664" s="2"/>
      <c r="E664" s="2"/>
      <c r="F664" s="2"/>
      <c r="G664" s="2"/>
      <c r="H664" s="2"/>
      <c r="I664" s="2"/>
      <c r="N664" s="113"/>
    </row>
    <row r="665" spans="1:14">
      <c r="A665" s="2"/>
      <c r="B665" s="2"/>
      <c r="C665" s="2"/>
      <c r="D665" s="2"/>
      <c r="E665" s="2"/>
      <c r="F665" s="2"/>
      <c r="G665" s="2"/>
      <c r="H665" s="2"/>
      <c r="I665" s="2"/>
      <c r="N665" s="113"/>
    </row>
    <row r="666" spans="1:14">
      <c r="A666" s="2"/>
      <c r="B666" s="2"/>
      <c r="C666" s="2"/>
      <c r="D666" s="2"/>
      <c r="E666" s="2"/>
      <c r="F666" s="2"/>
      <c r="G666" s="2"/>
      <c r="H666" s="2"/>
      <c r="I666" s="2"/>
      <c r="N666" s="113"/>
    </row>
    <row r="667" spans="1:14">
      <c r="A667" s="2"/>
      <c r="B667" s="2"/>
      <c r="C667" s="2"/>
      <c r="D667" s="2"/>
      <c r="E667" s="2"/>
      <c r="F667" s="2"/>
      <c r="G667" s="2"/>
      <c r="H667" s="2"/>
      <c r="I667" s="2"/>
      <c r="N667" s="113"/>
    </row>
    <row r="668" spans="1:14">
      <c r="A668" s="2"/>
      <c r="B668" s="2"/>
      <c r="C668" s="2"/>
      <c r="D668" s="2"/>
      <c r="E668" s="2"/>
      <c r="F668" s="2"/>
      <c r="G668" s="2"/>
      <c r="H668" s="2"/>
      <c r="I668" s="2"/>
      <c r="N668" s="113"/>
    </row>
    <row r="669" spans="1:14">
      <c r="A669" s="2"/>
      <c r="B669" s="2"/>
      <c r="C669" s="2"/>
      <c r="D669" s="2"/>
      <c r="E669" s="2"/>
      <c r="F669" s="2"/>
      <c r="G669" s="2"/>
      <c r="H669" s="2"/>
      <c r="I669" s="2"/>
      <c r="N669" s="113"/>
    </row>
    <row r="670" spans="1:14">
      <c r="A670" s="2"/>
      <c r="B670" s="2"/>
      <c r="C670" s="2"/>
      <c r="D670" s="2"/>
      <c r="E670" s="2"/>
      <c r="F670" s="2"/>
      <c r="G670" s="2"/>
      <c r="H670" s="2"/>
      <c r="I670" s="2"/>
      <c r="N670" s="113"/>
    </row>
    <row r="671" spans="1:14">
      <c r="A671" s="2"/>
      <c r="B671" s="2"/>
      <c r="C671" s="2"/>
      <c r="D671" s="2"/>
      <c r="E671" s="2"/>
      <c r="F671" s="2"/>
      <c r="G671" s="2"/>
      <c r="H671" s="2"/>
      <c r="I671" s="2"/>
      <c r="N671" s="113"/>
    </row>
    <row r="672" spans="1:14">
      <c r="A672" s="2"/>
      <c r="B672" s="2"/>
      <c r="C672" s="2"/>
      <c r="D672" s="2"/>
      <c r="E672" s="2"/>
      <c r="F672" s="2"/>
      <c r="G672" s="2"/>
      <c r="H672" s="2"/>
      <c r="I672" s="2"/>
      <c r="N672" s="113"/>
    </row>
    <row r="673" spans="1:14">
      <c r="A673" s="2"/>
      <c r="B673" s="2"/>
      <c r="C673" s="2"/>
      <c r="D673" s="2"/>
      <c r="E673" s="2"/>
      <c r="F673" s="2"/>
      <c r="G673" s="2"/>
      <c r="H673" s="2"/>
      <c r="I673" s="2"/>
      <c r="N673" s="113"/>
    </row>
    <row r="674" spans="1:14">
      <c r="A674" s="2"/>
      <c r="B674" s="2"/>
      <c r="C674" s="2"/>
      <c r="D674" s="2"/>
      <c r="E674" s="2"/>
      <c r="F674" s="2"/>
      <c r="G674" s="2"/>
      <c r="H674" s="2"/>
      <c r="I674" s="2"/>
      <c r="N674" s="113"/>
    </row>
    <row r="675" spans="1:14">
      <c r="A675" s="2"/>
      <c r="B675" s="2"/>
      <c r="C675" s="2"/>
      <c r="D675" s="2"/>
      <c r="E675" s="2"/>
      <c r="F675" s="2"/>
      <c r="G675" s="2"/>
      <c r="H675" s="2"/>
      <c r="I675" s="2"/>
      <c r="N675" s="113"/>
    </row>
    <row r="676" spans="1:14">
      <c r="A676" s="2"/>
      <c r="B676" s="2"/>
      <c r="C676" s="2"/>
      <c r="D676" s="2"/>
      <c r="E676" s="2"/>
      <c r="F676" s="2"/>
      <c r="G676" s="2"/>
      <c r="H676" s="2"/>
      <c r="I676" s="2"/>
      <c r="N676" s="113"/>
    </row>
    <row r="677" spans="1:14">
      <c r="A677" s="2"/>
      <c r="B677" s="2"/>
      <c r="C677" s="2"/>
      <c r="D677" s="2"/>
      <c r="E677" s="2"/>
      <c r="F677" s="2"/>
      <c r="G677" s="2"/>
      <c r="H677" s="2"/>
      <c r="I677" s="2"/>
      <c r="N677" s="113"/>
    </row>
    <row r="678" spans="1:14">
      <c r="A678" s="2"/>
      <c r="B678" s="2"/>
      <c r="C678" s="2"/>
      <c r="D678" s="2"/>
      <c r="E678" s="2"/>
      <c r="F678" s="2"/>
      <c r="G678" s="2"/>
      <c r="H678" s="2"/>
      <c r="I678" s="2"/>
      <c r="N678" s="113"/>
    </row>
    <row r="679" spans="1:14">
      <c r="A679" s="2"/>
      <c r="B679" s="2"/>
      <c r="C679" s="2"/>
      <c r="D679" s="2"/>
      <c r="E679" s="2"/>
      <c r="F679" s="2"/>
      <c r="G679" s="2"/>
      <c r="H679" s="2"/>
      <c r="I679" s="2"/>
      <c r="N679" s="113"/>
    </row>
    <row r="680" spans="1:14">
      <c r="A680" s="2"/>
      <c r="B680" s="2"/>
      <c r="C680" s="2"/>
      <c r="D680" s="2"/>
      <c r="E680" s="2"/>
      <c r="F680" s="2"/>
      <c r="G680" s="2"/>
      <c r="H680" s="2"/>
      <c r="I680" s="2"/>
      <c r="N680" s="113"/>
    </row>
    <row r="681" spans="1:14">
      <c r="A681" s="2"/>
      <c r="B681" s="2"/>
      <c r="C681" s="2"/>
      <c r="D681" s="2"/>
      <c r="E681" s="2"/>
      <c r="F681" s="2"/>
      <c r="G681" s="2"/>
      <c r="H681" s="2"/>
      <c r="I681" s="2"/>
      <c r="N681" s="113"/>
    </row>
    <row r="682" spans="1:14">
      <c r="A682" s="2"/>
      <c r="B682" s="2"/>
      <c r="C682" s="2"/>
      <c r="D682" s="2"/>
      <c r="E682" s="2"/>
      <c r="F682" s="2"/>
      <c r="G682" s="2"/>
      <c r="H682" s="2"/>
      <c r="I682" s="2"/>
      <c r="N682" s="113"/>
    </row>
    <row r="683" spans="1:14">
      <c r="A683" s="2"/>
      <c r="B683" s="2"/>
      <c r="C683" s="2"/>
      <c r="D683" s="2"/>
      <c r="E683" s="2"/>
      <c r="F683" s="2"/>
      <c r="G683" s="2"/>
      <c r="H683" s="2"/>
      <c r="I683" s="2"/>
      <c r="N683" s="113"/>
    </row>
    <row r="684" spans="1:14">
      <c r="A684" s="2"/>
      <c r="B684" s="2"/>
      <c r="C684" s="2"/>
      <c r="D684" s="2"/>
      <c r="E684" s="2"/>
      <c r="F684" s="2"/>
      <c r="G684" s="2"/>
      <c r="H684" s="2"/>
      <c r="I684" s="2"/>
      <c r="N684" s="113"/>
    </row>
    <row r="685" spans="1:14">
      <c r="A685" s="2"/>
      <c r="B685" s="2"/>
      <c r="C685" s="2"/>
      <c r="D685" s="2"/>
      <c r="E685" s="2"/>
      <c r="F685" s="2"/>
      <c r="G685" s="2"/>
      <c r="H685" s="2"/>
      <c r="I685" s="2"/>
      <c r="N685" s="113"/>
    </row>
    <row r="686" spans="1:14">
      <c r="A686" s="2"/>
      <c r="B686" s="2"/>
      <c r="C686" s="2"/>
      <c r="D686" s="2"/>
      <c r="E686" s="2"/>
      <c r="F686" s="2"/>
      <c r="G686" s="2"/>
      <c r="H686" s="2"/>
      <c r="I686" s="2"/>
      <c r="N686" s="113"/>
    </row>
    <row r="687" spans="1:14">
      <c r="A687" s="2"/>
      <c r="B687" s="2"/>
      <c r="C687" s="2"/>
      <c r="D687" s="2"/>
      <c r="E687" s="2"/>
      <c r="F687" s="2"/>
      <c r="G687" s="2"/>
      <c r="H687" s="2"/>
      <c r="I687" s="2"/>
      <c r="N687" s="113"/>
    </row>
    <row r="688" spans="1:14">
      <c r="A688" s="2"/>
      <c r="B688" s="2"/>
      <c r="C688" s="2"/>
      <c r="D688" s="2"/>
      <c r="E688" s="2"/>
      <c r="F688" s="2"/>
      <c r="G688" s="2"/>
      <c r="H688" s="2"/>
      <c r="I688" s="2"/>
      <c r="N688" s="113"/>
    </row>
    <row r="689" spans="1:14">
      <c r="A689" s="2"/>
      <c r="B689" s="2"/>
      <c r="C689" s="2"/>
      <c r="D689" s="2"/>
      <c r="E689" s="2"/>
      <c r="F689" s="2"/>
      <c r="G689" s="2"/>
      <c r="H689" s="2"/>
      <c r="I689" s="2"/>
      <c r="N689" s="113"/>
    </row>
    <row r="690" spans="1:14">
      <c r="A690" s="2"/>
      <c r="B690" s="2"/>
      <c r="C690" s="2"/>
      <c r="D690" s="2"/>
      <c r="E690" s="2"/>
      <c r="F690" s="2"/>
      <c r="G690" s="2"/>
      <c r="H690" s="2"/>
      <c r="I690" s="2"/>
      <c r="N690" s="113"/>
    </row>
    <row r="691" spans="1:14">
      <c r="A691" s="2"/>
      <c r="B691" s="2"/>
      <c r="C691" s="2"/>
      <c r="D691" s="2"/>
      <c r="E691" s="2"/>
      <c r="F691" s="2"/>
      <c r="G691" s="2"/>
      <c r="H691" s="2"/>
      <c r="I691" s="2"/>
      <c r="N691" s="113"/>
    </row>
    <row r="692" spans="1:14">
      <c r="A692" s="2"/>
      <c r="B692" s="2"/>
      <c r="C692" s="2"/>
      <c r="D692" s="2"/>
      <c r="E692" s="2"/>
      <c r="F692" s="2"/>
      <c r="G692" s="2"/>
      <c r="H692" s="2"/>
      <c r="I692" s="2"/>
      <c r="N692" s="113"/>
    </row>
    <row r="693" spans="1:14">
      <c r="A693" s="2"/>
      <c r="B693" s="2"/>
      <c r="C693" s="2"/>
      <c r="D693" s="2"/>
      <c r="E693" s="2"/>
      <c r="F693" s="2"/>
      <c r="G693" s="2"/>
      <c r="H693" s="2"/>
      <c r="I693" s="2"/>
      <c r="N693" s="113"/>
    </row>
    <row r="694" spans="1:14">
      <c r="A694" s="2"/>
      <c r="B694" s="2"/>
      <c r="C694" s="2"/>
      <c r="D694" s="2"/>
      <c r="E694" s="2"/>
      <c r="F694" s="2"/>
      <c r="G694" s="2"/>
      <c r="H694" s="2"/>
      <c r="I694" s="2"/>
      <c r="N694" s="113"/>
    </row>
    <row r="695" spans="1:14">
      <c r="A695" s="2"/>
      <c r="B695" s="2"/>
      <c r="C695" s="2"/>
      <c r="D695" s="2"/>
      <c r="E695" s="2"/>
      <c r="F695" s="2"/>
      <c r="G695" s="2"/>
      <c r="H695" s="2"/>
      <c r="I695" s="2"/>
      <c r="N695" s="113"/>
    </row>
    <row r="696" spans="1:14">
      <c r="A696" s="2"/>
      <c r="B696" s="2"/>
      <c r="C696" s="2"/>
      <c r="D696" s="2"/>
      <c r="E696" s="2"/>
      <c r="F696" s="2"/>
      <c r="G696" s="2"/>
      <c r="H696" s="2"/>
      <c r="I696" s="2"/>
      <c r="N696" s="113"/>
    </row>
    <row r="697" spans="1:14">
      <c r="A697" s="2"/>
      <c r="B697" s="2"/>
      <c r="C697" s="2"/>
      <c r="D697" s="2"/>
      <c r="E697" s="2"/>
      <c r="F697" s="2"/>
      <c r="G697" s="2"/>
      <c r="H697" s="2"/>
      <c r="I697" s="2"/>
      <c r="N697" s="113"/>
    </row>
    <row r="698" spans="1:14">
      <c r="A698" s="2"/>
      <c r="B698" s="2"/>
      <c r="C698" s="2"/>
      <c r="D698" s="2"/>
      <c r="E698" s="2"/>
      <c r="F698" s="2"/>
      <c r="G698" s="2"/>
      <c r="H698" s="2"/>
      <c r="I698" s="2"/>
      <c r="N698" s="113"/>
    </row>
    <row r="699" spans="1:14">
      <c r="A699" s="2"/>
      <c r="B699" s="2"/>
      <c r="C699" s="2"/>
      <c r="D699" s="2"/>
      <c r="E699" s="2"/>
      <c r="F699" s="2"/>
      <c r="G699" s="2"/>
      <c r="H699" s="2"/>
      <c r="I699" s="2"/>
      <c r="N699" s="113"/>
    </row>
    <row r="700" spans="1:14">
      <c r="A700" s="2"/>
      <c r="B700" s="2"/>
      <c r="C700" s="2"/>
      <c r="D700" s="2"/>
      <c r="E700" s="2"/>
      <c r="F700" s="2"/>
      <c r="G700" s="2"/>
      <c r="H700" s="2"/>
      <c r="I700" s="2"/>
      <c r="N700" s="113"/>
    </row>
    <row r="701" spans="1:14">
      <c r="A701" s="2"/>
      <c r="B701" s="2"/>
      <c r="C701" s="2"/>
      <c r="D701" s="2"/>
      <c r="E701" s="2"/>
      <c r="F701" s="2"/>
      <c r="G701" s="2"/>
      <c r="H701" s="2"/>
      <c r="I701" s="2"/>
      <c r="N701" s="113"/>
    </row>
    <row r="702" spans="1:14">
      <c r="A702" s="2"/>
      <c r="B702" s="2"/>
      <c r="C702" s="2"/>
      <c r="D702" s="2"/>
      <c r="E702" s="2"/>
      <c r="F702" s="2"/>
      <c r="G702" s="2"/>
      <c r="H702" s="2"/>
      <c r="I702" s="2"/>
      <c r="N702" s="113"/>
    </row>
    <row r="703" spans="1:14">
      <c r="A703" s="2"/>
      <c r="B703" s="2"/>
      <c r="C703" s="2"/>
      <c r="D703" s="2"/>
      <c r="E703" s="2"/>
      <c r="F703" s="2"/>
      <c r="G703" s="2"/>
      <c r="H703" s="2"/>
      <c r="I703" s="2"/>
      <c r="N703" s="113"/>
    </row>
    <row r="704" spans="1:14">
      <c r="A704" s="2"/>
      <c r="B704" s="2"/>
      <c r="C704" s="2"/>
      <c r="D704" s="2"/>
      <c r="E704" s="2"/>
      <c r="F704" s="2"/>
      <c r="G704" s="2"/>
      <c r="H704" s="2"/>
      <c r="I704" s="2"/>
      <c r="N704" s="113"/>
    </row>
    <row r="705" spans="1:14">
      <c r="A705" s="2"/>
      <c r="B705" s="2"/>
      <c r="C705" s="2"/>
      <c r="D705" s="2"/>
      <c r="E705" s="2"/>
      <c r="F705" s="2"/>
      <c r="G705" s="2"/>
      <c r="H705" s="2"/>
      <c r="I705" s="2"/>
      <c r="N705" s="113"/>
    </row>
    <row r="706" spans="1:14">
      <c r="A706" s="2"/>
      <c r="B706" s="2"/>
      <c r="C706" s="2"/>
      <c r="D706" s="2"/>
      <c r="E706" s="2"/>
      <c r="F706" s="2"/>
      <c r="G706" s="2"/>
      <c r="H706" s="2"/>
      <c r="I706" s="2"/>
      <c r="N706" s="113"/>
    </row>
    <row r="707" spans="1:14">
      <c r="A707" s="2"/>
      <c r="B707" s="2"/>
      <c r="C707" s="2"/>
      <c r="D707" s="2"/>
      <c r="E707" s="2"/>
      <c r="F707" s="2"/>
      <c r="G707" s="2"/>
      <c r="H707" s="2"/>
      <c r="I707" s="2"/>
      <c r="N707" s="113"/>
    </row>
    <row r="708" spans="1:14">
      <c r="A708" s="2"/>
      <c r="B708" s="2"/>
      <c r="C708" s="2"/>
      <c r="D708" s="2"/>
      <c r="E708" s="2"/>
      <c r="F708" s="2"/>
      <c r="G708" s="2"/>
      <c r="H708" s="2"/>
      <c r="I708" s="2"/>
      <c r="N708" s="113"/>
    </row>
    <row r="709" spans="1:14">
      <c r="A709" s="2"/>
      <c r="B709" s="2"/>
      <c r="C709" s="2"/>
      <c r="D709" s="2"/>
      <c r="E709" s="2"/>
      <c r="F709" s="2"/>
      <c r="G709" s="2"/>
      <c r="H709" s="2"/>
      <c r="I709" s="2"/>
      <c r="N709" s="113"/>
    </row>
    <row r="710" spans="1:14">
      <c r="A710" s="2"/>
      <c r="B710" s="2"/>
      <c r="C710" s="2"/>
      <c r="D710" s="2"/>
      <c r="E710" s="2"/>
      <c r="F710" s="2"/>
      <c r="G710" s="2"/>
      <c r="H710" s="2"/>
      <c r="I710" s="2"/>
      <c r="N710" s="113"/>
    </row>
    <row r="711" spans="1:14">
      <c r="A711" s="2"/>
      <c r="B711" s="2"/>
      <c r="C711" s="2"/>
      <c r="D711" s="2"/>
      <c r="E711" s="2"/>
      <c r="F711" s="2"/>
      <c r="G711" s="2"/>
      <c r="H711" s="2"/>
      <c r="I711" s="2"/>
      <c r="N711" s="113"/>
    </row>
    <row r="712" spans="1:14">
      <c r="A712" s="2"/>
      <c r="B712" s="2"/>
      <c r="C712" s="2"/>
      <c r="D712" s="2"/>
      <c r="E712" s="2"/>
      <c r="F712" s="2"/>
      <c r="G712" s="2"/>
      <c r="H712" s="2"/>
      <c r="I712" s="2"/>
      <c r="N712" s="113"/>
    </row>
    <row r="713" spans="1:14">
      <c r="A713" s="2"/>
      <c r="B713" s="2"/>
      <c r="C713" s="2"/>
      <c r="D713" s="2"/>
      <c r="E713" s="2"/>
      <c r="F713" s="2"/>
      <c r="G713" s="2"/>
      <c r="H713" s="2"/>
      <c r="I713" s="2"/>
      <c r="N713" s="113"/>
    </row>
    <row r="714" spans="1:14">
      <c r="A714" s="2"/>
      <c r="B714" s="2"/>
      <c r="C714" s="2"/>
      <c r="D714" s="2"/>
      <c r="E714" s="2"/>
      <c r="F714" s="2"/>
      <c r="G714" s="2"/>
      <c r="H714" s="2"/>
      <c r="I714" s="2"/>
      <c r="N714" s="113"/>
    </row>
    <row r="715" spans="1:14">
      <c r="A715" s="2"/>
      <c r="B715" s="2"/>
      <c r="C715" s="2"/>
      <c r="D715" s="2"/>
      <c r="E715" s="2"/>
      <c r="F715" s="2"/>
      <c r="G715" s="2"/>
      <c r="H715" s="2"/>
      <c r="I715" s="2"/>
      <c r="N715" s="113"/>
    </row>
    <row r="716" spans="1:14">
      <c r="A716" s="2"/>
      <c r="B716" s="2"/>
      <c r="C716" s="2"/>
      <c r="D716" s="2"/>
      <c r="E716" s="2"/>
      <c r="F716" s="2"/>
      <c r="G716" s="2"/>
      <c r="H716" s="2"/>
      <c r="I716" s="2"/>
      <c r="N716" s="113"/>
    </row>
    <row r="717" spans="1:14">
      <c r="A717" s="2"/>
      <c r="B717" s="2"/>
      <c r="C717" s="2"/>
      <c r="D717" s="2"/>
      <c r="E717" s="2"/>
      <c r="F717" s="2"/>
      <c r="G717" s="2"/>
      <c r="H717" s="2"/>
      <c r="I717" s="2"/>
      <c r="N717" s="113"/>
    </row>
    <row r="718" spans="1:14">
      <c r="A718" s="2"/>
      <c r="B718" s="2"/>
      <c r="C718" s="2"/>
      <c r="D718" s="2"/>
      <c r="E718" s="2"/>
      <c r="F718" s="2"/>
      <c r="G718" s="2"/>
      <c r="H718" s="2"/>
      <c r="I718" s="2"/>
      <c r="N718" s="113"/>
    </row>
    <row r="719" spans="1:14">
      <c r="A719" s="2"/>
      <c r="B719" s="2"/>
      <c r="C719" s="2"/>
      <c r="D719" s="2"/>
      <c r="E719" s="2"/>
      <c r="F719" s="2"/>
      <c r="G719" s="2"/>
      <c r="H719" s="2"/>
      <c r="I719" s="2"/>
      <c r="N719" s="113"/>
    </row>
    <row r="720" spans="1:14">
      <c r="A720" s="2"/>
      <c r="B720" s="2"/>
      <c r="C720" s="2"/>
      <c r="D720" s="2"/>
      <c r="E720" s="2"/>
      <c r="F720" s="2"/>
      <c r="G720" s="2"/>
      <c r="H720" s="2"/>
      <c r="I720" s="2"/>
      <c r="N720" s="113"/>
    </row>
    <row r="721" spans="1:14">
      <c r="A721" s="2"/>
      <c r="B721" s="2"/>
      <c r="C721" s="2"/>
      <c r="D721" s="2"/>
      <c r="E721" s="2"/>
      <c r="F721" s="2"/>
      <c r="G721" s="2"/>
      <c r="H721" s="2"/>
      <c r="I721" s="2"/>
      <c r="N721" s="113"/>
    </row>
    <row r="722" spans="1:14">
      <c r="A722" s="2"/>
      <c r="B722" s="2"/>
      <c r="C722" s="2"/>
      <c r="D722" s="2"/>
      <c r="E722" s="2"/>
      <c r="F722" s="2"/>
      <c r="G722" s="2"/>
      <c r="H722" s="2"/>
      <c r="I722" s="2"/>
      <c r="N722" s="113"/>
    </row>
    <row r="723" spans="1:14">
      <c r="A723" s="2"/>
      <c r="B723" s="2"/>
      <c r="C723" s="2"/>
      <c r="D723" s="2"/>
      <c r="E723" s="2"/>
      <c r="F723" s="2"/>
      <c r="G723" s="2"/>
      <c r="H723" s="2"/>
      <c r="I723" s="2"/>
      <c r="N723" s="113"/>
    </row>
    <row r="724" spans="1:14">
      <c r="A724" s="2"/>
      <c r="B724" s="2"/>
      <c r="C724" s="2"/>
      <c r="D724" s="2"/>
      <c r="E724" s="2"/>
      <c r="F724" s="2"/>
      <c r="G724" s="2"/>
      <c r="H724" s="2"/>
      <c r="I724" s="2"/>
      <c r="N724" s="113"/>
    </row>
    <row r="725" spans="1:14">
      <c r="A725" s="2"/>
      <c r="B725" s="2"/>
      <c r="C725" s="2"/>
      <c r="D725" s="2"/>
      <c r="E725" s="2"/>
      <c r="F725" s="2"/>
      <c r="G725" s="2"/>
      <c r="H725" s="2"/>
      <c r="I725" s="2"/>
      <c r="N725" s="113"/>
    </row>
    <row r="726" spans="1:14">
      <c r="A726" s="2"/>
      <c r="B726" s="2"/>
      <c r="C726" s="2"/>
      <c r="D726" s="2"/>
      <c r="E726" s="2"/>
      <c r="F726" s="2"/>
      <c r="G726" s="2"/>
      <c r="H726" s="2"/>
      <c r="I726" s="2"/>
      <c r="N726" s="113"/>
    </row>
    <row r="727" spans="1:14">
      <c r="A727" s="2"/>
      <c r="B727" s="2"/>
      <c r="C727" s="2"/>
      <c r="D727" s="2"/>
      <c r="E727" s="2"/>
      <c r="F727" s="2"/>
      <c r="G727" s="2"/>
      <c r="H727" s="2"/>
      <c r="I727" s="2"/>
      <c r="N727" s="113"/>
    </row>
    <row r="728" spans="1:14">
      <c r="A728" s="2"/>
      <c r="B728" s="2"/>
      <c r="C728" s="2"/>
      <c r="D728" s="2"/>
      <c r="E728" s="2"/>
      <c r="F728" s="2"/>
      <c r="G728" s="2"/>
      <c r="H728" s="2"/>
      <c r="I728" s="2"/>
      <c r="N728" s="113"/>
    </row>
    <row r="729" spans="1:14">
      <c r="A729" s="2"/>
      <c r="B729" s="2"/>
      <c r="C729" s="2"/>
      <c r="D729" s="2"/>
      <c r="E729" s="2"/>
      <c r="F729" s="2"/>
      <c r="G729" s="2"/>
      <c r="H729" s="2"/>
      <c r="I729" s="2"/>
      <c r="N729" s="113"/>
    </row>
    <row r="730" spans="1:14">
      <c r="A730" s="2"/>
      <c r="B730" s="2"/>
      <c r="C730" s="2"/>
      <c r="D730" s="2"/>
      <c r="E730" s="2"/>
      <c r="F730" s="2"/>
      <c r="G730" s="2"/>
      <c r="H730" s="2"/>
      <c r="I730" s="2"/>
      <c r="N730" s="113"/>
    </row>
    <row r="731" spans="1:14">
      <c r="A731" s="2"/>
      <c r="B731" s="2"/>
      <c r="C731" s="2"/>
      <c r="D731" s="2"/>
      <c r="E731" s="2"/>
      <c r="F731" s="2"/>
      <c r="G731" s="2"/>
      <c r="H731" s="2"/>
      <c r="I731" s="2"/>
      <c r="N731" s="113"/>
    </row>
    <row r="732" spans="1:14">
      <c r="A732" s="2"/>
      <c r="B732" s="2"/>
      <c r="C732" s="2"/>
      <c r="D732" s="2"/>
      <c r="E732" s="2"/>
      <c r="F732" s="2"/>
      <c r="G732" s="2"/>
      <c r="H732" s="2"/>
      <c r="I732" s="2"/>
      <c r="N732" s="113"/>
    </row>
    <row r="733" spans="1:14">
      <c r="A733" s="2"/>
      <c r="B733" s="2"/>
      <c r="C733" s="2"/>
      <c r="D733" s="2"/>
      <c r="E733" s="2"/>
      <c r="F733" s="2"/>
      <c r="G733" s="2"/>
      <c r="H733" s="2"/>
      <c r="I733" s="2"/>
      <c r="N733" s="113"/>
    </row>
    <row r="734" spans="1:14">
      <c r="A734" s="2"/>
      <c r="B734" s="2"/>
      <c r="C734" s="2"/>
      <c r="D734" s="2"/>
      <c r="E734" s="2"/>
      <c r="F734" s="2"/>
      <c r="G734" s="2"/>
      <c r="H734" s="2"/>
      <c r="I734" s="2"/>
      <c r="N734" s="113"/>
    </row>
    <row r="735" spans="1:14">
      <c r="A735" s="2"/>
      <c r="B735" s="2"/>
      <c r="C735" s="2"/>
      <c r="D735" s="2"/>
      <c r="E735" s="2"/>
      <c r="F735" s="2"/>
      <c r="G735" s="2"/>
      <c r="H735" s="2"/>
      <c r="I735" s="2"/>
      <c r="N735" s="113"/>
    </row>
    <row r="736" spans="1:14">
      <c r="A736" s="2"/>
      <c r="B736" s="2"/>
      <c r="C736" s="2"/>
      <c r="D736" s="2"/>
      <c r="E736" s="2"/>
      <c r="F736" s="2"/>
      <c r="G736" s="2"/>
      <c r="H736" s="2"/>
      <c r="I736" s="2"/>
      <c r="N736" s="113"/>
    </row>
    <row r="737" spans="1:14">
      <c r="A737" s="2"/>
      <c r="B737" s="2"/>
      <c r="C737" s="2"/>
      <c r="D737" s="2"/>
      <c r="E737" s="2"/>
      <c r="F737" s="2"/>
      <c r="G737" s="2"/>
      <c r="H737" s="2"/>
      <c r="I737" s="2"/>
      <c r="N737" s="113"/>
    </row>
    <row r="738" spans="1:14">
      <c r="A738" s="2"/>
      <c r="B738" s="2"/>
      <c r="C738" s="2"/>
      <c r="D738" s="2"/>
      <c r="E738" s="2"/>
      <c r="F738" s="2"/>
      <c r="G738" s="2"/>
      <c r="H738" s="2"/>
      <c r="I738" s="2"/>
      <c r="N738" s="113"/>
    </row>
    <row r="739" spans="1:14">
      <c r="A739" s="2"/>
      <c r="B739" s="2"/>
      <c r="C739" s="2"/>
      <c r="D739" s="2"/>
      <c r="E739" s="2"/>
      <c r="F739" s="2"/>
      <c r="G739" s="2"/>
      <c r="H739" s="2"/>
      <c r="I739" s="2"/>
      <c r="N739" s="113"/>
    </row>
    <row r="740" spans="1:14">
      <c r="A740" s="2"/>
      <c r="B740" s="2"/>
      <c r="C740" s="2"/>
      <c r="D740" s="2"/>
      <c r="E740" s="2"/>
      <c r="F740" s="2"/>
      <c r="G740" s="2"/>
      <c r="H740" s="2"/>
      <c r="I740" s="2"/>
      <c r="N740" s="113"/>
    </row>
    <row r="741" spans="1:14">
      <c r="A741" s="2"/>
      <c r="B741" s="2"/>
      <c r="C741" s="2"/>
      <c r="D741" s="2"/>
      <c r="E741" s="2"/>
      <c r="F741" s="2"/>
      <c r="G741" s="2"/>
      <c r="H741" s="2"/>
      <c r="I741" s="2"/>
      <c r="N741" s="113"/>
    </row>
    <row r="742" spans="1:14">
      <c r="A742" s="2"/>
      <c r="B742" s="2"/>
      <c r="C742" s="2"/>
      <c r="D742" s="2"/>
      <c r="E742" s="2"/>
      <c r="F742" s="2"/>
      <c r="G742" s="2"/>
      <c r="H742" s="2"/>
      <c r="I742" s="2"/>
      <c r="N742" s="113"/>
    </row>
    <row r="743" spans="1:14">
      <c r="A743" s="2"/>
      <c r="B743" s="2"/>
      <c r="C743" s="2"/>
      <c r="D743" s="2"/>
      <c r="E743" s="2"/>
      <c r="F743" s="2"/>
      <c r="G743" s="2"/>
      <c r="H743" s="2"/>
      <c r="I743" s="2"/>
      <c r="N743" s="113"/>
    </row>
    <row r="744" spans="1:14">
      <c r="A744" s="2"/>
      <c r="B744" s="2"/>
      <c r="C744" s="2"/>
      <c r="D744" s="2"/>
      <c r="E744" s="2"/>
      <c r="F744" s="2"/>
      <c r="G744" s="2"/>
      <c r="H744" s="2"/>
      <c r="I744" s="2"/>
      <c r="N744" s="113"/>
    </row>
    <row r="745" spans="1:14">
      <c r="A745" s="2"/>
      <c r="B745" s="2"/>
      <c r="C745" s="2"/>
      <c r="D745" s="2"/>
      <c r="E745" s="2"/>
      <c r="F745" s="2"/>
      <c r="G745" s="2"/>
      <c r="H745" s="2"/>
      <c r="I745" s="2"/>
      <c r="N745" s="113"/>
    </row>
    <row r="746" spans="1:14">
      <c r="A746" s="2"/>
      <c r="B746" s="2"/>
      <c r="C746" s="2"/>
      <c r="D746" s="2"/>
      <c r="E746" s="2"/>
      <c r="F746" s="2"/>
      <c r="G746" s="2"/>
      <c r="H746" s="2"/>
      <c r="I746" s="2"/>
      <c r="N746" s="113"/>
    </row>
    <row r="747" spans="1:14">
      <c r="A747" s="2"/>
      <c r="B747" s="2"/>
      <c r="C747" s="2"/>
      <c r="D747" s="2"/>
      <c r="E747" s="2"/>
      <c r="F747" s="2"/>
      <c r="G747" s="2"/>
      <c r="H747" s="2"/>
      <c r="I747" s="2"/>
      <c r="N747" s="113"/>
    </row>
    <row r="748" spans="1:14">
      <c r="A748" s="2"/>
      <c r="B748" s="2"/>
      <c r="C748" s="2"/>
      <c r="D748" s="2"/>
      <c r="E748" s="2"/>
      <c r="F748" s="2"/>
      <c r="G748" s="2"/>
      <c r="H748" s="2"/>
      <c r="I748" s="2"/>
      <c r="N748" s="113"/>
    </row>
    <row r="749" spans="1:14">
      <c r="A749" s="2"/>
      <c r="B749" s="2"/>
      <c r="C749" s="2"/>
      <c r="D749" s="2"/>
      <c r="E749" s="2"/>
      <c r="F749" s="2"/>
      <c r="G749" s="2"/>
      <c r="H749" s="2"/>
      <c r="I749" s="2"/>
      <c r="N749" s="113"/>
    </row>
    <row r="750" spans="1:14">
      <c r="A750" s="2"/>
      <c r="B750" s="2"/>
      <c r="C750" s="2"/>
      <c r="D750" s="2"/>
      <c r="E750" s="2"/>
      <c r="F750" s="2"/>
      <c r="G750" s="2"/>
      <c r="H750" s="2"/>
      <c r="I750" s="2"/>
      <c r="N750" s="113"/>
    </row>
    <row r="751" spans="1:14">
      <c r="A751" s="2"/>
      <c r="B751" s="2"/>
      <c r="C751" s="2"/>
      <c r="D751" s="2"/>
      <c r="E751" s="2"/>
      <c r="F751" s="2"/>
      <c r="G751" s="2"/>
      <c r="H751" s="2"/>
      <c r="I751" s="2"/>
      <c r="N751" s="113"/>
    </row>
    <row r="752" spans="1:14">
      <c r="A752" s="2"/>
      <c r="B752" s="2"/>
      <c r="C752" s="2"/>
      <c r="D752" s="2"/>
      <c r="E752" s="2"/>
      <c r="F752" s="2"/>
      <c r="G752" s="2"/>
      <c r="H752" s="2"/>
      <c r="I752" s="2"/>
      <c r="N752" s="113"/>
    </row>
    <row r="753" spans="1:14">
      <c r="A753" s="2"/>
      <c r="B753" s="2"/>
      <c r="C753" s="2"/>
      <c r="D753" s="2"/>
      <c r="E753" s="2"/>
      <c r="F753" s="2"/>
      <c r="G753" s="2"/>
      <c r="H753" s="2"/>
      <c r="I753" s="2"/>
      <c r="N753" s="113"/>
    </row>
    <row r="754" spans="1:14">
      <c r="A754" s="2"/>
      <c r="B754" s="2"/>
      <c r="C754" s="2"/>
      <c r="D754" s="2"/>
      <c r="E754" s="2"/>
      <c r="F754" s="2"/>
      <c r="G754" s="2"/>
      <c r="H754" s="2"/>
      <c r="I754" s="2"/>
      <c r="N754" s="113"/>
    </row>
    <row r="755" spans="1:14">
      <c r="A755" s="2"/>
      <c r="B755" s="2"/>
      <c r="C755" s="2"/>
      <c r="D755" s="2"/>
      <c r="E755" s="2"/>
      <c r="F755" s="2"/>
      <c r="G755" s="2"/>
      <c r="H755" s="2"/>
      <c r="I755" s="2"/>
      <c r="N755" s="113"/>
    </row>
    <row r="756" spans="1:14">
      <c r="A756" s="2"/>
      <c r="B756" s="2"/>
      <c r="C756" s="2"/>
      <c r="D756" s="2"/>
      <c r="E756" s="2"/>
      <c r="F756" s="2"/>
      <c r="G756" s="2"/>
      <c r="H756" s="2"/>
      <c r="I756" s="2"/>
      <c r="N756" s="113"/>
    </row>
    <row r="757" spans="1:14">
      <c r="A757" s="2"/>
      <c r="B757" s="2"/>
      <c r="C757" s="2"/>
      <c r="D757" s="2"/>
      <c r="E757" s="2"/>
      <c r="F757" s="2"/>
      <c r="G757" s="2"/>
      <c r="H757" s="2"/>
      <c r="I757" s="2"/>
      <c r="N757" s="113"/>
    </row>
    <row r="758" spans="1:14">
      <c r="A758" s="2"/>
      <c r="B758" s="2"/>
      <c r="C758" s="2"/>
      <c r="D758" s="2"/>
      <c r="E758" s="2"/>
      <c r="F758" s="2"/>
      <c r="G758" s="2"/>
      <c r="H758" s="2"/>
      <c r="I758" s="2"/>
      <c r="N758" s="113"/>
    </row>
    <row r="759" spans="1:14">
      <c r="A759" s="2"/>
      <c r="B759" s="2"/>
      <c r="C759" s="2"/>
      <c r="D759" s="2"/>
      <c r="E759" s="2"/>
      <c r="F759" s="2"/>
      <c r="G759" s="2"/>
      <c r="H759" s="2"/>
      <c r="I759" s="2"/>
      <c r="N759" s="113"/>
    </row>
    <row r="760" spans="1:14">
      <c r="A760" s="2"/>
      <c r="B760" s="2"/>
      <c r="C760" s="2"/>
      <c r="D760" s="2"/>
      <c r="E760" s="2"/>
      <c r="F760" s="2"/>
      <c r="G760" s="2"/>
      <c r="H760" s="2"/>
      <c r="I760" s="2"/>
      <c r="N760" s="113"/>
    </row>
    <row r="761" spans="1:14">
      <c r="A761" s="2"/>
      <c r="B761" s="2"/>
      <c r="C761" s="2"/>
      <c r="D761" s="2"/>
      <c r="E761" s="2"/>
      <c r="F761" s="2"/>
      <c r="G761" s="2"/>
      <c r="H761" s="2"/>
      <c r="I761" s="2"/>
      <c r="N761" s="113"/>
    </row>
    <row r="762" spans="1:14">
      <c r="A762" s="2"/>
      <c r="B762" s="2"/>
      <c r="C762" s="2"/>
      <c r="D762" s="2"/>
      <c r="E762" s="2"/>
      <c r="F762" s="2"/>
      <c r="G762" s="2"/>
      <c r="H762" s="2"/>
      <c r="I762" s="2"/>
      <c r="N762" s="113"/>
    </row>
    <row r="763" spans="1:14">
      <c r="A763" s="2"/>
      <c r="B763" s="2"/>
      <c r="C763" s="2"/>
      <c r="D763" s="2"/>
      <c r="E763" s="2"/>
      <c r="F763" s="2"/>
      <c r="G763" s="2"/>
      <c r="H763" s="2"/>
      <c r="I763" s="2"/>
      <c r="N763" s="113"/>
    </row>
    <row r="764" spans="1:14">
      <c r="A764" s="2"/>
      <c r="B764" s="2"/>
      <c r="C764" s="2"/>
      <c r="D764" s="2"/>
      <c r="E764" s="2"/>
      <c r="F764" s="2"/>
      <c r="G764" s="2"/>
      <c r="H764" s="2"/>
      <c r="I764" s="2"/>
      <c r="N764" s="113"/>
    </row>
    <row r="765" spans="1:14">
      <c r="A765" s="2"/>
      <c r="B765" s="2"/>
      <c r="C765" s="2"/>
      <c r="D765" s="2"/>
      <c r="E765" s="2"/>
      <c r="F765" s="2"/>
      <c r="G765" s="2"/>
      <c r="H765" s="2"/>
      <c r="I765" s="2"/>
      <c r="N765" s="113"/>
    </row>
    <row r="766" spans="1:14">
      <c r="A766" s="2"/>
      <c r="B766" s="2"/>
      <c r="C766" s="2"/>
      <c r="D766" s="2"/>
      <c r="E766" s="2"/>
      <c r="F766" s="2"/>
      <c r="G766" s="2"/>
      <c r="H766" s="2"/>
      <c r="I766" s="2"/>
      <c r="N766" s="113"/>
    </row>
    <row r="767" spans="1:14">
      <c r="A767" s="2"/>
      <c r="B767" s="2"/>
      <c r="C767" s="2"/>
      <c r="D767" s="2"/>
      <c r="E767" s="2"/>
      <c r="F767" s="2"/>
      <c r="G767" s="2"/>
      <c r="H767" s="2"/>
      <c r="I767" s="2"/>
      <c r="N767" s="113"/>
    </row>
    <row r="768" spans="1:14">
      <c r="A768" s="2"/>
      <c r="B768" s="2"/>
      <c r="C768" s="2"/>
      <c r="D768" s="2"/>
      <c r="E768" s="2"/>
      <c r="F768" s="2"/>
      <c r="G768" s="2"/>
      <c r="H768" s="2"/>
      <c r="I768" s="2"/>
      <c r="N768" s="113"/>
    </row>
    <row r="769" spans="1:14">
      <c r="A769" s="2"/>
      <c r="B769" s="2"/>
      <c r="C769" s="2"/>
      <c r="D769" s="2"/>
      <c r="E769" s="2"/>
      <c r="F769" s="2"/>
      <c r="G769" s="2"/>
      <c r="H769" s="2"/>
      <c r="I769" s="2"/>
      <c r="N769" s="113"/>
    </row>
    <row r="770" spans="1:14">
      <c r="A770" s="2"/>
      <c r="B770" s="2"/>
      <c r="C770" s="2"/>
      <c r="D770" s="2"/>
      <c r="E770" s="2"/>
      <c r="F770" s="2"/>
      <c r="G770" s="2"/>
      <c r="H770" s="2"/>
      <c r="I770" s="2"/>
      <c r="N770" s="113"/>
    </row>
    <row r="771" spans="1:14">
      <c r="A771" s="2"/>
      <c r="B771" s="2"/>
      <c r="C771" s="2"/>
      <c r="D771" s="2"/>
      <c r="E771" s="2"/>
      <c r="F771" s="2"/>
      <c r="G771" s="2"/>
      <c r="H771" s="2"/>
      <c r="I771" s="2"/>
      <c r="N771" s="113"/>
    </row>
    <row r="772" spans="1:14">
      <c r="A772" s="2"/>
      <c r="B772" s="2"/>
      <c r="C772" s="2"/>
      <c r="D772" s="2"/>
      <c r="E772" s="2"/>
      <c r="F772" s="2"/>
      <c r="G772" s="2"/>
      <c r="H772" s="2"/>
      <c r="I772" s="2"/>
      <c r="N772" s="113"/>
    </row>
    <row r="773" spans="1:14">
      <c r="A773" s="2"/>
      <c r="B773" s="2"/>
      <c r="C773" s="2"/>
      <c r="D773" s="2"/>
      <c r="E773" s="2"/>
      <c r="F773" s="2"/>
      <c r="G773" s="2"/>
      <c r="H773" s="2"/>
      <c r="I773" s="2"/>
      <c r="N773" s="113"/>
    </row>
    <row r="774" spans="1:14">
      <c r="A774" s="2"/>
      <c r="B774" s="2"/>
      <c r="C774" s="2"/>
      <c r="D774" s="2"/>
      <c r="E774" s="2"/>
      <c r="F774" s="2"/>
      <c r="G774" s="2"/>
      <c r="H774" s="2"/>
      <c r="I774" s="2"/>
      <c r="N774" s="113"/>
    </row>
    <row r="775" spans="1:14">
      <c r="A775" s="2"/>
      <c r="B775" s="2"/>
      <c r="C775" s="2"/>
      <c r="D775" s="2"/>
      <c r="E775" s="2"/>
      <c r="F775" s="2"/>
      <c r="G775" s="2"/>
      <c r="H775" s="2"/>
      <c r="I775" s="2"/>
      <c r="N775" s="113"/>
    </row>
    <row r="776" spans="1:14">
      <c r="A776" s="2"/>
      <c r="B776" s="2"/>
      <c r="C776" s="2"/>
      <c r="D776" s="2"/>
      <c r="E776" s="2"/>
      <c r="F776" s="2"/>
      <c r="G776" s="2"/>
      <c r="H776" s="2"/>
      <c r="I776" s="2"/>
      <c r="N776" s="113"/>
    </row>
    <row r="777" spans="1:14">
      <c r="A777" s="2"/>
      <c r="B777" s="2"/>
      <c r="C777" s="2"/>
      <c r="D777" s="2"/>
      <c r="E777" s="2"/>
      <c r="F777" s="2"/>
      <c r="G777" s="2"/>
      <c r="H777" s="2"/>
      <c r="I777" s="2"/>
      <c r="N777" s="113"/>
    </row>
    <row r="778" spans="1:14">
      <c r="A778" s="2"/>
      <c r="B778" s="2"/>
      <c r="C778" s="2"/>
      <c r="D778" s="2"/>
      <c r="E778" s="2"/>
      <c r="F778" s="2"/>
      <c r="G778" s="2"/>
      <c r="H778" s="2"/>
      <c r="I778" s="2"/>
      <c r="N778" s="113"/>
    </row>
    <row r="779" spans="1:14">
      <c r="A779" s="2"/>
      <c r="B779" s="2"/>
      <c r="C779" s="2"/>
      <c r="D779" s="2"/>
      <c r="E779" s="2"/>
      <c r="F779" s="2"/>
      <c r="G779" s="2"/>
      <c r="H779" s="2"/>
      <c r="I779" s="2"/>
      <c r="N779" s="113"/>
    </row>
    <row r="780" spans="1:14">
      <c r="A780" s="2"/>
      <c r="B780" s="2"/>
      <c r="C780" s="2"/>
      <c r="D780" s="2"/>
      <c r="E780" s="2"/>
      <c r="F780" s="2"/>
      <c r="G780" s="2"/>
      <c r="H780" s="2"/>
      <c r="I780" s="2"/>
      <c r="N780" s="113"/>
    </row>
    <row r="781" spans="1:14">
      <c r="A781" s="2"/>
      <c r="B781" s="2"/>
      <c r="C781" s="2"/>
      <c r="D781" s="2"/>
      <c r="E781" s="2"/>
      <c r="F781" s="2"/>
      <c r="G781" s="2"/>
      <c r="H781" s="2"/>
      <c r="I781" s="2"/>
      <c r="N781" s="113"/>
    </row>
    <row r="782" spans="1:14">
      <c r="A782" s="2"/>
      <c r="B782" s="2"/>
      <c r="C782" s="2"/>
      <c r="D782" s="2"/>
      <c r="E782" s="2"/>
      <c r="F782" s="2"/>
      <c r="G782" s="2"/>
      <c r="H782" s="2"/>
      <c r="I782" s="2"/>
      <c r="N782" s="113"/>
    </row>
    <row r="783" spans="1:14">
      <c r="A783" s="2"/>
      <c r="B783" s="2"/>
      <c r="C783" s="2"/>
      <c r="D783" s="2"/>
      <c r="E783" s="2"/>
      <c r="F783" s="2"/>
      <c r="G783" s="2"/>
      <c r="H783" s="2"/>
      <c r="I783" s="2"/>
      <c r="N783" s="113"/>
    </row>
    <row r="784" spans="1:14">
      <c r="A784" s="2"/>
      <c r="B784" s="2"/>
      <c r="C784" s="2"/>
      <c r="D784" s="2"/>
      <c r="E784" s="2"/>
      <c r="F784" s="2"/>
      <c r="G784" s="2"/>
      <c r="H784" s="2"/>
      <c r="I784" s="2"/>
      <c r="N784" s="113"/>
    </row>
    <row r="785" spans="1:14">
      <c r="A785" s="2"/>
      <c r="B785" s="2"/>
      <c r="C785" s="2"/>
      <c r="D785" s="2"/>
      <c r="E785" s="2"/>
      <c r="F785" s="2"/>
      <c r="G785" s="2"/>
      <c r="H785" s="2"/>
      <c r="I785" s="2"/>
      <c r="N785" s="113"/>
    </row>
    <row r="786" spans="1:14">
      <c r="A786" s="2"/>
      <c r="B786" s="2"/>
      <c r="C786" s="2"/>
      <c r="D786" s="2"/>
      <c r="E786" s="2"/>
      <c r="F786" s="2"/>
      <c r="G786" s="2"/>
      <c r="H786" s="2"/>
      <c r="I786" s="2"/>
      <c r="N786" s="113"/>
    </row>
    <row r="787" spans="1:14">
      <c r="A787" s="2"/>
      <c r="B787" s="2"/>
      <c r="C787" s="2"/>
      <c r="D787" s="2"/>
      <c r="E787" s="2"/>
      <c r="F787" s="2"/>
      <c r="G787" s="2"/>
      <c r="H787" s="2"/>
      <c r="I787" s="2"/>
      <c r="N787" s="113"/>
    </row>
    <row r="788" spans="1:14">
      <c r="A788" s="2"/>
      <c r="B788" s="2"/>
      <c r="C788" s="2"/>
      <c r="D788" s="2"/>
      <c r="E788" s="2"/>
      <c r="F788" s="2"/>
      <c r="G788" s="2"/>
      <c r="H788" s="2"/>
      <c r="I788" s="2"/>
      <c r="N788" s="113"/>
    </row>
    <row r="789" spans="1:14">
      <c r="A789" s="2"/>
      <c r="B789" s="2"/>
      <c r="C789" s="2"/>
      <c r="D789" s="2"/>
      <c r="E789" s="2"/>
      <c r="F789" s="2"/>
      <c r="G789" s="2"/>
      <c r="H789" s="2"/>
      <c r="I789" s="2"/>
      <c r="N789" s="113"/>
    </row>
    <row r="790" spans="1:14">
      <c r="A790" s="2"/>
      <c r="B790" s="2"/>
      <c r="C790" s="2"/>
      <c r="D790" s="2"/>
      <c r="E790" s="2"/>
      <c r="F790" s="2"/>
      <c r="G790" s="2"/>
      <c r="H790" s="2"/>
      <c r="I790" s="2"/>
      <c r="N790" s="113"/>
    </row>
    <row r="791" spans="1:14">
      <c r="A791" s="2"/>
      <c r="B791" s="2"/>
      <c r="C791" s="2"/>
      <c r="D791" s="2"/>
      <c r="E791" s="2"/>
      <c r="F791" s="2"/>
      <c r="G791" s="2"/>
      <c r="H791" s="2"/>
      <c r="I791" s="2"/>
      <c r="N791" s="113"/>
    </row>
    <row r="792" spans="1:14">
      <c r="A792" s="2"/>
      <c r="B792" s="2"/>
      <c r="C792" s="2"/>
      <c r="D792" s="2"/>
      <c r="E792" s="2"/>
      <c r="F792" s="2"/>
      <c r="G792" s="2"/>
      <c r="H792" s="2"/>
      <c r="I792" s="2"/>
      <c r="N792" s="113"/>
    </row>
    <row r="793" spans="1:14">
      <c r="A793" s="2"/>
      <c r="B793" s="2"/>
      <c r="C793" s="2"/>
      <c r="D793" s="2"/>
      <c r="E793" s="2"/>
      <c r="F793" s="2"/>
      <c r="G793" s="2"/>
      <c r="H793" s="2"/>
      <c r="I793" s="2"/>
      <c r="N793" s="113"/>
    </row>
    <row r="794" spans="1:14">
      <c r="A794" s="2"/>
      <c r="B794" s="2"/>
      <c r="C794" s="2"/>
      <c r="D794" s="2"/>
      <c r="E794" s="2"/>
      <c r="F794" s="2"/>
      <c r="G794" s="2"/>
      <c r="H794" s="2"/>
      <c r="I794" s="2"/>
      <c r="N794" s="113"/>
    </row>
    <row r="795" spans="1:14">
      <c r="A795" s="2"/>
      <c r="B795" s="2"/>
      <c r="C795" s="2"/>
      <c r="D795" s="2"/>
      <c r="E795" s="2"/>
      <c r="F795" s="2"/>
      <c r="G795" s="2"/>
      <c r="H795" s="2"/>
      <c r="I795" s="2"/>
      <c r="N795" s="113"/>
    </row>
    <row r="796" spans="1:14">
      <c r="A796" s="2"/>
      <c r="B796" s="2"/>
      <c r="C796" s="2"/>
      <c r="D796" s="2"/>
      <c r="E796" s="2"/>
      <c r="F796" s="2"/>
      <c r="G796" s="2"/>
      <c r="H796" s="2"/>
      <c r="I796" s="2"/>
      <c r="N796" s="113"/>
    </row>
    <row r="797" spans="1:14">
      <c r="A797" s="2"/>
      <c r="B797" s="2"/>
      <c r="C797" s="2"/>
      <c r="D797" s="2"/>
      <c r="E797" s="2"/>
      <c r="F797" s="2"/>
      <c r="G797" s="2"/>
      <c r="H797" s="2"/>
      <c r="I797" s="2"/>
      <c r="N797" s="113"/>
    </row>
    <row r="798" spans="1:14">
      <c r="A798" s="2"/>
      <c r="B798" s="2"/>
      <c r="C798" s="2"/>
      <c r="D798" s="2"/>
      <c r="E798" s="2"/>
      <c r="F798" s="2"/>
      <c r="G798" s="2"/>
      <c r="H798" s="2"/>
      <c r="I798" s="2"/>
      <c r="N798" s="113"/>
    </row>
    <row r="799" spans="1:14">
      <c r="A799" s="2"/>
      <c r="B799" s="2"/>
      <c r="C799" s="2"/>
      <c r="D799" s="2"/>
      <c r="E799" s="2"/>
      <c r="F799" s="2"/>
      <c r="G799" s="2"/>
      <c r="H799" s="2"/>
      <c r="I799" s="2"/>
      <c r="N799" s="113"/>
    </row>
    <row r="800" spans="1:14">
      <c r="A800" s="2"/>
      <c r="B800" s="2"/>
      <c r="C800" s="2"/>
      <c r="D800" s="2"/>
      <c r="E800" s="2"/>
      <c r="F800" s="2"/>
      <c r="G800" s="2"/>
      <c r="H800" s="2"/>
      <c r="I800" s="2"/>
      <c r="N800" s="113"/>
    </row>
    <row r="801" spans="1:14">
      <c r="A801" s="2"/>
      <c r="B801" s="2"/>
      <c r="C801" s="2"/>
      <c r="D801" s="2"/>
      <c r="E801" s="2"/>
      <c r="F801" s="2"/>
      <c r="G801" s="2"/>
      <c r="H801" s="2"/>
      <c r="I801" s="2"/>
      <c r="N801" s="113"/>
    </row>
    <row r="802" spans="1:14">
      <c r="A802" s="2"/>
      <c r="B802" s="2"/>
      <c r="C802" s="2"/>
      <c r="D802" s="2"/>
      <c r="E802" s="2"/>
      <c r="F802" s="2"/>
      <c r="G802" s="2"/>
      <c r="H802" s="2"/>
      <c r="I802" s="2"/>
      <c r="N802" s="113"/>
    </row>
    <row r="803" spans="1:14">
      <c r="A803" s="2"/>
      <c r="B803" s="2"/>
      <c r="C803" s="2"/>
      <c r="D803" s="2"/>
      <c r="E803" s="2"/>
      <c r="F803" s="2"/>
      <c r="G803" s="2"/>
      <c r="H803" s="2"/>
      <c r="I803" s="2"/>
      <c r="N803" s="113"/>
    </row>
    <row r="804" spans="1:14">
      <c r="A804" s="2"/>
      <c r="B804" s="2"/>
      <c r="C804" s="2"/>
      <c r="D804" s="2"/>
      <c r="E804" s="2"/>
      <c r="F804" s="2"/>
      <c r="G804" s="2"/>
      <c r="H804" s="2"/>
      <c r="I804" s="2"/>
      <c r="N804" s="113"/>
    </row>
    <row r="805" spans="1:14">
      <c r="A805" s="2"/>
      <c r="B805" s="2"/>
      <c r="C805" s="2"/>
      <c r="D805" s="2"/>
      <c r="E805" s="2"/>
      <c r="F805" s="2"/>
      <c r="G805" s="2"/>
      <c r="H805" s="2"/>
      <c r="I805" s="2"/>
      <c r="N805" s="113"/>
    </row>
    <row r="806" spans="1:14">
      <c r="A806" s="2"/>
      <c r="B806" s="2"/>
      <c r="C806" s="2"/>
      <c r="D806" s="2"/>
      <c r="E806" s="2"/>
      <c r="F806" s="2"/>
      <c r="G806" s="2"/>
      <c r="H806" s="2"/>
      <c r="I806" s="2"/>
      <c r="N806" s="113"/>
    </row>
    <row r="807" spans="1:14">
      <c r="A807" s="2"/>
      <c r="B807" s="2"/>
      <c r="C807" s="2"/>
      <c r="D807" s="2"/>
      <c r="E807" s="2"/>
      <c r="F807" s="2"/>
      <c r="G807" s="2"/>
      <c r="H807" s="2"/>
      <c r="I807" s="2"/>
      <c r="N807" s="113"/>
    </row>
    <row r="808" spans="1:14">
      <c r="A808" s="2"/>
      <c r="B808" s="2"/>
      <c r="C808" s="2"/>
      <c r="D808" s="2"/>
      <c r="E808" s="2"/>
      <c r="F808" s="2"/>
      <c r="G808" s="2"/>
      <c r="H808" s="2"/>
      <c r="I808" s="2"/>
      <c r="N808" s="113"/>
    </row>
    <row r="809" spans="1:14">
      <c r="A809" s="2"/>
      <c r="B809" s="2"/>
      <c r="C809" s="2"/>
      <c r="D809" s="2"/>
      <c r="E809" s="2"/>
      <c r="F809" s="2"/>
      <c r="G809" s="2"/>
      <c r="H809" s="2"/>
      <c r="I809" s="2"/>
      <c r="N809" s="113"/>
    </row>
    <row r="810" spans="1:14">
      <c r="A810" s="2"/>
      <c r="B810" s="2"/>
      <c r="C810" s="2"/>
      <c r="D810" s="2"/>
      <c r="E810" s="2"/>
      <c r="F810" s="2"/>
      <c r="G810" s="2"/>
      <c r="H810" s="2"/>
      <c r="I810" s="2"/>
      <c r="N810" s="113"/>
    </row>
    <row r="811" spans="1:14">
      <c r="A811" s="2"/>
      <c r="B811" s="2"/>
      <c r="C811" s="2"/>
      <c r="D811" s="2"/>
      <c r="E811" s="2"/>
      <c r="F811" s="2"/>
      <c r="G811" s="2"/>
      <c r="H811" s="2"/>
      <c r="I811" s="2"/>
      <c r="N811" s="113"/>
    </row>
    <row r="812" spans="1:14">
      <c r="A812" s="2"/>
      <c r="B812" s="2"/>
      <c r="C812" s="2"/>
      <c r="D812" s="2"/>
      <c r="E812" s="2"/>
      <c r="F812" s="2"/>
      <c r="G812" s="2"/>
      <c r="H812" s="2"/>
      <c r="I812" s="2"/>
      <c r="N812" s="113"/>
    </row>
    <row r="813" spans="1:14">
      <c r="A813" s="2"/>
      <c r="B813" s="2"/>
      <c r="C813" s="2"/>
      <c r="D813" s="2"/>
      <c r="E813" s="2"/>
      <c r="F813" s="2"/>
      <c r="G813" s="2"/>
      <c r="H813" s="2"/>
      <c r="I813" s="2"/>
      <c r="N813" s="113"/>
    </row>
    <row r="814" spans="1:14">
      <c r="A814" s="2"/>
      <c r="B814" s="2"/>
      <c r="C814" s="2"/>
      <c r="D814" s="2"/>
      <c r="E814" s="2"/>
      <c r="F814" s="2"/>
      <c r="G814" s="2"/>
      <c r="H814" s="2"/>
      <c r="I814" s="2"/>
      <c r="N814" s="113"/>
    </row>
    <row r="815" spans="1:14">
      <c r="A815" s="2"/>
      <c r="B815" s="2"/>
      <c r="C815" s="2"/>
      <c r="D815" s="2"/>
      <c r="E815" s="2"/>
      <c r="F815" s="2"/>
      <c r="G815" s="2"/>
      <c r="H815" s="2"/>
      <c r="I815" s="2"/>
      <c r="N815" s="113"/>
    </row>
    <row r="816" spans="1:14">
      <c r="A816" s="2"/>
      <c r="B816" s="2"/>
      <c r="C816" s="2"/>
      <c r="D816" s="2"/>
      <c r="E816" s="2"/>
      <c r="F816" s="2"/>
      <c r="G816" s="2"/>
      <c r="H816" s="2"/>
      <c r="I816" s="2"/>
      <c r="N816" s="113"/>
    </row>
    <row r="817" spans="1:14">
      <c r="A817" s="2"/>
      <c r="B817" s="2"/>
      <c r="C817" s="2"/>
      <c r="D817" s="2"/>
      <c r="E817" s="2"/>
      <c r="F817" s="2"/>
      <c r="G817" s="2"/>
      <c r="H817" s="2"/>
      <c r="I817" s="2"/>
      <c r="N817" s="113"/>
    </row>
    <row r="818" spans="1:14">
      <c r="A818" s="2"/>
      <c r="B818" s="2"/>
      <c r="C818" s="2"/>
      <c r="D818" s="2"/>
      <c r="E818" s="2"/>
      <c r="F818" s="2"/>
      <c r="G818" s="2"/>
      <c r="H818" s="2"/>
      <c r="I818" s="2"/>
      <c r="N818" s="113"/>
    </row>
    <row r="819" spans="1:14">
      <c r="A819" s="2"/>
      <c r="B819" s="2"/>
      <c r="C819" s="2"/>
      <c r="D819" s="2"/>
      <c r="E819" s="2"/>
      <c r="F819" s="2"/>
      <c r="G819" s="2"/>
      <c r="H819" s="2"/>
      <c r="I819" s="2"/>
      <c r="N819" s="113"/>
    </row>
    <row r="820" spans="1:14">
      <c r="A820" s="2"/>
      <c r="B820" s="2"/>
      <c r="C820" s="2"/>
      <c r="D820" s="2"/>
      <c r="E820" s="2"/>
      <c r="F820" s="2"/>
      <c r="G820" s="2"/>
      <c r="H820" s="2"/>
      <c r="I820" s="2"/>
      <c r="N820" s="113"/>
    </row>
    <row r="821" spans="1:14">
      <c r="A821" s="2"/>
      <c r="B821" s="2"/>
      <c r="C821" s="2"/>
      <c r="D821" s="2"/>
      <c r="E821" s="2"/>
      <c r="F821" s="2"/>
      <c r="G821" s="2"/>
      <c r="H821" s="2"/>
      <c r="I821" s="2"/>
      <c r="N821" s="113"/>
    </row>
    <row r="822" spans="1:14">
      <c r="A822" s="2"/>
      <c r="B822" s="2"/>
      <c r="C822" s="2"/>
      <c r="D822" s="2"/>
      <c r="E822" s="2"/>
      <c r="F822" s="2"/>
      <c r="G822" s="2"/>
      <c r="H822" s="2"/>
      <c r="I822" s="2"/>
      <c r="N822" s="113"/>
    </row>
    <row r="823" spans="1:14">
      <c r="A823" s="2"/>
      <c r="B823" s="2"/>
      <c r="C823" s="2"/>
      <c r="D823" s="2"/>
      <c r="E823" s="2"/>
      <c r="F823" s="2"/>
      <c r="G823" s="2"/>
      <c r="H823" s="2"/>
      <c r="I823" s="2"/>
      <c r="N823" s="113"/>
    </row>
    <row r="824" spans="1:14">
      <c r="A824" s="2"/>
      <c r="B824" s="2"/>
      <c r="C824" s="2"/>
      <c r="D824" s="2"/>
      <c r="E824" s="2"/>
      <c r="F824" s="2"/>
      <c r="G824" s="2"/>
      <c r="H824" s="2"/>
      <c r="I824" s="2"/>
      <c r="N824" s="113"/>
    </row>
    <row r="825" spans="1:14">
      <c r="A825" s="2"/>
      <c r="B825" s="2"/>
      <c r="C825" s="2"/>
      <c r="D825" s="2"/>
      <c r="E825" s="2"/>
      <c r="F825" s="2"/>
      <c r="G825" s="2"/>
      <c r="H825" s="2"/>
      <c r="I825" s="2"/>
      <c r="N825" s="113"/>
    </row>
    <row r="826" spans="1:14">
      <c r="A826" s="2"/>
      <c r="B826" s="2"/>
      <c r="C826" s="2"/>
      <c r="D826" s="2"/>
      <c r="E826" s="2"/>
      <c r="F826" s="2"/>
      <c r="G826" s="2"/>
      <c r="H826" s="2"/>
      <c r="I826" s="2"/>
      <c r="N826" s="113"/>
    </row>
    <row r="827" spans="1:14">
      <c r="A827" s="2"/>
      <c r="B827" s="2"/>
      <c r="C827" s="2"/>
      <c r="D827" s="2"/>
      <c r="E827" s="2"/>
      <c r="F827" s="2"/>
      <c r="G827" s="2"/>
      <c r="H827" s="2"/>
      <c r="I827" s="2"/>
      <c r="N827" s="113"/>
    </row>
    <row r="828" spans="1:14">
      <c r="A828" s="2"/>
      <c r="B828" s="2"/>
      <c r="C828" s="2"/>
      <c r="D828" s="2"/>
      <c r="E828" s="2"/>
      <c r="F828" s="2"/>
      <c r="G828" s="2"/>
      <c r="H828" s="2"/>
      <c r="I828" s="2"/>
      <c r="N828" s="113"/>
    </row>
    <row r="829" spans="1:14">
      <c r="A829" s="2"/>
      <c r="B829" s="2"/>
      <c r="C829" s="2"/>
      <c r="D829" s="2"/>
      <c r="E829" s="2"/>
      <c r="F829" s="2"/>
      <c r="G829" s="2"/>
      <c r="H829" s="2"/>
      <c r="I829" s="2"/>
      <c r="N829" s="113"/>
    </row>
    <row r="830" spans="1:14">
      <c r="A830" s="2"/>
      <c r="B830" s="2"/>
      <c r="C830" s="2"/>
      <c r="D830" s="2"/>
      <c r="E830" s="2"/>
      <c r="F830" s="2"/>
      <c r="G830" s="2"/>
      <c r="H830" s="2"/>
      <c r="I830" s="2"/>
      <c r="N830" s="113"/>
    </row>
    <row r="831" spans="1:14">
      <c r="A831" s="2"/>
      <c r="B831" s="2"/>
      <c r="C831" s="2"/>
      <c r="D831" s="2"/>
      <c r="E831" s="2"/>
      <c r="F831" s="2"/>
      <c r="G831" s="2"/>
      <c r="H831" s="2"/>
      <c r="I831" s="2"/>
      <c r="N831" s="113"/>
    </row>
    <row r="832" spans="1:14">
      <c r="A832" s="2"/>
      <c r="B832" s="2"/>
      <c r="C832" s="2"/>
      <c r="D832" s="2"/>
      <c r="E832" s="2"/>
      <c r="F832" s="2"/>
      <c r="G832" s="2"/>
      <c r="H832" s="2"/>
      <c r="I832" s="2"/>
      <c r="N832" s="113"/>
    </row>
    <row r="833" spans="1:14">
      <c r="A833" s="2"/>
      <c r="B833" s="2"/>
      <c r="C833" s="2"/>
      <c r="D833" s="2"/>
      <c r="E833" s="2"/>
      <c r="F833" s="2"/>
      <c r="G833" s="2"/>
      <c r="H833" s="2"/>
      <c r="I833" s="2"/>
      <c r="N833" s="113"/>
    </row>
    <row r="834" spans="1:14">
      <c r="A834" s="2"/>
      <c r="B834" s="2"/>
      <c r="C834" s="2"/>
      <c r="D834" s="2"/>
      <c r="E834" s="2"/>
      <c r="F834" s="2"/>
      <c r="G834" s="2"/>
      <c r="H834" s="2"/>
      <c r="I834" s="2"/>
      <c r="N834" s="113"/>
    </row>
    <row r="835" spans="1:14">
      <c r="A835" s="2"/>
      <c r="B835" s="2"/>
      <c r="C835" s="2"/>
      <c r="D835" s="2"/>
      <c r="E835" s="2"/>
      <c r="F835" s="2"/>
      <c r="G835" s="2"/>
      <c r="H835" s="2"/>
      <c r="I835" s="2"/>
      <c r="N835" s="113"/>
    </row>
    <row r="836" spans="1:14">
      <c r="A836" s="2"/>
      <c r="B836" s="2"/>
      <c r="C836" s="2"/>
      <c r="D836" s="2"/>
      <c r="E836" s="2"/>
      <c r="F836" s="2"/>
      <c r="G836" s="2"/>
      <c r="H836" s="2"/>
      <c r="I836" s="2"/>
      <c r="N836" s="113"/>
    </row>
    <row r="837" spans="1:14">
      <c r="A837" s="2"/>
      <c r="B837" s="2"/>
      <c r="C837" s="2"/>
      <c r="D837" s="2"/>
      <c r="E837" s="2"/>
      <c r="F837" s="2"/>
      <c r="G837" s="2"/>
      <c r="H837" s="2"/>
      <c r="I837" s="2"/>
      <c r="N837" s="113"/>
    </row>
    <row r="838" spans="1:14">
      <c r="A838" s="2"/>
      <c r="B838" s="2"/>
      <c r="C838" s="2"/>
      <c r="D838" s="2"/>
      <c r="E838" s="2"/>
      <c r="F838" s="2"/>
      <c r="G838" s="2"/>
      <c r="H838" s="2"/>
      <c r="I838" s="2"/>
      <c r="N838" s="113"/>
    </row>
    <row r="839" spans="1:14">
      <c r="A839" s="2"/>
      <c r="B839" s="2"/>
      <c r="C839" s="2"/>
      <c r="D839" s="2"/>
      <c r="E839" s="2"/>
      <c r="F839" s="2"/>
      <c r="G839" s="2"/>
      <c r="H839" s="2"/>
      <c r="I839" s="2"/>
      <c r="N839" s="113"/>
    </row>
    <row r="840" spans="1:14">
      <c r="A840" s="2"/>
      <c r="B840" s="2"/>
      <c r="C840" s="2"/>
      <c r="D840" s="2"/>
      <c r="E840" s="2"/>
      <c r="F840" s="2"/>
      <c r="G840" s="2"/>
      <c r="H840" s="2"/>
      <c r="I840" s="2"/>
      <c r="N840" s="113"/>
    </row>
    <row r="841" spans="1:14">
      <c r="A841" s="2"/>
      <c r="B841" s="2"/>
      <c r="C841" s="2"/>
      <c r="D841" s="2"/>
      <c r="E841" s="2"/>
      <c r="F841" s="2"/>
      <c r="G841" s="2"/>
      <c r="H841" s="2"/>
      <c r="I841" s="2"/>
      <c r="N841" s="113"/>
    </row>
    <row r="842" spans="1:14">
      <c r="A842" s="2"/>
      <c r="B842" s="2"/>
      <c r="C842" s="2"/>
      <c r="D842" s="2"/>
      <c r="E842" s="2"/>
      <c r="F842" s="2"/>
      <c r="G842" s="2"/>
      <c r="H842" s="2"/>
      <c r="I842" s="2"/>
      <c r="N842" s="113"/>
    </row>
    <row r="843" spans="1:14">
      <c r="A843" s="2"/>
      <c r="B843" s="2"/>
      <c r="C843" s="2"/>
      <c r="D843" s="2"/>
      <c r="E843" s="2"/>
      <c r="F843" s="2"/>
      <c r="G843" s="2"/>
      <c r="H843" s="2"/>
      <c r="I843" s="2"/>
      <c r="N843" s="113"/>
    </row>
    <row r="844" spans="1:14">
      <c r="A844" s="2"/>
      <c r="B844" s="2"/>
      <c r="C844" s="2"/>
      <c r="D844" s="2"/>
      <c r="E844" s="2"/>
      <c r="F844" s="2"/>
      <c r="G844" s="2"/>
      <c r="H844" s="2"/>
      <c r="I844" s="2"/>
      <c r="N844" s="113"/>
    </row>
    <row r="845" spans="1:14">
      <c r="A845" s="2"/>
      <c r="B845" s="2"/>
      <c r="C845" s="2"/>
      <c r="D845" s="2"/>
      <c r="E845" s="2"/>
      <c r="F845" s="2"/>
      <c r="G845" s="2"/>
      <c r="H845" s="2"/>
      <c r="I845" s="2"/>
      <c r="N845" s="113"/>
    </row>
    <row r="846" spans="1:14">
      <c r="A846" s="2"/>
      <c r="B846" s="2"/>
      <c r="C846" s="2"/>
      <c r="D846" s="2"/>
      <c r="E846" s="2"/>
      <c r="F846" s="2"/>
      <c r="G846" s="2"/>
      <c r="H846" s="2"/>
      <c r="I846" s="2"/>
      <c r="N846" s="113"/>
    </row>
    <row r="847" spans="1:14">
      <c r="A847" s="2"/>
      <c r="B847" s="2"/>
      <c r="C847" s="2"/>
      <c r="D847" s="2"/>
      <c r="E847" s="2"/>
      <c r="F847" s="2"/>
      <c r="G847" s="2"/>
      <c r="H847" s="2"/>
      <c r="I847" s="2"/>
      <c r="N847" s="113"/>
    </row>
    <row r="848" spans="1:14">
      <c r="A848" s="2"/>
      <c r="B848" s="2"/>
      <c r="C848" s="2"/>
      <c r="D848" s="2"/>
      <c r="E848" s="2"/>
      <c r="F848" s="2"/>
      <c r="G848" s="2"/>
      <c r="H848" s="2"/>
      <c r="I848" s="2"/>
      <c r="N848" s="113"/>
    </row>
    <row r="849" spans="1:14">
      <c r="A849" s="2"/>
      <c r="B849" s="2"/>
      <c r="C849" s="2"/>
      <c r="D849" s="2"/>
      <c r="E849" s="2"/>
      <c r="F849" s="2"/>
      <c r="G849" s="2"/>
      <c r="H849" s="2"/>
      <c r="I849" s="2"/>
      <c r="N849" s="113"/>
    </row>
    <row r="850" spans="1:14">
      <c r="A850" s="2"/>
      <c r="B850" s="2"/>
      <c r="C850" s="2"/>
      <c r="D850" s="2"/>
      <c r="E850" s="2"/>
      <c r="F850" s="2"/>
      <c r="G850" s="2"/>
      <c r="H850" s="2"/>
      <c r="I850" s="2"/>
      <c r="N850" s="113"/>
    </row>
    <row r="851" spans="1:14">
      <c r="A851" s="2"/>
      <c r="B851" s="2"/>
      <c r="C851" s="2"/>
      <c r="D851" s="2"/>
      <c r="E851" s="2"/>
      <c r="F851" s="2"/>
      <c r="G851" s="2"/>
      <c r="H851" s="2"/>
      <c r="I851" s="2"/>
      <c r="N851" s="113"/>
    </row>
    <row r="852" spans="1:14">
      <c r="A852" s="2"/>
      <c r="B852" s="2"/>
      <c r="C852" s="2"/>
      <c r="D852" s="2"/>
      <c r="E852" s="2"/>
      <c r="F852" s="2"/>
      <c r="G852" s="2"/>
      <c r="H852" s="2"/>
      <c r="I852" s="2"/>
      <c r="N852" s="113"/>
    </row>
    <row r="853" spans="1:14">
      <c r="A853" s="2"/>
      <c r="B853" s="2"/>
      <c r="C853" s="2"/>
      <c r="D853" s="2"/>
      <c r="E853" s="2"/>
      <c r="F853" s="2"/>
      <c r="G853" s="2"/>
      <c r="H853" s="2"/>
      <c r="I853" s="2"/>
      <c r="N853" s="113"/>
    </row>
    <row r="854" spans="1:14">
      <c r="A854" s="2"/>
      <c r="B854" s="2"/>
      <c r="C854" s="2"/>
      <c r="D854" s="2"/>
      <c r="E854" s="2"/>
      <c r="F854" s="2"/>
      <c r="G854" s="2"/>
      <c r="H854" s="2"/>
      <c r="I854" s="2"/>
      <c r="N854" s="113"/>
    </row>
    <row r="855" spans="1:14">
      <c r="A855" s="2"/>
      <c r="B855" s="2"/>
      <c r="C855" s="2"/>
      <c r="D855" s="2"/>
      <c r="E855" s="2"/>
      <c r="F855" s="2"/>
      <c r="G855" s="2"/>
      <c r="H855" s="2"/>
      <c r="I855" s="2"/>
      <c r="N855" s="113"/>
    </row>
    <row r="856" spans="1:14">
      <c r="A856" s="2"/>
      <c r="B856" s="2"/>
      <c r="C856" s="2"/>
      <c r="D856" s="2"/>
      <c r="E856" s="2"/>
      <c r="F856" s="2"/>
      <c r="G856" s="2"/>
      <c r="H856" s="2"/>
      <c r="I856" s="2"/>
      <c r="N856" s="113"/>
    </row>
    <row r="857" spans="1:14">
      <c r="A857" s="2"/>
      <c r="B857" s="2"/>
      <c r="C857" s="2"/>
      <c r="D857" s="2"/>
      <c r="E857" s="2"/>
      <c r="F857" s="2"/>
      <c r="G857" s="2"/>
      <c r="H857" s="2"/>
      <c r="I857" s="2"/>
      <c r="N857" s="113"/>
    </row>
    <row r="858" spans="1:14">
      <c r="A858" s="2"/>
      <c r="B858" s="2"/>
      <c r="C858" s="2"/>
      <c r="D858" s="2"/>
      <c r="E858" s="2"/>
      <c r="F858" s="2"/>
      <c r="G858" s="2"/>
      <c r="H858" s="2"/>
      <c r="I858" s="2"/>
      <c r="N858" s="113"/>
    </row>
    <row r="859" spans="1:14">
      <c r="A859" s="2"/>
      <c r="B859" s="2"/>
      <c r="C859" s="2"/>
      <c r="D859" s="2"/>
      <c r="E859" s="2"/>
      <c r="F859" s="2"/>
      <c r="G859" s="2"/>
      <c r="H859" s="2"/>
      <c r="I859" s="2"/>
      <c r="N859" s="113"/>
    </row>
    <row r="860" spans="1:14">
      <c r="A860" s="2"/>
      <c r="B860" s="2"/>
      <c r="C860" s="2"/>
      <c r="D860" s="2"/>
      <c r="E860" s="2"/>
      <c r="F860" s="2"/>
      <c r="G860" s="2"/>
      <c r="H860" s="2"/>
      <c r="I860" s="2"/>
      <c r="N860" s="113"/>
    </row>
    <row r="861" spans="1:14">
      <c r="A861" s="2"/>
      <c r="B861" s="2"/>
      <c r="C861" s="2"/>
      <c r="D861" s="2"/>
      <c r="E861" s="2"/>
      <c r="F861" s="2"/>
      <c r="G861" s="2"/>
      <c r="H861" s="2"/>
      <c r="I861" s="2"/>
      <c r="N861" s="113"/>
    </row>
    <row r="862" spans="1:14">
      <c r="A862" s="2"/>
      <c r="B862" s="2"/>
      <c r="C862" s="2"/>
      <c r="D862" s="2"/>
      <c r="E862" s="2"/>
      <c r="F862" s="2"/>
      <c r="G862" s="2"/>
      <c r="H862" s="2"/>
      <c r="I862" s="2"/>
      <c r="N862" s="113"/>
    </row>
    <row r="863" spans="1:14">
      <c r="A863" s="2"/>
      <c r="B863" s="2"/>
      <c r="C863" s="2"/>
      <c r="D863" s="2"/>
      <c r="E863" s="2"/>
      <c r="F863" s="2"/>
      <c r="G863" s="2"/>
      <c r="H863" s="2"/>
      <c r="I863" s="2"/>
      <c r="N863" s="113"/>
    </row>
    <row r="864" spans="1:14">
      <c r="A864" s="2"/>
      <c r="B864" s="2"/>
      <c r="C864" s="2"/>
      <c r="D864" s="2"/>
      <c r="E864" s="2"/>
      <c r="F864" s="2"/>
      <c r="G864" s="2"/>
      <c r="H864" s="2"/>
      <c r="I864" s="2"/>
      <c r="N864" s="113"/>
    </row>
    <row r="865" spans="1:14">
      <c r="A865" s="2"/>
      <c r="B865" s="2"/>
      <c r="C865" s="2"/>
      <c r="D865" s="2"/>
      <c r="E865" s="2"/>
      <c r="F865" s="2"/>
      <c r="G865" s="2"/>
      <c r="H865" s="2"/>
      <c r="I865" s="2"/>
      <c r="N865" s="113"/>
    </row>
    <row r="866" spans="1:14">
      <c r="A866" s="2"/>
      <c r="B866" s="2"/>
      <c r="C866" s="2"/>
      <c r="D866" s="2"/>
      <c r="E866" s="2"/>
      <c r="F866" s="2"/>
      <c r="G866" s="2"/>
      <c r="H866" s="2"/>
      <c r="I866" s="2"/>
      <c r="N866" s="113"/>
    </row>
    <row r="867" spans="1:14">
      <c r="A867" s="2"/>
      <c r="B867" s="2"/>
      <c r="C867" s="2"/>
      <c r="D867" s="2"/>
      <c r="E867" s="2"/>
      <c r="F867" s="2"/>
      <c r="G867" s="2"/>
      <c r="H867" s="2"/>
      <c r="I867" s="2"/>
      <c r="N867" s="113"/>
    </row>
    <row r="868" spans="1:14">
      <c r="A868" s="2"/>
      <c r="B868" s="2"/>
      <c r="C868" s="2"/>
      <c r="D868" s="2"/>
      <c r="E868" s="2"/>
      <c r="F868" s="2"/>
      <c r="G868" s="2"/>
      <c r="H868" s="2"/>
      <c r="I868" s="2"/>
      <c r="N868" s="113"/>
    </row>
    <row r="869" spans="1:14">
      <c r="A869" s="2"/>
      <c r="B869" s="2"/>
      <c r="C869" s="2"/>
      <c r="D869" s="2"/>
      <c r="E869" s="2"/>
      <c r="F869" s="2"/>
      <c r="G869" s="2"/>
      <c r="H869" s="2"/>
      <c r="I869" s="2"/>
      <c r="N869" s="113"/>
    </row>
    <row r="870" spans="1:14">
      <c r="A870" s="2"/>
      <c r="B870" s="2"/>
      <c r="C870" s="2"/>
      <c r="D870" s="2"/>
      <c r="E870" s="2"/>
      <c r="F870" s="2"/>
      <c r="G870" s="2"/>
      <c r="H870" s="2"/>
      <c r="I870" s="2"/>
      <c r="N870" s="113"/>
    </row>
    <row r="871" spans="1:14">
      <c r="A871" s="2"/>
      <c r="B871" s="2"/>
      <c r="C871" s="2"/>
      <c r="D871" s="2"/>
      <c r="E871" s="2"/>
      <c r="F871" s="2"/>
      <c r="G871" s="2"/>
      <c r="H871" s="2"/>
      <c r="I871" s="2"/>
      <c r="N871" s="113"/>
    </row>
    <row r="872" spans="1:14">
      <c r="A872" s="2"/>
      <c r="B872" s="2"/>
      <c r="C872" s="2"/>
      <c r="D872" s="2"/>
      <c r="E872" s="2"/>
      <c r="F872" s="2"/>
      <c r="G872" s="2"/>
      <c r="H872" s="2"/>
      <c r="I872" s="2"/>
      <c r="N872" s="113"/>
    </row>
    <row r="873" spans="1:14">
      <c r="A873" s="2"/>
      <c r="B873" s="2"/>
      <c r="C873" s="2"/>
      <c r="D873" s="2"/>
      <c r="E873" s="2"/>
      <c r="F873" s="2"/>
      <c r="G873" s="2"/>
      <c r="H873" s="2"/>
      <c r="I873" s="2"/>
      <c r="N873" s="113"/>
    </row>
    <row r="874" spans="1:14">
      <c r="A874" s="2"/>
      <c r="B874" s="2"/>
      <c r="C874" s="2"/>
      <c r="D874" s="2"/>
      <c r="E874" s="2"/>
      <c r="F874" s="2"/>
      <c r="G874" s="2"/>
      <c r="H874" s="2"/>
      <c r="I874" s="2"/>
      <c r="N874" s="113"/>
    </row>
    <row r="875" spans="1:14">
      <c r="A875" s="2"/>
      <c r="B875" s="2"/>
      <c r="C875" s="2"/>
      <c r="D875" s="2"/>
      <c r="E875" s="2"/>
      <c r="F875" s="2"/>
      <c r="G875" s="2"/>
      <c r="H875" s="2"/>
      <c r="I875" s="2"/>
      <c r="N875" s="113"/>
    </row>
    <row r="876" spans="1:14">
      <c r="A876" s="2"/>
      <c r="B876" s="2"/>
      <c r="C876" s="2"/>
      <c r="D876" s="2"/>
      <c r="E876" s="2"/>
      <c r="F876" s="2"/>
      <c r="G876" s="2"/>
      <c r="H876" s="2"/>
      <c r="I876" s="2"/>
      <c r="N876" s="113"/>
    </row>
    <row r="877" spans="1:14">
      <c r="A877" s="2"/>
      <c r="B877" s="2"/>
      <c r="C877" s="2"/>
      <c r="D877" s="2"/>
      <c r="E877" s="2"/>
      <c r="F877" s="2"/>
      <c r="G877" s="2"/>
      <c r="H877" s="2"/>
      <c r="I877" s="2"/>
      <c r="N877" s="113"/>
    </row>
    <row r="878" spans="1:14">
      <c r="A878" s="2"/>
      <c r="B878" s="2"/>
      <c r="C878" s="2"/>
      <c r="D878" s="2"/>
      <c r="E878" s="2"/>
      <c r="F878" s="2"/>
      <c r="G878" s="2"/>
      <c r="H878" s="2"/>
      <c r="I878" s="2"/>
      <c r="N878" s="113"/>
    </row>
    <row r="879" spans="1:14">
      <c r="A879" s="2"/>
      <c r="B879" s="2"/>
      <c r="C879" s="2"/>
      <c r="D879" s="2"/>
      <c r="E879" s="2"/>
      <c r="F879" s="2"/>
      <c r="G879" s="2"/>
      <c r="H879" s="2"/>
      <c r="I879" s="2"/>
      <c r="N879" s="113"/>
    </row>
    <row r="880" spans="1:14">
      <c r="A880" s="2"/>
      <c r="B880" s="2"/>
      <c r="C880" s="2"/>
      <c r="D880" s="2"/>
      <c r="E880" s="2"/>
      <c r="F880" s="2"/>
      <c r="G880" s="2"/>
      <c r="H880" s="2"/>
      <c r="I880" s="2"/>
      <c r="N880" s="113"/>
    </row>
    <row r="881" spans="1:14">
      <c r="A881" s="2"/>
      <c r="B881" s="2"/>
      <c r="C881" s="2"/>
      <c r="D881" s="2"/>
      <c r="E881" s="2"/>
      <c r="F881" s="2"/>
      <c r="G881" s="2"/>
      <c r="H881" s="2"/>
      <c r="I881" s="2"/>
      <c r="N881" s="113"/>
    </row>
    <row r="882" spans="1:14">
      <c r="A882" s="2"/>
      <c r="B882" s="2"/>
      <c r="C882" s="2"/>
      <c r="D882" s="2"/>
      <c r="E882" s="2"/>
      <c r="F882" s="2"/>
      <c r="G882" s="2"/>
      <c r="H882" s="2"/>
      <c r="I882" s="2"/>
      <c r="N882" s="113"/>
    </row>
    <row r="883" spans="1:14">
      <c r="A883" s="2"/>
      <c r="B883" s="2"/>
      <c r="C883" s="2"/>
      <c r="D883" s="2"/>
      <c r="E883" s="2"/>
      <c r="F883" s="2"/>
      <c r="G883" s="2"/>
      <c r="H883" s="2"/>
      <c r="I883" s="2"/>
      <c r="N883" s="113"/>
    </row>
    <row r="884" spans="1:14">
      <c r="A884" s="2"/>
      <c r="B884" s="2"/>
      <c r="C884" s="2"/>
      <c r="D884" s="2"/>
      <c r="E884" s="2"/>
      <c r="F884" s="2"/>
      <c r="G884" s="2"/>
      <c r="H884" s="2"/>
      <c r="I884" s="2"/>
      <c r="N884" s="113"/>
    </row>
    <row r="885" spans="1:14">
      <c r="A885" s="2"/>
      <c r="B885" s="2"/>
      <c r="C885" s="2"/>
      <c r="D885" s="2"/>
      <c r="E885" s="2"/>
      <c r="F885" s="2"/>
      <c r="G885" s="2"/>
      <c r="H885" s="2"/>
      <c r="I885" s="2"/>
      <c r="N885" s="113"/>
    </row>
    <row r="886" spans="1:14">
      <c r="A886" s="2"/>
      <c r="B886" s="2"/>
      <c r="C886" s="2"/>
      <c r="D886" s="2"/>
      <c r="E886" s="2"/>
      <c r="F886" s="2"/>
      <c r="G886" s="2"/>
      <c r="H886" s="2"/>
      <c r="I886" s="2"/>
      <c r="N886" s="113"/>
    </row>
    <row r="887" spans="1:14">
      <c r="A887" s="2"/>
      <c r="B887" s="2"/>
      <c r="C887" s="2"/>
      <c r="D887" s="2"/>
      <c r="E887" s="2"/>
      <c r="F887" s="2"/>
      <c r="G887" s="2"/>
      <c r="H887" s="2"/>
      <c r="I887" s="2"/>
      <c r="N887" s="113"/>
    </row>
    <row r="888" spans="1:14">
      <c r="A888" s="2"/>
      <c r="B888" s="2"/>
      <c r="C888" s="2"/>
      <c r="D888" s="2"/>
      <c r="E888" s="2"/>
      <c r="F888" s="2"/>
      <c r="G888" s="2"/>
      <c r="H888" s="2"/>
      <c r="I888" s="2"/>
      <c r="N888" s="113"/>
    </row>
    <row r="889" spans="1:14">
      <c r="A889" s="2"/>
      <c r="B889" s="2"/>
      <c r="C889" s="2"/>
      <c r="D889" s="2"/>
      <c r="E889" s="2"/>
      <c r="F889" s="2"/>
      <c r="G889" s="2"/>
      <c r="H889" s="2"/>
      <c r="I889" s="2"/>
      <c r="N889" s="113"/>
    </row>
    <row r="890" spans="1:14">
      <c r="A890" s="2"/>
      <c r="B890" s="2"/>
      <c r="C890" s="2"/>
      <c r="D890" s="2"/>
      <c r="E890" s="2"/>
      <c r="F890" s="2"/>
      <c r="G890" s="2"/>
      <c r="H890" s="2"/>
      <c r="I890" s="2"/>
      <c r="N890" s="113"/>
    </row>
    <row r="891" spans="1:14">
      <c r="A891" s="2"/>
      <c r="B891" s="2"/>
      <c r="C891" s="2"/>
      <c r="D891" s="2"/>
      <c r="E891" s="2"/>
      <c r="F891" s="2"/>
      <c r="G891" s="2"/>
      <c r="H891" s="2"/>
      <c r="I891" s="2"/>
      <c r="N891" s="113"/>
    </row>
    <row r="892" spans="1:14">
      <c r="A892" s="2"/>
      <c r="B892" s="2"/>
      <c r="C892" s="2"/>
      <c r="D892" s="2"/>
      <c r="E892" s="2"/>
      <c r="F892" s="2"/>
      <c r="G892" s="2"/>
      <c r="H892" s="2"/>
      <c r="I892" s="2"/>
      <c r="N892" s="113"/>
    </row>
    <row r="893" spans="1:14">
      <c r="A893" s="2"/>
      <c r="B893" s="2"/>
      <c r="C893" s="2"/>
      <c r="D893" s="2"/>
      <c r="E893" s="2"/>
      <c r="F893" s="2"/>
      <c r="G893" s="2"/>
      <c r="H893" s="2"/>
      <c r="I893" s="2"/>
      <c r="N893" s="113"/>
    </row>
    <row r="894" spans="1:14">
      <c r="A894" s="2"/>
      <c r="B894" s="2"/>
      <c r="C894" s="2"/>
      <c r="D894" s="2"/>
      <c r="E894" s="2"/>
      <c r="F894" s="2"/>
      <c r="G894" s="2"/>
      <c r="H894" s="2"/>
      <c r="I894" s="2"/>
      <c r="N894" s="113"/>
    </row>
    <row r="895" spans="1:14">
      <c r="A895" s="2"/>
      <c r="B895" s="2"/>
      <c r="C895" s="2"/>
      <c r="D895" s="2"/>
      <c r="E895" s="2"/>
      <c r="F895" s="2"/>
      <c r="G895" s="2"/>
      <c r="H895" s="2"/>
      <c r="I895" s="2"/>
      <c r="N895" s="113"/>
    </row>
    <row r="896" spans="1:14">
      <c r="A896" s="2"/>
      <c r="B896" s="2"/>
      <c r="C896" s="2"/>
      <c r="D896" s="2"/>
      <c r="E896" s="2"/>
      <c r="F896" s="2"/>
      <c r="G896" s="2"/>
      <c r="H896" s="2"/>
      <c r="I896" s="2"/>
      <c r="N896" s="113"/>
    </row>
    <row r="897" spans="1:14">
      <c r="A897" s="2"/>
      <c r="B897" s="2"/>
      <c r="C897" s="2"/>
      <c r="D897" s="2"/>
      <c r="E897" s="2"/>
      <c r="F897" s="2"/>
      <c r="G897" s="2"/>
      <c r="H897" s="2"/>
      <c r="I897" s="2"/>
      <c r="N897" s="113"/>
    </row>
    <row r="898" spans="1:14">
      <c r="A898" s="2"/>
      <c r="B898" s="2"/>
      <c r="C898" s="2"/>
      <c r="D898" s="2"/>
      <c r="E898" s="2"/>
      <c r="F898" s="2"/>
      <c r="G898" s="2"/>
      <c r="H898" s="2"/>
      <c r="I898" s="2"/>
      <c r="N898" s="113"/>
    </row>
    <row r="899" spans="1:14">
      <c r="A899" s="2"/>
      <c r="B899" s="2"/>
      <c r="C899" s="2"/>
      <c r="D899" s="2"/>
      <c r="E899" s="2"/>
      <c r="F899" s="2"/>
      <c r="G899" s="2"/>
      <c r="H899" s="2"/>
      <c r="I899" s="2"/>
      <c r="N899" s="113"/>
    </row>
    <row r="900" spans="1:14">
      <c r="A900" s="2"/>
      <c r="B900" s="2"/>
      <c r="C900" s="2"/>
      <c r="D900" s="2"/>
      <c r="E900" s="2"/>
      <c r="F900" s="2"/>
      <c r="G900" s="2"/>
      <c r="H900" s="2"/>
      <c r="I900" s="2"/>
      <c r="N900" s="113"/>
    </row>
    <row r="901" spans="1:14">
      <c r="A901" s="2"/>
      <c r="B901" s="2"/>
      <c r="C901" s="2"/>
      <c r="D901" s="2"/>
      <c r="E901" s="2"/>
      <c r="F901" s="2"/>
      <c r="G901" s="2"/>
      <c r="H901" s="2"/>
      <c r="I901" s="2"/>
      <c r="N901" s="113"/>
    </row>
    <row r="902" spans="1:14">
      <c r="A902" s="2"/>
      <c r="B902" s="2"/>
      <c r="C902" s="2"/>
      <c r="D902" s="2"/>
      <c r="E902" s="2"/>
      <c r="F902" s="2"/>
      <c r="G902" s="2"/>
      <c r="H902" s="2"/>
      <c r="I902" s="2"/>
      <c r="N902" s="113"/>
    </row>
    <row r="903" spans="1:14">
      <c r="A903" s="2"/>
      <c r="B903" s="2"/>
      <c r="C903" s="2"/>
      <c r="D903" s="2"/>
      <c r="E903" s="2"/>
      <c r="F903" s="2"/>
      <c r="G903" s="2"/>
      <c r="H903" s="2"/>
      <c r="I903" s="2"/>
      <c r="N903" s="113"/>
    </row>
    <row r="904" spans="1:14">
      <c r="A904" s="2"/>
      <c r="B904" s="2"/>
      <c r="C904" s="2"/>
      <c r="D904" s="2"/>
      <c r="E904" s="2"/>
      <c r="F904" s="2"/>
      <c r="G904" s="2"/>
      <c r="H904" s="2"/>
      <c r="I904" s="2"/>
      <c r="N904" s="113"/>
    </row>
    <row r="905" spans="1:14">
      <c r="A905" s="2"/>
      <c r="B905" s="2"/>
      <c r="C905" s="2"/>
      <c r="D905" s="2"/>
      <c r="E905" s="2"/>
      <c r="F905" s="2"/>
      <c r="G905" s="2"/>
      <c r="H905" s="2"/>
      <c r="I905" s="2"/>
      <c r="N905" s="113"/>
    </row>
    <row r="906" spans="1:14">
      <c r="A906" s="2"/>
      <c r="B906" s="2"/>
      <c r="C906" s="2"/>
      <c r="D906" s="2"/>
      <c r="E906" s="2"/>
      <c r="F906" s="2"/>
      <c r="G906" s="2"/>
      <c r="H906" s="2"/>
      <c r="I906" s="2"/>
      <c r="N906" s="113"/>
    </row>
    <row r="907" spans="1:14">
      <c r="A907" s="2"/>
      <c r="B907" s="2"/>
      <c r="C907" s="2"/>
      <c r="D907" s="2"/>
      <c r="E907" s="2"/>
      <c r="F907" s="2"/>
      <c r="G907" s="2"/>
      <c r="H907" s="2"/>
      <c r="I907" s="2"/>
      <c r="N907" s="113"/>
    </row>
    <row r="908" spans="1:14">
      <c r="A908" s="2"/>
      <c r="B908" s="2"/>
      <c r="C908" s="2"/>
      <c r="D908" s="2"/>
      <c r="E908" s="2"/>
      <c r="F908" s="2"/>
      <c r="G908" s="2"/>
      <c r="H908" s="2"/>
      <c r="I908" s="2"/>
      <c r="N908" s="113"/>
    </row>
    <row r="909" spans="1:14">
      <c r="A909" s="2"/>
      <c r="B909" s="2"/>
      <c r="C909" s="2"/>
      <c r="D909" s="2"/>
      <c r="E909" s="2"/>
      <c r="F909" s="2"/>
      <c r="G909" s="2"/>
      <c r="H909" s="2"/>
      <c r="I909" s="2"/>
      <c r="N909" s="113"/>
    </row>
    <row r="910" spans="1:14">
      <c r="A910" s="2"/>
      <c r="B910" s="2"/>
      <c r="C910" s="2"/>
      <c r="D910" s="2"/>
      <c r="E910" s="2"/>
      <c r="F910" s="2"/>
      <c r="G910" s="2"/>
      <c r="H910" s="2"/>
      <c r="I910" s="2"/>
      <c r="N910" s="113"/>
    </row>
    <row r="911" spans="1:14">
      <c r="A911" s="2"/>
      <c r="B911" s="2"/>
      <c r="C911" s="2"/>
      <c r="D911" s="2"/>
      <c r="E911" s="2"/>
      <c r="F911" s="2"/>
      <c r="G911" s="2"/>
      <c r="H911" s="2"/>
      <c r="I911" s="2"/>
      <c r="N911" s="113"/>
    </row>
    <row r="912" spans="1:14">
      <c r="A912" s="2"/>
      <c r="B912" s="2"/>
      <c r="C912" s="2"/>
      <c r="D912" s="2"/>
      <c r="E912" s="2"/>
      <c r="F912" s="2"/>
      <c r="G912" s="2"/>
      <c r="H912" s="2"/>
      <c r="I912" s="2"/>
      <c r="N912" s="113"/>
    </row>
    <row r="913" spans="1:14">
      <c r="A913" s="2"/>
      <c r="B913" s="2"/>
      <c r="C913" s="2"/>
      <c r="D913" s="2"/>
      <c r="E913" s="2"/>
      <c r="F913" s="2"/>
      <c r="G913" s="2"/>
      <c r="H913" s="2"/>
      <c r="I913" s="2"/>
      <c r="N913" s="113"/>
    </row>
    <row r="914" spans="1:14">
      <c r="A914" s="2"/>
      <c r="B914" s="2"/>
      <c r="C914" s="2"/>
      <c r="D914" s="2"/>
      <c r="E914" s="2"/>
      <c r="F914" s="2"/>
      <c r="G914" s="2"/>
      <c r="H914" s="2"/>
      <c r="I914" s="2"/>
      <c r="N914" s="113"/>
    </row>
    <row r="915" spans="1:14">
      <c r="A915" s="2"/>
      <c r="B915" s="2"/>
      <c r="C915" s="2"/>
      <c r="D915" s="2"/>
      <c r="E915" s="2"/>
      <c r="F915" s="2"/>
      <c r="G915" s="2"/>
      <c r="H915" s="2"/>
      <c r="I915" s="2"/>
      <c r="N915" s="113"/>
    </row>
    <row r="916" spans="1:14">
      <c r="A916" s="2"/>
      <c r="B916" s="2"/>
      <c r="C916" s="2"/>
      <c r="D916" s="2"/>
      <c r="E916" s="2"/>
      <c r="F916" s="2"/>
      <c r="G916" s="2"/>
      <c r="H916" s="2"/>
      <c r="I916" s="2"/>
      <c r="N916" s="113"/>
    </row>
    <row r="917" spans="1:14">
      <c r="A917" s="2"/>
      <c r="B917" s="2"/>
      <c r="C917" s="2"/>
      <c r="D917" s="2"/>
      <c r="E917" s="2"/>
      <c r="F917" s="2"/>
      <c r="G917" s="2"/>
      <c r="H917" s="2"/>
      <c r="I917" s="2"/>
      <c r="N917" s="113"/>
    </row>
    <row r="918" spans="1:14">
      <c r="A918" s="2"/>
      <c r="B918" s="2"/>
      <c r="C918" s="2"/>
      <c r="D918" s="2"/>
      <c r="E918" s="2"/>
      <c r="F918" s="2"/>
      <c r="G918" s="2"/>
      <c r="H918" s="2"/>
      <c r="I918" s="2"/>
      <c r="N918" s="113"/>
    </row>
    <row r="919" spans="1:14">
      <c r="A919" s="2"/>
      <c r="B919" s="2"/>
      <c r="C919" s="2"/>
      <c r="D919" s="2"/>
      <c r="E919" s="2"/>
      <c r="F919" s="2"/>
      <c r="G919" s="2"/>
      <c r="H919" s="2"/>
      <c r="I919" s="2"/>
      <c r="N919" s="113"/>
    </row>
    <row r="920" spans="1:14">
      <c r="A920" s="2"/>
      <c r="B920" s="2"/>
      <c r="C920" s="2"/>
      <c r="D920" s="2"/>
      <c r="E920" s="2"/>
      <c r="F920" s="2"/>
      <c r="G920" s="2"/>
      <c r="H920" s="2"/>
      <c r="I920" s="2"/>
      <c r="N920" s="113"/>
    </row>
    <row r="921" spans="1:14">
      <c r="A921" s="2"/>
      <c r="B921" s="2"/>
      <c r="C921" s="2"/>
      <c r="D921" s="2"/>
      <c r="E921" s="2"/>
      <c r="F921" s="2"/>
      <c r="G921" s="2"/>
      <c r="H921" s="2"/>
      <c r="I921" s="2"/>
      <c r="N921" s="113"/>
    </row>
    <row r="922" spans="1:14">
      <c r="A922" s="2"/>
      <c r="B922" s="2"/>
      <c r="C922" s="2"/>
      <c r="D922" s="2"/>
      <c r="E922" s="2"/>
      <c r="F922" s="2"/>
      <c r="G922" s="2"/>
      <c r="H922" s="2"/>
      <c r="I922" s="2"/>
      <c r="N922" s="113"/>
    </row>
    <row r="923" spans="1:14">
      <c r="A923" s="2"/>
      <c r="B923" s="2"/>
      <c r="C923" s="2"/>
      <c r="D923" s="2"/>
      <c r="E923" s="2"/>
      <c r="F923" s="2"/>
      <c r="G923" s="2"/>
      <c r="H923" s="2"/>
      <c r="I923" s="2"/>
      <c r="N923" s="113"/>
    </row>
    <row r="924" spans="1:14">
      <c r="A924" s="2"/>
      <c r="B924" s="2"/>
      <c r="C924" s="2"/>
      <c r="D924" s="2"/>
      <c r="E924" s="2"/>
      <c r="F924" s="2"/>
      <c r="G924" s="2"/>
      <c r="H924" s="2"/>
      <c r="I924" s="2"/>
      <c r="N924" s="113"/>
    </row>
    <row r="925" spans="1:14">
      <c r="A925" s="2"/>
      <c r="B925" s="2"/>
      <c r="C925" s="2"/>
      <c r="D925" s="2"/>
      <c r="E925" s="2"/>
      <c r="F925" s="2"/>
      <c r="G925" s="2"/>
      <c r="H925" s="2"/>
      <c r="I925" s="2"/>
      <c r="N925" s="113"/>
    </row>
    <row r="926" spans="1:14">
      <c r="A926" s="2"/>
      <c r="B926" s="2"/>
      <c r="C926" s="2"/>
      <c r="D926" s="2"/>
      <c r="E926" s="2"/>
      <c r="F926" s="2"/>
      <c r="G926" s="2"/>
      <c r="H926" s="2"/>
      <c r="I926" s="2"/>
      <c r="N926" s="113"/>
    </row>
    <row r="927" spans="1:14">
      <c r="A927" s="2"/>
      <c r="B927" s="2"/>
      <c r="C927" s="2"/>
      <c r="D927" s="2"/>
      <c r="E927" s="2"/>
      <c r="F927" s="2"/>
      <c r="G927" s="2"/>
      <c r="H927" s="2"/>
      <c r="I927" s="2"/>
      <c r="N927" s="113"/>
    </row>
    <row r="928" spans="1:14">
      <c r="A928" s="2"/>
      <c r="B928" s="2"/>
      <c r="C928" s="2"/>
      <c r="D928" s="2"/>
      <c r="E928" s="2"/>
      <c r="F928" s="2"/>
      <c r="G928" s="2"/>
      <c r="H928" s="2"/>
      <c r="I928" s="2"/>
      <c r="N928" s="113"/>
    </row>
    <row r="929" spans="1:14">
      <c r="A929" s="2"/>
      <c r="B929" s="2"/>
      <c r="C929" s="2"/>
      <c r="D929" s="2"/>
      <c r="E929" s="2"/>
      <c r="F929" s="2"/>
      <c r="G929" s="2"/>
      <c r="H929" s="2"/>
      <c r="I929" s="2"/>
      <c r="N929" s="113"/>
    </row>
    <row r="930" spans="1:14">
      <c r="A930" s="2"/>
      <c r="B930" s="2"/>
      <c r="C930" s="2"/>
      <c r="D930" s="2"/>
      <c r="E930" s="2"/>
      <c r="F930" s="2"/>
      <c r="G930" s="2"/>
      <c r="H930" s="2"/>
      <c r="I930" s="2"/>
      <c r="N930" s="113"/>
    </row>
    <row r="931" spans="1:14">
      <c r="A931" s="2"/>
      <c r="B931" s="2"/>
      <c r="C931" s="2"/>
      <c r="D931" s="2"/>
      <c r="E931" s="2"/>
      <c r="F931" s="2"/>
      <c r="G931" s="2"/>
      <c r="H931" s="2"/>
      <c r="I931" s="2"/>
      <c r="N931" s="113"/>
    </row>
    <row r="932" spans="1:14">
      <c r="A932" s="2"/>
      <c r="B932" s="2"/>
      <c r="C932" s="2"/>
      <c r="D932" s="2"/>
      <c r="E932" s="2"/>
      <c r="F932" s="2"/>
      <c r="G932" s="2"/>
      <c r="H932" s="2"/>
      <c r="I932" s="2"/>
      <c r="N932" s="113"/>
    </row>
    <row r="933" spans="1:14">
      <c r="A933" s="2"/>
      <c r="B933" s="2"/>
      <c r="C933" s="2"/>
      <c r="D933" s="2"/>
      <c r="E933" s="2"/>
      <c r="F933" s="2"/>
      <c r="G933" s="2"/>
      <c r="H933" s="2"/>
      <c r="I933" s="2"/>
      <c r="N933" s="113"/>
    </row>
    <row r="934" spans="1:14">
      <c r="A934" s="2"/>
      <c r="B934" s="2"/>
      <c r="C934" s="2"/>
      <c r="D934" s="2"/>
      <c r="E934" s="2"/>
      <c r="F934" s="2"/>
      <c r="G934" s="2"/>
      <c r="H934" s="2"/>
      <c r="I934" s="2"/>
      <c r="N934" s="113"/>
    </row>
    <row r="935" spans="1:14">
      <c r="A935" s="2"/>
      <c r="B935" s="2"/>
      <c r="C935" s="2"/>
      <c r="D935" s="2"/>
      <c r="E935" s="2"/>
      <c r="F935" s="2"/>
      <c r="G935" s="2"/>
      <c r="H935" s="2"/>
      <c r="I935" s="2"/>
      <c r="N935" s="113"/>
    </row>
    <row r="936" spans="1:14">
      <c r="A936" s="2"/>
      <c r="B936" s="2"/>
      <c r="C936" s="2"/>
      <c r="D936" s="2"/>
      <c r="E936" s="2"/>
      <c r="F936" s="2"/>
      <c r="G936" s="2"/>
      <c r="H936" s="2"/>
      <c r="I936" s="2"/>
      <c r="N936" s="113"/>
    </row>
    <row r="937" spans="1:14">
      <c r="A937" s="2"/>
      <c r="B937" s="2"/>
      <c r="C937" s="2"/>
      <c r="D937" s="2"/>
      <c r="E937" s="2"/>
      <c r="F937" s="2"/>
      <c r="G937" s="2"/>
      <c r="H937" s="2"/>
      <c r="I937" s="2"/>
      <c r="N937" s="113"/>
    </row>
    <row r="938" spans="1:14">
      <c r="A938" s="2"/>
      <c r="B938" s="2"/>
      <c r="C938" s="2"/>
      <c r="D938" s="2"/>
      <c r="E938" s="2"/>
      <c r="F938" s="2"/>
      <c r="G938" s="2"/>
      <c r="H938" s="2"/>
      <c r="I938" s="2"/>
      <c r="N938" s="113"/>
    </row>
    <row r="939" spans="1:14">
      <c r="A939" s="2"/>
      <c r="B939" s="2"/>
      <c r="C939" s="2"/>
      <c r="D939" s="2"/>
      <c r="E939" s="2"/>
      <c r="F939" s="2"/>
      <c r="G939" s="2"/>
      <c r="H939" s="2"/>
      <c r="I939" s="2"/>
      <c r="N939" s="113"/>
    </row>
    <row r="940" spans="1:14">
      <c r="A940" s="2"/>
      <c r="B940" s="2"/>
      <c r="C940" s="2"/>
      <c r="D940" s="2"/>
      <c r="E940" s="2"/>
      <c r="F940" s="2"/>
      <c r="G940" s="2"/>
      <c r="H940" s="2"/>
      <c r="I940" s="2"/>
      <c r="N940" s="113"/>
    </row>
    <row r="941" spans="1:14">
      <c r="A941" s="2"/>
      <c r="B941" s="2"/>
      <c r="C941" s="2"/>
      <c r="D941" s="2"/>
      <c r="E941" s="2"/>
      <c r="F941" s="2"/>
      <c r="G941" s="2"/>
      <c r="H941" s="2"/>
      <c r="I941" s="2"/>
      <c r="N941" s="113"/>
    </row>
    <row r="942" spans="1:14">
      <c r="A942" s="2"/>
      <c r="B942" s="2"/>
      <c r="C942" s="2"/>
      <c r="D942" s="2"/>
      <c r="E942" s="2"/>
      <c r="F942" s="2"/>
      <c r="G942" s="2"/>
      <c r="H942" s="2"/>
      <c r="I942" s="2"/>
      <c r="N942" s="113"/>
    </row>
    <row r="943" spans="1:14">
      <c r="A943" s="2"/>
      <c r="B943" s="2"/>
      <c r="C943" s="2"/>
      <c r="D943" s="2"/>
      <c r="E943" s="2"/>
      <c r="F943" s="2"/>
      <c r="G943" s="2"/>
      <c r="H943" s="2"/>
      <c r="I943" s="2"/>
      <c r="N943" s="113"/>
    </row>
    <row r="944" spans="1:14">
      <c r="A944" s="2"/>
      <c r="B944" s="2"/>
      <c r="C944" s="2"/>
      <c r="D944" s="2"/>
      <c r="E944" s="2"/>
      <c r="F944" s="2"/>
      <c r="G944" s="2"/>
      <c r="H944" s="2"/>
      <c r="I944" s="2"/>
      <c r="N944" s="113"/>
    </row>
    <row r="945" spans="1:14">
      <c r="A945" s="2"/>
      <c r="B945" s="2"/>
      <c r="C945" s="2"/>
      <c r="D945" s="2"/>
      <c r="E945" s="2"/>
      <c r="F945" s="2"/>
      <c r="G945" s="2"/>
      <c r="H945" s="2"/>
      <c r="I945" s="2"/>
      <c r="N945" s="113"/>
    </row>
    <row r="946" spans="1:14">
      <c r="A946" s="2"/>
      <c r="B946" s="2"/>
      <c r="C946" s="2"/>
      <c r="D946" s="2"/>
      <c r="E946" s="2"/>
      <c r="F946" s="2"/>
      <c r="G946" s="2"/>
      <c r="H946" s="2"/>
      <c r="I946" s="2"/>
      <c r="N946" s="113"/>
    </row>
    <row r="947" spans="1:14">
      <c r="A947" s="2"/>
      <c r="B947" s="2"/>
      <c r="C947" s="2"/>
      <c r="D947" s="2"/>
      <c r="E947" s="2"/>
      <c r="F947" s="2"/>
      <c r="G947" s="2"/>
      <c r="H947" s="2"/>
      <c r="I947" s="2"/>
      <c r="N947" s="113"/>
    </row>
    <row r="948" spans="1:14">
      <c r="A948" s="2"/>
      <c r="B948" s="2"/>
      <c r="C948" s="2"/>
      <c r="D948" s="2"/>
      <c r="E948" s="2"/>
      <c r="F948" s="2"/>
      <c r="G948" s="2"/>
      <c r="H948" s="2"/>
      <c r="I948" s="2"/>
      <c r="N948" s="113"/>
    </row>
    <row r="949" spans="1:14">
      <c r="A949" s="2"/>
      <c r="B949" s="2"/>
      <c r="C949" s="2"/>
      <c r="D949" s="2"/>
      <c r="E949" s="2"/>
      <c r="F949" s="2"/>
      <c r="G949" s="2"/>
      <c r="H949" s="2"/>
      <c r="I949" s="2"/>
      <c r="N949" s="113"/>
    </row>
    <row r="950" spans="1:14">
      <c r="A950" s="2"/>
      <c r="B950" s="2"/>
      <c r="C950" s="2"/>
      <c r="D950" s="2"/>
      <c r="E950" s="2"/>
      <c r="F950" s="2"/>
      <c r="G950" s="2"/>
      <c r="H950" s="2"/>
      <c r="I950" s="2"/>
      <c r="N950" s="113"/>
    </row>
    <row r="951" spans="1:14">
      <c r="A951" s="2"/>
      <c r="B951" s="2"/>
      <c r="C951" s="2"/>
      <c r="D951" s="2"/>
      <c r="E951" s="2"/>
      <c r="F951" s="2"/>
      <c r="G951" s="2"/>
      <c r="H951" s="2"/>
      <c r="I951" s="2"/>
      <c r="N951" s="113"/>
    </row>
    <row r="952" spans="1:14">
      <c r="A952" s="2"/>
      <c r="B952" s="2"/>
      <c r="C952" s="2"/>
      <c r="D952" s="2"/>
      <c r="E952" s="2"/>
      <c r="F952" s="2"/>
      <c r="G952" s="2"/>
      <c r="H952" s="2"/>
      <c r="I952" s="2"/>
      <c r="N952" s="113"/>
    </row>
    <row r="953" spans="1:14">
      <c r="A953" s="2"/>
      <c r="B953" s="2"/>
      <c r="C953" s="2"/>
      <c r="D953" s="2"/>
      <c r="E953" s="2"/>
      <c r="F953" s="2"/>
      <c r="G953" s="2"/>
      <c r="H953" s="2"/>
      <c r="I953" s="2"/>
      <c r="N953" s="113"/>
    </row>
    <row r="954" spans="1:14">
      <c r="A954" s="2"/>
      <c r="B954" s="2"/>
      <c r="C954" s="2"/>
      <c r="D954" s="2"/>
      <c r="E954" s="2"/>
      <c r="F954" s="2"/>
      <c r="G954" s="2"/>
      <c r="H954" s="2"/>
      <c r="I954" s="2"/>
      <c r="N954" s="113"/>
    </row>
    <row r="955" spans="1:14">
      <c r="A955" s="2"/>
      <c r="B955" s="2"/>
      <c r="C955" s="2"/>
      <c r="D955" s="2"/>
      <c r="E955" s="2"/>
      <c r="F955" s="2"/>
      <c r="G955" s="2"/>
      <c r="H955" s="2"/>
      <c r="I955" s="2"/>
      <c r="N955" s="113"/>
    </row>
    <row r="956" spans="1:14">
      <c r="A956" s="2"/>
      <c r="B956" s="2"/>
      <c r="C956" s="2"/>
      <c r="D956" s="2"/>
      <c r="E956" s="2"/>
      <c r="F956" s="2"/>
      <c r="G956" s="2"/>
      <c r="H956" s="2"/>
      <c r="I956" s="2"/>
      <c r="N956" s="113"/>
    </row>
    <row r="957" spans="1:14">
      <c r="A957" s="2"/>
      <c r="B957" s="2"/>
      <c r="C957" s="2"/>
      <c r="D957" s="2"/>
      <c r="E957" s="2"/>
      <c r="F957" s="2"/>
      <c r="G957" s="2"/>
      <c r="H957" s="2"/>
      <c r="I957" s="2"/>
      <c r="N957" s="113"/>
    </row>
    <row r="958" spans="1:14">
      <c r="A958" s="2"/>
      <c r="B958" s="2"/>
      <c r="C958" s="2"/>
      <c r="D958" s="2"/>
      <c r="E958" s="2"/>
      <c r="F958" s="2"/>
      <c r="G958" s="2"/>
      <c r="H958" s="2"/>
      <c r="I958" s="2"/>
      <c r="N958" s="113"/>
    </row>
    <row r="959" spans="1:14">
      <c r="A959" s="2"/>
      <c r="B959" s="2"/>
      <c r="C959" s="2"/>
      <c r="D959" s="2"/>
      <c r="E959" s="2"/>
      <c r="F959" s="2"/>
      <c r="G959" s="2"/>
      <c r="H959" s="2"/>
      <c r="I959" s="2"/>
      <c r="N959" s="113"/>
    </row>
    <row r="960" spans="1:14">
      <c r="A960" s="2"/>
      <c r="B960" s="2"/>
      <c r="C960" s="2"/>
      <c r="D960" s="2"/>
      <c r="E960" s="2"/>
      <c r="F960" s="2"/>
      <c r="G960" s="2"/>
      <c r="H960" s="2"/>
      <c r="I960" s="2"/>
      <c r="N960" s="113"/>
    </row>
    <row r="961" spans="1:14">
      <c r="A961" s="2"/>
      <c r="B961" s="2"/>
      <c r="C961" s="2"/>
      <c r="D961" s="2"/>
      <c r="E961" s="2"/>
      <c r="F961" s="2"/>
      <c r="G961" s="2"/>
      <c r="H961" s="2"/>
      <c r="I961" s="2"/>
      <c r="N961" s="113"/>
    </row>
    <row r="962" spans="1:14">
      <c r="A962" s="2"/>
      <c r="B962" s="2"/>
      <c r="C962" s="2"/>
      <c r="D962" s="2"/>
      <c r="E962" s="2"/>
      <c r="F962" s="2"/>
      <c r="G962" s="2"/>
      <c r="H962" s="2"/>
      <c r="I962" s="2"/>
      <c r="N962" s="113"/>
    </row>
    <row r="963" spans="1:14">
      <c r="A963" s="2"/>
      <c r="B963" s="2"/>
      <c r="C963" s="2"/>
      <c r="D963" s="2"/>
      <c r="E963" s="2"/>
      <c r="F963" s="2"/>
      <c r="G963" s="2"/>
      <c r="H963" s="2"/>
      <c r="I963" s="2"/>
      <c r="N963" s="113"/>
    </row>
    <row r="964" spans="1:14">
      <c r="A964" s="2"/>
      <c r="B964" s="2"/>
      <c r="C964" s="2"/>
      <c r="D964" s="2"/>
      <c r="E964" s="2"/>
      <c r="F964" s="2"/>
      <c r="G964" s="2"/>
      <c r="H964" s="2"/>
      <c r="I964" s="2"/>
      <c r="N964" s="113"/>
    </row>
    <row r="965" spans="1:14">
      <c r="A965" s="2"/>
      <c r="B965" s="2"/>
      <c r="C965" s="2"/>
      <c r="D965" s="2"/>
      <c r="E965" s="2"/>
      <c r="F965" s="2"/>
      <c r="G965" s="2"/>
      <c r="H965" s="2"/>
      <c r="I965" s="2"/>
      <c r="N965" s="113"/>
    </row>
    <row r="966" spans="1:14">
      <c r="A966" s="2"/>
      <c r="B966" s="2"/>
      <c r="C966" s="2"/>
      <c r="D966" s="2"/>
      <c r="E966" s="2"/>
      <c r="F966" s="2"/>
      <c r="G966" s="2"/>
      <c r="H966" s="2"/>
      <c r="I966" s="2"/>
      <c r="N966" s="113"/>
    </row>
    <row r="967" spans="1:14">
      <c r="A967" s="2"/>
      <c r="B967" s="2"/>
      <c r="C967" s="2"/>
      <c r="D967" s="2"/>
      <c r="E967" s="2"/>
      <c r="F967" s="2"/>
      <c r="G967" s="2"/>
      <c r="H967" s="2"/>
      <c r="I967" s="2"/>
      <c r="N967" s="113"/>
    </row>
    <row r="968" spans="1:14">
      <c r="A968" s="2"/>
      <c r="B968" s="2"/>
      <c r="C968" s="2"/>
      <c r="D968" s="2"/>
      <c r="E968" s="2"/>
      <c r="F968" s="2"/>
      <c r="G968" s="2"/>
      <c r="H968" s="2"/>
      <c r="I968" s="2"/>
      <c r="N968" s="113"/>
    </row>
    <row r="969" spans="1:14">
      <c r="A969" s="2"/>
      <c r="B969" s="2"/>
      <c r="C969" s="2"/>
      <c r="D969" s="2"/>
      <c r="E969" s="2"/>
      <c r="F969" s="2"/>
      <c r="G969" s="2"/>
      <c r="H969" s="2"/>
      <c r="I969" s="2"/>
      <c r="N969" s="113"/>
    </row>
    <row r="970" spans="1:14">
      <c r="A970" s="2"/>
      <c r="B970" s="2"/>
      <c r="C970" s="2"/>
      <c r="D970" s="2"/>
      <c r="E970" s="2"/>
      <c r="F970" s="2"/>
      <c r="G970" s="2"/>
      <c r="H970" s="2"/>
      <c r="I970" s="2"/>
      <c r="N970" s="113"/>
    </row>
    <row r="971" spans="1:14">
      <c r="A971" s="2"/>
      <c r="B971" s="2"/>
      <c r="C971" s="2"/>
      <c r="D971" s="2"/>
      <c r="E971" s="2"/>
      <c r="F971" s="2"/>
      <c r="G971" s="2"/>
      <c r="H971" s="2"/>
      <c r="I971" s="2"/>
      <c r="N971" s="113"/>
    </row>
    <row r="972" spans="1:14">
      <c r="A972" s="2"/>
      <c r="B972" s="2"/>
      <c r="C972" s="2"/>
      <c r="D972" s="2"/>
      <c r="E972" s="2"/>
      <c r="F972" s="2"/>
      <c r="G972" s="2"/>
      <c r="H972" s="2"/>
      <c r="I972" s="2"/>
      <c r="N972" s="113"/>
    </row>
    <row r="973" spans="1:14">
      <c r="A973" s="2"/>
      <c r="B973" s="2"/>
      <c r="C973" s="2"/>
      <c r="D973" s="2"/>
      <c r="E973" s="2"/>
      <c r="F973" s="2"/>
      <c r="G973" s="2"/>
      <c r="H973" s="2"/>
      <c r="I973" s="2"/>
      <c r="N973" s="113"/>
    </row>
    <row r="974" spans="1:14">
      <c r="A974" s="2"/>
      <c r="B974" s="2"/>
      <c r="C974" s="2"/>
      <c r="D974" s="2"/>
      <c r="E974" s="2"/>
      <c r="F974" s="2"/>
      <c r="G974" s="2"/>
      <c r="H974" s="2"/>
      <c r="I974" s="2"/>
      <c r="N974" s="113"/>
    </row>
    <row r="975" spans="1:14">
      <c r="A975" s="2"/>
      <c r="B975" s="2"/>
      <c r="C975" s="2"/>
      <c r="D975" s="2"/>
      <c r="E975" s="2"/>
      <c r="F975" s="2"/>
      <c r="G975" s="2"/>
      <c r="H975" s="2"/>
      <c r="I975" s="2"/>
      <c r="N975" s="113"/>
    </row>
    <row r="976" spans="1:14">
      <c r="A976" s="2"/>
      <c r="B976" s="2"/>
      <c r="C976" s="2"/>
      <c r="D976" s="2"/>
      <c r="E976" s="2"/>
      <c r="F976" s="2"/>
      <c r="G976" s="2"/>
      <c r="H976" s="2"/>
      <c r="I976" s="2"/>
      <c r="N976" s="113"/>
    </row>
    <row r="977" spans="1:14">
      <c r="A977" s="2"/>
      <c r="B977" s="2"/>
      <c r="C977" s="2"/>
      <c r="D977" s="2"/>
      <c r="E977" s="2"/>
      <c r="F977" s="2"/>
      <c r="G977" s="2"/>
      <c r="H977" s="2"/>
      <c r="I977" s="2"/>
      <c r="N977" s="113"/>
    </row>
    <row r="978" spans="1:14">
      <c r="A978" s="2"/>
      <c r="B978" s="2"/>
      <c r="C978" s="2"/>
      <c r="D978" s="2"/>
      <c r="E978" s="2"/>
      <c r="F978" s="2"/>
      <c r="G978" s="2"/>
      <c r="H978" s="2"/>
      <c r="I978" s="2"/>
      <c r="N978" s="113"/>
    </row>
    <row r="979" spans="1:14">
      <c r="A979" s="2"/>
      <c r="B979" s="2"/>
      <c r="C979" s="2"/>
      <c r="D979" s="2"/>
      <c r="E979" s="2"/>
      <c r="F979" s="2"/>
      <c r="G979" s="2"/>
      <c r="H979" s="2"/>
      <c r="I979" s="2"/>
      <c r="N979" s="113"/>
    </row>
    <row r="980" spans="1:14">
      <c r="A980" s="2"/>
      <c r="B980" s="2"/>
      <c r="C980" s="2"/>
      <c r="D980" s="2"/>
      <c r="E980" s="2"/>
      <c r="F980" s="2"/>
      <c r="G980" s="2"/>
      <c r="H980" s="2"/>
      <c r="I980" s="2"/>
      <c r="N980" s="113"/>
    </row>
    <row r="981" spans="1:14">
      <c r="A981" s="2"/>
      <c r="B981" s="2"/>
      <c r="C981" s="2"/>
      <c r="D981" s="2"/>
      <c r="E981" s="2"/>
      <c r="F981" s="2"/>
      <c r="G981" s="2"/>
      <c r="H981" s="2"/>
      <c r="I981" s="2"/>
      <c r="N981" s="113"/>
    </row>
    <row r="982" spans="1:14">
      <c r="A982" s="2"/>
      <c r="B982" s="2"/>
      <c r="C982" s="2"/>
      <c r="D982" s="2"/>
      <c r="E982" s="2"/>
      <c r="F982" s="2"/>
      <c r="G982" s="2"/>
      <c r="H982" s="2"/>
      <c r="I982" s="2"/>
      <c r="N982" s="113"/>
    </row>
    <row r="983" spans="1:14">
      <c r="A983" s="2"/>
      <c r="B983" s="2"/>
      <c r="C983" s="2"/>
      <c r="D983" s="2"/>
      <c r="E983" s="2"/>
      <c r="F983" s="2"/>
      <c r="G983" s="2"/>
      <c r="H983" s="2"/>
      <c r="I983" s="2"/>
      <c r="N983" s="113"/>
    </row>
    <row r="984" spans="1:14">
      <c r="A984" s="2"/>
      <c r="B984" s="2"/>
      <c r="C984" s="2"/>
      <c r="D984" s="2"/>
      <c r="E984" s="2"/>
      <c r="F984" s="2"/>
      <c r="G984" s="2"/>
      <c r="H984" s="2"/>
      <c r="I984" s="2"/>
      <c r="N984" s="113"/>
    </row>
    <row r="985" spans="1:14">
      <c r="A985" s="2"/>
      <c r="B985" s="2"/>
      <c r="C985" s="2"/>
      <c r="D985" s="2"/>
      <c r="E985" s="2"/>
      <c r="F985" s="2"/>
      <c r="G985" s="2"/>
      <c r="H985" s="2"/>
      <c r="I985" s="2"/>
      <c r="N985" s="113"/>
    </row>
    <row r="986" spans="1:14">
      <c r="A986" s="2"/>
      <c r="B986" s="2"/>
      <c r="C986" s="2"/>
      <c r="D986" s="2"/>
      <c r="E986" s="2"/>
      <c r="F986" s="2"/>
      <c r="G986" s="2"/>
      <c r="H986" s="2"/>
      <c r="I986" s="2"/>
      <c r="N986" s="113"/>
    </row>
    <row r="987" spans="1:14">
      <c r="A987" s="2"/>
      <c r="B987" s="2"/>
      <c r="C987" s="2"/>
      <c r="D987" s="2"/>
      <c r="E987" s="2"/>
      <c r="F987" s="2"/>
      <c r="G987" s="2"/>
      <c r="H987" s="2"/>
      <c r="I987" s="2"/>
      <c r="N987" s="113"/>
    </row>
    <row r="988" spans="1:14">
      <c r="A988" s="2"/>
      <c r="B988" s="2"/>
      <c r="C988" s="2"/>
      <c r="D988" s="2"/>
      <c r="E988" s="2"/>
      <c r="F988" s="2"/>
      <c r="G988" s="2"/>
      <c r="H988" s="2"/>
      <c r="I988" s="2"/>
      <c r="N988" s="113"/>
    </row>
    <row r="989" spans="1:14">
      <c r="A989" s="2"/>
      <c r="B989" s="2"/>
      <c r="C989" s="2"/>
      <c r="D989" s="2"/>
      <c r="E989" s="2"/>
      <c r="F989" s="2"/>
      <c r="G989" s="2"/>
      <c r="H989" s="2"/>
      <c r="I989" s="2"/>
      <c r="N989" s="113"/>
    </row>
    <row r="990" spans="1:14">
      <c r="A990" s="2"/>
      <c r="B990" s="2"/>
      <c r="C990" s="2"/>
      <c r="D990" s="2"/>
      <c r="E990" s="2"/>
      <c r="F990" s="2"/>
      <c r="G990" s="2"/>
      <c r="H990" s="2"/>
      <c r="I990" s="2"/>
      <c r="N990" s="113"/>
    </row>
    <row r="991" spans="1:14">
      <c r="A991" s="2"/>
      <c r="B991" s="2"/>
      <c r="C991" s="2"/>
      <c r="D991" s="2"/>
      <c r="E991" s="2"/>
      <c r="F991" s="2"/>
      <c r="G991" s="2"/>
      <c r="H991" s="2"/>
      <c r="I991" s="2"/>
      <c r="N991" s="113"/>
    </row>
    <row r="992" spans="1:14">
      <c r="A992" s="2"/>
      <c r="B992" s="2"/>
      <c r="C992" s="2"/>
      <c r="D992" s="2"/>
      <c r="E992" s="2"/>
      <c r="F992" s="2"/>
      <c r="G992" s="2"/>
      <c r="H992" s="2"/>
      <c r="I992" s="2"/>
      <c r="N992" s="113"/>
    </row>
    <row r="993" spans="1:14">
      <c r="A993" s="2"/>
      <c r="B993" s="2"/>
      <c r="C993" s="2"/>
      <c r="D993" s="2"/>
      <c r="E993" s="2"/>
      <c r="F993" s="2"/>
      <c r="G993" s="2"/>
      <c r="H993" s="2"/>
      <c r="I993" s="2"/>
      <c r="N993" s="113"/>
    </row>
    <row r="994" spans="1:14">
      <c r="A994" s="2"/>
      <c r="B994" s="2"/>
      <c r="C994" s="2"/>
      <c r="D994" s="2"/>
      <c r="E994" s="2"/>
      <c r="F994" s="2"/>
      <c r="G994" s="2"/>
      <c r="H994" s="2"/>
      <c r="I994" s="2"/>
      <c r="N994" s="113"/>
    </row>
    <row r="995" spans="1:14">
      <c r="A995" s="2"/>
      <c r="B995" s="2"/>
      <c r="C995" s="2"/>
      <c r="D995" s="2"/>
      <c r="E995" s="2"/>
      <c r="F995" s="2"/>
      <c r="G995" s="2"/>
      <c r="H995" s="2"/>
      <c r="I995" s="2"/>
      <c r="N995" s="113"/>
    </row>
    <row r="996" spans="1:14">
      <c r="A996" s="2"/>
      <c r="B996" s="2"/>
      <c r="C996" s="2"/>
      <c r="D996" s="2"/>
      <c r="E996" s="2"/>
      <c r="F996" s="2"/>
      <c r="G996" s="2"/>
      <c r="H996" s="2"/>
      <c r="I996" s="2"/>
      <c r="N996" s="113"/>
    </row>
    <row r="997" spans="1:14">
      <c r="A997" s="2"/>
      <c r="B997" s="2"/>
      <c r="C997" s="2"/>
      <c r="D997" s="2"/>
      <c r="E997" s="2"/>
      <c r="F997" s="2"/>
      <c r="G997" s="2"/>
      <c r="H997" s="2"/>
      <c r="I997" s="2"/>
      <c r="N997" s="113"/>
    </row>
    <row r="998" spans="1:14">
      <c r="A998" s="2"/>
      <c r="B998" s="2"/>
      <c r="C998" s="2"/>
      <c r="D998" s="2"/>
      <c r="E998" s="2"/>
      <c r="F998" s="2"/>
      <c r="G998" s="2"/>
      <c r="H998" s="2"/>
      <c r="I998" s="2"/>
      <c r="N998" s="113"/>
    </row>
    <row r="999" spans="1:14">
      <c r="A999" s="2"/>
      <c r="B999" s="2"/>
      <c r="C999" s="2"/>
      <c r="D999" s="2"/>
      <c r="E999" s="2"/>
      <c r="F999" s="2"/>
      <c r="G999" s="2"/>
      <c r="H999" s="2"/>
      <c r="I999" s="2"/>
      <c r="N999" s="113"/>
    </row>
    <row r="1000" spans="1:14">
      <c r="A1000" s="2"/>
      <c r="B1000" s="2"/>
      <c r="C1000" s="2"/>
      <c r="D1000" s="2"/>
      <c r="E1000" s="2"/>
      <c r="F1000" s="2"/>
      <c r="G1000" s="2"/>
      <c r="H1000" s="2"/>
      <c r="I1000" s="2"/>
      <c r="N1000" s="113"/>
    </row>
    <row r="1001" spans="1:14">
      <c r="A1001" s="2"/>
      <c r="B1001" s="2"/>
      <c r="C1001" s="2"/>
      <c r="D1001" s="2"/>
      <c r="E1001" s="2"/>
      <c r="F1001" s="2"/>
      <c r="G1001" s="2"/>
      <c r="H1001" s="2"/>
      <c r="I1001" s="2"/>
      <c r="N1001" s="113"/>
    </row>
    <row r="1002" spans="1:14">
      <c r="A1002" s="2"/>
      <c r="B1002" s="2"/>
      <c r="C1002" s="2"/>
      <c r="D1002" s="2"/>
      <c r="E1002" s="2"/>
      <c r="F1002" s="2"/>
      <c r="G1002" s="2"/>
      <c r="H1002" s="2"/>
      <c r="I1002" s="2"/>
      <c r="N1002" s="113"/>
    </row>
    <row r="1003" spans="1:14">
      <c r="A1003" s="2"/>
      <c r="B1003" s="2"/>
      <c r="C1003" s="2"/>
      <c r="D1003" s="2"/>
      <c r="E1003" s="2"/>
      <c r="F1003" s="2"/>
      <c r="G1003" s="2"/>
      <c r="H1003" s="2"/>
      <c r="I1003" s="2"/>
      <c r="N1003" s="113"/>
    </row>
    <row r="1004" spans="1:14">
      <c r="A1004" s="2"/>
      <c r="B1004" s="2"/>
      <c r="C1004" s="2"/>
      <c r="D1004" s="2"/>
      <c r="E1004" s="2"/>
      <c r="F1004" s="2"/>
      <c r="G1004" s="2"/>
      <c r="H1004" s="2"/>
      <c r="I1004" s="2"/>
      <c r="N1004" s="113"/>
    </row>
    <row r="1005" spans="1:14">
      <c r="A1005" s="2"/>
      <c r="B1005" s="2"/>
      <c r="C1005" s="2"/>
      <c r="D1005" s="2"/>
      <c r="E1005" s="2"/>
      <c r="F1005" s="2"/>
      <c r="G1005" s="2"/>
      <c r="H1005" s="2"/>
      <c r="I1005" s="2"/>
      <c r="N1005" s="113"/>
    </row>
    <row r="1006" spans="1:14">
      <c r="A1006" s="2"/>
      <c r="B1006" s="2"/>
      <c r="C1006" s="2"/>
      <c r="D1006" s="2"/>
      <c r="E1006" s="2"/>
      <c r="F1006" s="2"/>
      <c r="G1006" s="2"/>
      <c r="H1006" s="2"/>
      <c r="I1006" s="2"/>
      <c r="N1006" s="113"/>
    </row>
    <row r="1007" spans="1:14">
      <c r="A1007" s="2"/>
      <c r="B1007" s="2"/>
      <c r="C1007" s="2"/>
      <c r="D1007" s="2"/>
      <c r="E1007" s="2"/>
      <c r="F1007" s="2"/>
      <c r="G1007" s="2"/>
      <c r="H1007" s="2"/>
      <c r="I1007" s="2"/>
      <c r="N1007" s="113"/>
    </row>
    <row r="1008" spans="1:14">
      <c r="A1008" s="2"/>
      <c r="B1008" s="2"/>
      <c r="C1008" s="2"/>
      <c r="D1008" s="2"/>
      <c r="E1008" s="2"/>
      <c r="F1008" s="2"/>
      <c r="G1008" s="2"/>
      <c r="H1008" s="2"/>
      <c r="I1008" s="2"/>
      <c r="N1008" s="113"/>
    </row>
    <row r="1009" spans="1:14">
      <c r="A1009" s="2"/>
      <c r="B1009" s="2"/>
      <c r="C1009" s="2"/>
      <c r="D1009" s="2"/>
      <c r="E1009" s="2"/>
      <c r="F1009" s="2"/>
      <c r="G1009" s="2"/>
      <c r="H1009" s="2"/>
      <c r="I1009" s="2"/>
      <c r="N1009" s="113"/>
    </row>
    <row r="1010" spans="1:14">
      <c r="A1010" s="2"/>
      <c r="B1010" s="2"/>
      <c r="C1010" s="2"/>
      <c r="D1010" s="2"/>
      <c r="E1010" s="2"/>
      <c r="F1010" s="2"/>
      <c r="G1010" s="2"/>
      <c r="H1010" s="2"/>
      <c r="I1010" s="2"/>
      <c r="N1010" s="113"/>
    </row>
    <row r="1011" spans="1:14">
      <c r="A1011" s="2"/>
      <c r="B1011" s="2"/>
      <c r="C1011" s="2"/>
      <c r="D1011" s="2"/>
      <c r="E1011" s="2"/>
      <c r="F1011" s="2"/>
      <c r="G1011" s="2"/>
      <c r="H1011" s="2"/>
      <c r="I1011" s="2"/>
      <c r="N1011" s="113"/>
    </row>
    <row r="1012" spans="1:14">
      <c r="A1012" s="2"/>
      <c r="B1012" s="2"/>
      <c r="C1012" s="2"/>
      <c r="D1012" s="2"/>
      <c r="E1012" s="2"/>
      <c r="F1012" s="2"/>
      <c r="G1012" s="2"/>
      <c r="H1012" s="2"/>
      <c r="I1012" s="2"/>
      <c r="N1012" s="113"/>
    </row>
    <row r="1013" spans="1:14">
      <c r="A1013" s="2"/>
      <c r="B1013" s="2"/>
      <c r="C1013" s="2"/>
      <c r="D1013" s="2"/>
      <c r="E1013" s="2"/>
      <c r="F1013" s="2"/>
      <c r="G1013" s="2"/>
      <c r="H1013" s="2"/>
      <c r="I1013" s="2"/>
      <c r="N1013" s="113"/>
    </row>
    <row r="1014" spans="1:14">
      <c r="A1014" s="2"/>
      <c r="B1014" s="2"/>
      <c r="C1014" s="2"/>
      <c r="D1014" s="2"/>
      <c r="E1014" s="2"/>
      <c r="F1014" s="2"/>
      <c r="G1014" s="2"/>
      <c r="H1014" s="2"/>
      <c r="I1014" s="2"/>
      <c r="N1014" s="113"/>
    </row>
    <row r="1015" spans="1:14">
      <c r="A1015" s="2"/>
      <c r="B1015" s="2"/>
      <c r="C1015" s="2"/>
      <c r="D1015" s="2"/>
      <c r="E1015" s="2"/>
      <c r="F1015" s="2"/>
      <c r="G1015" s="2"/>
      <c r="H1015" s="2"/>
      <c r="I1015" s="2"/>
      <c r="N1015" s="113"/>
    </row>
    <row r="1016" spans="1:14">
      <c r="A1016" s="2"/>
      <c r="B1016" s="2"/>
      <c r="C1016" s="2"/>
      <c r="D1016" s="2"/>
      <c r="E1016" s="2"/>
      <c r="F1016" s="2"/>
      <c r="G1016" s="2"/>
      <c r="H1016" s="2"/>
      <c r="I1016" s="2"/>
      <c r="N1016" s="113"/>
    </row>
    <row r="1017" spans="1:14">
      <c r="A1017" s="2"/>
      <c r="B1017" s="2"/>
      <c r="C1017" s="2"/>
      <c r="D1017" s="2"/>
      <c r="E1017" s="2"/>
      <c r="F1017" s="2"/>
      <c r="G1017" s="2"/>
      <c r="H1017" s="2"/>
      <c r="I1017" s="2"/>
      <c r="N1017" s="113"/>
    </row>
    <row r="1018" spans="1:14">
      <c r="A1018" s="2"/>
      <c r="B1018" s="2"/>
      <c r="C1018" s="2"/>
      <c r="D1018" s="2"/>
      <c r="E1018" s="2"/>
      <c r="F1018" s="2"/>
      <c r="G1018" s="2"/>
      <c r="H1018" s="2"/>
      <c r="I1018" s="2"/>
      <c r="N1018" s="113"/>
    </row>
    <row r="1019" spans="1:14">
      <c r="A1019" s="2"/>
      <c r="B1019" s="2"/>
      <c r="C1019" s="2"/>
      <c r="D1019" s="2"/>
      <c r="E1019" s="2"/>
      <c r="F1019" s="2"/>
      <c r="G1019" s="2"/>
      <c r="H1019" s="2"/>
      <c r="I1019" s="2"/>
      <c r="N1019" s="113"/>
    </row>
    <row r="1020" spans="1:14">
      <c r="A1020" s="2"/>
      <c r="B1020" s="2"/>
      <c r="C1020" s="2"/>
      <c r="D1020" s="2"/>
      <c r="E1020" s="2"/>
      <c r="F1020" s="2"/>
      <c r="G1020" s="2"/>
      <c r="H1020" s="2"/>
      <c r="I1020" s="2"/>
      <c r="N1020" s="113"/>
    </row>
    <row r="1021" spans="1:14">
      <c r="A1021" s="2"/>
      <c r="B1021" s="2"/>
      <c r="C1021" s="2"/>
      <c r="D1021" s="2"/>
      <c r="E1021" s="2"/>
      <c r="F1021" s="2"/>
      <c r="G1021" s="2"/>
      <c r="H1021" s="2"/>
      <c r="I1021" s="2"/>
      <c r="N1021" s="113"/>
    </row>
    <row r="1022" spans="1:14">
      <c r="A1022" s="2"/>
      <c r="B1022" s="2"/>
      <c r="C1022" s="2"/>
      <c r="D1022" s="2"/>
      <c r="E1022" s="2"/>
      <c r="F1022" s="2"/>
      <c r="G1022" s="2"/>
      <c r="H1022" s="2"/>
      <c r="I1022" s="2"/>
      <c r="N1022" s="113"/>
    </row>
    <row r="1023" spans="1:14">
      <c r="A1023" s="2"/>
      <c r="B1023" s="2"/>
      <c r="C1023" s="2"/>
      <c r="D1023" s="2"/>
      <c r="E1023" s="2"/>
      <c r="F1023" s="2"/>
      <c r="G1023" s="2"/>
      <c r="H1023" s="2"/>
      <c r="I1023" s="2"/>
      <c r="N1023" s="113"/>
    </row>
    <row r="1024" spans="1:14">
      <c r="A1024" s="2"/>
      <c r="B1024" s="2"/>
      <c r="C1024" s="2"/>
      <c r="D1024" s="2"/>
      <c r="E1024" s="2"/>
      <c r="F1024" s="2"/>
      <c r="G1024" s="2"/>
      <c r="H1024" s="2"/>
      <c r="I1024" s="2"/>
      <c r="N1024" s="113"/>
    </row>
    <row r="1025" spans="14:14">
      <c r="N1025" s="113"/>
    </row>
    <row r="1026" spans="14:14">
      <c r="N1026" s="113"/>
    </row>
    <row r="1027" spans="14:14">
      <c r="N1027" s="113"/>
    </row>
    <row r="1028" spans="14:14">
      <c r="N1028" s="113"/>
    </row>
    <row r="1029" spans="14:14">
      <c r="N1029" s="113"/>
    </row>
    <row r="1030" spans="14:14">
      <c r="N1030" s="113"/>
    </row>
    <row r="1031" spans="14:14">
      <c r="N1031" s="113"/>
    </row>
    <row r="1032" spans="14:14">
      <c r="N1032" s="113"/>
    </row>
    <row r="1033" spans="14:14">
      <c r="N1033" s="113"/>
    </row>
    <row r="1034" spans="14:14">
      <c r="N1034" s="113"/>
    </row>
    <row r="1035" spans="14:14">
      <c r="N1035" s="113"/>
    </row>
    <row r="1036" spans="14:14">
      <c r="N1036" s="113"/>
    </row>
    <row r="1037" spans="14:14">
      <c r="N1037" s="113"/>
    </row>
    <row r="1038" spans="14:14">
      <c r="N1038" s="113"/>
    </row>
    <row r="1039" spans="14:14">
      <c r="N1039" s="113"/>
    </row>
    <row r="1040" spans="14:14">
      <c r="N1040" s="113"/>
    </row>
    <row r="1041" spans="14:14">
      <c r="N1041" s="113"/>
    </row>
    <row r="1042" spans="14:14">
      <c r="N1042" s="113"/>
    </row>
    <row r="1043" spans="14:14">
      <c r="N1043" s="113"/>
    </row>
    <row r="1044" spans="14:14">
      <c r="N1044" s="113"/>
    </row>
    <row r="1045" spans="14:14">
      <c r="N1045" s="113"/>
    </row>
    <row r="1046" spans="14:14">
      <c r="N1046" s="113"/>
    </row>
    <row r="1047" spans="14:14">
      <c r="N1047" s="113"/>
    </row>
    <row r="1048" spans="14:14">
      <c r="N1048" s="113"/>
    </row>
    <row r="1049" spans="14:14">
      <c r="N1049" s="113"/>
    </row>
    <row r="1050" spans="14:14">
      <c r="N1050" s="113"/>
    </row>
    <row r="1051" spans="14:14">
      <c r="N1051" s="113"/>
    </row>
    <row r="1052" spans="14:14">
      <c r="N1052" s="113"/>
    </row>
    <row r="1053" spans="14:14">
      <c r="N1053" s="113"/>
    </row>
    <row r="1054" spans="14:14">
      <c r="N1054" s="113"/>
    </row>
    <row r="1055" spans="14:14">
      <c r="N1055" s="113"/>
    </row>
    <row r="1056" spans="14:14">
      <c r="N1056" s="113"/>
    </row>
    <row r="1057" spans="14:14">
      <c r="N1057" s="113"/>
    </row>
    <row r="1058" spans="14:14">
      <c r="N1058" s="113"/>
    </row>
    <row r="1059" spans="14:14">
      <c r="N1059" s="113"/>
    </row>
    <row r="1060" spans="14:14">
      <c r="N1060" s="113"/>
    </row>
    <row r="1061" spans="14:14">
      <c r="N1061" s="113"/>
    </row>
    <row r="1062" spans="14:14">
      <c r="N1062" s="113"/>
    </row>
    <row r="1063" spans="14:14">
      <c r="N1063" s="113"/>
    </row>
    <row r="1064" spans="14:14">
      <c r="N1064" s="113"/>
    </row>
    <row r="1065" spans="14:14">
      <c r="N1065" s="113"/>
    </row>
    <row r="1066" spans="14:14">
      <c r="N1066" s="113"/>
    </row>
    <row r="1067" spans="14:14">
      <c r="N1067" s="113"/>
    </row>
    <row r="1068" spans="14:14">
      <c r="N1068" s="113"/>
    </row>
    <row r="1069" spans="14:14">
      <c r="N1069" s="113"/>
    </row>
    <row r="1070" spans="14:14">
      <c r="N1070" s="113"/>
    </row>
    <row r="1071" spans="14:14">
      <c r="N1071" s="113"/>
    </row>
    <row r="1072" spans="14:14">
      <c r="N1072" s="113"/>
    </row>
    <row r="1073" spans="14:14">
      <c r="N1073" s="113"/>
    </row>
    <row r="1074" spans="14:14">
      <c r="N1074" s="113"/>
    </row>
    <row r="1075" spans="14:14">
      <c r="N1075" s="113"/>
    </row>
    <row r="1076" spans="14:14">
      <c r="N1076" s="113"/>
    </row>
    <row r="1077" spans="14:14">
      <c r="N1077" s="113"/>
    </row>
    <row r="1078" spans="14:14">
      <c r="N1078" s="113"/>
    </row>
    <row r="1079" spans="14:14">
      <c r="N1079" s="113"/>
    </row>
    <row r="1080" spans="14:14">
      <c r="N1080" s="113"/>
    </row>
    <row r="1081" spans="14:14">
      <c r="N1081" s="113"/>
    </row>
    <row r="1082" spans="14:14">
      <c r="N1082" s="113"/>
    </row>
    <row r="1083" spans="14:14">
      <c r="N1083" s="113"/>
    </row>
    <row r="1084" spans="14:14">
      <c r="N1084" s="113"/>
    </row>
    <row r="1085" spans="14:14">
      <c r="N1085" s="113"/>
    </row>
    <row r="1086" spans="14:14">
      <c r="N1086" s="113"/>
    </row>
    <row r="1087" spans="14:14">
      <c r="N1087" s="113"/>
    </row>
    <row r="1088" spans="14:14">
      <c r="N1088" s="113"/>
    </row>
    <row r="1089" spans="14:14">
      <c r="N1089" s="113"/>
    </row>
    <row r="1090" spans="14:14">
      <c r="N1090" s="113"/>
    </row>
    <row r="1091" spans="14:14">
      <c r="N1091" s="113"/>
    </row>
    <row r="1092" spans="14:14">
      <c r="N1092" s="113"/>
    </row>
    <row r="1093" spans="14:14">
      <c r="N1093" s="113"/>
    </row>
    <row r="1094" spans="14:14">
      <c r="N1094" s="113"/>
    </row>
    <row r="1095" spans="14:14">
      <c r="N1095" s="113"/>
    </row>
    <row r="1096" spans="14:14">
      <c r="N1096" s="113"/>
    </row>
    <row r="1097" spans="14:14">
      <c r="N1097" s="113"/>
    </row>
    <row r="1098" spans="14:14">
      <c r="N1098" s="113"/>
    </row>
    <row r="1099" spans="14:14">
      <c r="N1099" s="113"/>
    </row>
    <row r="1100" spans="14:14">
      <c r="N1100" s="113"/>
    </row>
    <row r="1101" spans="14:14">
      <c r="N1101" s="113"/>
    </row>
    <row r="1102" spans="14:14">
      <c r="N1102" s="113"/>
    </row>
    <row r="1103" spans="14:14">
      <c r="N1103" s="113"/>
    </row>
    <row r="1104" spans="14:14">
      <c r="N1104" s="113"/>
    </row>
    <row r="1105" spans="14:14">
      <c r="N1105" s="113"/>
    </row>
    <row r="1106" spans="14:14">
      <c r="N1106" s="113"/>
    </row>
    <row r="1107" spans="14:14">
      <c r="N1107" s="113"/>
    </row>
    <row r="1108" spans="14:14">
      <c r="N1108" s="113"/>
    </row>
    <row r="1109" spans="14:14">
      <c r="N1109" s="113"/>
    </row>
    <row r="1110" spans="14:14">
      <c r="N1110" s="113"/>
    </row>
    <row r="1111" spans="14:14">
      <c r="N1111" s="113"/>
    </row>
    <row r="1112" spans="14:14">
      <c r="N1112" s="113"/>
    </row>
    <row r="1113" spans="14:14">
      <c r="N1113" s="113"/>
    </row>
    <row r="1114" spans="14:14">
      <c r="N1114" s="113"/>
    </row>
    <row r="1115" spans="14:14">
      <c r="N1115" s="113"/>
    </row>
    <row r="1116" spans="14:14">
      <c r="N1116" s="113"/>
    </row>
    <row r="1117" spans="14:14">
      <c r="N1117" s="113"/>
    </row>
    <row r="1118" spans="14:14">
      <c r="N1118" s="113"/>
    </row>
    <row r="1119" spans="14:14">
      <c r="N1119" s="113"/>
    </row>
    <row r="1120" spans="14:14">
      <c r="N1120" s="113"/>
    </row>
    <row r="1121" spans="14:14">
      <c r="N1121" s="113"/>
    </row>
    <row r="1122" spans="14:14">
      <c r="N1122" s="113"/>
    </row>
    <row r="1123" spans="14:14">
      <c r="N1123" s="113"/>
    </row>
    <row r="1124" spans="14:14">
      <c r="N1124" s="113"/>
    </row>
    <row r="1125" spans="14:14">
      <c r="N1125" s="113"/>
    </row>
    <row r="1126" spans="14:14">
      <c r="N1126" s="113"/>
    </row>
    <row r="1127" spans="14:14">
      <c r="N1127" s="113"/>
    </row>
    <row r="1128" spans="14:14">
      <c r="N1128" s="113"/>
    </row>
    <row r="1129" spans="14:14">
      <c r="N1129" s="113"/>
    </row>
    <row r="1130" spans="14:14">
      <c r="N1130" s="113"/>
    </row>
    <row r="1131" spans="14:14">
      <c r="N1131" s="113"/>
    </row>
    <row r="1132" spans="14:14">
      <c r="N1132" s="113"/>
    </row>
    <row r="1133" spans="14:14">
      <c r="N1133" s="113"/>
    </row>
    <row r="1134" spans="14:14">
      <c r="N1134" s="113"/>
    </row>
    <row r="1135" spans="14:14">
      <c r="N1135" s="113"/>
    </row>
    <row r="1136" spans="14:14">
      <c r="N1136" s="113"/>
    </row>
    <row r="1137" spans="14:14">
      <c r="N1137" s="113"/>
    </row>
    <row r="1138" spans="14:14">
      <c r="N1138" s="113"/>
    </row>
    <row r="1139" spans="14:14">
      <c r="N1139" s="113"/>
    </row>
    <row r="1140" spans="14:14">
      <c r="N1140" s="113"/>
    </row>
    <row r="1141" spans="14:14">
      <c r="N1141" s="113"/>
    </row>
    <row r="1142" spans="14:14">
      <c r="N1142" s="113"/>
    </row>
    <row r="1143" spans="14:14">
      <c r="N1143" s="113"/>
    </row>
    <row r="1144" spans="14:14">
      <c r="N1144" s="113"/>
    </row>
    <row r="1145" spans="14:14">
      <c r="N1145" s="113"/>
    </row>
    <row r="1146" spans="14:14">
      <c r="N1146" s="113"/>
    </row>
    <row r="1147" spans="14:14">
      <c r="N1147" s="113"/>
    </row>
    <row r="1148" spans="14:14">
      <c r="N1148" s="113"/>
    </row>
    <row r="1149" spans="14:14">
      <c r="N1149" s="113"/>
    </row>
    <row r="1150" spans="14:14">
      <c r="N1150" s="113"/>
    </row>
    <row r="1151" spans="14:14">
      <c r="N1151" s="113"/>
    </row>
    <row r="1152" spans="14:14">
      <c r="N1152" s="113"/>
    </row>
    <row r="1153" spans="14:14">
      <c r="N1153" s="113"/>
    </row>
    <row r="1154" spans="14:14">
      <c r="N1154" s="113"/>
    </row>
    <row r="1155" spans="14:14">
      <c r="N1155" s="113"/>
    </row>
    <row r="1156" spans="14:14">
      <c r="N1156" s="113"/>
    </row>
    <row r="1157" spans="14:14">
      <c r="N1157" s="113"/>
    </row>
    <row r="1158" spans="14:14">
      <c r="N1158" s="113"/>
    </row>
    <row r="1159" spans="14:14">
      <c r="N1159" s="113"/>
    </row>
    <row r="1160" spans="14:14">
      <c r="N1160" s="113"/>
    </row>
    <row r="1161" spans="14:14">
      <c r="N1161" s="113"/>
    </row>
    <row r="1162" spans="14:14">
      <c r="N1162" s="113"/>
    </row>
    <row r="1163" spans="14:14">
      <c r="N1163" s="113"/>
    </row>
    <row r="1164" spans="14:14">
      <c r="N1164" s="113"/>
    </row>
    <row r="1165" spans="14:14">
      <c r="N1165" s="113"/>
    </row>
    <row r="1166" spans="14:14">
      <c r="N1166" s="113"/>
    </row>
    <row r="1167" spans="14:14">
      <c r="N1167" s="113"/>
    </row>
    <row r="1168" spans="14:14">
      <c r="N1168" s="113"/>
    </row>
    <row r="1169" spans="14:14">
      <c r="N1169" s="113"/>
    </row>
    <row r="1170" spans="14:14">
      <c r="N1170" s="113"/>
    </row>
    <row r="1171" spans="14:14">
      <c r="N1171" s="113"/>
    </row>
    <row r="1172" spans="14:14">
      <c r="N1172" s="113"/>
    </row>
    <row r="1173" spans="14:14">
      <c r="N1173" s="113"/>
    </row>
    <row r="1174" spans="14:14">
      <c r="N1174" s="113"/>
    </row>
    <row r="1175" spans="14:14">
      <c r="N1175" s="113"/>
    </row>
    <row r="1176" spans="14:14">
      <c r="N1176" s="113"/>
    </row>
    <row r="1177" spans="14:14">
      <c r="N1177" s="113"/>
    </row>
    <row r="1178" spans="14:14">
      <c r="N1178" s="113"/>
    </row>
    <row r="1179" spans="14:14">
      <c r="N1179" s="113"/>
    </row>
    <row r="1180" spans="14:14">
      <c r="N1180" s="113"/>
    </row>
    <row r="1181" spans="14:14">
      <c r="N1181" s="113"/>
    </row>
    <row r="1182" spans="14:14">
      <c r="N1182" s="113"/>
    </row>
    <row r="1183" spans="14:14">
      <c r="N1183" s="113"/>
    </row>
    <row r="1184" spans="14:14">
      <c r="N1184" s="113"/>
    </row>
    <row r="1185" spans="14:14">
      <c r="N1185" s="113"/>
    </row>
    <row r="1186" spans="14:14">
      <c r="N1186" s="113"/>
    </row>
    <row r="1187" spans="14:14">
      <c r="N1187" s="113"/>
    </row>
    <row r="1188" spans="14:14">
      <c r="N1188" s="113"/>
    </row>
    <row r="1189" spans="14:14">
      <c r="N1189" s="113"/>
    </row>
    <row r="1190" spans="14:14">
      <c r="N1190" s="113"/>
    </row>
    <row r="1191" spans="14:14">
      <c r="N1191" s="113"/>
    </row>
    <row r="1192" spans="14:14">
      <c r="N1192" s="113"/>
    </row>
    <row r="1193" spans="14:14">
      <c r="N1193" s="113"/>
    </row>
    <row r="1194" spans="14:14">
      <c r="N1194" s="113"/>
    </row>
    <row r="1195" spans="14:14">
      <c r="N1195" s="113"/>
    </row>
    <row r="1196" spans="14:14">
      <c r="N1196" s="113"/>
    </row>
    <row r="1197" spans="14:14">
      <c r="N1197" s="113"/>
    </row>
    <row r="1198" spans="14:14">
      <c r="N1198" s="113"/>
    </row>
    <row r="1199" spans="14:14">
      <c r="N1199" s="113"/>
    </row>
    <row r="1200" spans="14:14">
      <c r="N1200" s="113"/>
    </row>
    <row r="1201" spans="14:14">
      <c r="N1201" s="113"/>
    </row>
    <row r="1202" spans="14:14">
      <c r="N1202" s="113"/>
    </row>
    <row r="1203" spans="14:14">
      <c r="N1203" s="113"/>
    </row>
    <row r="1204" spans="14:14">
      <c r="N1204" s="113"/>
    </row>
    <row r="1205" spans="14:14">
      <c r="N1205" s="113"/>
    </row>
    <row r="1206" spans="14:14">
      <c r="N1206" s="113"/>
    </row>
    <row r="1207" spans="14:14">
      <c r="N1207" s="113"/>
    </row>
    <row r="1208" spans="14:14">
      <c r="N1208" s="113"/>
    </row>
    <row r="1209" spans="14:14">
      <c r="N1209" s="113"/>
    </row>
    <row r="1210" spans="14:14">
      <c r="N1210" s="113"/>
    </row>
    <row r="1211" spans="14:14">
      <c r="N1211" s="113"/>
    </row>
    <row r="1212" spans="14:14">
      <c r="N1212" s="113"/>
    </row>
    <row r="1213" spans="14:14">
      <c r="N1213" s="113"/>
    </row>
    <row r="1214" spans="14:14">
      <c r="N1214" s="113"/>
    </row>
    <row r="1215" spans="14:14">
      <c r="N1215" s="113"/>
    </row>
    <row r="1216" spans="14:14">
      <c r="N1216" s="113"/>
    </row>
    <row r="1217" spans="14:14">
      <c r="N1217" s="113"/>
    </row>
    <row r="1218" spans="14:14">
      <c r="N1218" s="113"/>
    </row>
    <row r="1219" spans="14:14">
      <c r="N1219" s="113"/>
    </row>
    <row r="1220" spans="14:14">
      <c r="N1220" s="113"/>
    </row>
    <row r="1221" spans="14:14">
      <c r="N1221" s="113"/>
    </row>
    <row r="1222" spans="14:14">
      <c r="N1222" s="113"/>
    </row>
    <row r="1223" spans="14:14">
      <c r="N1223" s="113"/>
    </row>
    <row r="1224" spans="14:14">
      <c r="N1224" s="113"/>
    </row>
    <row r="1225" spans="14:14">
      <c r="N1225" s="113"/>
    </row>
    <row r="1226" spans="14:14">
      <c r="N1226" s="113"/>
    </row>
    <row r="1227" spans="14:14">
      <c r="N1227" s="113"/>
    </row>
    <row r="1228" spans="14:14">
      <c r="N1228" s="113"/>
    </row>
    <row r="1229" spans="14:14">
      <c r="N1229" s="113"/>
    </row>
    <row r="1230" spans="14:14">
      <c r="N1230" s="113"/>
    </row>
    <row r="1231" spans="14:14">
      <c r="N1231" s="113"/>
    </row>
    <row r="1232" spans="14:14">
      <c r="N1232" s="113"/>
    </row>
    <row r="1233" spans="14:14">
      <c r="N1233" s="113"/>
    </row>
    <row r="1234" spans="14:14">
      <c r="N1234" s="113"/>
    </row>
    <row r="1235" spans="14:14">
      <c r="N1235" s="113"/>
    </row>
    <row r="1236" spans="14:14">
      <c r="N1236" s="113"/>
    </row>
    <row r="1237" spans="14:14">
      <c r="N1237" s="113"/>
    </row>
    <row r="1238" spans="14:14">
      <c r="N1238" s="113"/>
    </row>
    <row r="1239" spans="14:14">
      <c r="N1239" s="113"/>
    </row>
    <row r="1240" spans="14:14">
      <c r="N1240" s="113"/>
    </row>
    <row r="1241" spans="14:14">
      <c r="N1241" s="113"/>
    </row>
    <row r="1242" spans="14:14">
      <c r="N1242" s="113"/>
    </row>
    <row r="1243" spans="14:14">
      <c r="N1243" s="113"/>
    </row>
    <row r="1244" spans="14:14">
      <c r="N1244" s="113"/>
    </row>
    <row r="1245" spans="14:14">
      <c r="N1245" s="113"/>
    </row>
    <row r="1246" spans="14:14">
      <c r="N1246" s="113"/>
    </row>
    <row r="1247" spans="14:14">
      <c r="N1247" s="113"/>
    </row>
    <row r="1248" spans="14:14">
      <c r="N1248" s="113"/>
    </row>
    <row r="1249" spans="14:14">
      <c r="N1249" s="113"/>
    </row>
    <row r="1250" spans="14:14">
      <c r="N1250" s="113"/>
    </row>
    <row r="1251" spans="14:14">
      <c r="N1251" s="113"/>
    </row>
    <row r="1252" spans="14:14">
      <c r="N1252" s="113"/>
    </row>
    <row r="1253" spans="14:14">
      <c r="N1253" s="113"/>
    </row>
    <row r="1254" spans="14:14">
      <c r="N1254" s="113"/>
    </row>
    <row r="1255" spans="14:14">
      <c r="N1255" s="113"/>
    </row>
    <row r="1256" spans="14:14">
      <c r="N1256" s="113"/>
    </row>
    <row r="1257" spans="14:14">
      <c r="N1257" s="113"/>
    </row>
    <row r="1258" spans="14:14">
      <c r="N1258" s="113"/>
    </row>
    <row r="1259" spans="14:14">
      <c r="N1259" s="113"/>
    </row>
    <row r="1260" spans="14:14">
      <c r="N1260" s="113"/>
    </row>
    <row r="1261" spans="14:14">
      <c r="N1261" s="113"/>
    </row>
    <row r="1262" spans="14:14">
      <c r="N1262" s="113"/>
    </row>
    <row r="1263" spans="14:14">
      <c r="N1263" s="113"/>
    </row>
    <row r="1264" spans="14:14">
      <c r="N1264" s="113"/>
    </row>
    <row r="1265" spans="14:14">
      <c r="N1265" s="113"/>
    </row>
    <row r="1266" spans="14:14">
      <c r="N1266" s="113"/>
    </row>
    <row r="1267" spans="14:14">
      <c r="N1267" s="113"/>
    </row>
    <row r="1268" spans="14:14">
      <c r="N1268" s="113"/>
    </row>
    <row r="1269" spans="14:14">
      <c r="N1269" s="113"/>
    </row>
    <row r="1270" spans="14:14">
      <c r="N1270" s="113"/>
    </row>
    <row r="1271" spans="14:14">
      <c r="N1271" s="113"/>
    </row>
    <row r="1272" spans="14:14">
      <c r="N1272" s="113"/>
    </row>
    <row r="1273" spans="14:14">
      <c r="N1273" s="113"/>
    </row>
    <row r="1274" spans="14:14">
      <c r="N1274" s="113"/>
    </row>
    <row r="1275" spans="14:14">
      <c r="N1275" s="113"/>
    </row>
    <row r="1276" spans="14:14">
      <c r="N1276" s="113"/>
    </row>
    <row r="1277" spans="14:14">
      <c r="N1277" s="113"/>
    </row>
    <row r="1278" spans="14:14">
      <c r="N1278" s="113"/>
    </row>
    <row r="1279" spans="14:14">
      <c r="N1279" s="113"/>
    </row>
    <row r="1280" spans="14:14">
      <c r="N1280" s="113"/>
    </row>
    <row r="1281" spans="14:14">
      <c r="N1281" s="113"/>
    </row>
    <row r="1282" spans="14:14">
      <c r="N1282" s="113"/>
    </row>
    <row r="1283" spans="14:14">
      <c r="N1283" s="113"/>
    </row>
    <row r="1284" spans="14:14">
      <c r="N1284" s="113"/>
    </row>
    <row r="1285" spans="14:14">
      <c r="N1285" s="113"/>
    </row>
    <row r="1286" spans="14:14">
      <c r="N1286" s="113"/>
    </row>
    <row r="1287" spans="14:14">
      <c r="N1287" s="113"/>
    </row>
    <row r="1288" spans="14:14">
      <c r="N1288" s="113"/>
    </row>
    <row r="1289" spans="14:14">
      <c r="N1289" s="113"/>
    </row>
    <row r="1290" spans="14:14">
      <c r="N1290" s="113"/>
    </row>
    <row r="1291" spans="14:14">
      <c r="N1291" s="113"/>
    </row>
    <row r="1292" spans="14:14">
      <c r="N1292" s="113"/>
    </row>
    <row r="1293" spans="14:14">
      <c r="N1293" s="113"/>
    </row>
    <row r="1294" spans="14:14">
      <c r="N1294" s="113"/>
    </row>
    <row r="1295" spans="14:14">
      <c r="N1295" s="113"/>
    </row>
    <row r="1296" spans="14:14">
      <c r="N1296" s="113"/>
    </row>
    <row r="1297" spans="14:14">
      <c r="N1297" s="113"/>
    </row>
    <row r="1298" spans="14:14">
      <c r="N1298" s="113"/>
    </row>
    <row r="1299" spans="14:14">
      <c r="N1299" s="113"/>
    </row>
    <row r="1300" spans="14:14">
      <c r="N1300" s="113"/>
    </row>
    <row r="1301" spans="14:14">
      <c r="N1301" s="113"/>
    </row>
    <row r="1302" spans="14:14">
      <c r="N1302" s="113"/>
    </row>
    <row r="1303" spans="14:14">
      <c r="N1303" s="113"/>
    </row>
    <row r="1304" spans="14:14">
      <c r="N1304" s="113"/>
    </row>
    <row r="1305" spans="14:14">
      <c r="N1305" s="113"/>
    </row>
    <row r="1306" spans="14:14">
      <c r="N1306" s="113"/>
    </row>
    <row r="1307" spans="14:14">
      <c r="N1307" s="113"/>
    </row>
    <row r="1308" spans="14:14">
      <c r="N1308" s="113"/>
    </row>
    <row r="1309" spans="14:14">
      <c r="N1309" s="113"/>
    </row>
    <row r="1310" spans="14:14">
      <c r="N1310" s="113"/>
    </row>
    <row r="1311" spans="14:14">
      <c r="N1311" s="113"/>
    </row>
    <row r="1312" spans="14:14">
      <c r="N1312" s="113"/>
    </row>
    <row r="1313" spans="14:14">
      <c r="N1313" s="113"/>
    </row>
    <row r="1314" spans="14:14">
      <c r="N1314" s="113"/>
    </row>
    <row r="1315" spans="14:14">
      <c r="N1315" s="113"/>
    </row>
    <row r="1316" spans="14:14">
      <c r="N1316" s="113"/>
    </row>
    <row r="1317" spans="14:14">
      <c r="N1317" s="113"/>
    </row>
    <row r="1318" spans="14:14">
      <c r="N1318" s="113"/>
    </row>
    <row r="1319" spans="14:14">
      <c r="N1319" s="113"/>
    </row>
    <row r="1320" spans="14:14">
      <c r="N1320" s="113"/>
    </row>
    <row r="1321" spans="14:14">
      <c r="N1321" s="113"/>
    </row>
    <row r="1322" spans="14:14">
      <c r="N1322" s="113"/>
    </row>
    <row r="1323" spans="14:14">
      <c r="N1323" s="113"/>
    </row>
    <row r="1324" spans="14:14">
      <c r="N1324" s="113"/>
    </row>
    <row r="1325" spans="14:14">
      <c r="N1325" s="113"/>
    </row>
    <row r="1326" spans="14:14">
      <c r="N1326" s="113"/>
    </row>
    <row r="1327" spans="14:14">
      <c r="N1327" s="113"/>
    </row>
    <row r="1328" spans="14:14">
      <c r="N1328" s="113"/>
    </row>
    <row r="1329" spans="14:14">
      <c r="N1329" s="113"/>
    </row>
    <row r="1330" spans="14:14">
      <c r="N1330" s="113"/>
    </row>
    <row r="1331" spans="14:14">
      <c r="N1331" s="113"/>
    </row>
    <row r="1332" spans="14:14">
      <c r="N1332" s="113"/>
    </row>
    <row r="1333" spans="14:14">
      <c r="N1333" s="113"/>
    </row>
    <row r="1334" spans="14:14">
      <c r="N1334" s="113"/>
    </row>
    <row r="1335" spans="14:14">
      <c r="N1335" s="113"/>
    </row>
    <row r="1336" spans="14:14">
      <c r="N1336" s="113"/>
    </row>
    <row r="1337" spans="14:14">
      <c r="N1337" s="113"/>
    </row>
    <row r="1338" spans="14:14">
      <c r="N1338" s="113"/>
    </row>
    <row r="1339" spans="14:14">
      <c r="N1339" s="113"/>
    </row>
    <row r="1340" spans="14:14">
      <c r="N1340" s="113"/>
    </row>
    <row r="1341" spans="14:14">
      <c r="N1341" s="113"/>
    </row>
    <row r="1342" spans="14:14">
      <c r="N1342" s="113"/>
    </row>
    <row r="1343" spans="14:14">
      <c r="N1343" s="113"/>
    </row>
    <row r="1344" spans="14:14">
      <c r="N1344" s="113"/>
    </row>
    <row r="1345" spans="14:14">
      <c r="N1345" s="113"/>
    </row>
    <row r="1346" spans="14:14">
      <c r="N1346" s="113"/>
    </row>
    <row r="1347" spans="14:14">
      <c r="N1347" s="113"/>
    </row>
    <row r="1348" spans="14:14">
      <c r="N1348" s="113"/>
    </row>
    <row r="1349" spans="14:14">
      <c r="N1349" s="113"/>
    </row>
    <row r="1350" spans="14:14">
      <c r="N1350" s="113"/>
    </row>
    <row r="1351" spans="14:14">
      <c r="N1351" s="113"/>
    </row>
    <row r="1352" spans="14:14">
      <c r="N1352" s="113"/>
    </row>
    <row r="1353" spans="14:14">
      <c r="N1353" s="113"/>
    </row>
    <row r="1354" spans="14:14">
      <c r="N1354" s="113"/>
    </row>
    <row r="1355" spans="14:14">
      <c r="N1355" s="113"/>
    </row>
    <row r="1356" spans="14:14">
      <c r="N1356" s="113"/>
    </row>
    <row r="1357" spans="14:14">
      <c r="N1357" s="113"/>
    </row>
    <row r="1358" spans="14:14">
      <c r="N1358" s="113"/>
    </row>
    <row r="1359" spans="14:14">
      <c r="N1359" s="113"/>
    </row>
    <row r="1360" spans="14:14">
      <c r="N1360" s="113"/>
    </row>
    <row r="1361" spans="14:14">
      <c r="N1361" s="113"/>
    </row>
    <row r="1362" spans="14:14">
      <c r="N1362" s="113"/>
    </row>
    <row r="1363" spans="14:14">
      <c r="N1363" s="113"/>
    </row>
    <row r="1364" spans="14:14">
      <c r="N1364" s="113"/>
    </row>
    <row r="1365" spans="14:14">
      <c r="N1365" s="113"/>
    </row>
    <row r="1366" spans="14:14">
      <c r="N1366" s="113"/>
    </row>
    <row r="1367" spans="14:14">
      <c r="N1367" s="113"/>
    </row>
    <row r="1368" spans="14:14">
      <c r="N1368" s="113"/>
    </row>
    <row r="1369" spans="14:14">
      <c r="N1369" s="113"/>
    </row>
    <row r="1370" spans="14:14">
      <c r="N1370" s="113"/>
    </row>
    <row r="1371" spans="14:14">
      <c r="N1371" s="113"/>
    </row>
    <row r="1372" spans="14:14">
      <c r="N1372" s="113"/>
    </row>
    <row r="1373" spans="14:14">
      <c r="N1373" s="113"/>
    </row>
    <row r="1374" spans="14:14">
      <c r="N1374" s="113"/>
    </row>
    <row r="1375" spans="14:14">
      <c r="N1375" s="113"/>
    </row>
    <row r="1376" spans="14:14">
      <c r="N1376" s="113"/>
    </row>
    <row r="1377" spans="14:14">
      <c r="N1377" s="113"/>
    </row>
    <row r="1378" spans="14:14">
      <c r="N1378" s="113"/>
    </row>
    <row r="1379" spans="14:14">
      <c r="N1379" s="113"/>
    </row>
    <row r="1380" spans="14:14">
      <c r="N1380" s="113"/>
    </row>
    <row r="1381" spans="14:14">
      <c r="N1381" s="113"/>
    </row>
    <row r="1382" spans="14:14">
      <c r="N1382" s="113"/>
    </row>
    <row r="1383" spans="14:14">
      <c r="N1383" s="113"/>
    </row>
    <row r="1384" spans="14:14">
      <c r="N1384" s="113"/>
    </row>
    <row r="1385" spans="14:14">
      <c r="N1385" s="113"/>
    </row>
    <row r="1386" spans="14:14">
      <c r="N1386" s="113"/>
    </row>
    <row r="1387" spans="14:14">
      <c r="N1387" s="113"/>
    </row>
    <row r="1388" spans="14:14">
      <c r="N1388" s="113"/>
    </row>
    <row r="1389" spans="14:14">
      <c r="N1389" s="113"/>
    </row>
    <row r="1390" spans="14:14">
      <c r="N1390" s="113"/>
    </row>
    <row r="1391" spans="14:14">
      <c r="N1391" s="113"/>
    </row>
    <row r="1392" spans="14:14">
      <c r="N1392" s="113"/>
    </row>
    <row r="1393" spans="14:14">
      <c r="N1393" s="113"/>
    </row>
    <row r="1394" spans="14:14">
      <c r="N1394" s="113"/>
    </row>
    <row r="1395" spans="14:14">
      <c r="N1395" s="113"/>
    </row>
    <row r="1396" spans="14:14">
      <c r="N1396" s="113"/>
    </row>
    <row r="1397" spans="14:14">
      <c r="N1397" s="113"/>
    </row>
    <row r="1398" spans="14:14">
      <c r="N1398" s="113"/>
    </row>
    <row r="1399" spans="14:14">
      <c r="N1399" s="113"/>
    </row>
    <row r="1400" spans="14:14">
      <c r="N1400" s="113"/>
    </row>
    <row r="1401" spans="14:14">
      <c r="N1401" s="113"/>
    </row>
    <row r="1402" spans="14:14">
      <c r="N1402" s="113"/>
    </row>
    <row r="1403" spans="14:14">
      <c r="N1403" s="113"/>
    </row>
    <row r="1404" spans="14:14">
      <c r="N1404" s="113"/>
    </row>
    <row r="1405" spans="14:14">
      <c r="N1405" s="113"/>
    </row>
    <row r="1406" spans="14:14">
      <c r="N1406" s="113"/>
    </row>
    <row r="1407" spans="14:14">
      <c r="N1407" s="113"/>
    </row>
    <row r="1408" spans="14:14">
      <c r="N1408" s="113"/>
    </row>
    <row r="1409" spans="14:14">
      <c r="N1409" s="113"/>
    </row>
    <row r="1410" spans="14:14">
      <c r="N1410" s="113"/>
    </row>
    <row r="1411" spans="14:14">
      <c r="N1411" s="113"/>
    </row>
    <row r="1412" spans="14:14">
      <c r="N1412" s="113"/>
    </row>
    <row r="1413" spans="14:14">
      <c r="N1413" s="113"/>
    </row>
    <row r="1414" spans="14:14">
      <c r="N1414" s="113"/>
    </row>
    <row r="1415" spans="14:14">
      <c r="N1415" s="113"/>
    </row>
    <row r="1416" spans="14:14">
      <c r="N1416" s="113"/>
    </row>
    <row r="1417" spans="14:14">
      <c r="N1417" s="113"/>
    </row>
    <row r="1418" spans="14:14">
      <c r="N1418" s="113"/>
    </row>
    <row r="1419" spans="14:14">
      <c r="N1419" s="113"/>
    </row>
    <row r="1420" spans="14:14">
      <c r="N1420" s="113"/>
    </row>
    <row r="1421" spans="14:14">
      <c r="N1421" s="113"/>
    </row>
    <row r="1422" spans="14:14">
      <c r="N1422" s="113"/>
    </row>
    <row r="1423" spans="14:14">
      <c r="N1423" s="113"/>
    </row>
    <row r="1424" spans="14:14">
      <c r="N1424" s="113"/>
    </row>
    <row r="1425" spans="14:14">
      <c r="N1425" s="113"/>
    </row>
    <row r="1426" spans="14:14">
      <c r="N1426" s="113"/>
    </row>
    <row r="1427" spans="14:14">
      <c r="N1427" s="113"/>
    </row>
    <row r="1428" spans="14:14">
      <c r="N1428" s="113"/>
    </row>
    <row r="1429" spans="14:14">
      <c r="N1429" s="113"/>
    </row>
    <row r="1430" spans="14:14">
      <c r="N1430" s="113"/>
    </row>
    <row r="1431" spans="14:14">
      <c r="N1431" s="113"/>
    </row>
    <row r="1432" spans="14:14">
      <c r="N1432" s="113"/>
    </row>
    <row r="1433" spans="14:14">
      <c r="N1433" s="113"/>
    </row>
    <row r="1434" spans="14:14">
      <c r="N1434" s="113"/>
    </row>
    <row r="1435" spans="14:14">
      <c r="N1435" s="113"/>
    </row>
    <row r="1436" spans="14:14">
      <c r="N1436" s="113"/>
    </row>
    <row r="1437" spans="14:14">
      <c r="N1437" s="113"/>
    </row>
    <row r="1438" spans="14:14">
      <c r="N1438" s="113"/>
    </row>
    <row r="1439" spans="14:14">
      <c r="N1439" s="113"/>
    </row>
    <row r="1440" spans="14:14">
      <c r="N1440" s="113"/>
    </row>
    <row r="1441" spans="14:14">
      <c r="N1441" s="113"/>
    </row>
    <row r="1442" spans="14:14">
      <c r="N1442" s="113"/>
    </row>
    <row r="1443" spans="14:14">
      <c r="N1443" s="113"/>
    </row>
    <row r="1444" spans="14:14">
      <c r="N1444" s="113"/>
    </row>
    <row r="1445" spans="14:14">
      <c r="N1445" s="113"/>
    </row>
    <row r="1446" spans="14:14">
      <c r="N1446" s="113"/>
    </row>
    <row r="1447" spans="14:14">
      <c r="N1447" s="113"/>
    </row>
    <row r="1448" spans="14:14">
      <c r="N1448" s="113"/>
    </row>
    <row r="1449" spans="14:14">
      <c r="N1449" s="113"/>
    </row>
    <row r="1450" spans="14:14">
      <c r="N1450" s="113"/>
    </row>
    <row r="1451" spans="14:14">
      <c r="N1451" s="113"/>
    </row>
    <row r="1452" spans="14:14">
      <c r="N1452" s="113"/>
    </row>
    <row r="1453" spans="14:14">
      <c r="N1453" s="113"/>
    </row>
    <row r="1454" spans="14:14">
      <c r="N1454" s="113"/>
    </row>
    <row r="1455" spans="14:14">
      <c r="N1455" s="113"/>
    </row>
    <row r="1456" spans="14:14">
      <c r="N1456" s="113"/>
    </row>
    <row r="1457" spans="14:14">
      <c r="N1457" s="113"/>
    </row>
    <row r="1458" spans="14:14">
      <c r="N1458" s="113"/>
    </row>
    <row r="1459" spans="14:14">
      <c r="N1459" s="113"/>
    </row>
    <row r="1460" spans="14:14">
      <c r="N1460" s="113"/>
    </row>
    <row r="1461" spans="14:14">
      <c r="N1461" s="113"/>
    </row>
    <row r="1462" spans="14:14">
      <c r="N1462" s="113"/>
    </row>
    <row r="1463" spans="14:14">
      <c r="N1463" s="113"/>
    </row>
    <row r="1464" spans="14:14">
      <c r="N1464" s="113"/>
    </row>
    <row r="1465" spans="14:14">
      <c r="N1465" s="113"/>
    </row>
    <row r="1466" spans="14:14">
      <c r="N1466" s="113"/>
    </row>
    <row r="1467" spans="14:14">
      <c r="N1467" s="113"/>
    </row>
    <row r="1468" spans="14:14">
      <c r="N1468" s="113"/>
    </row>
    <row r="1469" spans="14:14">
      <c r="N1469" s="113"/>
    </row>
    <row r="1470" spans="14:14">
      <c r="N1470" s="113"/>
    </row>
    <row r="1471" spans="14:14">
      <c r="N1471" s="113"/>
    </row>
    <row r="1472" spans="14:14">
      <c r="N1472" s="113"/>
    </row>
    <row r="1473" spans="14:14">
      <c r="N1473" s="113"/>
    </row>
    <row r="1474" spans="14:14">
      <c r="N1474" s="113"/>
    </row>
    <row r="1475" spans="14:14">
      <c r="N1475" s="113"/>
    </row>
    <row r="1476" spans="14:14">
      <c r="N1476" s="113"/>
    </row>
    <row r="1477" spans="14:14">
      <c r="N1477" s="113"/>
    </row>
    <row r="1478" spans="14:14">
      <c r="N1478" s="113"/>
    </row>
    <row r="1479" spans="14:14">
      <c r="N1479" s="113"/>
    </row>
    <row r="1480" spans="14:14">
      <c r="N1480" s="113"/>
    </row>
    <row r="1481" spans="14:14">
      <c r="N1481" s="113"/>
    </row>
    <row r="1482" spans="14:14">
      <c r="N1482" s="113"/>
    </row>
    <row r="1483" spans="14:14">
      <c r="N1483" s="113"/>
    </row>
    <row r="1484" spans="14:14">
      <c r="N1484" s="113"/>
    </row>
    <row r="1485" spans="14:14">
      <c r="N1485" s="113"/>
    </row>
    <row r="1486" spans="14:14">
      <c r="N1486" s="113"/>
    </row>
    <row r="1487" spans="14:14">
      <c r="N1487" s="113"/>
    </row>
    <row r="1488" spans="14:14">
      <c r="N1488" s="113"/>
    </row>
    <row r="1489" spans="14:14">
      <c r="N1489" s="113"/>
    </row>
    <row r="1490" spans="14:14">
      <c r="N1490" s="113"/>
    </row>
    <row r="1491" spans="14:14">
      <c r="N1491" s="113"/>
    </row>
    <row r="1492" spans="14:14">
      <c r="N1492" s="113"/>
    </row>
    <row r="1493" spans="14:14">
      <c r="N1493" s="113"/>
    </row>
    <row r="1494" spans="14:14">
      <c r="N1494" s="113"/>
    </row>
    <row r="1495" spans="14:14">
      <c r="N1495" s="113"/>
    </row>
    <row r="1496" spans="14:14">
      <c r="N1496" s="113"/>
    </row>
    <row r="1497" spans="14:14">
      <c r="N1497" s="113"/>
    </row>
    <row r="1498" spans="14:14">
      <c r="N1498" s="113"/>
    </row>
    <row r="1499" spans="14:14">
      <c r="N1499" s="113"/>
    </row>
    <row r="1500" spans="14:14">
      <c r="N1500" s="113"/>
    </row>
    <row r="1501" spans="14:14">
      <c r="N1501" s="113"/>
    </row>
    <row r="1502" spans="14:14">
      <c r="N1502" s="113"/>
    </row>
    <row r="1503" spans="14:14">
      <c r="N1503" s="113"/>
    </row>
    <row r="1504" spans="14:14">
      <c r="N1504" s="113"/>
    </row>
    <row r="1505" spans="14:14">
      <c r="N1505" s="113"/>
    </row>
    <row r="1506" spans="14:14">
      <c r="N1506" s="113"/>
    </row>
    <row r="1507" spans="14:14">
      <c r="N1507" s="113"/>
    </row>
    <row r="1508" spans="14:14">
      <c r="N1508" s="113"/>
    </row>
    <row r="1509" spans="14:14">
      <c r="N1509" s="113"/>
    </row>
    <row r="1510" spans="14:14">
      <c r="N1510" s="113"/>
    </row>
    <row r="1511" spans="14:14">
      <c r="N1511" s="113"/>
    </row>
    <row r="1512" spans="14:14">
      <c r="N1512" s="113"/>
    </row>
    <row r="1513" spans="14:14">
      <c r="N1513" s="113"/>
    </row>
    <row r="1514" spans="14:14">
      <c r="N1514" s="113"/>
    </row>
    <row r="1515" spans="14:14">
      <c r="N1515" s="113"/>
    </row>
    <row r="1516" spans="14:14">
      <c r="N1516" s="113"/>
    </row>
    <row r="1517" spans="14:14">
      <c r="N1517" s="113"/>
    </row>
    <row r="1518" spans="14:14">
      <c r="N1518" s="113"/>
    </row>
    <row r="1519" spans="14:14">
      <c r="N1519" s="113"/>
    </row>
    <row r="1520" spans="14:14">
      <c r="N1520" s="113"/>
    </row>
    <row r="1521" spans="14:14">
      <c r="N1521" s="113"/>
    </row>
    <row r="1522" spans="14:14">
      <c r="N1522" s="113"/>
    </row>
    <row r="1523" spans="14:14">
      <c r="N1523" s="113"/>
    </row>
    <row r="1524" spans="14:14">
      <c r="N1524" s="113"/>
    </row>
    <row r="1525" spans="14:14">
      <c r="N1525" s="113"/>
    </row>
    <row r="1526" spans="14:14">
      <c r="N1526" s="113"/>
    </row>
    <row r="1527" spans="14:14">
      <c r="N1527" s="113"/>
    </row>
    <row r="1528" spans="14:14">
      <c r="N1528" s="113"/>
    </row>
    <row r="1529" spans="14:14">
      <c r="N1529" s="113"/>
    </row>
    <row r="1530" spans="14:14">
      <c r="N1530" s="113"/>
    </row>
    <row r="1531" spans="14:14">
      <c r="N1531" s="113"/>
    </row>
    <row r="1532" spans="14:14">
      <c r="N1532" s="113"/>
    </row>
    <row r="1533" spans="14:14">
      <c r="N1533" s="113"/>
    </row>
    <row r="1534" spans="14:14">
      <c r="N1534" s="113"/>
    </row>
    <row r="1535" spans="14:14">
      <c r="N1535" s="113"/>
    </row>
    <row r="1536" spans="14:14">
      <c r="N1536" s="113"/>
    </row>
    <row r="1537" spans="14:14">
      <c r="N1537" s="113"/>
    </row>
    <row r="1538" spans="14:14">
      <c r="N1538" s="113"/>
    </row>
    <row r="1539" spans="14:14">
      <c r="N1539" s="113"/>
    </row>
    <row r="1540" spans="14:14">
      <c r="N1540" s="113"/>
    </row>
    <row r="1541" spans="14:14">
      <c r="N1541" s="113"/>
    </row>
    <row r="1542" spans="14:14">
      <c r="N1542" s="113"/>
    </row>
    <row r="1543" spans="14:14">
      <c r="N1543" s="113"/>
    </row>
    <row r="1544" spans="14:14">
      <c r="N1544" s="113"/>
    </row>
    <row r="1545" spans="14:14">
      <c r="N1545" s="113"/>
    </row>
    <row r="1546" spans="14:14">
      <c r="N1546" s="113"/>
    </row>
    <row r="1547" spans="14:14">
      <c r="N1547" s="113"/>
    </row>
    <row r="1548" spans="14:14">
      <c r="N1548" s="113"/>
    </row>
    <row r="1549" spans="14:14">
      <c r="N1549" s="113"/>
    </row>
    <row r="1550" spans="14:14">
      <c r="N1550" s="113"/>
    </row>
    <row r="1551" spans="14:14">
      <c r="N1551" s="113"/>
    </row>
    <row r="1552" spans="14:14">
      <c r="N1552" s="113"/>
    </row>
    <row r="1553" spans="14:14">
      <c r="N1553" s="113"/>
    </row>
    <row r="1554" spans="14:14">
      <c r="N1554" s="113"/>
    </row>
    <row r="1555" spans="14:14">
      <c r="N1555" s="113"/>
    </row>
    <row r="1556" spans="14:14">
      <c r="N1556" s="113"/>
    </row>
    <row r="1557" spans="14:14">
      <c r="N1557" s="113"/>
    </row>
    <row r="1558" spans="14:14">
      <c r="N1558" s="113"/>
    </row>
    <row r="1559" spans="14:14">
      <c r="N1559" s="113"/>
    </row>
    <row r="1560" spans="14:14">
      <c r="N1560" s="113"/>
    </row>
    <row r="1561" spans="14:14">
      <c r="N1561" s="113"/>
    </row>
    <row r="1562" spans="14:14">
      <c r="N1562" s="113"/>
    </row>
    <row r="1563" spans="14:14">
      <c r="N1563" s="113"/>
    </row>
    <row r="1564" spans="14:14">
      <c r="N1564" s="113"/>
    </row>
    <row r="1565" spans="14:14">
      <c r="N1565" s="113"/>
    </row>
    <row r="1566" spans="14:14">
      <c r="N1566" s="113"/>
    </row>
    <row r="1567" spans="14:14">
      <c r="N1567" s="113"/>
    </row>
    <row r="1568" spans="14:14">
      <c r="N1568" s="113"/>
    </row>
    <row r="1569" spans="14:14">
      <c r="N1569" s="113"/>
    </row>
    <row r="1570" spans="14:14">
      <c r="N1570" s="113"/>
    </row>
    <row r="1571" spans="14:14">
      <c r="N1571" s="113"/>
    </row>
    <row r="1572" spans="14:14">
      <c r="N1572" s="113"/>
    </row>
    <row r="1573" spans="14:14">
      <c r="N1573" s="113"/>
    </row>
    <row r="1574" spans="14:14">
      <c r="N1574" s="113"/>
    </row>
    <row r="1575" spans="14:14">
      <c r="N1575" s="113"/>
    </row>
    <row r="1576" spans="14:14">
      <c r="N1576" s="113"/>
    </row>
    <row r="1577" spans="14:14">
      <c r="N1577" s="113"/>
    </row>
    <row r="1578" spans="14:14">
      <c r="N1578" s="113"/>
    </row>
    <row r="1579" spans="14:14">
      <c r="N1579" s="113"/>
    </row>
    <row r="1580" spans="14:14">
      <c r="N1580" s="113"/>
    </row>
    <row r="1581" spans="14:14">
      <c r="N1581" s="113"/>
    </row>
    <row r="1582" spans="14:14">
      <c r="N1582" s="113"/>
    </row>
    <row r="1583" spans="14:14">
      <c r="N1583" s="113"/>
    </row>
    <row r="1584" spans="14:14">
      <c r="N1584" s="113"/>
    </row>
    <row r="1585" spans="14:14">
      <c r="N1585" s="113"/>
    </row>
    <row r="1586" spans="14:14">
      <c r="N1586" s="113"/>
    </row>
    <row r="1587" spans="14:14">
      <c r="N1587" s="113"/>
    </row>
    <row r="1588" spans="14:14">
      <c r="N1588" s="113"/>
    </row>
    <row r="1589" spans="14:14">
      <c r="N1589" s="113"/>
    </row>
    <row r="1590" spans="14:14">
      <c r="N1590" s="113"/>
    </row>
    <row r="1591" spans="14:14">
      <c r="N1591" s="113"/>
    </row>
    <row r="1592" spans="14:14">
      <c r="N1592" s="113"/>
    </row>
    <row r="1593" spans="14:14">
      <c r="N1593" s="113"/>
    </row>
    <row r="1594" spans="14:14">
      <c r="N1594" s="113"/>
    </row>
    <row r="1595" spans="14:14">
      <c r="N1595" s="113"/>
    </row>
    <row r="1596" spans="14:14">
      <c r="N1596" s="113"/>
    </row>
    <row r="1597" spans="14:14">
      <c r="N1597" s="113"/>
    </row>
    <row r="1598" spans="14:14">
      <c r="N1598" s="113"/>
    </row>
    <row r="1599" spans="14:14">
      <c r="N1599" s="113"/>
    </row>
    <row r="1600" spans="14:14">
      <c r="N1600" s="113"/>
    </row>
    <row r="1601" spans="14:14">
      <c r="N1601" s="113"/>
    </row>
    <row r="1602" spans="14:14">
      <c r="N1602" s="113"/>
    </row>
    <row r="1603" spans="14:14">
      <c r="N1603" s="113"/>
    </row>
    <row r="1604" spans="14:14">
      <c r="N1604" s="113"/>
    </row>
    <row r="1605" spans="14:14">
      <c r="N1605" s="113"/>
    </row>
    <row r="1606" spans="14:14">
      <c r="N1606" s="113"/>
    </row>
    <row r="1607" spans="14:14">
      <c r="N1607" s="113"/>
    </row>
    <row r="1608" spans="14:14">
      <c r="N1608" s="113"/>
    </row>
    <row r="1609" spans="14:14">
      <c r="N1609" s="113"/>
    </row>
    <row r="1610" spans="14:14">
      <c r="N1610" s="113"/>
    </row>
    <row r="1611" spans="14:14">
      <c r="N1611" s="113"/>
    </row>
    <row r="1612" spans="14:14">
      <c r="N1612" s="113"/>
    </row>
    <row r="1613" spans="14:14">
      <c r="N1613" s="113"/>
    </row>
    <row r="1614" spans="14:14">
      <c r="N1614" s="113"/>
    </row>
    <row r="1615" spans="14:14">
      <c r="N1615" s="113"/>
    </row>
    <row r="1616" spans="14:14">
      <c r="N1616" s="113"/>
    </row>
    <row r="1617" spans="14:14">
      <c r="N1617" s="113"/>
    </row>
    <row r="1618" spans="14:14">
      <c r="N1618" s="113"/>
    </row>
    <row r="1619" spans="14:14">
      <c r="N1619" s="113"/>
    </row>
    <row r="1620" spans="14:14">
      <c r="N1620" s="113"/>
    </row>
    <row r="1621" spans="14:14">
      <c r="N1621" s="113"/>
    </row>
    <row r="1622" spans="14:14">
      <c r="N1622" s="113"/>
    </row>
    <row r="1623" spans="14:14">
      <c r="N1623" s="113"/>
    </row>
    <row r="1624" spans="14:14">
      <c r="N1624" s="113"/>
    </row>
    <row r="1625" spans="14:14">
      <c r="N1625" s="113"/>
    </row>
    <row r="1626" spans="14:14">
      <c r="N1626" s="113"/>
    </row>
    <row r="1627" spans="14:14">
      <c r="N1627" s="113"/>
    </row>
    <row r="1628" spans="14:14">
      <c r="N1628" s="113"/>
    </row>
    <row r="1629" spans="14:14">
      <c r="N1629" s="113"/>
    </row>
    <row r="1630" spans="14:14">
      <c r="N1630" s="113"/>
    </row>
    <row r="1631" spans="14:14">
      <c r="N1631" s="113"/>
    </row>
    <row r="1632" spans="14:14">
      <c r="N1632" s="113"/>
    </row>
    <row r="1633" spans="14:14">
      <c r="N1633" s="113"/>
    </row>
    <row r="1634" spans="14:14">
      <c r="N1634" s="113"/>
    </row>
    <row r="1635" spans="14:14">
      <c r="N1635" s="113"/>
    </row>
    <row r="1636" spans="14:14">
      <c r="N1636" s="113"/>
    </row>
    <row r="1637" spans="14:14">
      <c r="N1637" s="113"/>
    </row>
    <row r="1638" spans="14:14">
      <c r="N1638" s="113"/>
    </row>
    <row r="1639" spans="14:14">
      <c r="N1639" s="113"/>
    </row>
    <row r="1640" spans="14:14">
      <c r="N1640" s="113"/>
    </row>
    <row r="1641" spans="14:14">
      <c r="N1641" s="113"/>
    </row>
    <row r="1642" spans="14:14">
      <c r="N1642" s="113"/>
    </row>
    <row r="1643" spans="14:14">
      <c r="N1643" s="113"/>
    </row>
    <row r="1644" spans="14:14">
      <c r="N1644" s="113"/>
    </row>
    <row r="1645" spans="14:14">
      <c r="N1645" s="113"/>
    </row>
    <row r="1646" spans="14:14">
      <c r="N1646" s="113"/>
    </row>
    <row r="1647" spans="14:14">
      <c r="N1647" s="113"/>
    </row>
    <row r="1648" spans="14:14">
      <c r="N1648" s="113"/>
    </row>
    <row r="1649" spans="14:14">
      <c r="N1649" s="113"/>
    </row>
    <row r="1650" spans="14:14">
      <c r="N1650" s="113"/>
    </row>
    <row r="1651" spans="14:14">
      <c r="N1651" s="113"/>
    </row>
    <row r="1652" spans="14:14">
      <c r="N1652" s="113"/>
    </row>
    <row r="1653" spans="14:14">
      <c r="N1653" s="113"/>
    </row>
    <row r="1654" spans="14:14">
      <c r="N1654" s="113"/>
    </row>
    <row r="1655" spans="14:14">
      <c r="N1655" s="113"/>
    </row>
    <row r="1656" spans="14:14">
      <c r="N1656" s="113"/>
    </row>
    <row r="1657" spans="14:14">
      <c r="N1657" s="113"/>
    </row>
    <row r="1658" spans="14:14">
      <c r="N1658" s="113"/>
    </row>
    <row r="1659" spans="14:14">
      <c r="N1659" s="113"/>
    </row>
    <row r="1660" spans="14:14">
      <c r="N1660" s="113"/>
    </row>
    <row r="1661" spans="14:14">
      <c r="N1661" s="113"/>
    </row>
    <row r="1662" spans="14:14">
      <c r="N1662" s="113"/>
    </row>
    <row r="1663" spans="14:14">
      <c r="N1663" s="113"/>
    </row>
    <row r="1664" spans="14:14">
      <c r="N1664" s="113"/>
    </row>
    <row r="1665" spans="14:14">
      <c r="N1665" s="113"/>
    </row>
    <row r="1666" spans="14:14">
      <c r="N1666" s="113"/>
    </row>
    <row r="1667" spans="14:14">
      <c r="N1667" s="113"/>
    </row>
    <row r="1668" spans="14:14">
      <c r="N1668" s="113"/>
    </row>
    <row r="1669" spans="14:14">
      <c r="N1669" s="113"/>
    </row>
    <row r="1670" spans="14:14">
      <c r="N1670" s="113"/>
    </row>
    <row r="1671" spans="14:14">
      <c r="N1671" s="113"/>
    </row>
    <row r="1672" spans="14:14">
      <c r="N1672" s="113"/>
    </row>
    <row r="1673" spans="14:14">
      <c r="N1673" s="113"/>
    </row>
    <row r="1674" spans="14:14">
      <c r="N1674" s="113"/>
    </row>
    <row r="1675" spans="14:14">
      <c r="N1675" s="113"/>
    </row>
    <row r="1676" spans="14:14">
      <c r="N1676" s="113"/>
    </row>
    <row r="1677" spans="14:14">
      <c r="N1677" s="113"/>
    </row>
    <row r="1678" spans="14:14">
      <c r="N1678" s="113"/>
    </row>
    <row r="1679" spans="14:14">
      <c r="N1679" s="113"/>
    </row>
    <row r="1680" spans="14:14">
      <c r="N1680" s="113"/>
    </row>
    <row r="1681" spans="14:14">
      <c r="N1681" s="113"/>
    </row>
    <row r="1682" spans="14:14">
      <c r="N1682" s="113"/>
    </row>
    <row r="1683" spans="14:14">
      <c r="N1683" s="113"/>
    </row>
    <row r="1684" spans="14:14">
      <c r="N1684" s="113"/>
    </row>
    <row r="1685" spans="14:14">
      <c r="N1685" s="113"/>
    </row>
    <row r="1686" spans="14:14">
      <c r="N1686" s="113"/>
    </row>
    <row r="1687" spans="14:14">
      <c r="N1687" s="113"/>
    </row>
    <row r="1688" spans="14:14">
      <c r="N1688" s="113"/>
    </row>
    <row r="1689" spans="14:14">
      <c r="N1689" s="113"/>
    </row>
    <row r="1690" spans="14:14">
      <c r="N1690" s="113"/>
    </row>
    <row r="1691" spans="14:14">
      <c r="N1691" s="113"/>
    </row>
    <row r="1692" spans="14:14">
      <c r="N1692" s="113"/>
    </row>
    <row r="1693" spans="14:14">
      <c r="N1693" s="113"/>
    </row>
    <row r="1694" spans="14:14">
      <c r="N1694" s="113"/>
    </row>
    <row r="1695" spans="14:14">
      <c r="N1695" s="113"/>
    </row>
    <row r="1696" spans="14:14">
      <c r="N1696" s="113"/>
    </row>
    <row r="1697" spans="14:14">
      <c r="N1697" s="113"/>
    </row>
    <row r="1698" spans="14:14">
      <c r="N1698" s="113"/>
    </row>
    <row r="1699" spans="14:14">
      <c r="N1699" s="113"/>
    </row>
    <row r="1700" spans="14:14">
      <c r="N1700" s="113"/>
    </row>
    <row r="1701" spans="14:14">
      <c r="N1701" s="113"/>
    </row>
    <row r="1702" spans="14:14">
      <c r="N1702" s="113"/>
    </row>
    <row r="1703" spans="14:14">
      <c r="N1703" s="113"/>
    </row>
    <row r="1704" spans="14:14">
      <c r="N1704" s="113"/>
    </row>
    <row r="1705" spans="14:14">
      <c r="N1705" s="113"/>
    </row>
    <row r="1706" spans="14:14">
      <c r="N1706" s="113"/>
    </row>
    <row r="1707" spans="14:14">
      <c r="N1707" s="113"/>
    </row>
    <row r="1708" spans="14:14">
      <c r="N1708" s="113"/>
    </row>
    <row r="1709" spans="14:14">
      <c r="N1709" s="113"/>
    </row>
    <row r="1710" spans="14:14">
      <c r="N1710" s="113"/>
    </row>
    <row r="1711" spans="14:14">
      <c r="N1711" s="113"/>
    </row>
    <row r="1712" spans="14:14">
      <c r="N1712" s="113"/>
    </row>
    <row r="1713" spans="14:14">
      <c r="N1713" s="113"/>
    </row>
    <row r="1714" spans="14:14">
      <c r="N1714" s="113"/>
    </row>
    <row r="1715" spans="14:14">
      <c r="N1715" s="113"/>
    </row>
    <row r="1716" spans="14:14">
      <c r="N1716" s="113"/>
    </row>
    <row r="1717" spans="14:14">
      <c r="N1717" s="113"/>
    </row>
    <row r="1718" spans="14:14">
      <c r="N1718" s="113"/>
    </row>
    <row r="1719" spans="14:14">
      <c r="N1719" s="113"/>
    </row>
    <row r="1720" spans="14:14">
      <c r="N1720" s="113"/>
    </row>
    <row r="1721" spans="14:14">
      <c r="N1721" s="113"/>
    </row>
    <row r="1722" spans="14:14">
      <c r="N1722" s="113"/>
    </row>
    <row r="1723" spans="14:14">
      <c r="N1723" s="113"/>
    </row>
    <row r="1724" spans="14:14">
      <c r="N1724" s="113"/>
    </row>
    <row r="1725" spans="14:14">
      <c r="N1725" s="113"/>
    </row>
    <row r="1726" spans="14:14">
      <c r="N1726" s="113"/>
    </row>
    <row r="1727" spans="14:14">
      <c r="N1727" s="113"/>
    </row>
    <row r="1728" spans="14:14">
      <c r="N1728" s="113"/>
    </row>
    <row r="1729" spans="14:14">
      <c r="N1729" s="113"/>
    </row>
    <row r="1730" spans="14:14">
      <c r="N1730" s="113"/>
    </row>
    <row r="1731" spans="14:14">
      <c r="N1731" s="113"/>
    </row>
    <row r="1732" spans="14:14">
      <c r="N1732" s="113"/>
    </row>
    <row r="1733" spans="14:14">
      <c r="N1733" s="113"/>
    </row>
    <row r="1734" spans="14:14">
      <c r="N1734" s="113"/>
    </row>
    <row r="1735" spans="14:14">
      <c r="N1735" s="113"/>
    </row>
    <row r="1736" spans="14:14">
      <c r="N1736" s="113"/>
    </row>
    <row r="1737" spans="14:14">
      <c r="N1737" s="113"/>
    </row>
    <row r="1738" spans="14:14">
      <c r="N1738" s="113"/>
    </row>
    <row r="1739" spans="14:14">
      <c r="N1739" s="113"/>
    </row>
    <row r="1740" spans="14:14">
      <c r="N1740" s="113"/>
    </row>
    <row r="1741" spans="14:14">
      <c r="N1741" s="113"/>
    </row>
    <row r="1742" spans="14:14">
      <c r="N1742" s="113"/>
    </row>
    <row r="1743" spans="14:14">
      <c r="N1743" s="113"/>
    </row>
    <row r="1744" spans="14:14">
      <c r="N1744" s="113"/>
    </row>
    <row r="1745" spans="14:14">
      <c r="N1745" s="113"/>
    </row>
    <row r="1746" spans="14:14">
      <c r="N1746" s="113"/>
    </row>
    <row r="1747" spans="14:14">
      <c r="N1747" s="113"/>
    </row>
    <row r="1748" spans="14:14">
      <c r="N1748" s="113"/>
    </row>
    <row r="1749" spans="14:14">
      <c r="N1749" s="113"/>
    </row>
    <row r="1750" spans="14:14">
      <c r="N1750" s="113"/>
    </row>
    <row r="1751" spans="14:14">
      <c r="N1751" s="113"/>
    </row>
    <row r="1752" spans="14:14">
      <c r="N1752" s="113"/>
    </row>
    <row r="1753" spans="14:14">
      <c r="N1753" s="113"/>
    </row>
    <row r="1754" spans="14:14">
      <c r="N1754" s="113"/>
    </row>
    <row r="1755" spans="14:14">
      <c r="N1755" s="113"/>
    </row>
    <row r="1756" spans="14:14">
      <c r="N1756" s="113"/>
    </row>
    <row r="1757" spans="14:14">
      <c r="N1757" s="113"/>
    </row>
    <row r="1758" spans="14:14">
      <c r="N1758" s="113"/>
    </row>
    <row r="1759" spans="14:14">
      <c r="N1759" s="113"/>
    </row>
    <row r="1760" spans="14:14">
      <c r="N1760" s="113"/>
    </row>
    <row r="1761" spans="14:14">
      <c r="N1761" s="113"/>
    </row>
    <row r="1762" spans="14:14">
      <c r="N1762" s="113"/>
    </row>
    <row r="1763" spans="14:14">
      <c r="N1763" s="113"/>
    </row>
    <row r="1764" spans="14:14">
      <c r="N1764" s="113"/>
    </row>
    <row r="1765" spans="14:14">
      <c r="N1765" s="113"/>
    </row>
    <row r="1766" spans="14:14">
      <c r="N1766" s="113"/>
    </row>
    <row r="1767" spans="14:14">
      <c r="N1767" s="113"/>
    </row>
    <row r="1768" spans="14:14">
      <c r="N1768" s="113"/>
    </row>
    <row r="1769" spans="14:14">
      <c r="N1769" s="113"/>
    </row>
    <row r="1770" spans="14:14">
      <c r="N1770" s="113"/>
    </row>
    <row r="1771" spans="14:14">
      <c r="N1771" s="113"/>
    </row>
    <row r="1772" spans="14:14">
      <c r="N1772" s="113"/>
    </row>
    <row r="1773" spans="14:14">
      <c r="N1773" s="113"/>
    </row>
    <row r="1774" spans="14:14">
      <c r="N1774" s="113"/>
    </row>
    <row r="1775" spans="14:14">
      <c r="N1775" s="113"/>
    </row>
    <row r="1776" spans="14:14">
      <c r="N1776" s="113"/>
    </row>
    <row r="1777" spans="14:14">
      <c r="N1777" s="113"/>
    </row>
    <row r="1778" spans="14:14">
      <c r="N1778" s="113"/>
    </row>
    <row r="1779" spans="14:14">
      <c r="N1779" s="113"/>
    </row>
    <row r="1780" spans="14:14">
      <c r="N1780" s="113"/>
    </row>
    <row r="1781" spans="14:14">
      <c r="N1781" s="113"/>
    </row>
    <row r="1782" spans="14:14">
      <c r="N1782" s="113"/>
    </row>
    <row r="1783" spans="14:14">
      <c r="N1783" s="113"/>
    </row>
    <row r="1784" spans="14:14">
      <c r="N1784" s="113"/>
    </row>
    <row r="1785" spans="14:14">
      <c r="N1785" s="113"/>
    </row>
    <row r="1786" spans="14:14">
      <c r="N1786" s="113"/>
    </row>
    <row r="1787" spans="14:14">
      <c r="N1787" s="113"/>
    </row>
    <row r="1788" spans="14:14">
      <c r="N1788" s="113"/>
    </row>
    <row r="1789" spans="14:14">
      <c r="N1789" s="113"/>
    </row>
    <row r="1790" spans="14:14">
      <c r="N1790" s="113"/>
    </row>
    <row r="1791" spans="14:14">
      <c r="N1791" s="113"/>
    </row>
    <row r="1792" spans="14:14">
      <c r="N1792" s="113"/>
    </row>
    <row r="1793" spans="14:14">
      <c r="N1793" s="113"/>
    </row>
    <row r="1794" spans="14:14">
      <c r="N1794" s="113"/>
    </row>
    <row r="1795" spans="14:14">
      <c r="N1795" s="113"/>
    </row>
    <row r="1796" spans="14:14">
      <c r="N1796" s="113"/>
    </row>
    <row r="1797" spans="14:14">
      <c r="N1797" s="113"/>
    </row>
    <row r="1798" spans="14:14">
      <c r="N1798" s="113"/>
    </row>
    <row r="1799" spans="14:14">
      <c r="N1799" s="113"/>
    </row>
    <row r="1800" spans="14:14">
      <c r="N1800" s="113"/>
    </row>
    <row r="1801" spans="14:14">
      <c r="N1801" s="113"/>
    </row>
    <row r="1802" spans="14:14">
      <c r="N1802" s="113"/>
    </row>
    <row r="1803" spans="14:14">
      <c r="N1803" s="113"/>
    </row>
    <row r="1804" spans="14:14">
      <c r="N1804" s="113"/>
    </row>
    <row r="1805" spans="14:14">
      <c r="N1805" s="113"/>
    </row>
    <row r="1806" spans="14:14">
      <c r="N1806" s="113"/>
    </row>
    <row r="1807" spans="14:14">
      <c r="N1807" s="113"/>
    </row>
    <row r="1808" spans="14:14">
      <c r="N1808" s="113"/>
    </row>
    <row r="1809" spans="14:14">
      <c r="N1809" s="113"/>
    </row>
    <row r="1810" spans="14:14">
      <c r="N1810" s="113"/>
    </row>
    <row r="1811" spans="14:14">
      <c r="N1811" s="113"/>
    </row>
    <row r="1812" spans="14:14">
      <c r="N1812" s="113"/>
    </row>
    <row r="1813" spans="14:14">
      <c r="N1813" s="113"/>
    </row>
    <row r="1814" spans="14:14">
      <c r="N1814" s="113"/>
    </row>
    <row r="1815" spans="14:14">
      <c r="N1815" s="113"/>
    </row>
    <row r="1816" spans="14:14">
      <c r="N1816" s="113"/>
    </row>
    <row r="1817" spans="14:14">
      <c r="N1817" s="113"/>
    </row>
    <row r="1818" spans="14:14">
      <c r="N1818" s="113"/>
    </row>
    <row r="1819" spans="14:14">
      <c r="N1819" s="113"/>
    </row>
    <row r="1820" spans="14:14">
      <c r="N1820" s="113"/>
    </row>
    <row r="1821" spans="14:14">
      <c r="N1821" s="113"/>
    </row>
    <row r="1822" spans="14:14">
      <c r="N1822" s="113"/>
    </row>
    <row r="1823" spans="14:14">
      <c r="N1823" s="113"/>
    </row>
    <row r="1824" spans="14:14">
      <c r="N1824" s="113"/>
    </row>
    <row r="1825" spans="14:14">
      <c r="N1825" s="113"/>
    </row>
    <row r="1826" spans="14:14">
      <c r="N1826" s="113"/>
    </row>
    <row r="1827" spans="14:14">
      <c r="N1827" s="113"/>
    </row>
    <row r="1828" spans="14:14">
      <c r="N1828" s="113"/>
    </row>
    <row r="1829" spans="14:14">
      <c r="N1829" s="113"/>
    </row>
    <row r="1830" spans="14:14">
      <c r="N1830" s="113"/>
    </row>
    <row r="1831" spans="14:14">
      <c r="N1831" s="113"/>
    </row>
    <row r="1832" spans="14:14">
      <c r="N1832" s="113"/>
    </row>
    <row r="1833" spans="14:14">
      <c r="N1833" s="113"/>
    </row>
    <row r="1834" spans="14:14">
      <c r="N1834" s="113"/>
    </row>
    <row r="1835" spans="14:14">
      <c r="N1835" s="113"/>
    </row>
    <row r="1836" spans="14:14">
      <c r="N1836" s="113"/>
    </row>
    <row r="1837" spans="14:14">
      <c r="N1837" s="113"/>
    </row>
    <row r="1838" spans="14:14">
      <c r="N1838" s="113"/>
    </row>
    <row r="1839" spans="14:14">
      <c r="N1839" s="113"/>
    </row>
    <row r="1840" spans="14:14">
      <c r="N1840" s="113"/>
    </row>
    <row r="1841" spans="14:14">
      <c r="N1841" s="113"/>
    </row>
    <row r="1842" spans="14:14">
      <c r="N1842" s="113"/>
    </row>
    <row r="1843" spans="14:14">
      <c r="N1843" s="113"/>
    </row>
    <row r="1844" spans="14:14">
      <c r="N1844" s="113"/>
    </row>
    <row r="1845" spans="14:14">
      <c r="N1845" s="113"/>
    </row>
    <row r="1846" spans="14:14">
      <c r="N1846" s="113"/>
    </row>
    <row r="1847" spans="14:14">
      <c r="N1847" s="113"/>
    </row>
    <row r="1848" spans="14:14">
      <c r="N1848" s="113"/>
    </row>
    <row r="1849" spans="14:14">
      <c r="N1849" s="113"/>
    </row>
    <row r="1850" spans="14:14">
      <c r="N1850" s="113"/>
    </row>
    <row r="1851" spans="14:14">
      <c r="N1851" s="113"/>
    </row>
    <row r="1852" spans="14:14">
      <c r="N1852" s="113"/>
    </row>
    <row r="1853" spans="14:14">
      <c r="N1853" s="113"/>
    </row>
    <row r="1854" spans="14:14">
      <c r="N1854" s="113"/>
    </row>
    <row r="1855" spans="14:14">
      <c r="N1855" s="113"/>
    </row>
    <row r="1856" spans="14:14">
      <c r="N1856" s="113"/>
    </row>
    <row r="1857" spans="14:14">
      <c r="N1857" s="113"/>
    </row>
    <row r="1858" spans="14:14">
      <c r="N1858" s="113"/>
    </row>
    <row r="1859" spans="14:14">
      <c r="N1859" s="113"/>
    </row>
    <row r="1860" spans="14:14">
      <c r="N1860" s="113"/>
    </row>
    <row r="1861" spans="14:14">
      <c r="N1861" s="113"/>
    </row>
    <row r="1862" spans="14:14">
      <c r="N1862" s="113"/>
    </row>
    <row r="1863" spans="14:14">
      <c r="N1863" s="113"/>
    </row>
    <row r="1864" spans="14:14">
      <c r="N1864" s="113"/>
    </row>
    <row r="1865" spans="14:14">
      <c r="N1865" s="113"/>
    </row>
    <row r="1866" spans="14:14">
      <c r="N1866" s="113"/>
    </row>
    <row r="1867" spans="14:14">
      <c r="N1867" s="113"/>
    </row>
    <row r="1868" spans="14:14">
      <c r="N1868" s="113"/>
    </row>
    <row r="1869" spans="14:14">
      <c r="N1869" s="113"/>
    </row>
    <row r="1870" spans="14:14">
      <c r="N1870" s="113"/>
    </row>
    <row r="1871" spans="14:14">
      <c r="N1871" s="113"/>
    </row>
    <row r="1872" spans="14:14">
      <c r="N1872" s="113"/>
    </row>
    <row r="1873" spans="14:14">
      <c r="N1873" s="113"/>
    </row>
    <row r="1874" spans="14:14">
      <c r="N1874" s="113"/>
    </row>
    <row r="1875" spans="14:14">
      <c r="N1875" s="113"/>
    </row>
    <row r="1876" spans="14:14">
      <c r="N1876" s="113"/>
    </row>
    <row r="1877" spans="14:14">
      <c r="N1877" s="113"/>
    </row>
    <row r="1878" spans="14:14">
      <c r="N1878" s="113"/>
    </row>
    <row r="1879" spans="14:14">
      <c r="N1879" s="113"/>
    </row>
    <row r="1880" spans="14:14">
      <c r="N1880" s="113"/>
    </row>
    <row r="1881" spans="14:14">
      <c r="N1881" s="113"/>
    </row>
    <row r="1882" spans="14:14">
      <c r="N1882" s="113"/>
    </row>
    <row r="1883" spans="14:14">
      <c r="N1883" s="113"/>
    </row>
    <row r="1884" spans="14:14">
      <c r="N1884" s="113"/>
    </row>
    <row r="1885" spans="14:14">
      <c r="N1885" s="113"/>
    </row>
    <row r="1886" spans="14:14">
      <c r="N1886" s="113"/>
    </row>
    <row r="1887" spans="14:14">
      <c r="N1887" s="113"/>
    </row>
    <row r="1888" spans="14:14">
      <c r="N1888" s="113"/>
    </row>
    <row r="1889" spans="14:14">
      <c r="N1889" s="113"/>
    </row>
    <row r="1890" spans="14:14">
      <c r="N1890" s="113"/>
    </row>
    <row r="1891" spans="14:14">
      <c r="N1891" s="113"/>
    </row>
    <row r="1892" spans="14:14">
      <c r="N1892" s="113"/>
    </row>
    <row r="1893" spans="14:14">
      <c r="N1893" s="113"/>
    </row>
    <row r="1894" spans="14:14">
      <c r="N1894" s="113"/>
    </row>
    <row r="1895" spans="14:14">
      <c r="N1895" s="113"/>
    </row>
    <row r="1896" spans="14:14">
      <c r="N1896" s="113"/>
    </row>
    <row r="1897" spans="14:14">
      <c r="N1897" s="113"/>
    </row>
    <row r="1898" spans="14:14">
      <c r="N1898" s="113"/>
    </row>
    <row r="1899" spans="14:14">
      <c r="N1899" s="113"/>
    </row>
    <row r="1900" spans="14:14">
      <c r="N1900" s="113"/>
    </row>
    <row r="1901" spans="14:14">
      <c r="N1901" s="113"/>
    </row>
    <row r="1902" spans="14:14">
      <c r="N1902" s="113"/>
    </row>
    <row r="1903" spans="14:14">
      <c r="N1903" s="113"/>
    </row>
    <row r="1904" spans="14:14">
      <c r="N1904" s="113"/>
    </row>
    <row r="1905" spans="14:14">
      <c r="N1905" s="113"/>
    </row>
    <row r="1906" spans="14:14">
      <c r="N1906" s="113"/>
    </row>
    <row r="1907" spans="14:14">
      <c r="N1907" s="113"/>
    </row>
    <row r="1908" spans="14:14">
      <c r="N1908" s="113"/>
    </row>
    <row r="1909" spans="14:14">
      <c r="N1909" s="113"/>
    </row>
    <row r="1910" spans="14:14">
      <c r="N1910" s="113"/>
    </row>
    <row r="1911" spans="14:14">
      <c r="N1911" s="113"/>
    </row>
    <row r="1912" spans="14:14">
      <c r="N1912" s="113"/>
    </row>
    <row r="1913" spans="14:14">
      <c r="N1913" s="113"/>
    </row>
    <row r="1914" spans="14:14">
      <c r="N1914" s="113"/>
    </row>
    <row r="1915" spans="14:14">
      <c r="N1915" s="113"/>
    </row>
    <row r="1916" spans="14:14">
      <c r="N1916" s="113"/>
    </row>
    <row r="1917" spans="14:14">
      <c r="N1917" s="113"/>
    </row>
    <row r="1918" spans="14:14">
      <c r="N1918" s="113"/>
    </row>
    <row r="1919" spans="14:14">
      <c r="N1919" s="113"/>
    </row>
    <row r="1920" spans="14:14">
      <c r="N1920" s="113"/>
    </row>
    <row r="1921" spans="14:14">
      <c r="N1921" s="113"/>
    </row>
    <row r="1922" spans="14:14">
      <c r="N1922" s="113"/>
    </row>
    <row r="1923" spans="14:14">
      <c r="N1923" s="113"/>
    </row>
    <row r="1924" spans="14:14">
      <c r="N1924" s="113"/>
    </row>
    <row r="1925" spans="14:14">
      <c r="N1925" s="113"/>
    </row>
    <row r="1926" spans="14:14">
      <c r="N1926" s="113"/>
    </row>
    <row r="1927" spans="14:14">
      <c r="N1927" s="113"/>
    </row>
    <row r="1928" spans="14:14">
      <c r="N1928" s="113"/>
    </row>
    <row r="1929" spans="14:14">
      <c r="N1929" s="113"/>
    </row>
    <row r="1930" spans="14:14">
      <c r="N1930" s="113"/>
    </row>
    <row r="1931" spans="14:14">
      <c r="N1931" s="113"/>
    </row>
    <row r="1932" spans="14:14">
      <c r="N1932" s="113"/>
    </row>
    <row r="1933" spans="14:14">
      <c r="N1933" s="113"/>
    </row>
    <row r="1934" spans="14:14">
      <c r="N1934" s="113"/>
    </row>
    <row r="1935" spans="14:14">
      <c r="N1935" s="113"/>
    </row>
    <row r="1936" spans="14:14">
      <c r="N1936" s="113"/>
    </row>
    <row r="1937" spans="14:14">
      <c r="N1937" s="113"/>
    </row>
    <row r="1938" spans="14:14">
      <c r="N1938" s="113"/>
    </row>
    <row r="1939" spans="14:14">
      <c r="N1939" s="113"/>
    </row>
    <row r="1940" spans="14:14">
      <c r="N1940" s="113"/>
    </row>
    <row r="1941" spans="14:14">
      <c r="N1941" s="113"/>
    </row>
    <row r="1942" spans="14:14">
      <c r="N1942" s="113"/>
    </row>
    <row r="1943" spans="14:14">
      <c r="N1943" s="113"/>
    </row>
    <row r="1944" spans="14:14">
      <c r="N1944" s="113"/>
    </row>
    <row r="1945" spans="14:14">
      <c r="N1945" s="113"/>
    </row>
    <row r="1946" spans="14:14">
      <c r="N1946" s="113"/>
    </row>
    <row r="1947" spans="14:14">
      <c r="N1947" s="113"/>
    </row>
    <row r="1948" spans="14:14">
      <c r="N1948" s="113"/>
    </row>
    <row r="1949" spans="14:14">
      <c r="N1949" s="113"/>
    </row>
    <row r="1950" spans="14:14">
      <c r="N1950" s="113"/>
    </row>
    <row r="1951" spans="14:14">
      <c r="N1951" s="113"/>
    </row>
    <row r="1952" spans="14:14">
      <c r="N1952" s="113"/>
    </row>
    <row r="1953" spans="14:14">
      <c r="N1953" s="113"/>
    </row>
    <row r="1954" spans="14:14">
      <c r="N1954" s="113"/>
    </row>
    <row r="1955" spans="14:14">
      <c r="N1955" s="113"/>
    </row>
    <row r="1956" spans="14:14">
      <c r="N1956" s="113"/>
    </row>
    <row r="1957" spans="14:14">
      <c r="N1957" s="113"/>
    </row>
    <row r="1958" spans="14:14">
      <c r="N1958" s="113"/>
    </row>
    <row r="1959" spans="14:14">
      <c r="N1959" s="113"/>
    </row>
    <row r="1960" spans="14:14">
      <c r="N1960" s="113"/>
    </row>
    <row r="1961" spans="14:14">
      <c r="N1961" s="113"/>
    </row>
    <row r="1962" spans="14:14">
      <c r="N1962" s="113"/>
    </row>
    <row r="1963" spans="14:14">
      <c r="N1963" s="113"/>
    </row>
    <row r="1964" spans="14:14">
      <c r="N1964" s="113"/>
    </row>
    <row r="1965" spans="14:14">
      <c r="N1965" s="113"/>
    </row>
    <row r="1966" spans="14:14">
      <c r="N1966" s="113"/>
    </row>
    <row r="1967" spans="14:14">
      <c r="N1967" s="113"/>
    </row>
    <row r="1968" spans="14:14">
      <c r="N1968" s="113"/>
    </row>
    <row r="1969" spans="14:14">
      <c r="N1969" s="113"/>
    </row>
    <row r="1970" spans="14:14">
      <c r="N1970" s="113"/>
    </row>
    <row r="1971" spans="14:14">
      <c r="N1971" s="113"/>
    </row>
    <row r="1972" spans="14:14">
      <c r="N1972" s="113"/>
    </row>
    <row r="1973" spans="14:14">
      <c r="N1973" s="113"/>
    </row>
    <row r="1974" spans="14:14">
      <c r="N1974" s="113"/>
    </row>
    <row r="1975" spans="14:14">
      <c r="N1975" s="113"/>
    </row>
    <row r="1976" spans="14:14">
      <c r="N1976" s="113"/>
    </row>
    <row r="1977" spans="14:14">
      <c r="N1977" s="113"/>
    </row>
    <row r="1978" spans="14:14">
      <c r="N1978" s="113"/>
    </row>
    <row r="1979" spans="14:14">
      <c r="N1979" s="113"/>
    </row>
    <row r="1980" spans="14:14">
      <c r="N1980" s="113"/>
    </row>
    <row r="1981" spans="14:14">
      <c r="N1981" s="113"/>
    </row>
    <row r="1982" spans="14:14">
      <c r="N1982" s="113"/>
    </row>
    <row r="1983" spans="14:14">
      <c r="N1983" s="113"/>
    </row>
    <row r="1984" spans="14:14">
      <c r="N1984" s="113"/>
    </row>
    <row r="1985" spans="14:14">
      <c r="N1985" s="113"/>
    </row>
    <row r="1986" spans="14:14">
      <c r="N1986" s="113"/>
    </row>
    <row r="1987" spans="14:14">
      <c r="N1987" s="113"/>
    </row>
    <row r="1988" spans="14:14">
      <c r="N1988" s="113"/>
    </row>
    <row r="1989" spans="14:14">
      <c r="N1989" s="113"/>
    </row>
    <row r="1990" spans="14:14">
      <c r="N1990" s="113"/>
    </row>
    <row r="1991" spans="14:14">
      <c r="N1991" s="113"/>
    </row>
    <row r="1992" spans="14:14">
      <c r="N1992" s="113"/>
    </row>
    <row r="1993" spans="14:14">
      <c r="N1993" s="113"/>
    </row>
    <row r="1994" spans="14:14">
      <c r="N1994" s="113"/>
    </row>
    <row r="1995" spans="14:14">
      <c r="N1995" s="113"/>
    </row>
    <row r="1996" spans="14:14">
      <c r="N1996" s="113"/>
    </row>
    <row r="1997" spans="14:14">
      <c r="N1997" s="113"/>
    </row>
    <row r="1998" spans="14:14">
      <c r="N1998" s="113"/>
    </row>
    <row r="1999" spans="14:14">
      <c r="N1999" s="113"/>
    </row>
    <row r="2000" spans="14:14">
      <c r="N2000" s="113"/>
    </row>
    <row r="2001" spans="14:14">
      <c r="N2001" s="113"/>
    </row>
    <row r="2002" spans="14:14">
      <c r="N2002" s="113"/>
    </row>
    <row r="2003" spans="14:14">
      <c r="N2003" s="113"/>
    </row>
    <row r="2004" spans="14:14">
      <c r="N2004" s="113"/>
    </row>
    <row r="2005" spans="14:14">
      <c r="N2005" s="113"/>
    </row>
    <row r="2006" spans="14:14">
      <c r="N2006" s="113"/>
    </row>
    <row r="2007" spans="14:14">
      <c r="N2007" s="113"/>
    </row>
    <row r="2008" spans="14:14">
      <c r="N2008" s="113"/>
    </row>
    <row r="2009" spans="14:14">
      <c r="N2009" s="113"/>
    </row>
    <row r="2010" spans="14:14">
      <c r="N2010" s="113"/>
    </row>
    <row r="2011" spans="14:14">
      <c r="N2011" s="113"/>
    </row>
    <row r="2012" spans="14:14">
      <c r="N2012" s="113"/>
    </row>
    <row r="2013" spans="14:14">
      <c r="N2013" s="113"/>
    </row>
    <row r="2014" spans="14:14">
      <c r="N2014" s="113"/>
    </row>
    <row r="2015" spans="14:14">
      <c r="N2015" s="113"/>
    </row>
    <row r="2016" spans="14:14">
      <c r="N2016" s="113"/>
    </row>
    <row r="2017" spans="14:14">
      <c r="N2017" s="113"/>
    </row>
    <row r="2018" spans="14:14">
      <c r="N2018" s="113"/>
    </row>
    <row r="2019" spans="14:14">
      <c r="N2019" s="113"/>
    </row>
    <row r="2020" spans="14:14">
      <c r="N2020" s="113"/>
    </row>
    <row r="2021" spans="14:14">
      <c r="N2021" s="113"/>
    </row>
    <row r="2022" spans="14:14">
      <c r="N2022" s="113"/>
    </row>
    <row r="2023" spans="14:14">
      <c r="N2023" s="113"/>
    </row>
    <row r="2024" spans="14:14">
      <c r="N2024" s="113"/>
    </row>
    <row r="2025" spans="14:14">
      <c r="N2025" s="113"/>
    </row>
    <row r="2026" spans="14:14">
      <c r="N2026" s="113"/>
    </row>
    <row r="2027" spans="14:14">
      <c r="N2027" s="113"/>
    </row>
    <row r="2028" spans="14:14">
      <c r="N2028" s="113"/>
    </row>
    <row r="2029" spans="14:14">
      <c r="N2029" s="113"/>
    </row>
    <row r="2030" spans="14:14">
      <c r="N2030" s="113"/>
    </row>
    <row r="2031" spans="14:14">
      <c r="N2031" s="113"/>
    </row>
    <row r="2032" spans="14:14">
      <c r="N2032" s="113"/>
    </row>
    <row r="2033" spans="14:14">
      <c r="N2033" s="113"/>
    </row>
    <row r="2034" spans="14:14">
      <c r="N2034" s="113"/>
    </row>
    <row r="2035" spans="14:14">
      <c r="N2035" s="113"/>
    </row>
    <row r="2036" spans="14:14">
      <c r="N2036" s="113"/>
    </row>
    <row r="2037" spans="14:14">
      <c r="N2037" s="113"/>
    </row>
    <row r="2038" spans="14:14">
      <c r="N2038" s="113"/>
    </row>
    <row r="2039" spans="14:14">
      <c r="N2039" s="113"/>
    </row>
    <row r="2040" spans="14:14">
      <c r="N2040" s="113"/>
    </row>
    <row r="2041" spans="14:14">
      <c r="N2041" s="113"/>
    </row>
    <row r="2042" spans="14:14">
      <c r="N2042" s="113"/>
    </row>
    <row r="2043" spans="14:14">
      <c r="N2043" s="113"/>
    </row>
    <row r="2044" spans="14:14">
      <c r="N2044" s="113"/>
    </row>
    <row r="2045" spans="14:14">
      <c r="N2045" s="113"/>
    </row>
    <row r="2046" spans="14:14">
      <c r="N2046" s="113"/>
    </row>
    <row r="2047" spans="14:14">
      <c r="N2047" s="113"/>
    </row>
    <row r="2048" spans="14:14">
      <c r="N2048" s="113"/>
    </row>
    <row r="2049" spans="14:14">
      <c r="N2049" s="113"/>
    </row>
    <row r="2050" spans="14:14">
      <c r="N2050" s="113"/>
    </row>
    <row r="2051" spans="14:14">
      <c r="N2051" s="113"/>
    </row>
    <row r="2052" spans="14:14">
      <c r="N2052" s="113"/>
    </row>
    <row r="2053" spans="14:14">
      <c r="N2053" s="113"/>
    </row>
    <row r="2054" spans="14:14">
      <c r="N2054" s="113"/>
    </row>
    <row r="2055" spans="14:14">
      <c r="N2055" s="113"/>
    </row>
    <row r="2056" spans="14:14">
      <c r="N2056" s="113"/>
    </row>
    <row r="2057" spans="14:14">
      <c r="N2057" s="113"/>
    </row>
    <row r="2058" spans="14:14">
      <c r="N2058" s="113"/>
    </row>
    <row r="2059" spans="14:14">
      <c r="N2059" s="113"/>
    </row>
    <row r="2060" spans="14:14">
      <c r="N2060" s="113"/>
    </row>
    <row r="2061" spans="14:14">
      <c r="N2061" s="113"/>
    </row>
    <row r="2062" spans="14:14">
      <c r="N2062" s="113"/>
    </row>
    <row r="2063" spans="14:14">
      <c r="N2063" s="113"/>
    </row>
    <row r="2064" spans="14:14">
      <c r="N2064" s="113"/>
    </row>
    <row r="2065" spans="14:14">
      <c r="N2065" s="113"/>
    </row>
    <row r="2066" spans="14:14">
      <c r="N2066" s="113"/>
    </row>
    <row r="2067" spans="14:14">
      <c r="N2067" s="113"/>
    </row>
    <row r="2068" spans="14:14">
      <c r="N2068" s="113"/>
    </row>
    <row r="2069" spans="14:14">
      <c r="N2069" s="113"/>
    </row>
    <row r="2070" spans="14:14">
      <c r="N2070" s="113"/>
    </row>
    <row r="2071" spans="14:14">
      <c r="N2071" s="113"/>
    </row>
    <row r="2072" spans="14:14">
      <c r="N2072" s="113"/>
    </row>
    <row r="2073" spans="14:14">
      <c r="N2073" s="113"/>
    </row>
    <row r="2074" spans="14:14">
      <c r="N2074" s="113"/>
    </row>
    <row r="2075" spans="14:14">
      <c r="N2075" s="113"/>
    </row>
    <row r="2076" spans="14:14">
      <c r="N2076" s="113"/>
    </row>
    <row r="2077" spans="14:14">
      <c r="N2077" s="113"/>
    </row>
    <row r="2078" spans="14:14">
      <c r="N2078" s="113"/>
    </row>
    <row r="2079" spans="14:14">
      <c r="N2079" s="113"/>
    </row>
    <row r="2080" spans="14:14">
      <c r="N2080" s="113"/>
    </row>
    <row r="2081" spans="14:14">
      <c r="N2081" s="113"/>
    </row>
    <row r="2082" spans="14:14">
      <c r="N2082" s="113"/>
    </row>
    <row r="2083" spans="14:14">
      <c r="N2083" s="113"/>
    </row>
    <row r="2084" spans="14:14">
      <c r="N2084" s="113"/>
    </row>
    <row r="2085" spans="14:14">
      <c r="N2085" s="113"/>
    </row>
    <row r="2086" spans="14:14">
      <c r="N2086" s="113"/>
    </row>
    <row r="2087" spans="14:14">
      <c r="N2087" s="113"/>
    </row>
    <row r="2088" spans="14:14">
      <c r="N2088" s="113"/>
    </row>
    <row r="2089" spans="14:14">
      <c r="N2089" s="113"/>
    </row>
    <row r="2090" spans="14:14">
      <c r="N2090" s="113"/>
    </row>
    <row r="2091" spans="14:14">
      <c r="N2091" s="113"/>
    </row>
    <row r="2092" spans="14:14">
      <c r="N2092" s="113"/>
    </row>
    <row r="2093" spans="14:14">
      <c r="N2093" s="113"/>
    </row>
    <row r="2094" spans="14:14">
      <c r="N2094" s="113"/>
    </row>
    <row r="2095" spans="14:14">
      <c r="N2095" s="113"/>
    </row>
    <row r="2096" spans="14:14">
      <c r="N2096" s="113"/>
    </row>
    <row r="2097" spans="14:14">
      <c r="N2097" s="113"/>
    </row>
    <row r="2098" spans="14:14">
      <c r="N2098" s="113"/>
    </row>
    <row r="2099" spans="14:14">
      <c r="N2099" s="113"/>
    </row>
    <row r="2100" spans="14:14">
      <c r="N2100" s="113"/>
    </row>
    <row r="2101" spans="14:14">
      <c r="N2101" s="113"/>
    </row>
    <row r="2102" spans="14:14">
      <c r="N2102" s="113"/>
    </row>
    <row r="2103" spans="14:14">
      <c r="N2103" s="113"/>
    </row>
    <row r="2104" spans="14:14">
      <c r="N2104" s="113"/>
    </row>
    <row r="2105" spans="14:14">
      <c r="N2105" s="113"/>
    </row>
    <row r="2106" spans="14:14">
      <c r="N2106" s="113"/>
    </row>
    <row r="2107" spans="14:14">
      <c r="N2107" s="113"/>
    </row>
    <row r="2108" spans="14:14">
      <c r="N2108" s="113"/>
    </row>
    <row r="2109" spans="14:14">
      <c r="N2109" s="113"/>
    </row>
    <row r="2110" spans="14:14">
      <c r="N2110" s="113"/>
    </row>
    <row r="2111" spans="14:14">
      <c r="N2111" s="113"/>
    </row>
    <row r="2112" spans="14:14">
      <c r="N2112" s="113"/>
    </row>
    <row r="2113" spans="14:14">
      <c r="N2113" s="113"/>
    </row>
    <row r="2114" spans="14:14">
      <c r="N2114" s="113"/>
    </row>
    <row r="2115" spans="14:14">
      <c r="N2115" s="113"/>
    </row>
    <row r="2116" spans="14:14">
      <c r="N2116" s="113"/>
    </row>
    <row r="2117" spans="14:14">
      <c r="N2117" s="113"/>
    </row>
    <row r="2118" spans="14:14">
      <c r="N2118" s="113"/>
    </row>
    <row r="2119" spans="14:14">
      <c r="N2119" s="113"/>
    </row>
    <row r="2120" spans="14:14">
      <c r="N2120" s="113"/>
    </row>
    <row r="2121" spans="14:14">
      <c r="N2121" s="113"/>
    </row>
    <row r="2122" spans="14:14">
      <c r="N2122" s="113"/>
    </row>
    <row r="2123" spans="14:14">
      <c r="N2123" s="113"/>
    </row>
    <row r="2124" spans="14:14">
      <c r="N2124" s="113"/>
    </row>
    <row r="2125" spans="14:14">
      <c r="N2125" s="113"/>
    </row>
    <row r="2126" spans="14:14">
      <c r="N2126" s="113"/>
    </row>
    <row r="2127" spans="14:14">
      <c r="N2127" s="113"/>
    </row>
    <row r="2128" spans="14:14">
      <c r="N2128" s="113"/>
    </row>
    <row r="2129" spans="14:14">
      <c r="N2129" s="113"/>
    </row>
    <row r="2130" spans="14:14">
      <c r="N2130" s="113"/>
    </row>
    <row r="2131" spans="14:14">
      <c r="N2131" s="113"/>
    </row>
    <row r="2132" spans="14:14">
      <c r="N2132" s="113"/>
    </row>
    <row r="2133" spans="14:14">
      <c r="N2133" s="113"/>
    </row>
    <row r="2134" spans="14:14">
      <c r="N2134" s="113"/>
    </row>
    <row r="2135" spans="14:14">
      <c r="N2135" s="113"/>
    </row>
    <row r="2136" spans="14:14">
      <c r="N2136" s="113"/>
    </row>
    <row r="2137" spans="14:14">
      <c r="N2137" s="113"/>
    </row>
    <row r="2138" spans="14:14">
      <c r="N2138" s="113"/>
    </row>
    <row r="2139" spans="14:14">
      <c r="N2139" s="113"/>
    </row>
    <row r="2140" spans="14:14">
      <c r="N2140" s="113"/>
    </row>
    <row r="2141" spans="14:14">
      <c r="N2141" s="113"/>
    </row>
    <row r="2142" spans="14:14">
      <c r="N2142" s="113"/>
    </row>
    <row r="2143" spans="14:14">
      <c r="N2143" s="113"/>
    </row>
    <row r="2144" spans="14:14">
      <c r="N2144" s="113"/>
    </row>
    <row r="2145" spans="14:14">
      <c r="N2145" s="113"/>
    </row>
    <row r="2146" spans="14:14">
      <c r="N2146" s="113"/>
    </row>
    <row r="2147" spans="14:14">
      <c r="N2147" s="113"/>
    </row>
    <row r="2148" spans="14:14">
      <c r="N2148" s="113"/>
    </row>
    <row r="2149" spans="14:14">
      <c r="N2149" s="113"/>
    </row>
    <row r="2150" spans="14:14">
      <c r="N2150" s="113"/>
    </row>
    <row r="2151" spans="14:14">
      <c r="N2151" s="113"/>
    </row>
    <row r="2152" spans="14:14">
      <c r="N2152" s="113"/>
    </row>
    <row r="2153" spans="14:14">
      <c r="N2153" s="113"/>
    </row>
    <row r="2154" spans="14:14">
      <c r="N2154" s="113"/>
    </row>
    <row r="2155" spans="14:14">
      <c r="N2155" s="113"/>
    </row>
    <row r="2156" spans="14:14">
      <c r="N2156" s="113"/>
    </row>
    <row r="2157" spans="14:14">
      <c r="N2157" s="113"/>
    </row>
    <row r="2158" spans="14:14">
      <c r="N2158" s="113"/>
    </row>
    <row r="2159" spans="14:14">
      <c r="N2159" s="113"/>
    </row>
    <row r="2160" spans="14:14">
      <c r="N2160" s="113"/>
    </row>
    <row r="2161" spans="14:14">
      <c r="N2161" s="113"/>
    </row>
    <row r="2162" spans="14:14">
      <c r="N2162" s="113"/>
    </row>
    <row r="2163" spans="14:14">
      <c r="N2163" s="113"/>
    </row>
    <row r="2164" spans="14:14">
      <c r="N2164" s="113"/>
    </row>
    <row r="2165" spans="14:14">
      <c r="N2165" s="113"/>
    </row>
    <row r="2166" spans="14:14">
      <c r="N2166" s="113"/>
    </row>
    <row r="2167" spans="14:14">
      <c r="N2167" s="113"/>
    </row>
    <row r="2168" spans="14:14">
      <c r="N2168" s="113"/>
    </row>
    <row r="2169" spans="14:14">
      <c r="N2169" s="113"/>
    </row>
    <row r="2170" spans="14:14">
      <c r="N2170" s="113"/>
    </row>
    <row r="2171" spans="14:14">
      <c r="N2171" s="113"/>
    </row>
    <row r="2172" spans="14:14">
      <c r="N2172" s="113"/>
    </row>
    <row r="2173" spans="14:14">
      <c r="N2173" s="113"/>
    </row>
    <row r="2174" spans="14:14">
      <c r="N2174" s="113"/>
    </row>
    <row r="2175" spans="14:14">
      <c r="N2175" s="113"/>
    </row>
    <row r="2176" spans="14:14">
      <c r="N2176" s="113"/>
    </row>
    <row r="2177" spans="14:14">
      <c r="N2177" s="113"/>
    </row>
    <row r="2178" spans="14:14">
      <c r="N2178" s="113"/>
    </row>
    <row r="2179" spans="14:14">
      <c r="N2179" s="113"/>
    </row>
    <row r="2180" spans="14:14">
      <c r="N2180" s="113"/>
    </row>
    <row r="2181" spans="14:14">
      <c r="N2181" s="113"/>
    </row>
    <row r="2182" spans="14:14">
      <c r="N2182" s="113"/>
    </row>
    <row r="2183" spans="14:14">
      <c r="N2183" s="113"/>
    </row>
    <row r="2184" spans="14:14">
      <c r="N2184" s="113"/>
    </row>
    <row r="2185" spans="14:14">
      <c r="N2185" s="113"/>
    </row>
    <row r="2186" spans="14:14">
      <c r="N2186" s="113"/>
    </row>
    <row r="2187" spans="14:14">
      <c r="N2187" s="113"/>
    </row>
    <row r="2188" spans="14:14">
      <c r="N2188" s="113"/>
    </row>
    <row r="2189" spans="14:14">
      <c r="N2189" s="113"/>
    </row>
    <row r="2190" spans="14:14">
      <c r="N2190" s="113"/>
    </row>
    <row r="2191" spans="14:14">
      <c r="N2191" s="113"/>
    </row>
    <row r="2192" spans="14:14">
      <c r="N2192" s="113"/>
    </row>
    <row r="2193" spans="14:14">
      <c r="N2193" s="113"/>
    </row>
    <row r="2194" spans="14:14">
      <c r="N2194" s="113"/>
    </row>
    <row r="2195" spans="14:14">
      <c r="N2195" s="113"/>
    </row>
    <row r="2196" spans="14:14">
      <c r="N2196" s="113"/>
    </row>
    <row r="2197" spans="14:14">
      <c r="N2197" s="113"/>
    </row>
    <row r="2198" spans="14:14">
      <c r="N2198" s="113"/>
    </row>
    <row r="2199" spans="14:14">
      <c r="N2199" s="113"/>
    </row>
    <row r="2200" spans="14:14">
      <c r="N2200" s="113"/>
    </row>
    <row r="2201" spans="14:14">
      <c r="N2201" s="113"/>
    </row>
    <row r="2202" spans="14:14">
      <c r="N2202" s="113"/>
    </row>
    <row r="2203" spans="14:14">
      <c r="N2203" s="113"/>
    </row>
    <row r="2204" spans="14:14">
      <c r="N2204" s="113"/>
    </row>
    <row r="2205" spans="14:14">
      <c r="N2205" s="113"/>
    </row>
    <row r="2206" spans="14:14">
      <c r="N2206" s="113"/>
    </row>
    <row r="2207" spans="14:14">
      <c r="N2207" s="113"/>
    </row>
    <row r="2208" spans="14:14">
      <c r="N2208" s="113"/>
    </row>
    <row r="2209" spans="14:14">
      <c r="N2209" s="113"/>
    </row>
    <row r="2210" spans="14:14">
      <c r="N2210" s="113"/>
    </row>
    <row r="2211" spans="14:14">
      <c r="N2211" s="113"/>
    </row>
    <row r="2212" spans="14:14">
      <c r="N2212" s="113"/>
    </row>
    <row r="2213" spans="14:14">
      <c r="N2213" s="113"/>
    </row>
    <row r="2214" spans="14:14">
      <c r="N2214" s="113"/>
    </row>
    <row r="2215" spans="14:14">
      <c r="N2215" s="113"/>
    </row>
    <row r="2216" spans="14:14">
      <c r="N2216" s="113"/>
    </row>
    <row r="2217" spans="14:14">
      <c r="N2217" s="113"/>
    </row>
    <row r="2218" spans="14:14">
      <c r="N2218" s="113"/>
    </row>
    <row r="2219" spans="14:14">
      <c r="N2219" s="113"/>
    </row>
    <row r="2220" spans="14:14">
      <c r="N2220" s="113"/>
    </row>
    <row r="2221" spans="14:14">
      <c r="N2221" s="113"/>
    </row>
    <row r="2222" spans="14:14">
      <c r="N2222" s="113"/>
    </row>
    <row r="2223" spans="14:14">
      <c r="N2223" s="113"/>
    </row>
    <row r="2224" spans="14:14">
      <c r="N2224" s="113"/>
    </row>
    <row r="2225" spans="14:14">
      <c r="N2225" s="113"/>
    </row>
    <row r="2226" spans="14:14">
      <c r="N2226" s="113"/>
    </row>
    <row r="2227" spans="14:14">
      <c r="N2227" s="113"/>
    </row>
    <row r="2228" spans="14:14">
      <c r="N2228" s="113"/>
    </row>
    <row r="2229" spans="14:14">
      <c r="N2229" s="113"/>
    </row>
    <row r="2230" spans="14:14">
      <c r="N2230" s="113"/>
    </row>
    <row r="2231" spans="14:14">
      <c r="N2231" s="113"/>
    </row>
    <row r="2232" spans="14:14">
      <c r="N2232" s="113"/>
    </row>
    <row r="2233" spans="14:14">
      <c r="N2233" s="113"/>
    </row>
    <row r="2234" spans="14:14">
      <c r="N2234" s="113"/>
    </row>
    <row r="2235" spans="14:14">
      <c r="N2235" s="113"/>
    </row>
    <row r="2236" spans="14:14">
      <c r="N2236" s="113"/>
    </row>
    <row r="2237" spans="14:14">
      <c r="N2237" s="113"/>
    </row>
    <row r="2238" spans="14:14">
      <c r="N2238" s="113"/>
    </row>
    <row r="2239" spans="14:14">
      <c r="N2239" s="113"/>
    </row>
    <row r="2240" spans="14:14">
      <c r="N2240" s="113"/>
    </row>
    <row r="2241" spans="14:14">
      <c r="N2241" s="113"/>
    </row>
    <row r="2242" spans="14:14">
      <c r="N2242" s="113"/>
    </row>
    <row r="2243" spans="14:14">
      <c r="N2243" s="113"/>
    </row>
    <row r="2244" spans="14:14">
      <c r="N2244" s="113"/>
    </row>
    <row r="2245" spans="14:14">
      <c r="N2245" s="113"/>
    </row>
    <row r="2246" spans="14:14">
      <c r="N2246" s="113"/>
    </row>
    <row r="2247" spans="14:14">
      <c r="N2247" s="113"/>
    </row>
    <row r="2248" spans="14:14">
      <c r="N2248" s="113"/>
    </row>
    <row r="2249" spans="14:14">
      <c r="N2249" s="113"/>
    </row>
    <row r="2250" spans="14:14">
      <c r="N2250" s="113"/>
    </row>
    <row r="2251" spans="14:14">
      <c r="N2251" s="113"/>
    </row>
    <row r="2252" spans="14:14">
      <c r="N2252" s="113"/>
    </row>
    <row r="2253" spans="14:14">
      <c r="N2253" s="113"/>
    </row>
    <row r="2254" spans="14:14">
      <c r="N2254" s="113"/>
    </row>
    <row r="2255" spans="14:14">
      <c r="N2255" s="113"/>
    </row>
    <row r="2256" spans="14:14">
      <c r="N2256" s="113"/>
    </row>
    <row r="2257" spans="14:14">
      <c r="N2257" s="113"/>
    </row>
    <row r="2258" spans="14:14">
      <c r="N2258" s="113"/>
    </row>
    <row r="2259" spans="14:14">
      <c r="N2259" s="113"/>
    </row>
    <row r="2260" spans="14:14">
      <c r="N2260" s="113"/>
    </row>
    <row r="2261" spans="14:14">
      <c r="N2261" s="113"/>
    </row>
    <row r="2262" spans="14:14">
      <c r="N2262" s="113"/>
    </row>
    <row r="2263" spans="14:14">
      <c r="N2263" s="113"/>
    </row>
    <row r="2264" spans="14:14">
      <c r="N2264" s="113"/>
    </row>
    <row r="2265" spans="14:14">
      <c r="N2265" s="113"/>
    </row>
    <row r="2266" spans="14:14">
      <c r="N2266" s="113"/>
    </row>
    <row r="2267" spans="14:14">
      <c r="N2267" s="113"/>
    </row>
    <row r="2268" spans="14:14">
      <c r="N2268" s="113"/>
    </row>
    <row r="2269" spans="14:14">
      <c r="N2269" s="113"/>
    </row>
    <row r="2270" spans="14:14">
      <c r="N2270" s="113"/>
    </row>
    <row r="2271" spans="14:14">
      <c r="N2271" s="113"/>
    </row>
    <row r="2272" spans="14:14">
      <c r="N2272" s="113"/>
    </row>
    <row r="2273" spans="14:14">
      <c r="N2273" s="113"/>
    </row>
    <row r="2274" spans="14:14">
      <c r="N2274" s="113"/>
    </row>
    <row r="2275" spans="14:14">
      <c r="N2275" s="113"/>
    </row>
    <row r="2276" spans="14:14">
      <c r="N2276" s="113"/>
    </row>
    <row r="2277" spans="14:14">
      <c r="N2277" s="113"/>
    </row>
    <row r="2278" spans="14:14">
      <c r="N2278" s="113"/>
    </row>
    <row r="2279" spans="14:14">
      <c r="N2279" s="113"/>
    </row>
    <row r="2280" spans="14:14">
      <c r="N2280" s="113"/>
    </row>
    <row r="2281" spans="14:14">
      <c r="N2281" s="113"/>
    </row>
    <row r="2282" spans="14:14">
      <c r="N2282" s="113"/>
    </row>
    <row r="2283" spans="14:14">
      <c r="N2283" s="113"/>
    </row>
    <row r="2284" spans="14:14">
      <c r="N2284" s="113"/>
    </row>
    <row r="2285" spans="14:14">
      <c r="N2285" s="113"/>
    </row>
    <row r="2286" spans="14:14">
      <c r="N2286" s="113"/>
    </row>
    <row r="2287" spans="14:14">
      <c r="N2287" s="113"/>
    </row>
    <row r="2288" spans="14:14">
      <c r="N2288" s="113"/>
    </row>
    <row r="2289" spans="14:14">
      <c r="N2289" s="113"/>
    </row>
    <row r="2290" spans="14:14">
      <c r="N2290" s="113"/>
    </row>
    <row r="2291" spans="14:14">
      <c r="N2291" s="113"/>
    </row>
    <row r="2292" spans="14:14">
      <c r="N2292" s="113"/>
    </row>
    <row r="2293" spans="14:14">
      <c r="N2293" s="113"/>
    </row>
    <row r="2294" spans="14:14">
      <c r="N2294" s="113"/>
    </row>
    <row r="2295" spans="14:14">
      <c r="N2295" s="113"/>
    </row>
    <row r="2296" spans="14:14">
      <c r="N2296" s="113"/>
    </row>
    <row r="2297" spans="14:14">
      <c r="N2297" s="113"/>
    </row>
    <row r="2298" spans="14:14">
      <c r="N2298" s="113"/>
    </row>
    <row r="2299" spans="14:14">
      <c r="N2299" s="113"/>
    </row>
    <row r="2300" spans="14:14">
      <c r="N2300" s="113"/>
    </row>
    <row r="2301" spans="14:14">
      <c r="N2301" s="113"/>
    </row>
    <row r="2302" spans="14:14">
      <c r="N2302" s="113"/>
    </row>
    <row r="2303" spans="14:14">
      <c r="N2303" s="113"/>
    </row>
    <row r="2304" spans="14:14">
      <c r="N2304" s="113"/>
    </row>
    <row r="2305" spans="14:14">
      <c r="N2305" s="113"/>
    </row>
    <row r="2306" spans="14:14">
      <c r="N2306" s="113"/>
    </row>
    <row r="2307" spans="14:14">
      <c r="N2307" s="113"/>
    </row>
    <row r="2308" spans="14:14">
      <c r="N2308" s="113"/>
    </row>
    <row r="2309" spans="14:14">
      <c r="N2309" s="113"/>
    </row>
    <row r="2310" spans="14:14">
      <c r="N2310" s="113"/>
    </row>
    <row r="2311" spans="14:14">
      <c r="N2311" s="113"/>
    </row>
    <row r="2312" spans="14:14">
      <c r="N2312" s="113"/>
    </row>
    <row r="2313" spans="14:14">
      <c r="N2313" s="113"/>
    </row>
    <row r="2314" spans="14:14">
      <c r="N2314" s="113"/>
    </row>
    <row r="2315" spans="14:14">
      <c r="N2315" s="113"/>
    </row>
    <row r="2316" spans="14:14">
      <c r="N2316" s="113"/>
    </row>
    <row r="2317" spans="14:14">
      <c r="N2317" s="113"/>
    </row>
    <row r="2318" spans="14:14">
      <c r="N2318" s="113"/>
    </row>
    <row r="2319" spans="14:14">
      <c r="N2319" s="113"/>
    </row>
    <row r="2320" spans="14:14">
      <c r="N2320" s="113"/>
    </row>
    <row r="2321" spans="14:14">
      <c r="N2321" s="113"/>
    </row>
    <row r="2322" spans="14:14">
      <c r="N2322" s="113"/>
    </row>
    <row r="2323" spans="14:14">
      <c r="N2323" s="113"/>
    </row>
    <row r="2324" spans="14:14">
      <c r="N2324" s="113"/>
    </row>
    <row r="2325" spans="14:14">
      <c r="N2325" s="113"/>
    </row>
    <row r="2326" spans="14:14">
      <c r="N2326" s="113"/>
    </row>
    <row r="2327" spans="14:14">
      <c r="N2327" s="113"/>
    </row>
    <row r="2328" spans="14:14">
      <c r="N2328" s="113"/>
    </row>
    <row r="2329" spans="14:14">
      <c r="N2329" s="113"/>
    </row>
    <row r="2330" spans="14:14">
      <c r="N2330" s="113"/>
    </row>
    <row r="2331" spans="14:14">
      <c r="N2331" s="113"/>
    </row>
    <row r="2332" spans="14:14">
      <c r="N2332" s="113"/>
    </row>
    <row r="2333" spans="14:14">
      <c r="N2333" s="113"/>
    </row>
    <row r="2334" spans="14:14">
      <c r="N2334" s="113"/>
    </row>
    <row r="2335" spans="14:14">
      <c r="N2335" s="113"/>
    </row>
    <row r="2336" spans="14:14">
      <c r="N2336" s="113"/>
    </row>
    <row r="2337" spans="14:14">
      <c r="N2337" s="113"/>
    </row>
    <row r="2338" spans="14:14">
      <c r="N2338" s="113"/>
    </row>
    <row r="2339" spans="14:14">
      <c r="N2339" s="113"/>
    </row>
    <row r="2340" spans="14:14">
      <c r="N2340" s="113"/>
    </row>
    <row r="2341" spans="14:14">
      <c r="N2341" s="113"/>
    </row>
    <row r="2342" spans="14:14">
      <c r="N2342" s="113"/>
    </row>
    <row r="2343" spans="14:14">
      <c r="N2343" s="113"/>
    </row>
    <row r="2344" spans="14:14">
      <c r="N2344" s="113"/>
    </row>
    <row r="2345" spans="14:14">
      <c r="N2345" s="113"/>
    </row>
    <row r="2346" spans="14:14">
      <c r="N2346" s="113"/>
    </row>
    <row r="2347" spans="14:14">
      <c r="N2347" s="113"/>
    </row>
    <row r="2348" spans="14:14">
      <c r="N2348" s="113"/>
    </row>
    <row r="2349" spans="14:14">
      <c r="N2349" s="113"/>
    </row>
    <row r="2350" spans="14:14">
      <c r="N2350" s="113"/>
    </row>
    <row r="2351" spans="14:14">
      <c r="N2351" s="113"/>
    </row>
    <row r="2352" spans="14:14">
      <c r="N2352" s="113"/>
    </row>
    <row r="2353" spans="14:14">
      <c r="N2353" s="113"/>
    </row>
    <row r="2354" spans="14:14">
      <c r="N2354" s="113"/>
    </row>
    <row r="2355" spans="14:14">
      <c r="N2355" s="113"/>
    </row>
    <row r="2356" spans="14:14">
      <c r="N2356" s="113"/>
    </row>
    <row r="2357" spans="14:14">
      <c r="N2357" s="113"/>
    </row>
    <row r="2358" spans="14:14">
      <c r="N2358" s="113"/>
    </row>
    <row r="2359" spans="14:14">
      <c r="N2359" s="113"/>
    </row>
    <row r="2360" spans="14:14">
      <c r="N2360" s="113"/>
    </row>
    <row r="2361" spans="14:14">
      <c r="N2361" s="113"/>
    </row>
    <row r="2362" spans="14:14">
      <c r="N2362" s="113"/>
    </row>
    <row r="2363" spans="14:14">
      <c r="N2363" s="113"/>
    </row>
    <row r="2364" spans="14:14">
      <c r="N2364" s="113"/>
    </row>
    <row r="2365" spans="14:14">
      <c r="N2365" s="113"/>
    </row>
    <row r="2366" spans="14:14">
      <c r="N2366" s="113"/>
    </row>
    <row r="2367" spans="14:14">
      <c r="N2367" s="113"/>
    </row>
    <row r="2368" spans="14:14">
      <c r="N2368" s="113"/>
    </row>
    <row r="2369" spans="14:14">
      <c r="N2369" s="113"/>
    </row>
    <row r="2370" spans="14:14">
      <c r="N2370" s="113"/>
    </row>
    <row r="2371" spans="14:14">
      <c r="N2371" s="113"/>
    </row>
    <row r="2372" spans="14:14">
      <c r="N2372" s="113"/>
    </row>
    <row r="2373" spans="14:14">
      <c r="N2373" s="113"/>
    </row>
    <row r="2374" spans="14:14">
      <c r="N2374" s="113"/>
    </row>
    <row r="2375" spans="14:14">
      <c r="N2375" s="113"/>
    </row>
    <row r="2376" spans="14:14">
      <c r="N2376" s="113"/>
    </row>
    <row r="2377" spans="14:14">
      <c r="N2377" s="113"/>
    </row>
    <row r="2378" spans="14:14">
      <c r="N2378" s="113"/>
    </row>
    <row r="2379" spans="14:14">
      <c r="N2379" s="113"/>
    </row>
    <row r="2380" spans="14:14">
      <c r="N2380" s="113"/>
    </row>
    <row r="2381" spans="14:14">
      <c r="N2381" s="113"/>
    </row>
    <row r="2382" spans="14:14">
      <c r="N2382" s="113"/>
    </row>
    <row r="2383" spans="14:14">
      <c r="N2383" s="113"/>
    </row>
    <row r="2384" spans="14:14">
      <c r="N2384" s="113"/>
    </row>
    <row r="2385" spans="14:14">
      <c r="N2385" s="113"/>
    </row>
    <row r="2386" spans="14:14">
      <c r="N2386" s="113"/>
    </row>
    <row r="2387" spans="14:14">
      <c r="N2387" s="113"/>
    </row>
    <row r="2388" spans="14:14">
      <c r="N2388" s="113"/>
    </row>
    <row r="2389" spans="14:14">
      <c r="N2389" s="113"/>
    </row>
    <row r="2390" spans="14:14">
      <c r="N2390" s="113"/>
    </row>
    <row r="2391" spans="14:14">
      <c r="N2391" s="113"/>
    </row>
    <row r="2392" spans="14:14">
      <c r="N2392" s="113"/>
    </row>
    <row r="2393" spans="14:14">
      <c r="N2393" s="113"/>
    </row>
    <row r="2394" spans="14:14">
      <c r="N2394" s="113"/>
    </row>
    <row r="2395" spans="14:14">
      <c r="N2395" s="113"/>
    </row>
    <row r="2396" spans="14:14">
      <c r="N2396" s="113"/>
    </row>
    <row r="2397" spans="14:14">
      <c r="N2397" s="113"/>
    </row>
    <row r="2398" spans="14:14">
      <c r="N2398" s="113"/>
    </row>
    <row r="2399" spans="14:14">
      <c r="N2399" s="113"/>
    </row>
    <row r="2400" spans="14:14">
      <c r="N2400" s="113"/>
    </row>
    <row r="2401" spans="14:14">
      <c r="N2401" s="113"/>
    </row>
    <row r="2402" spans="14:14">
      <c r="N2402" s="113"/>
    </row>
    <row r="2403" spans="14:14">
      <c r="N2403" s="113"/>
    </row>
    <row r="2404" spans="14:14">
      <c r="N2404" s="113"/>
    </row>
    <row r="2405" spans="14:14">
      <c r="N2405" s="113"/>
    </row>
    <row r="2406" spans="14:14">
      <c r="N2406" s="113"/>
    </row>
    <row r="2407" spans="14:14">
      <c r="N2407" s="113"/>
    </row>
    <row r="2408" spans="14:14">
      <c r="N2408" s="113"/>
    </row>
    <row r="2409" spans="14:14">
      <c r="N2409" s="113"/>
    </row>
    <row r="2410" spans="14:14">
      <c r="N2410" s="113"/>
    </row>
    <row r="2411" spans="14:14">
      <c r="N2411" s="113"/>
    </row>
    <row r="2412" spans="14:14">
      <c r="N2412" s="113"/>
    </row>
    <row r="2413" spans="14:14">
      <c r="N2413" s="113"/>
    </row>
    <row r="2414" spans="14:14">
      <c r="N2414" s="113"/>
    </row>
    <row r="2415" spans="14:14">
      <c r="N2415" s="113"/>
    </row>
    <row r="2416" spans="14:14">
      <c r="N2416" s="113"/>
    </row>
    <row r="2417" spans="14:14">
      <c r="N2417" s="113"/>
    </row>
    <row r="2418" spans="14:14">
      <c r="N2418" s="113"/>
    </row>
    <row r="2419" spans="14:14">
      <c r="N2419" s="113"/>
    </row>
    <row r="2420" spans="14:14">
      <c r="N2420" s="113"/>
    </row>
    <row r="2421" spans="14:14">
      <c r="N2421" s="113"/>
    </row>
    <row r="2422" spans="14:14">
      <c r="N2422" s="113"/>
    </row>
    <row r="2423" spans="14:14">
      <c r="N2423" s="113"/>
    </row>
    <row r="2424" spans="14:14">
      <c r="N2424" s="113"/>
    </row>
    <row r="2425" spans="14:14">
      <c r="N2425" s="113"/>
    </row>
    <row r="2426" spans="14:14">
      <c r="N2426" s="113"/>
    </row>
    <row r="2427" spans="14:14">
      <c r="N2427" s="113"/>
    </row>
    <row r="2428" spans="14:14">
      <c r="N2428" s="113"/>
    </row>
    <row r="2429" spans="14:14">
      <c r="N2429" s="113"/>
    </row>
    <row r="2430" spans="14:14">
      <c r="N2430" s="113"/>
    </row>
    <row r="2431" spans="14:14">
      <c r="N2431" s="113"/>
    </row>
    <row r="2432" spans="14:14">
      <c r="N2432" s="113"/>
    </row>
    <row r="2433" spans="14:14">
      <c r="N2433" s="113"/>
    </row>
    <row r="2434" spans="14:14">
      <c r="N2434" s="113"/>
    </row>
    <row r="2435" spans="14:14">
      <c r="N2435" s="113"/>
    </row>
    <row r="2436" spans="14:14">
      <c r="N2436" s="113"/>
    </row>
    <row r="2437" spans="14:14">
      <c r="N2437" s="113"/>
    </row>
    <row r="2438" spans="14:14">
      <c r="N2438" s="113"/>
    </row>
    <row r="2439" spans="14:14">
      <c r="N2439" s="113"/>
    </row>
    <row r="2440" spans="14:14">
      <c r="N2440" s="113"/>
    </row>
    <row r="2441" spans="14:14">
      <c r="N2441" s="113"/>
    </row>
    <row r="2442" spans="14:14">
      <c r="N2442" s="113"/>
    </row>
    <row r="2443" spans="14:14">
      <c r="N2443" s="113"/>
    </row>
    <row r="2444" spans="14:14">
      <c r="N2444" s="113"/>
    </row>
    <row r="2445" spans="14:14">
      <c r="N2445" s="113"/>
    </row>
    <row r="2446" spans="14:14">
      <c r="N2446" s="113"/>
    </row>
    <row r="2447" spans="14:14">
      <c r="N2447" s="113"/>
    </row>
    <row r="2448" spans="14:14">
      <c r="N2448" s="113"/>
    </row>
    <row r="2449" spans="14:14">
      <c r="N2449" s="113"/>
    </row>
    <row r="2450" spans="14:14">
      <c r="N2450" s="113"/>
    </row>
    <row r="2451" spans="14:14">
      <c r="N2451" s="113"/>
    </row>
    <row r="2452" spans="14:14">
      <c r="N2452" s="113"/>
    </row>
    <row r="2453" spans="14:14">
      <c r="N2453" s="113"/>
    </row>
    <row r="2454" spans="14:14">
      <c r="N2454" s="113"/>
    </row>
    <row r="2455" spans="14:14">
      <c r="N2455" s="113"/>
    </row>
    <row r="2456" spans="14:14">
      <c r="N2456" s="113"/>
    </row>
    <row r="2457" spans="14:14">
      <c r="N2457" s="113"/>
    </row>
    <row r="2458" spans="14:14">
      <c r="N2458" s="113"/>
    </row>
    <row r="2459" spans="14:14">
      <c r="N2459" s="113"/>
    </row>
    <row r="2460" spans="14:14">
      <c r="N2460" s="113"/>
    </row>
    <row r="2461" spans="14:14">
      <c r="N2461" s="113"/>
    </row>
    <row r="2462" spans="14:14">
      <c r="N2462" s="113"/>
    </row>
    <row r="2463" spans="14:14">
      <c r="N2463" s="113"/>
    </row>
    <row r="2464" spans="14:14">
      <c r="N2464" s="113"/>
    </row>
    <row r="2465" spans="14:14">
      <c r="N2465" s="113"/>
    </row>
    <row r="2466" spans="14:14">
      <c r="N2466" s="113"/>
    </row>
    <row r="2467" spans="14:14">
      <c r="N2467" s="113"/>
    </row>
    <row r="2468" spans="14:14">
      <c r="N2468" s="113"/>
    </row>
    <row r="2469" spans="14:14">
      <c r="N2469" s="113"/>
    </row>
    <row r="2470" spans="14:14">
      <c r="N2470" s="113"/>
    </row>
    <row r="2471" spans="14:14">
      <c r="N2471" s="113"/>
    </row>
    <row r="2472" spans="14:14">
      <c r="N2472" s="113"/>
    </row>
    <row r="2473" spans="14:14">
      <c r="N2473" s="113"/>
    </row>
    <row r="2474" spans="14:14">
      <c r="N2474" s="113"/>
    </row>
    <row r="2475" spans="14:14">
      <c r="N2475" s="113"/>
    </row>
    <row r="2476" spans="14:14">
      <c r="N2476" s="113"/>
    </row>
    <row r="2477" spans="14:14">
      <c r="N2477" s="113"/>
    </row>
    <row r="2478" spans="14:14">
      <c r="N2478" s="113"/>
    </row>
    <row r="2479" spans="14:14">
      <c r="N2479" s="113"/>
    </row>
    <row r="2480" spans="14:14">
      <c r="N2480" s="113"/>
    </row>
    <row r="2481" spans="14:14">
      <c r="N2481" s="113"/>
    </row>
    <row r="2482" spans="14:14">
      <c r="N2482" s="113"/>
    </row>
    <row r="2483" spans="14:14">
      <c r="N2483" s="113"/>
    </row>
    <row r="2484" spans="14:14">
      <c r="N2484" s="113"/>
    </row>
    <row r="2485" spans="14:14">
      <c r="N2485" s="113"/>
    </row>
    <row r="2486" spans="14:14">
      <c r="N2486" s="113"/>
    </row>
    <row r="2487" spans="14:14">
      <c r="N2487" s="113"/>
    </row>
    <row r="2488" spans="14:14">
      <c r="N2488" s="113"/>
    </row>
    <row r="2489" spans="14:14">
      <c r="N2489" s="113"/>
    </row>
    <row r="2490" spans="14:14">
      <c r="N2490" s="113"/>
    </row>
    <row r="2491" spans="14:14">
      <c r="N2491" s="113"/>
    </row>
    <row r="2492" spans="14:14">
      <c r="N2492" s="113"/>
    </row>
    <row r="2493" spans="14:14">
      <c r="N2493" s="113"/>
    </row>
    <row r="2494" spans="14:14">
      <c r="N2494" s="113"/>
    </row>
    <row r="2495" spans="14:14">
      <c r="N2495" s="113"/>
    </row>
    <row r="2496" spans="14:14">
      <c r="N2496" s="113"/>
    </row>
    <row r="2497" spans="14:14">
      <c r="N2497" s="113"/>
    </row>
    <row r="2498" spans="14:14">
      <c r="N2498" s="113"/>
    </row>
    <row r="2499" spans="14:14">
      <c r="N2499" s="113"/>
    </row>
    <row r="2500" spans="14:14">
      <c r="N2500" s="113"/>
    </row>
    <row r="2501" spans="14:14">
      <c r="N2501" s="113"/>
    </row>
    <row r="2502" spans="14:14">
      <c r="N2502" s="113"/>
    </row>
    <row r="2503" spans="14:14">
      <c r="N2503" s="113"/>
    </row>
    <row r="2504" spans="14:14">
      <c r="N2504" s="113"/>
    </row>
    <row r="2505" spans="14:14">
      <c r="N2505" s="113"/>
    </row>
    <row r="2506" spans="14:14">
      <c r="N2506" s="113"/>
    </row>
    <row r="2507" spans="14:14">
      <c r="N2507" s="113"/>
    </row>
    <row r="2508" spans="14:14">
      <c r="N2508" s="113"/>
    </row>
    <row r="2509" spans="14:14">
      <c r="N2509" s="113"/>
    </row>
    <row r="2510" spans="14:14">
      <c r="N2510" s="113"/>
    </row>
    <row r="2511" spans="14:14">
      <c r="N2511" s="113"/>
    </row>
    <row r="2512" spans="14:14">
      <c r="N2512" s="113"/>
    </row>
    <row r="2513" spans="14:14">
      <c r="N2513" s="113"/>
    </row>
    <row r="2514" spans="14:14">
      <c r="N2514" s="113"/>
    </row>
    <row r="2515" spans="14:14">
      <c r="N2515" s="113"/>
    </row>
    <row r="2516" spans="14:14">
      <c r="N2516" s="113"/>
    </row>
    <row r="2517" spans="14:14">
      <c r="N2517" s="113"/>
    </row>
    <row r="2518" spans="14:14">
      <c r="N2518" s="113"/>
    </row>
    <row r="2519" spans="14:14">
      <c r="N2519" s="113"/>
    </row>
    <row r="2520" spans="14:14">
      <c r="N2520" s="113"/>
    </row>
    <row r="2521" spans="14:14">
      <c r="N2521" s="113"/>
    </row>
    <row r="2522" spans="14:14">
      <c r="N2522" s="113"/>
    </row>
    <row r="2523" spans="14:14">
      <c r="N2523" s="113"/>
    </row>
    <row r="2524" spans="14:14">
      <c r="N2524" s="113"/>
    </row>
    <row r="2525" spans="14:14">
      <c r="N2525" s="113"/>
    </row>
    <row r="2526" spans="14:14">
      <c r="N2526" s="113"/>
    </row>
    <row r="2527" spans="14:14">
      <c r="N2527" s="113"/>
    </row>
    <row r="2528" spans="14:14">
      <c r="N2528" s="113"/>
    </row>
    <row r="2529" spans="14:14">
      <c r="N2529" s="113"/>
    </row>
    <row r="2530" spans="14:14">
      <c r="N2530" s="113"/>
    </row>
    <row r="2531" spans="14:14">
      <c r="N2531" s="113"/>
    </row>
    <row r="2532" spans="14:14">
      <c r="N2532" s="113"/>
    </row>
    <row r="2533" spans="14:14">
      <c r="N2533" s="113"/>
    </row>
    <row r="2534" spans="14:14">
      <c r="N2534" s="113"/>
    </row>
    <row r="2535" spans="14:14">
      <c r="N2535" s="113"/>
    </row>
    <row r="2536" spans="14:14">
      <c r="N2536" s="113"/>
    </row>
    <row r="2537" spans="14:14">
      <c r="N2537" s="113"/>
    </row>
    <row r="2538" spans="14:14">
      <c r="N2538" s="113"/>
    </row>
    <row r="2539" spans="14:14">
      <c r="N2539" s="113"/>
    </row>
    <row r="2540" spans="14:14">
      <c r="N2540" s="113"/>
    </row>
    <row r="2541" spans="14:14">
      <c r="N2541" s="113"/>
    </row>
    <row r="2542" spans="14:14">
      <c r="N2542" s="113"/>
    </row>
    <row r="2543" spans="14:14">
      <c r="N2543" s="113"/>
    </row>
    <row r="2544" spans="14:14">
      <c r="N2544" s="113"/>
    </row>
    <row r="2545" spans="14:14">
      <c r="N2545" s="113"/>
    </row>
    <row r="2546" spans="14:14">
      <c r="N2546" s="113"/>
    </row>
    <row r="2547" spans="14:14">
      <c r="N2547" s="113"/>
    </row>
    <row r="2548" spans="14:14">
      <c r="N2548" s="113"/>
    </row>
    <row r="2549" spans="14:14">
      <c r="N2549" s="113"/>
    </row>
    <row r="2550" spans="14:14">
      <c r="N2550" s="113"/>
    </row>
    <row r="2551" spans="14:14">
      <c r="N2551" s="113"/>
    </row>
    <row r="2552" spans="14:14">
      <c r="N2552" s="113"/>
    </row>
    <row r="2553" spans="14:14">
      <c r="N2553" s="113"/>
    </row>
    <row r="2554" spans="14:14">
      <c r="N2554" s="113"/>
    </row>
    <row r="2555" spans="14:14">
      <c r="N2555" s="113"/>
    </row>
    <row r="2556" spans="14:14">
      <c r="N2556" s="113"/>
    </row>
    <row r="2557" spans="14:14">
      <c r="N2557" s="113"/>
    </row>
    <row r="2558" spans="14:14">
      <c r="N2558" s="113"/>
    </row>
    <row r="2559" spans="14:14">
      <c r="N2559" s="113"/>
    </row>
    <row r="2560" spans="14:14">
      <c r="N2560" s="113"/>
    </row>
    <row r="2561" spans="14:14">
      <c r="N2561" s="113"/>
    </row>
    <row r="2562" spans="14:14">
      <c r="N2562" s="113"/>
    </row>
    <row r="2563" spans="14:14">
      <c r="N2563" s="113"/>
    </row>
    <row r="2564" spans="14:14">
      <c r="N2564" s="113"/>
    </row>
    <row r="2565" spans="14:14">
      <c r="N2565" s="113"/>
    </row>
    <row r="2566" spans="14:14">
      <c r="N2566" s="113"/>
    </row>
    <row r="2567" spans="14:14">
      <c r="N2567" s="113"/>
    </row>
    <row r="2568" spans="14:14">
      <c r="N2568" s="113"/>
    </row>
    <row r="2569" spans="14:14">
      <c r="N2569" s="113"/>
    </row>
    <row r="2570" spans="14:14">
      <c r="N2570" s="113"/>
    </row>
    <row r="2571" spans="14:14">
      <c r="N2571" s="113"/>
    </row>
    <row r="2572" spans="14:14">
      <c r="N2572" s="113"/>
    </row>
    <row r="2573" spans="14:14">
      <c r="N2573" s="113"/>
    </row>
    <row r="2574" spans="14:14">
      <c r="N2574" s="113"/>
    </row>
    <row r="2575" spans="14:14">
      <c r="N2575" s="113"/>
    </row>
    <row r="2576" spans="14:14">
      <c r="N2576" s="113"/>
    </row>
    <row r="2577" spans="14:14">
      <c r="N2577" s="113"/>
    </row>
    <row r="2578" spans="14:14">
      <c r="N2578" s="113"/>
    </row>
    <row r="2579" spans="14:14">
      <c r="N2579" s="113"/>
    </row>
    <row r="2580" spans="14:14">
      <c r="N2580" s="113"/>
    </row>
    <row r="2581" spans="14:14">
      <c r="N2581" s="113"/>
    </row>
    <row r="2582" spans="14:14">
      <c r="N2582" s="113"/>
    </row>
    <row r="2583" spans="14:14">
      <c r="N2583" s="113"/>
    </row>
    <row r="2584" spans="14:14">
      <c r="N2584" s="113"/>
    </row>
    <row r="2585" spans="14:14">
      <c r="N2585" s="113"/>
    </row>
    <row r="2586" spans="14:14">
      <c r="N2586" s="113"/>
    </row>
    <row r="2587" spans="14:14">
      <c r="N2587" s="113"/>
    </row>
    <row r="2588" spans="14:14">
      <c r="N2588" s="113"/>
    </row>
    <row r="2589" spans="14:14">
      <c r="N2589" s="113"/>
    </row>
    <row r="2590" spans="14:14">
      <c r="N2590" s="113"/>
    </row>
    <row r="2591" spans="14:14">
      <c r="N2591" s="113"/>
    </row>
    <row r="2592" spans="14:14">
      <c r="N2592" s="113"/>
    </row>
    <row r="2593" spans="14:14">
      <c r="N2593" s="113"/>
    </row>
    <row r="2594" spans="14:14">
      <c r="N2594" s="113"/>
    </row>
    <row r="2595" spans="14:14">
      <c r="N2595" s="113"/>
    </row>
    <row r="2596" spans="14:14">
      <c r="N2596" s="113"/>
    </row>
    <row r="2597" spans="14:14">
      <c r="N2597" s="113"/>
    </row>
    <row r="2598" spans="14:14">
      <c r="N2598" s="113"/>
    </row>
    <row r="2599" spans="14:14">
      <c r="N2599" s="113"/>
    </row>
    <row r="2600" spans="14:14">
      <c r="N2600" s="113"/>
    </row>
    <row r="2601" spans="14:14">
      <c r="N2601" s="113"/>
    </row>
    <row r="2602" spans="14:14">
      <c r="N2602" s="113"/>
    </row>
    <row r="2603" spans="14:14">
      <c r="N2603" s="113"/>
    </row>
    <row r="2604" spans="14:14">
      <c r="N2604" s="113"/>
    </row>
    <row r="2605" spans="14:14">
      <c r="N2605" s="113"/>
    </row>
    <row r="2606" spans="14:14">
      <c r="N2606" s="113"/>
    </row>
    <row r="2607" spans="14:14">
      <c r="N2607" s="113"/>
    </row>
    <row r="2608" spans="14:14">
      <c r="N2608" s="113"/>
    </row>
    <row r="2609" spans="14:14">
      <c r="N2609" s="113"/>
    </row>
    <row r="2610" spans="14:14">
      <c r="N2610" s="113"/>
    </row>
    <row r="2611" spans="14:14">
      <c r="N2611" s="113"/>
    </row>
    <row r="2612" spans="14:14">
      <c r="N2612" s="113"/>
    </row>
    <row r="2613" spans="14:14">
      <c r="N2613" s="113"/>
    </row>
    <row r="2614" spans="14:14">
      <c r="N2614" s="113"/>
    </row>
    <row r="2615" spans="14:14">
      <c r="N2615" s="113"/>
    </row>
    <row r="2616" spans="14:14">
      <c r="N2616" s="113"/>
    </row>
    <row r="2617" spans="14:14">
      <c r="N2617" s="113"/>
    </row>
    <row r="2618" spans="14:14">
      <c r="N2618" s="113"/>
    </row>
    <row r="2619" spans="14:14">
      <c r="N2619" s="113"/>
    </row>
    <row r="2620" spans="14:14">
      <c r="N2620" s="113"/>
    </row>
    <row r="2621" spans="14:14">
      <c r="N2621" s="113"/>
    </row>
    <row r="2622" spans="14:14">
      <c r="N2622" s="113"/>
    </row>
    <row r="2623" spans="14:14">
      <c r="N2623" s="113"/>
    </row>
    <row r="2624" spans="14:14">
      <c r="N2624" s="113"/>
    </row>
    <row r="2625" spans="14:14">
      <c r="N2625" s="113"/>
    </row>
    <row r="2626" spans="14:14">
      <c r="N2626" s="113"/>
    </row>
    <row r="2627" spans="14:14">
      <c r="N2627" s="113"/>
    </row>
    <row r="2628" spans="14:14">
      <c r="N2628" s="113"/>
    </row>
    <row r="2629" spans="14:14">
      <c r="N2629" s="113"/>
    </row>
    <row r="2630" spans="14:14">
      <c r="N2630" s="113"/>
    </row>
    <row r="2631" spans="14:14">
      <c r="N2631" s="113"/>
    </row>
    <row r="2632" spans="14:14">
      <c r="N2632" s="113"/>
    </row>
    <row r="2633" spans="14:14">
      <c r="N2633" s="113"/>
    </row>
    <row r="2634" spans="14:14">
      <c r="N2634" s="113"/>
    </row>
    <row r="2635" spans="14:14">
      <c r="N2635" s="113"/>
    </row>
    <row r="2636" spans="14:14">
      <c r="N2636" s="113"/>
    </row>
    <row r="2637" spans="14:14">
      <c r="N2637" s="113"/>
    </row>
    <row r="2638" spans="14:14">
      <c r="N2638" s="113"/>
    </row>
    <row r="2639" spans="14:14">
      <c r="N2639" s="113"/>
    </row>
    <row r="2640" spans="14:14">
      <c r="N2640" s="113"/>
    </row>
    <row r="2641" spans="14:14">
      <c r="N2641" s="113"/>
    </row>
    <row r="2642" spans="14:14">
      <c r="N2642" s="113"/>
    </row>
    <row r="2643" spans="14:14">
      <c r="N2643" s="113"/>
    </row>
    <row r="2644" spans="14:14">
      <c r="N2644" s="113"/>
    </row>
    <row r="2645" spans="14:14">
      <c r="N2645" s="113"/>
    </row>
    <row r="2646" spans="14:14">
      <c r="N2646" s="113"/>
    </row>
    <row r="2647" spans="14:14">
      <c r="N2647" s="113"/>
    </row>
    <row r="2648" spans="14:14">
      <c r="N2648" s="113"/>
    </row>
    <row r="2649" spans="14:14">
      <c r="N2649" s="113"/>
    </row>
    <row r="2650" spans="14:14">
      <c r="N2650" s="113"/>
    </row>
    <row r="2651" spans="14:14">
      <c r="N2651" s="113"/>
    </row>
    <row r="2652" spans="14:14">
      <c r="N2652" s="113"/>
    </row>
    <row r="2653" spans="14:14">
      <c r="N2653" s="113"/>
    </row>
    <row r="2654" spans="14:14">
      <c r="N2654" s="113"/>
    </row>
    <row r="2655" spans="14:14">
      <c r="N2655" s="113"/>
    </row>
    <row r="2656" spans="14:14">
      <c r="N2656" s="113"/>
    </row>
    <row r="2657" spans="14:14">
      <c r="N2657" s="113"/>
    </row>
    <row r="2658" spans="14:14">
      <c r="N2658" s="113"/>
    </row>
    <row r="2659" spans="14:14">
      <c r="N2659" s="113"/>
    </row>
    <row r="2660" spans="14:14">
      <c r="N2660" s="113"/>
    </row>
    <row r="2661" spans="14:14">
      <c r="N2661" s="113"/>
    </row>
    <row r="2662" spans="14:14">
      <c r="N2662" s="113"/>
    </row>
    <row r="2663" spans="14:14">
      <c r="N2663" s="113"/>
    </row>
    <row r="2664" spans="14:14">
      <c r="N2664" s="113"/>
    </row>
    <row r="2665" spans="14:14">
      <c r="N2665" s="113"/>
    </row>
    <row r="2666" spans="14:14">
      <c r="N2666" s="113"/>
    </row>
    <row r="2667" spans="14:14">
      <c r="N2667" s="113"/>
    </row>
    <row r="2668" spans="14:14">
      <c r="N2668" s="113"/>
    </row>
    <row r="2669" spans="14:14">
      <c r="N2669" s="113"/>
    </row>
    <row r="2670" spans="14:14">
      <c r="N2670" s="113"/>
    </row>
    <row r="2671" spans="14:14">
      <c r="N2671" s="113"/>
    </row>
    <row r="2672" spans="14:14">
      <c r="N2672" s="113"/>
    </row>
    <row r="2673" spans="14:14">
      <c r="N2673" s="113"/>
    </row>
    <row r="2674" spans="14:14">
      <c r="N2674" s="113"/>
    </row>
    <row r="2675" spans="14:14">
      <c r="N2675" s="113"/>
    </row>
    <row r="2676" spans="14:14">
      <c r="N2676" s="113"/>
    </row>
    <row r="2677" spans="14:14">
      <c r="N2677" s="113"/>
    </row>
    <row r="2678" spans="14:14">
      <c r="N2678" s="113"/>
    </row>
    <row r="2679" spans="14:14">
      <c r="N2679" s="113"/>
    </row>
    <row r="2680" spans="14:14">
      <c r="N2680" s="113"/>
    </row>
    <row r="2681" spans="14:14">
      <c r="N2681" s="113"/>
    </row>
    <row r="2682" spans="14:14">
      <c r="N2682" s="113"/>
    </row>
    <row r="2683" spans="14:14">
      <c r="N2683" s="113"/>
    </row>
    <row r="2684" spans="14:14">
      <c r="N2684" s="113"/>
    </row>
    <row r="2685" spans="14:14">
      <c r="N2685" s="113"/>
    </row>
    <row r="2686" spans="14:14">
      <c r="N2686" s="113"/>
    </row>
    <row r="2687" spans="14:14">
      <c r="N2687" s="113"/>
    </row>
    <row r="2688" spans="14:14">
      <c r="N2688" s="113"/>
    </row>
    <row r="2689" spans="14:14">
      <c r="N2689" s="113"/>
    </row>
    <row r="2690" spans="14:14">
      <c r="N2690" s="113"/>
    </row>
    <row r="2691" spans="14:14">
      <c r="N2691" s="113"/>
    </row>
    <row r="2692" spans="14:14">
      <c r="N2692" s="113"/>
    </row>
    <row r="2693" spans="14:14">
      <c r="N2693" s="113"/>
    </row>
    <row r="2694" spans="14:14">
      <c r="N2694" s="113"/>
    </row>
    <row r="2695" spans="14:14">
      <c r="N2695" s="113"/>
    </row>
    <row r="2696" spans="14:14">
      <c r="N2696" s="113"/>
    </row>
    <row r="2697" spans="14:14">
      <c r="N2697" s="113"/>
    </row>
    <row r="2698" spans="14:14">
      <c r="N2698" s="113"/>
    </row>
    <row r="2699" spans="14:14">
      <c r="N2699" s="113"/>
    </row>
    <row r="2700" spans="14:14">
      <c r="N2700" s="113"/>
    </row>
    <row r="2701" spans="14:14">
      <c r="N2701" s="113"/>
    </row>
    <row r="2702" spans="14:14">
      <c r="N2702" s="113"/>
    </row>
    <row r="2703" spans="14:14">
      <c r="N2703" s="113"/>
    </row>
    <row r="2704" spans="14:14">
      <c r="N2704" s="113"/>
    </row>
    <row r="2705" spans="14:14">
      <c r="N2705" s="113"/>
    </row>
    <row r="2706" spans="14:14">
      <c r="N2706" s="113"/>
    </row>
    <row r="2707" spans="14:14">
      <c r="N2707" s="113"/>
    </row>
    <row r="2708" spans="14:14">
      <c r="N2708" s="113"/>
    </row>
    <row r="2709" spans="14:14">
      <c r="N2709" s="113"/>
    </row>
    <row r="2710" spans="14:14">
      <c r="N2710" s="113"/>
    </row>
    <row r="2711" spans="14:14">
      <c r="N2711" s="113"/>
    </row>
    <row r="2712" spans="14:14">
      <c r="N2712" s="113"/>
    </row>
    <row r="2713" spans="14:14">
      <c r="N2713" s="113"/>
    </row>
    <row r="2714" spans="14:14">
      <c r="N2714" s="113"/>
    </row>
    <row r="2715" spans="14:14">
      <c r="N2715" s="113"/>
    </row>
    <row r="2716" spans="14:14">
      <c r="N2716" s="113"/>
    </row>
    <row r="2717" spans="14:14">
      <c r="N2717" s="113"/>
    </row>
    <row r="2718" spans="14:14">
      <c r="N2718" s="113"/>
    </row>
    <row r="2719" spans="14:14">
      <c r="N2719" s="113"/>
    </row>
    <row r="2720" spans="14:14">
      <c r="N2720" s="113"/>
    </row>
    <row r="2721" spans="14:14">
      <c r="N2721" s="113"/>
    </row>
    <row r="2722" spans="14:14">
      <c r="N2722" s="113"/>
    </row>
    <row r="2723" spans="14:14">
      <c r="N2723" s="113"/>
    </row>
    <row r="2724" spans="14:14">
      <c r="N2724" s="113"/>
    </row>
    <row r="2725" spans="14:14">
      <c r="N2725" s="113"/>
    </row>
    <row r="2726" spans="14:14">
      <c r="N2726" s="113"/>
    </row>
    <row r="2727" spans="14:14">
      <c r="N2727" s="113"/>
    </row>
    <row r="2728" spans="14:14">
      <c r="N2728" s="113"/>
    </row>
    <row r="2729" spans="14:14">
      <c r="N2729" s="113"/>
    </row>
    <row r="2730" spans="14:14">
      <c r="N2730" s="113"/>
    </row>
    <row r="2731" spans="14:14">
      <c r="N2731" s="113"/>
    </row>
    <row r="2732" spans="14:14">
      <c r="N2732" s="113"/>
    </row>
    <row r="2733" spans="14:14">
      <c r="N2733" s="113"/>
    </row>
    <row r="2734" spans="14:14">
      <c r="N2734" s="113"/>
    </row>
    <row r="2735" spans="14:14">
      <c r="N2735" s="113"/>
    </row>
    <row r="2736" spans="14:14">
      <c r="N2736" s="113"/>
    </row>
    <row r="2737" spans="14:14">
      <c r="N2737" s="113"/>
    </row>
    <row r="2738" spans="14:14">
      <c r="N2738" s="113"/>
    </row>
    <row r="2739" spans="14:14">
      <c r="N2739" s="113"/>
    </row>
    <row r="2740" spans="14:14">
      <c r="N2740" s="113"/>
    </row>
    <row r="2741" spans="14:14">
      <c r="N2741" s="113"/>
    </row>
    <row r="2742" spans="14:14">
      <c r="N2742" s="113"/>
    </row>
    <row r="2743" spans="14:14">
      <c r="N2743" s="113"/>
    </row>
    <row r="2744" spans="14:14">
      <c r="N2744" s="113"/>
    </row>
    <row r="2745" spans="14:14">
      <c r="N2745" s="113"/>
    </row>
    <row r="2746" spans="14:14">
      <c r="N2746" s="113"/>
    </row>
    <row r="2747" spans="14:14">
      <c r="N2747" s="113"/>
    </row>
    <row r="2748" spans="14:14">
      <c r="N2748" s="113"/>
    </row>
    <row r="2749" spans="14:14">
      <c r="N2749" s="113"/>
    </row>
    <row r="2750" spans="14:14">
      <c r="N2750" s="113"/>
    </row>
    <row r="2751" spans="14:14">
      <c r="N2751" s="113"/>
    </row>
    <row r="2752" spans="14:14">
      <c r="N2752" s="113"/>
    </row>
    <row r="2753" spans="14:14">
      <c r="N2753" s="113"/>
    </row>
    <row r="2754" spans="14:14">
      <c r="N2754" s="113"/>
    </row>
    <row r="2755" spans="14:14">
      <c r="N2755" s="113"/>
    </row>
    <row r="2756" spans="14:14">
      <c r="N2756" s="113"/>
    </row>
    <row r="2757" spans="14:14">
      <c r="N2757" s="113"/>
    </row>
    <row r="2758" spans="14:14">
      <c r="N2758" s="113"/>
    </row>
    <row r="2759" spans="14:14">
      <c r="N2759" s="113"/>
    </row>
    <row r="2760" spans="14:14">
      <c r="N2760" s="113"/>
    </row>
    <row r="2761" spans="14:14">
      <c r="N2761" s="113"/>
    </row>
    <row r="2762" spans="14:14">
      <c r="N2762" s="113"/>
    </row>
    <row r="2763" spans="14:14">
      <c r="N2763" s="113"/>
    </row>
    <row r="2764" spans="14:14">
      <c r="N2764" s="113"/>
    </row>
    <row r="2765" spans="14:14">
      <c r="N2765" s="113"/>
    </row>
    <row r="2766" spans="14:14">
      <c r="N2766" s="113"/>
    </row>
    <row r="2767" spans="14:14">
      <c r="N2767" s="113"/>
    </row>
    <row r="2768" spans="14:14">
      <c r="N2768" s="113"/>
    </row>
    <row r="2769" spans="14:14">
      <c r="N2769" s="113"/>
    </row>
    <row r="2770" spans="14:14">
      <c r="N2770" s="113"/>
    </row>
    <row r="2771" spans="14:14">
      <c r="N2771" s="113"/>
    </row>
    <row r="2772" spans="14:14">
      <c r="N2772" s="113"/>
    </row>
    <row r="2773" spans="14:14">
      <c r="N2773" s="113"/>
    </row>
    <row r="2774" spans="14:14">
      <c r="N2774" s="113"/>
    </row>
    <row r="2775" spans="14:14">
      <c r="N2775" s="113"/>
    </row>
    <row r="2776" spans="14:14">
      <c r="N2776" s="113"/>
    </row>
    <row r="2777" spans="14:14">
      <c r="N2777" s="113"/>
    </row>
    <row r="2778" spans="14:14">
      <c r="N2778" s="113"/>
    </row>
    <row r="2779" spans="14:14">
      <c r="N2779" s="113"/>
    </row>
    <row r="2780" spans="14:14">
      <c r="N2780" s="113"/>
    </row>
    <row r="2781" spans="14:14">
      <c r="N2781" s="113"/>
    </row>
    <row r="2782" spans="14:14">
      <c r="N2782" s="113"/>
    </row>
    <row r="2783" spans="14:14">
      <c r="N2783" s="113"/>
    </row>
    <row r="2784" spans="14:14">
      <c r="N2784" s="113"/>
    </row>
    <row r="2785" spans="14:14">
      <c r="N2785" s="113"/>
    </row>
    <row r="2786" spans="14:14">
      <c r="N2786" s="113"/>
    </row>
    <row r="2787" spans="14:14">
      <c r="N2787" s="113"/>
    </row>
    <row r="2788" spans="14:14">
      <c r="N2788" s="113"/>
    </row>
    <row r="2789" spans="14:14">
      <c r="N2789" s="113"/>
    </row>
    <row r="2790" spans="14:14">
      <c r="N2790" s="113"/>
    </row>
    <row r="2791" spans="14:14">
      <c r="N2791" s="113"/>
    </row>
    <row r="2792" spans="14:14">
      <c r="N2792" s="113"/>
    </row>
    <row r="2793" spans="14:14">
      <c r="N2793" s="113"/>
    </row>
    <row r="2794" spans="14:14">
      <c r="N2794" s="113"/>
    </row>
    <row r="2795" spans="14:14">
      <c r="N2795" s="113"/>
    </row>
    <row r="2796" spans="14:14">
      <c r="N2796" s="113"/>
    </row>
    <row r="2797" spans="14:14">
      <c r="N2797" s="113"/>
    </row>
    <row r="2798" spans="14:14">
      <c r="N2798" s="113"/>
    </row>
    <row r="2799" spans="14:14">
      <c r="N2799" s="113"/>
    </row>
    <row r="2800" spans="14:14">
      <c r="N2800" s="113"/>
    </row>
    <row r="2801" spans="14:14">
      <c r="N2801" s="113"/>
    </row>
    <row r="2802" spans="14:14">
      <c r="N2802" s="113"/>
    </row>
    <row r="2803" spans="14:14">
      <c r="N2803" s="113"/>
    </row>
    <row r="2804" spans="14:14">
      <c r="N2804" s="113"/>
    </row>
    <row r="2805" spans="14:14">
      <c r="N2805" s="113"/>
    </row>
    <row r="2806" spans="14:14">
      <c r="N2806" s="113"/>
    </row>
    <row r="2807" spans="14:14">
      <c r="N2807" s="113"/>
    </row>
    <row r="2808" spans="14:14">
      <c r="N2808" s="113"/>
    </row>
    <row r="2809" spans="14:14">
      <c r="N2809" s="113"/>
    </row>
    <row r="2810" spans="14:14">
      <c r="N2810" s="113"/>
    </row>
    <row r="2811" spans="14:14">
      <c r="N2811" s="113"/>
    </row>
    <row r="2812" spans="14:14">
      <c r="N2812" s="113"/>
    </row>
    <row r="2813" spans="14:14">
      <c r="N2813" s="113"/>
    </row>
    <row r="2814" spans="14:14">
      <c r="N2814" s="113"/>
    </row>
    <row r="2815" spans="14:14">
      <c r="N2815" s="113"/>
    </row>
    <row r="2816" spans="14:14">
      <c r="N2816" s="113"/>
    </row>
    <row r="2817" spans="14:14">
      <c r="N2817" s="113"/>
    </row>
    <row r="2818" spans="14:14">
      <c r="N2818" s="113"/>
    </row>
    <row r="2819" spans="14:14">
      <c r="N2819" s="113"/>
    </row>
    <row r="2820" spans="14:14">
      <c r="N2820" s="113"/>
    </row>
    <row r="2821" spans="14:14">
      <c r="N2821" s="113"/>
    </row>
    <row r="2822" spans="14:14">
      <c r="N2822" s="113"/>
    </row>
    <row r="2823" spans="14:14">
      <c r="N2823" s="113"/>
    </row>
    <row r="2824" spans="14:14">
      <c r="N2824" s="113"/>
    </row>
    <row r="2825" spans="14:14">
      <c r="N2825" s="113"/>
    </row>
    <row r="2826" spans="14:14">
      <c r="N2826" s="113"/>
    </row>
    <row r="2827" spans="14:14">
      <c r="N2827" s="113"/>
    </row>
    <row r="2828" spans="14:14">
      <c r="N2828" s="113"/>
    </row>
    <row r="2829" spans="14:14">
      <c r="N2829" s="113"/>
    </row>
    <row r="2830" spans="14:14">
      <c r="N2830" s="113"/>
    </row>
    <row r="2831" spans="14:14">
      <c r="N2831" s="113"/>
    </row>
    <row r="2832" spans="14:14">
      <c r="N2832" s="113"/>
    </row>
    <row r="2833" spans="14:14">
      <c r="N2833" s="113"/>
    </row>
    <row r="2834" spans="14:14">
      <c r="N2834" s="113"/>
    </row>
    <row r="2835" spans="14:14">
      <c r="N2835" s="113"/>
    </row>
    <row r="2836" spans="14:14">
      <c r="N2836" s="113"/>
    </row>
    <row r="2837" spans="14:14">
      <c r="N2837" s="113"/>
    </row>
    <row r="2838" spans="14:14">
      <c r="N2838" s="113"/>
    </row>
    <row r="2839" spans="14:14">
      <c r="N2839" s="113"/>
    </row>
    <row r="2840" spans="14:14">
      <c r="N2840" s="113"/>
    </row>
    <row r="2841" spans="14:14">
      <c r="N2841" s="113"/>
    </row>
    <row r="2842" spans="14:14">
      <c r="N2842" s="113"/>
    </row>
    <row r="2843" spans="14:14">
      <c r="N2843" s="113"/>
    </row>
    <row r="2844" spans="14:14">
      <c r="N2844" s="113"/>
    </row>
    <row r="2845" spans="14:14">
      <c r="N2845" s="113"/>
    </row>
    <row r="2846" spans="14:14">
      <c r="N2846" s="113"/>
    </row>
    <row r="2847" spans="14:14">
      <c r="N2847" s="113"/>
    </row>
    <row r="2848" spans="14:14">
      <c r="N2848" s="113"/>
    </row>
    <row r="2849" spans="14:14">
      <c r="N2849" s="113"/>
    </row>
    <row r="2850" spans="14:14">
      <c r="N2850" s="113"/>
    </row>
    <row r="2851" spans="14:14">
      <c r="N2851" s="113"/>
    </row>
    <row r="2852" spans="14:14">
      <c r="N2852" s="113"/>
    </row>
    <row r="2853" spans="14:14">
      <c r="N2853" s="113"/>
    </row>
    <row r="2854" spans="14:14">
      <c r="N2854" s="113"/>
    </row>
    <row r="2855" spans="14:14">
      <c r="N2855" s="113"/>
    </row>
    <row r="2856" spans="14:14">
      <c r="N2856" s="113"/>
    </row>
    <row r="2857" spans="14:14">
      <c r="N2857" s="113"/>
    </row>
    <row r="2858" spans="14:14">
      <c r="N2858" s="113"/>
    </row>
    <row r="2859" spans="14:14">
      <c r="N2859" s="113"/>
    </row>
    <row r="2860" spans="14:14">
      <c r="N2860" s="113"/>
    </row>
    <row r="2861" spans="14:14">
      <c r="N2861" s="113"/>
    </row>
    <row r="2862" spans="14:14">
      <c r="N2862" s="113"/>
    </row>
    <row r="2863" spans="14:14">
      <c r="N2863" s="113"/>
    </row>
    <row r="2864" spans="14:14">
      <c r="N2864" s="113"/>
    </row>
    <row r="2865" spans="14:14">
      <c r="N2865" s="113"/>
    </row>
    <row r="2866" spans="14:14">
      <c r="N2866" s="113"/>
    </row>
    <row r="2867" spans="14:14">
      <c r="N2867" s="113"/>
    </row>
    <row r="2868" spans="14:14">
      <c r="N2868" s="113"/>
    </row>
    <row r="2869" spans="14:14">
      <c r="N2869" s="113"/>
    </row>
    <row r="2870" spans="14:14">
      <c r="N2870" s="113"/>
    </row>
    <row r="2871" spans="14:14">
      <c r="N2871" s="113"/>
    </row>
    <row r="2872" spans="14:14">
      <c r="N2872" s="113"/>
    </row>
    <row r="2873" spans="14:14">
      <c r="N2873" s="113"/>
    </row>
    <row r="2874" spans="14:14">
      <c r="N2874" s="113"/>
    </row>
    <row r="2875" spans="14:14">
      <c r="N2875" s="113"/>
    </row>
    <row r="2876" spans="14:14">
      <c r="N2876" s="113"/>
    </row>
    <row r="2877" spans="14:14">
      <c r="N2877" s="113"/>
    </row>
    <row r="2878" spans="14:14">
      <c r="N2878" s="113"/>
    </row>
    <row r="2879" spans="14:14">
      <c r="N2879" s="113"/>
    </row>
    <row r="2880" spans="14:14">
      <c r="N2880" s="113"/>
    </row>
    <row r="2881" spans="14:14">
      <c r="N2881" s="113"/>
    </row>
    <row r="2882" spans="14:14">
      <c r="N2882" s="113"/>
    </row>
    <row r="2883" spans="14:14">
      <c r="N2883" s="113"/>
    </row>
    <row r="2884" spans="14:14">
      <c r="N2884" s="113"/>
    </row>
    <row r="2885" spans="14:14">
      <c r="N2885" s="113"/>
    </row>
    <row r="2886" spans="14:14">
      <c r="N2886" s="113"/>
    </row>
    <row r="2887" spans="14:14">
      <c r="N2887" s="113"/>
    </row>
    <row r="2888" spans="14:14">
      <c r="N2888" s="113"/>
    </row>
    <row r="2889" spans="14:14">
      <c r="N2889" s="113"/>
    </row>
    <row r="2890" spans="14:14">
      <c r="N2890" s="113"/>
    </row>
    <row r="2891" spans="14:14">
      <c r="N2891" s="113"/>
    </row>
    <row r="2892" spans="14:14">
      <c r="N2892" s="113"/>
    </row>
    <row r="2893" spans="14:14">
      <c r="N2893" s="113"/>
    </row>
    <row r="2894" spans="14:14">
      <c r="N2894" s="113"/>
    </row>
    <row r="2895" spans="14:14">
      <c r="N2895" s="113"/>
    </row>
    <row r="2896" spans="14:14">
      <c r="N2896" s="113"/>
    </row>
    <row r="2897" spans="14:14">
      <c r="N2897" s="113"/>
    </row>
    <row r="2898" spans="14:14">
      <c r="N2898" s="113"/>
    </row>
    <row r="2899" spans="14:14">
      <c r="N2899" s="113"/>
    </row>
    <row r="2900" spans="14:14">
      <c r="N2900" s="113"/>
    </row>
    <row r="2901" spans="14:14">
      <c r="N2901" s="113"/>
    </row>
    <row r="2902" spans="14:14">
      <c r="N2902" s="113"/>
    </row>
    <row r="2903" spans="14:14">
      <c r="N2903" s="113"/>
    </row>
    <row r="2904" spans="14:14">
      <c r="N2904" s="113"/>
    </row>
    <row r="2905" spans="14:14">
      <c r="N2905" s="113"/>
    </row>
    <row r="2906" spans="14:14">
      <c r="N2906" s="113"/>
    </row>
    <row r="2907" spans="14:14">
      <c r="N2907" s="113"/>
    </row>
    <row r="2908" spans="14:14">
      <c r="N2908" s="113"/>
    </row>
    <row r="2909" spans="14:14">
      <c r="N2909" s="113"/>
    </row>
    <row r="2910" spans="14:14">
      <c r="N2910" s="113"/>
    </row>
    <row r="2911" spans="14:14">
      <c r="N2911" s="113"/>
    </row>
    <row r="2912" spans="14:14">
      <c r="N2912" s="113"/>
    </row>
    <row r="2913" spans="14:14">
      <c r="N2913" s="113"/>
    </row>
    <row r="2914" spans="14:14">
      <c r="N2914" s="113"/>
    </row>
    <row r="2915" spans="14:14">
      <c r="N2915" s="113"/>
    </row>
    <row r="2916" spans="14:14">
      <c r="N2916" s="113"/>
    </row>
    <row r="2917" spans="14:14">
      <c r="N2917" s="113"/>
    </row>
    <row r="2918" spans="14:14">
      <c r="N2918" s="113"/>
    </row>
    <row r="2919" spans="14:14">
      <c r="N2919" s="113"/>
    </row>
    <row r="2920" spans="14:14">
      <c r="N2920" s="113"/>
    </row>
    <row r="2921" spans="14:14">
      <c r="N2921" s="113"/>
    </row>
    <row r="2922" spans="14:14">
      <c r="N2922" s="113"/>
    </row>
    <row r="2923" spans="14:14">
      <c r="N2923" s="113"/>
    </row>
    <row r="2924" spans="14:14">
      <c r="N2924" s="113"/>
    </row>
    <row r="2925" spans="14:14">
      <c r="N2925" s="113"/>
    </row>
    <row r="2926" spans="14:14">
      <c r="N2926" s="113"/>
    </row>
    <row r="2927" spans="14:14">
      <c r="N2927" s="113"/>
    </row>
    <row r="2928" spans="14:14">
      <c r="N2928" s="113"/>
    </row>
    <row r="2929" spans="14:14">
      <c r="N2929" s="113"/>
    </row>
    <row r="2930" spans="14:14">
      <c r="N2930" s="113"/>
    </row>
    <row r="2931" spans="14:14">
      <c r="N2931" s="113"/>
    </row>
    <row r="2932" spans="14:14">
      <c r="N2932" s="113"/>
    </row>
    <row r="2933" spans="14:14">
      <c r="N2933" s="113"/>
    </row>
    <row r="2934" spans="14:14">
      <c r="N2934" s="113"/>
    </row>
    <row r="2935" spans="14:14">
      <c r="N2935" s="113"/>
    </row>
    <row r="2936" spans="14:14">
      <c r="N2936" s="113"/>
    </row>
    <row r="2937" spans="14:14">
      <c r="N2937" s="113"/>
    </row>
    <row r="2938" spans="14:14">
      <c r="N2938" s="113"/>
    </row>
    <row r="2939" spans="14:14">
      <c r="N2939" s="113"/>
    </row>
    <row r="2940" spans="14:14">
      <c r="N2940" s="113"/>
    </row>
    <row r="2941" spans="14:14">
      <c r="N2941" s="113"/>
    </row>
    <row r="2942" spans="14:14">
      <c r="N2942" s="113"/>
    </row>
    <row r="2943" spans="14:14">
      <c r="N2943" s="113"/>
    </row>
    <row r="2944" spans="14:14">
      <c r="N2944" s="113"/>
    </row>
    <row r="2945" spans="14:14">
      <c r="N2945" s="113"/>
    </row>
    <row r="2946" spans="14:14">
      <c r="N2946" s="113"/>
    </row>
    <row r="2947" spans="14:14">
      <c r="N2947" s="113"/>
    </row>
    <row r="2948" spans="14:14">
      <c r="N2948" s="113"/>
    </row>
    <row r="2949" spans="14:14">
      <c r="N2949" s="113"/>
    </row>
    <row r="2950" spans="14:14">
      <c r="N2950" s="113"/>
    </row>
    <row r="2951" spans="14:14">
      <c r="N2951" s="113"/>
    </row>
    <row r="2952" spans="14:14">
      <c r="N2952" s="113"/>
    </row>
    <row r="2953" spans="14:14">
      <c r="N2953" s="113"/>
    </row>
    <row r="2954" spans="14:14">
      <c r="N2954" s="113"/>
    </row>
    <row r="2955" spans="14:14">
      <c r="N2955" s="113"/>
    </row>
    <row r="2956" spans="14:14">
      <c r="N2956" s="113"/>
    </row>
    <row r="2957" spans="14:14">
      <c r="N2957" s="113"/>
    </row>
    <row r="2958" spans="14:14">
      <c r="N2958" s="113"/>
    </row>
    <row r="2959" spans="14:14">
      <c r="N2959" s="113"/>
    </row>
    <row r="2960" spans="14:14">
      <c r="N2960" s="113"/>
    </row>
    <row r="2961" spans="14:14">
      <c r="N2961" s="113"/>
    </row>
    <row r="2962" spans="14:14">
      <c r="N2962" s="113"/>
    </row>
    <row r="2963" spans="14:14">
      <c r="N2963" s="113"/>
    </row>
    <row r="2964" spans="14:14">
      <c r="N2964" s="113"/>
    </row>
    <row r="2965" spans="14:14">
      <c r="N2965" s="113"/>
    </row>
    <row r="2966" spans="14:14">
      <c r="N2966" s="113"/>
    </row>
    <row r="2967" spans="14:14">
      <c r="N2967" s="113"/>
    </row>
    <row r="2968" spans="14:14">
      <c r="N2968" s="113"/>
    </row>
    <row r="2969" spans="14:14">
      <c r="N2969" s="113"/>
    </row>
    <row r="2970" spans="14:14">
      <c r="N2970" s="113"/>
    </row>
    <row r="2971" spans="14:14">
      <c r="N2971" s="113"/>
    </row>
    <row r="2972" spans="14:14">
      <c r="N2972" s="113"/>
    </row>
    <row r="2973" spans="14:14">
      <c r="N2973" s="113"/>
    </row>
    <row r="2974" spans="14:14">
      <c r="N2974" s="113"/>
    </row>
    <row r="2975" spans="14:14">
      <c r="N2975" s="113"/>
    </row>
    <row r="2976" spans="14:14">
      <c r="N2976" s="113"/>
    </row>
    <row r="2977" spans="14:14">
      <c r="N2977" s="113"/>
    </row>
    <row r="2978" spans="14:14">
      <c r="N2978" s="113"/>
    </row>
    <row r="2979" spans="14:14">
      <c r="N2979" s="113"/>
    </row>
    <row r="2980" spans="14:14">
      <c r="N2980" s="113"/>
    </row>
    <row r="2981" spans="14:14">
      <c r="N2981" s="113"/>
    </row>
    <row r="2982" spans="14:14">
      <c r="N2982" s="113"/>
    </row>
    <row r="2983" spans="14:14">
      <c r="N2983" s="113"/>
    </row>
    <row r="2984" spans="14:14">
      <c r="N2984" s="113"/>
    </row>
    <row r="2985" spans="14:14">
      <c r="N2985" s="113"/>
    </row>
    <row r="2986" spans="14:14">
      <c r="N2986" s="113"/>
    </row>
    <row r="2987" spans="14:14">
      <c r="N2987" s="113"/>
    </row>
    <row r="2988" spans="14:14">
      <c r="N2988" s="113"/>
    </row>
    <row r="2989" spans="14:14">
      <c r="N2989" s="113"/>
    </row>
    <row r="2990" spans="14:14">
      <c r="N2990" s="113"/>
    </row>
    <row r="2991" spans="14:14">
      <c r="N2991" s="113"/>
    </row>
    <row r="2992" spans="14:14">
      <c r="N2992" s="113"/>
    </row>
    <row r="2993" spans="14:14">
      <c r="N2993" s="113"/>
    </row>
    <row r="2994" spans="14:14">
      <c r="N2994" s="113"/>
    </row>
    <row r="2995" spans="14:14">
      <c r="N2995" s="113"/>
    </row>
    <row r="2996" spans="14:14">
      <c r="N2996" s="113"/>
    </row>
    <row r="2997" spans="14:14">
      <c r="N2997" s="113"/>
    </row>
    <row r="2998" spans="14:14">
      <c r="N2998" s="113"/>
    </row>
    <row r="2999" spans="14:14">
      <c r="N2999" s="113"/>
    </row>
    <row r="3000" spans="14:14">
      <c r="N3000" s="113"/>
    </row>
    <row r="3001" spans="14:14">
      <c r="N3001" s="113"/>
    </row>
    <row r="3002" spans="14:14">
      <c r="N3002" s="113"/>
    </row>
    <row r="3003" spans="14:14">
      <c r="N3003" s="113"/>
    </row>
    <row r="3004" spans="14:14">
      <c r="N3004" s="113"/>
    </row>
    <row r="3005" spans="14:14">
      <c r="N3005" s="113"/>
    </row>
    <row r="3006" spans="14:14">
      <c r="N3006" s="113"/>
    </row>
    <row r="3007" spans="14:14">
      <c r="N3007" s="113"/>
    </row>
    <row r="3008" spans="14:14">
      <c r="N3008" s="113"/>
    </row>
    <row r="3009" spans="14:14">
      <c r="N3009" s="113"/>
    </row>
    <row r="3010" spans="14:14">
      <c r="N3010" s="113"/>
    </row>
    <row r="3011" spans="14:14">
      <c r="N3011" s="113"/>
    </row>
    <row r="3012" spans="14:14">
      <c r="N3012" s="113"/>
    </row>
    <row r="3013" spans="14:14">
      <c r="N3013" s="113"/>
    </row>
    <row r="3014" spans="14:14">
      <c r="N3014" s="113"/>
    </row>
    <row r="3015" spans="14:14">
      <c r="N3015" s="113"/>
    </row>
    <row r="3016" spans="14:14">
      <c r="N3016" s="113"/>
    </row>
    <row r="3017" spans="14:14">
      <c r="N3017" s="113"/>
    </row>
    <row r="3018" spans="14:14">
      <c r="N3018" s="113"/>
    </row>
    <row r="3019" spans="14:14">
      <c r="N3019" s="113"/>
    </row>
    <row r="3020" spans="14:14">
      <c r="N3020" s="113"/>
    </row>
    <row r="3021" spans="14:14">
      <c r="N3021" s="113"/>
    </row>
    <row r="3022" spans="14:14">
      <c r="N3022" s="113"/>
    </row>
    <row r="3023" spans="14:14">
      <c r="N3023" s="113"/>
    </row>
    <row r="3024" spans="14:14">
      <c r="N3024" s="113"/>
    </row>
    <row r="3025" spans="14:14">
      <c r="N3025" s="113"/>
    </row>
    <row r="3026" spans="14:14">
      <c r="N3026" s="113"/>
    </row>
    <row r="3027" spans="14:14">
      <c r="N3027" s="113"/>
    </row>
    <row r="3028" spans="14:14">
      <c r="N3028" s="113"/>
    </row>
    <row r="3029" spans="14:14">
      <c r="N3029" s="113"/>
    </row>
    <row r="3030" spans="14:14">
      <c r="N3030" s="113"/>
    </row>
    <row r="3031" spans="14:14">
      <c r="N3031" s="113"/>
    </row>
    <row r="3032" spans="14:14">
      <c r="N3032" s="113"/>
    </row>
    <row r="3033" spans="14:14">
      <c r="N3033" s="113"/>
    </row>
    <row r="3034" spans="14:14">
      <c r="N3034" s="113"/>
    </row>
    <row r="3035" spans="14:14">
      <c r="N3035" s="113"/>
    </row>
    <row r="3036" spans="14:14">
      <c r="N3036" s="113"/>
    </row>
    <row r="3037" spans="14:14">
      <c r="N3037" s="113"/>
    </row>
    <row r="3038" spans="14:14">
      <c r="N3038" s="113"/>
    </row>
    <row r="3039" spans="14:14">
      <c r="N3039" s="113"/>
    </row>
    <row r="3040" spans="14:14">
      <c r="N3040" s="113"/>
    </row>
    <row r="3041" spans="14:14">
      <c r="N3041" s="113"/>
    </row>
    <row r="3042" spans="14:14">
      <c r="N3042" s="113"/>
    </row>
    <row r="3043" spans="14:14">
      <c r="N3043" s="113"/>
    </row>
    <row r="3044" spans="14:14">
      <c r="N3044" s="113"/>
    </row>
    <row r="3045" spans="14:14">
      <c r="N3045" s="113"/>
    </row>
    <row r="3046" spans="14:14">
      <c r="N3046" s="113"/>
    </row>
    <row r="3047" spans="14:14">
      <c r="N3047" s="113"/>
    </row>
    <row r="3048" spans="14:14">
      <c r="N3048" s="113"/>
    </row>
    <row r="3049" spans="14:14">
      <c r="N3049" s="113"/>
    </row>
    <row r="3050" spans="14:14">
      <c r="N3050" s="113"/>
    </row>
    <row r="3051" spans="14:14">
      <c r="N3051" s="113"/>
    </row>
    <row r="3052" spans="14:14">
      <c r="N3052" s="113"/>
    </row>
    <row r="3053" spans="14:14">
      <c r="N3053" s="113"/>
    </row>
    <row r="3054" spans="14:14">
      <c r="N3054" s="113"/>
    </row>
    <row r="3055" spans="14:14">
      <c r="N3055" s="113"/>
    </row>
    <row r="3056" spans="14:14">
      <c r="N3056" s="113"/>
    </row>
    <row r="3057" spans="14:14">
      <c r="N3057" s="113"/>
    </row>
    <row r="3058" spans="14:14">
      <c r="N3058" s="113"/>
    </row>
    <row r="3059" spans="14:14">
      <c r="N3059" s="113"/>
    </row>
    <row r="3060" spans="14:14">
      <c r="N3060" s="113"/>
    </row>
    <row r="3061" spans="14:14">
      <c r="N3061" s="113"/>
    </row>
    <row r="3062" spans="14:14">
      <c r="N3062" s="113"/>
    </row>
    <row r="3063" spans="14:14">
      <c r="N3063" s="113"/>
    </row>
    <row r="3064" spans="14:14">
      <c r="N3064" s="113"/>
    </row>
    <row r="3065" spans="14:14">
      <c r="N3065" s="113"/>
    </row>
    <row r="3066" spans="14:14">
      <c r="N3066" s="113"/>
    </row>
    <row r="3067" spans="14:14">
      <c r="N3067" s="113"/>
    </row>
    <row r="3068" spans="14:14">
      <c r="N3068" s="113"/>
    </row>
    <row r="3069" spans="14:14">
      <c r="N3069" s="113"/>
    </row>
    <row r="3070" spans="14:14">
      <c r="N3070" s="113"/>
    </row>
    <row r="3071" spans="14:14">
      <c r="N3071" s="113"/>
    </row>
    <row r="3072" spans="14:14">
      <c r="N3072" s="113"/>
    </row>
    <row r="3073" spans="14:14">
      <c r="N3073" s="113"/>
    </row>
    <row r="3074" spans="14:14">
      <c r="N3074" s="113"/>
    </row>
    <row r="3075" spans="14:14">
      <c r="N3075" s="113"/>
    </row>
    <row r="3076" spans="14:14">
      <c r="N3076" s="113"/>
    </row>
    <row r="3077" spans="14:14">
      <c r="N3077" s="113"/>
    </row>
    <row r="3078" spans="14:14">
      <c r="N3078" s="113"/>
    </row>
    <row r="3079" spans="14:14">
      <c r="N3079" s="113"/>
    </row>
    <row r="3080" spans="14:14">
      <c r="N3080" s="113"/>
    </row>
    <row r="3081" spans="14:14">
      <c r="N3081" s="113"/>
    </row>
    <row r="3082" spans="14:14">
      <c r="N3082" s="113"/>
    </row>
    <row r="3083" spans="14:14">
      <c r="N3083" s="113"/>
    </row>
    <row r="3084" spans="14:14">
      <c r="N3084" s="113"/>
    </row>
    <row r="3085" spans="14:14">
      <c r="N3085" s="113"/>
    </row>
    <row r="3086" spans="14:14">
      <c r="N3086" s="113"/>
    </row>
    <row r="3087" spans="14:14">
      <c r="N3087" s="113"/>
    </row>
    <row r="3088" spans="14:14">
      <c r="N3088" s="113"/>
    </row>
    <row r="3089" spans="14:14">
      <c r="N3089" s="113"/>
    </row>
    <row r="3090" spans="14:14">
      <c r="N3090" s="113"/>
    </row>
    <row r="3091" spans="14:14">
      <c r="N3091" s="113"/>
    </row>
    <row r="3092" spans="14:14">
      <c r="N3092" s="113"/>
    </row>
    <row r="3093" spans="14:14">
      <c r="N3093" s="113"/>
    </row>
    <row r="3094" spans="14:14">
      <c r="N3094" s="113"/>
    </row>
    <row r="3095" spans="14:14">
      <c r="N3095" s="113"/>
    </row>
    <row r="3096" spans="14:14">
      <c r="N3096" s="113"/>
    </row>
    <row r="3097" spans="14:14">
      <c r="N3097" s="113"/>
    </row>
    <row r="3098" spans="14:14">
      <c r="N3098" s="113"/>
    </row>
    <row r="3099" spans="14:14">
      <c r="N3099" s="113"/>
    </row>
    <row r="3100" spans="14:14">
      <c r="N3100" s="113"/>
    </row>
    <row r="3101" spans="14:14">
      <c r="N3101" s="113"/>
    </row>
    <row r="3102" spans="14:14">
      <c r="N3102" s="113"/>
    </row>
    <row r="3103" spans="14:14">
      <c r="N3103" s="113"/>
    </row>
    <row r="3104" spans="14:14">
      <c r="N3104" s="113"/>
    </row>
    <row r="3105" spans="14:14">
      <c r="N3105" s="113"/>
    </row>
    <row r="3106" spans="14:14">
      <c r="N3106" s="113"/>
    </row>
    <row r="3107" spans="14:14">
      <c r="N3107" s="113"/>
    </row>
    <row r="3108" spans="14:14">
      <c r="N3108" s="113"/>
    </row>
    <row r="3109" spans="14:14">
      <c r="N3109" s="113"/>
    </row>
    <row r="3110" spans="14:14">
      <c r="N3110" s="113"/>
    </row>
    <row r="3111" spans="14:14">
      <c r="N3111" s="113"/>
    </row>
    <row r="3112" spans="14:14">
      <c r="N3112" s="113"/>
    </row>
    <row r="3113" spans="14:14">
      <c r="N3113" s="113"/>
    </row>
    <row r="3114" spans="14:14">
      <c r="N3114" s="113"/>
    </row>
    <row r="3115" spans="14:14">
      <c r="N3115" s="113"/>
    </row>
    <row r="3116" spans="14:14">
      <c r="N3116" s="113"/>
    </row>
    <row r="3117" spans="14:14">
      <c r="N3117" s="113"/>
    </row>
    <row r="3118" spans="14:14">
      <c r="N3118" s="113"/>
    </row>
    <row r="3119" spans="14:14">
      <c r="N3119" s="113"/>
    </row>
    <row r="3120" spans="14:14">
      <c r="N3120" s="113"/>
    </row>
    <row r="3121" spans="14:14">
      <c r="N3121" s="113"/>
    </row>
    <row r="3122" spans="14:14">
      <c r="N3122" s="113"/>
    </row>
    <row r="3123" spans="14:14">
      <c r="N3123" s="113"/>
    </row>
    <row r="3124" spans="14:14">
      <c r="N3124" s="113"/>
    </row>
    <row r="3125" spans="14:14">
      <c r="N3125" s="113"/>
    </row>
    <row r="3126" spans="14:14">
      <c r="N3126" s="113"/>
    </row>
    <row r="3127" spans="14:14">
      <c r="N3127" s="113"/>
    </row>
    <row r="3128" spans="14:14">
      <c r="N3128" s="113"/>
    </row>
    <row r="3129" spans="14:14">
      <c r="N3129" s="113"/>
    </row>
    <row r="3130" spans="14:14">
      <c r="N3130" s="113"/>
    </row>
    <row r="3131" spans="14:14">
      <c r="N3131" s="113"/>
    </row>
    <row r="3132" spans="14:14">
      <c r="N3132" s="113"/>
    </row>
    <row r="3133" spans="14:14">
      <c r="N3133" s="113"/>
    </row>
    <row r="3134" spans="14:14">
      <c r="N3134" s="113"/>
    </row>
    <row r="3135" spans="14:14">
      <c r="N3135" s="113"/>
    </row>
    <row r="3136" spans="14:14">
      <c r="N3136" s="113"/>
    </row>
    <row r="3137" spans="14:14">
      <c r="N3137" s="113"/>
    </row>
    <row r="3138" spans="14:14">
      <c r="N3138" s="113"/>
    </row>
    <row r="3139" spans="14:14">
      <c r="N3139" s="113"/>
    </row>
    <row r="3140" spans="14:14">
      <c r="N3140" s="113"/>
    </row>
    <row r="3141" spans="14:14">
      <c r="N3141" s="113"/>
    </row>
    <row r="3142" spans="14:14">
      <c r="N3142" s="113"/>
    </row>
    <row r="3143" spans="14:14">
      <c r="N3143" s="113"/>
    </row>
    <row r="3144" spans="14:14">
      <c r="N3144" s="113"/>
    </row>
    <row r="3145" spans="14:14">
      <c r="N3145" s="113"/>
    </row>
    <row r="3146" spans="14:14">
      <c r="N3146" s="113"/>
    </row>
    <row r="3147" spans="14:14">
      <c r="N3147" s="113"/>
    </row>
    <row r="3148" spans="14:14">
      <c r="N3148" s="113"/>
    </row>
    <row r="3149" spans="14:14">
      <c r="N3149" s="113"/>
    </row>
    <row r="3150" spans="14:14">
      <c r="N3150" s="113"/>
    </row>
    <row r="3151" spans="14:14">
      <c r="N3151" s="113"/>
    </row>
    <row r="3152" spans="14:14">
      <c r="N3152" s="113"/>
    </row>
    <row r="3153" spans="14:14">
      <c r="N3153" s="113"/>
    </row>
    <row r="3154" spans="14:14">
      <c r="N3154" s="113"/>
    </row>
    <row r="3155" spans="14:14">
      <c r="N3155" s="113"/>
    </row>
    <row r="3156" spans="14:14">
      <c r="N3156" s="113"/>
    </row>
    <row r="3157" spans="14:14">
      <c r="N3157" s="113"/>
    </row>
    <row r="3158" spans="14:14">
      <c r="N3158" s="113"/>
    </row>
    <row r="3159" spans="14:14">
      <c r="N3159" s="113"/>
    </row>
    <row r="3160" spans="14:14">
      <c r="N3160" s="113"/>
    </row>
    <row r="3161" spans="14:14">
      <c r="N3161" s="113"/>
    </row>
    <row r="3162" spans="14:14">
      <c r="N3162" s="113"/>
    </row>
    <row r="3163" spans="14:14">
      <c r="N3163" s="113"/>
    </row>
    <row r="3164" spans="14:14">
      <c r="N3164" s="113"/>
    </row>
    <row r="3165" spans="14:14">
      <c r="N3165" s="113"/>
    </row>
    <row r="3166" spans="14:14">
      <c r="N3166" s="113"/>
    </row>
    <row r="3167" spans="14:14">
      <c r="N3167" s="113"/>
    </row>
    <row r="3168" spans="14:14">
      <c r="N3168" s="113"/>
    </row>
    <row r="3169" spans="14:14">
      <c r="N3169" s="113"/>
    </row>
    <row r="3170" spans="14:14">
      <c r="N3170" s="113"/>
    </row>
    <row r="3171" spans="14:14">
      <c r="N3171" s="113"/>
    </row>
    <row r="3172" spans="14:14">
      <c r="N3172" s="113"/>
    </row>
    <row r="3173" spans="14:14">
      <c r="N3173" s="113"/>
    </row>
    <row r="3174" spans="14:14">
      <c r="N3174" s="113"/>
    </row>
    <row r="3175" spans="14:14">
      <c r="N3175" s="113"/>
    </row>
    <row r="3176" spans="14:14">
      <c r="N3176" s="113"/>
    </row>
    <row r="3177" spans="14:14">
      <c r="N3177" s="113"/>
    </row>
    <row r="3178" spans="14:14">
      <c r="N3178" s="113"/>
    </row>
    <row r="3179" spans="14:14">
      <c r="N3179" s="113"/>
    </row>
    <row r="3180" spans="14:14">
      <c r="N3180" s="113"/>
    </row>
    <row r="3181" spans="14:14">
      <c r="N3181" s="113"/>
    </row>
    <row r="3182" spans="14:14">
      <c r="N3182" s="113"/>
    </row>
    <row r="3183" spans="14:14">
      <c r="N3183" s="113"/>
    </row>
    <row r="3184" spans="14:14">
      <c r="N3184" s="113"/>
    </row>
    <row r="3185" spans="14:14">
      <c r="N3185" s="113"/>
    </row>
    <row r="3186" spans="14:14">
      <c r="N3186" s="113"/>
    </row>
    <row r="3187" spans="14:14">
      <c r="N3187" s="113"/>
    </row>
    <row r="3188" spans="14:14">
      <c r="N3188" s="113"/>
    </row>
    <row r="3189" spans="14:14">
      <c r="N3189" s="113"/>
    </row>
    <row r="3190" spans="14:14">
      <c r="N3190" s="113"/>
    </row>
    <row r="3191" spans="14:14">
      <c r="N3191" s="113"/>
    </row>
    <row r="3192" spans="14:14">
      <c r="N3192" s="113"/>
    </row>
    <row r="3193" spans="14:14">
      <c r="N3193" s="113"/>
    </row>
    <row r="3194" spans="14:14">
      <c r="N3194" s="113"/>
    </row>
    <row r="3195" spans="14:14">
      <c r="N3195" s="113"/>
    </row>
    <row r="3196" spans="14:14">
      <c r="N3196" s="113"/>
    </row>
    <row r="3197" spans="14:14">
      <c r="N3197" s="113"/>
    </row>
    <row r="3198" spans="14:14">
      <c r="N3198" s="113"/>
    </row>
    <row r="3199" spans="14:14">
      <c r="N3199" s="113"/>
    </row>
    <row r="3200" spans="14:14">
      <c r="N3200" s="113"/>
    </row>
    <row r="3201" spans="14:14">
      <c r="N3201" s="113"/>
    </row>
    <row r="3202" spans="14:14">
      <c r="N3202" s="113"/>
    </row>
    <row r="3203" spans="14:14">
      <c r="N3203" s="113"/>
    </row>
    <row r="3204" spans="14:14">
      <c r="N3204" s="113"/>
    </row>
    <row r="3205" spans="14:14">
      <c r="N3205" s="113"/>
    </row>
    <row r="3206" spans="14:14">
      <c r="N3206" s="113"/>
    </row>
    <row r="3207" spans="14:14">
      <c r="N3207" s="113"/>
    </row>
    <row r="3208" spans="14:14">
      <c r="N3208" s="113"/>
    </row>
    <row r="3209" spans="14:14">
      <c r="N3209" s="113"/>
    </row>
    <row r="3210" spans="14:14">
      <c r="N3210" s="113"/>
    </row>
    <row r="3211" spans="14:14">
      <c r="N3211" s="113"/>
    </row>
    <row r="3212" spans="14:14">
      <c r="N3212" s="113"/>
    </row>
    <row r="3213" spans="14:14">
      <c r="N3213" s="113"/>
    </row>
    <row r="3214" spans="14:14">
      <c r="N3214" s="113"/>
    </row>
    <row r="3215" spans="14:14">
      <c r="N3215" s="113"/>
    </row>
    <row r="3216" spans="14:14">
      <c r="N3216" s="113"/>
    </row>
    <row r="3217" spans="14:14">
      <c r="N3217" s="113"/>
    </row>
    <row r="3218" spans="14:14">
      <c r="N3218" s="113"/>
    </row>
    <row r="3219" spans="14:14">
      <c r="N3219" s="113"/>
    </row>
    <row r="3220" spans="14:14">
      <c r="N3220" s="113"/>
    </row>
    <row r="3221" spans="14:14">
      <c r="N3221" s="113"/>
    </row>
    <row r="3222" spans="14:14">
      <c r="N3222" s="113"/>
    </row>
    <row r="3223" spans="14:14">
      <c r="N3223" s="113"/>
    </row>
    <row r="3224" spans="14:14">
      <c r="N3224" s="113"/>
    </row>
    <row r="3225" spans="14:14">
      <c r="N3225" s="113"/>
    </row>
    <row r="3226" spans="14:14">
      <c r="N3226" s="113"/>
    </row>
    <row r="3227" spans="14:14">
      <c r="N3227" s="113"/>
    </row>
    <row r="3228" spans="14:14">
      <c r="N3228" s="113"/>
    </row>
    <row r="3229" spans="14:14">
      <c r="N3229" s="113"/>
    </row>
    <row r="3230" spans="14:14">
      <c r="N3230" s="113"/>
    </row>
    <row r="3231" spans="14:14">
      <c r="N3231" s="113"/>
    </row>
    <row r="3232" spans="14:14">
      <c r="N3232" s="113"/>
    </row>
    <row r="3233" spans="14:14">
      <c r="N3233" s="113"/>
    </row>
    <row r="3234" spans="14:14">
      <c r="N3234" s="113"/>
    </row>
    <row r="3235" spans="14:14">
      <c r="N3235" s="113"/>
    </row>
    <row r="3236" spans="14:14">
      <c r="N3236" s="113"/>
    </row>
    <row r="3237" spans="14:14">
      <c r="N3237" s="113"/>
    </row>
    <row r="3238" spans="14:14">
      <c r="N3238" s="113"/>
    </row>
    <row r="3239" spans="14:14">
      <c r="N3239" s="113"/>
    </row>
    <row r="3240" spans="14:14">
      <c r="N3240" s="113"/>
    </row>
    <row r="3241" spans="14:14">
      <c r="N3241" s="113"/>
    </row>
    <row r="3242" spans="14:14">
      <c r="N3242" s="113"/>
    </row>
    <row r="3243" spans="14:14">
      <c r="N3243" s="113"/>
    </row>
    <row r="3244" spans="14:14">
      <c r="N3244" s="113"/>
    </row>
    <row r="3245" spans="14:14">
      <c r="N3245" s="113"/>
    </row>
    <row r="3246" spans="14:14">
      <c r="N3246" s="113"/>
    </row>
    <row r="3247" spans="14:14">
      <c r="N3247" s="113"/>
    </row>
    <row r="3248" spans="14:14">
      <c r="N3248" s="113"/>
    </row>
    <row r="3249" spans="14:14">
      <c r="N3249" s="113"/>
    </row>
    <row r="3250" spans="14:14">
      <c r="N3250" s="113"/>
    </row>
    <row r="3251" spans="14:14">
      <c r="N3251" s="113"/>
    </row>
    <row r="3252" spans="14:14">
      <c r="N3252" s="113"/>
    </row>
    <row r="3253" spans="14:14">
      <c r="N3253" s="113"/>
    </row>
    <row r="3254" spans="14:14">
      <c r="N3254" s="113"/>
    </row>
    <row r="3255" spans="14:14">
      <c r="N3255" s="113"/>
    </row>
    <row r="3256" spans="14:14">
      <c r="N3256" s="113"/>
    </row>
    <row r="3257" spans="14:14">
      <c r="N3257" s="113"/>
    </row>
    <row r="3258" spans="14:14">
      <c r="N3258" s="113"/>
    </row>
    <row r="3259" spans="14:14">
      <c r="N3259" s="113"/>
    </row>
    <row r="3260" spans="14:14">
      <c r="N3260" s="113"/>
    </row>
    <row r="3261" spans="14:14">
      <c r="N3261" s="113"/>
    </row>
    <row r="3262" spans="14:14">
      <c r="N3262" s="113"/>
    </row>
    <row r="3263" spans="14:14">
      <c r="N3263" s="113"/>
    </row>
    <row r="3264" spans="14:14">
      <c r="N3264" s="113"/>
    </row>
    <row r="3265" spans="14:14">
      <c r="N3265" s="113"/>
    </row>
    <row r="3266" spans="14:14">
      <c r="N3266" s="113"/>
    </row>
    <row r="3267" spans="14:14">
      <c r="N3267" s="113"/>
    </row>
    <row r="3268" spans="14:14">
      <c r="N3268" s="113"/>
    </row>
    <row r="3269" spans="14:14">
      <c r="N3269" s="113"/>
    </row>
    <row r="3270" spans="14:14">
      <c r="N3270" s="113"/>
    </row>
    <row r="3271" spans="14:14">
      <c r="N3271" s="113"/>
    </row>
    <row r="3272" spans="14:14">
      <c r="N3272" s="113"/>
    </row>
    <row r="3273" spans="14:14">
      <c r="N3273" s="113"/>
    </row>
    <row r="3274" spans="14:14">
      <c r="N3274" s="113"/>
    </row>
    <row r="3275" spans="14:14">
      <c r="N3275" s="113"/>
    </row>
    <row r="3276" spans="14:14">
      <c r="N3276" s="113"/>
    </row>
    <row r="3277" spans="14:14">
      <c r="N3277" s="113"/>
    </row>
    <row r="3278" spans="14:14">
      <c r="N3278" s="113"/>
    </row>
    <row r="3279" spans="14:14">
      <c r="N3279" s="113"/>
    </row>
    <row r="3280" spans="14:14">
      <c r="N3280" s="113"/>
    </row>
    <row r="3281" spans="14:14">
      <c r="N3281" s="113"/>
    </row>
    <row r="3282" spans="14:14">
      <c r="N3282" s="113"/>
    </row>
    <row r="3283" spans="14:14">
      <c r="N3283" s="113"/>
    </row>
    <row r="3284" spans="14:14">
      <c r="N3284" s="113"/>
    </row>
    <row r="3285" spans="14:14">
      <c r="N3285" s="113"/>
    </row>
    <row r="3286" spans="14:14">
      <c r="N3286" s="113"/>
    </row>
    <row r="3287" spans="14:14">
      <c r="N3287" s="113"/>
    </row>
    <row r="3288" spans="14:14">
      <c r="N3288" s="113"/>
    </row>
    <row r="3289" spans="14:14">
      <c r="N3289" s="113"/>
    </row>
    <row r="3290" spans="14:14">
      <c r="N3290" s="113"/>
    </row>
    <row r="3291" spans="14:14">
      <c r="N3291" s="113"/>
    </row>
    <row r="3292" spans="14:14">
      <c r="N3292" s="113"/>
    </row>
    <row r="3293" spans="14:14">
      <c r="N3293" s="113"/>
    </row>
    <row r="3294" spans="14:14">
      <c r="N3294" s="113"/>
    </row>
    <row r="3295" spans="14:14">
      <c r="N3295" s="113"/>
    </row>
    <row r="3296" spans="14:14">
      <c r="N3296" s="113"/>
    </row>
    <row r="3297" spans="14:14">
      <c r="N3297" s="113"/>
    </row>
    <row r="3298" spans="14:14">
      <c r="N3298" s="113"/>
    </row>
    <row r="3299" spans="14:14">
      <c r="N3299" s="113"/>
    </row>
    <row r="3300" spans="14:14">
      <c r="N3300" s="113"/>
    </row>
    <row r="3301" spans="14:14">
      <c r="N3301" s="113"/>
    </row>
    <row r="3302" spans="14:14">
      <c r="N3302" s="113"/>
    </row>
    <row r="3303" spans="14:14">
      <c r="N3303" s="113"/>
    </row>
    <row r="3304" spans="14:14">
      <c r="N3304" s="113"/>
    </row>
    <row r="3305" spans="14:14">
      <c r="N3305" s="113"/>
    </row>
    <row r="3306" spans="14:14">
      <c r="N3306" s="113"/>
    </row>
    <row r="3307" spans="14:14">
      <c r="N3307" s="113"/>
    </row>
    <row r="3308" spans="14:14">
      <c r="N3308" s="113"/>
    </row>
    <row r="3309" spans="14:14">
      <c r="N3309" s="113"/>
    </row>
    <row r="3310" spans="14:14">
      <c r="N3310" s="113"/>
    </row>
    <row r="3311" spans="14:14">
      <c r="N3311" s="113"/>
    </row>
    <row r="3312" spans="14:14">
      <c r="N3312" s="113"/>
    </row>
    <row r="3313" spans="14:14">
      <c r="N3313" s="113"/>
    </row>
    <row r="3314" spans="14:14">
      <c r="N3314" s="113"/>
    </row>
    <row r="3315" spans="14:14">
      <c r="N3315" s="113"/>
    </row>
    <row r="3316" spans="14:14">
      <c r="N3316" s="113"/>
    </row>
    <row r="3317" spans="14:14">
      <c r="N3317" s="113"/>
    </row>
    <row r="3318" spans="14:14">
      <c r="N3318" s="113"/>
    </row>
    <row r="3319" spans="14:14">
      <c r="N3319" s="113"/>
    </row>
    <row r="3320" spans="14:14">
      <c r="N3320" s="113"/>
    </row>
    <row r="3321" spans="14:14">
      <c r="N3321" s="113"/>
    </row>
    <row r="3322" spans="14:14">
      <c r="N3322" s="113"/>
    </row>
    <row r="3323" spans="14:14">
      <c r="N3323" s="113"/>
    </row>
    <row r="3324" spans="14:14">
      <c r="N3324" s="113"/>
    </row>
    <row r="3325" spans="14:14">
      <c r="N3325" s="113"/>
    </row>
    <row r="3326" spans="14:14">
      <c r="N3326" s="113"/>
    </row>
    <row r="3327" spans="14:14">
      <c r="N3327" s="113"/>
    </row>
    <row r="3328" spans="14:14">
      <c r="N3328" s="113"/>
    </row>
    <row r="3329" spans="14:14">
      <c r="N3329" s="113"/>
    </row>
    <row r="3330" spans="14:14">
      <c r="N3330" s="113"/>
    </row>
    <row r="3331" spans="14:14">
      <c r="N3331" s="113"/>
    </row>
    <row r="3332" spans="14:14">
      <c r="N3332" s="113"/>
    </row>
    <row r="3333" spans="14:14">
      <c r="N3333" s="113"/>
    </row>
    <row r="3334" spans="14:14">
      <c r="N3334" s="113"/>
    </row>
    <row r="3335" spans="14:14">
      <c r="N3335" s="113"/>
    </row>
    <row r="3336" spans="14:14">
      <c r="N3336" s="113"/>
    </row>
    <row r="3337" spans="14:14">
      <c r="N3337" s="113"/>
    </row>
    <row r="3338" spans="14:14">
      <c r="N3338" s="113"/>
    </row>
    <row r="3339" spans="14:14">
      <c r="N3339" s="113"/>
    </row>
    <row r="3340" spans="14:14">
      <c r="N3340" s="113"/>
    </row>
    <row r="3341" spans="14:14">
      <c r="N3341" s="113"/>
    </row>
    <row r="3342" spans="14:14">
      <c r="N3342" s="113"/>
    </row>
    <row r="3343" spans="14:14">
      <c r="N3343" s="113"/>
    </row>
    <row r="3344" spans="14:14">
      <c r="N3344" s="113"/>
    </row>
    <row r="3345" spans="14:14">
      <c r="N3345" s="113"/>
    </row>
    <row r="3346" spans="14:14">
      <c r="N3346" s="113"/>
    </row>
    <row r="3347" spans="14:14">
      <c r="N3347" s="113"/>
    </row>
    <row r="3348" spans="14:14">
      <c r="N3348" s="113"/>
    </row>
    <row r="3349" spans="14:14">
      <c r="N3349" s="113"/>
    </row>
    <row r="3350" spans="14:14">
      <c r="N3350" s="113"/>
    </row>
    <row r="3351" spans="14:14">
      <c r="N3351" s="113"/>
    </row>
    <row r="3352" spans="14:14">
      <c r="N3352" s="113"/>
    </row>
    <row r="3353" spans="14:14">
      <c r="N3353" s="113"/>
    </row>
    <row r="3354" spans="14:14">
      <c r="N3354" s="113"/>
    </row>
    <row r="3355" spans="14:14">
      <c r="N3355" s="113"/>
    </row>
    <row r="3356" spans="14:14">
      <c r="N3356" s="113"/>
    </row>
    <row r="3357" spans="14:14">
      <c r="N3357" s="113"/>
    </row>
    <row r="3358" spans="14:14">
      <c r="N3358" s="113"/>
    </row>
    <row r="3359" spans="14:14">
      <c r="N3359" s="113"/>
    </row>
    <row r="3360" spans="14:14">
      <c r="N3360" s="113"/>
    </row>
    <row r="3361" spans="14:14">
      <c r="N3361" s="113"/>
    </row>
    <row r="3362" spans="14:14">
      <c r="N3362" s="113"/>
    </row>
    <row r="3363" spans="14:14">
      <c r="N3363" s="113"/>
    </row>
    <row r="3364" spans="14:14">
      <c r="N3364" s="113"/>
    </row>
    <row r="3365" spans="14:14">
      <c r="N3365" s="113"/>
    </row>
    <row r="3366" spans="14:14">
      <c r="N3366" s="113"/>
    </row>
    <row r="3367" spans="14:14">
      <c r="N3367" s="113"/>
    </row>
    <row r="3368" spans="14:14">
      <c r="N3368" s="113"/>
    </row>
    <row r="3369" spans="14:14">
      <c r="N3369" s="113"/>
    </row>
    <row r="3370" spans="14:14">
      <c r="N3370" s="113"/>
    </row>
    <row r="3371" spans="14:14">
      <c r="N3371" s="113"/>
    </row>
    <row r="3372" spans="14:14">
      <c r="N3372" s="113"/>
    </row>
    <row r="3373" spans="14:14">
      <c r="N3373" s="113"/>
    </row>
    <row r="3374" spans="14:14">
      <c r="N3374" s="113"/>
    </row>
    <row r="3375" spans="14:14">
      <c r="N3375" s="113"/>
    </row>
    <row r="3376" spans="14:14">
      <c r="N3376" s="113"/>
    </row>
    <row r="3377" spans="14:14">
      <c r="N3377" s="113"/>
    </row>
    <row r="3378" spans="14:14">
      <c r="N3378" s="113"/>
    </row>
    <row r="3379" spans="14:14">
      <c r="N3379" s="113"/>
    </row>
    <row r="3380" spans="14:14">
      <c r="N3380" s="113"/>
    </row>
    <row r="3381" spans="14:14">
      <c r="N3381" s="113"/>
    </row>
    <row r="3382" spans="14:14">
      <c r="N3382" s="113"/>
    </row>
    <row r="3383" spans="14:14">
      <c r="N3383" s="113"/>
    </row>
    <row r="3384" spans="14:14">
      <c r="N3384" s="113"/>
    </row>
    <row r="3385" spans="14:14">
      <c r="N3385" s="113"/>
    </row>
    <row r="3386" spans="14:14">
      <c r="N3386" s="113"/>
    </row>
    <row r="3387" spans="14:14">
      <c r="N3387" s="113"/>
    </row>
    <row r="3388" spans="14:14">
      <c r="N3388" s="113"/>
    </row>
    <row r="3389" spans="14:14">
      <c r="N3389" s="113"/>
    </row>
    <row r="3390" spans="14:14">
      <c r="N3390" s="113"/>
    </row>
    <row r="3391" spans="14:14">
      <c r="N3391" s="113"/>
    </row>
    <row r="3392" spans="14:14">
      <c r="N3392" s="113"/>
    </row>
    <row r="3393" spans="14:14">
      <c r="N3393" s="113"/>
    </row>
    <row r="3394" spans="14:14">
      <c r="N3394" s="113"/>
    </row>
    <row r="3395" spans="14:14">
      <c r="N3395" s="113"/>
    </row>
    <row r="3396" spans="14:14">
      <c r="N3396" s="113"/>
    </row>
    <row r="3397" spans="14:14">
      <c r="N3397" s="113"/>
    </row>
    <row r="3398" spans="14:14">
      <c r="N3398" s="113"/>
    </row>
    <row r="3399" spans="14:14">
      <c r="N3399" s="113"/>
    </row>
    <row r="3400" spans="14:14">
      <c r="N3400" s="113"/>
    </row>
    <row r="3401" spans="14:14">
      <c r="N3401" s="113"/>
    </row>
    <row r="3402" spans="14:14">
      <c r="N3402" s="113"/>
    </row>
    <row r="3403" spans="14:14">
      <c r="N3403" s="113"/>
    </row>
    <row r="3404" spans="14:14">
      <c r="N3404" s="113"/>
    </row>
    <row r="3405" spans="14:14">
      <c r="N3405" s="113"/>
    </row>
    <row r="3406" spans="14:14">
      <c r="N3406" s="113"/>
    </row>
    <row r="3407" spans="14:14">
      <c r="N3407" s="113"/>
    </row>
    <row r="3408" spans="14:14">
      <c r="N3408" s="113"/>
    </row>
    <row r="3409" spans="14:14">
      <c r="N3409" s="113"/>
    </row>
    <row r="3410" spans="14:14">
      <c r="N3410" s="113"/>
    </row>
    <row r="3411" spans="14:14">
      <c r="N3411" s="113"/>
    </row>
    <row r="3412" spans="14:14">
      <c r="N3412" s="113"/>
    </row>
    <row r="3413" spans="14:14">
      <c r="N3413" s="113"/>
    </row>
    <row r="3414" spans="14:14">
      <c r="N3414" s="113"/>
    </row>
    <row r="3415" spans="14:14">
      <c r="N3415" s="113"/>
    </row>
    <row r="3416" spans="14:14">
      <c r="N3416" s="113"/>
    </row>
    <row r="3417" spans="14:14">
      <c r="N3417" s="113"/>
    </row>
    <row r="3418" spans="14:14">
      <c r="N3418" s="113"/>
    </row>
    <row r="3419" spans="14:14">
      <c r="N3419" s="113"/>
    </row>
    <row r="3420" spans="14:14">
      <c r="N3420" s="113"/>
    </row>
    <row r="3421" spans="14:14">
      <c r="N3421" s="113"/>
    </row>
    <row r="3422" spans="14:14">
      <c r="N3422" s="113"/>
    </row>
    <row r="3423" spans="14:14">
      <c r="N3423" s="113"/>
    </row>
    <row r="3424" spans="14:14">
      <c r="N3424" s="113"/>
    </row>
    <row r="3425" spans="14:14">
      <c r="N3425" s="113"/>
    </row>
    <row r="3426" spans="14:14">
      <c r="N3426" s="113"/>
    </row>
    <row r="3427" spans="14:14">
      <c r="N3427" s="113"/>
    </row>
    <row r="3428" spans="14:14">
      <c r="N3428" s="113"/>
    </row>
    <row r="3429" spans="14:14">
      <c r="N3429" s="113"/>
    </row>
    <row r="3430" spans="14:14">
      <c r="N3430" s="113"/>
    </row>
    <row r="3431" spans="14:14">
      <c r="N3431" s="113"/>
    </row>
    <row r="3432" spans="14:14">
      <c r="N3432" s="113"/>
    </row>
    <row r="3433" spans="14:14">
      <c r="N3433" s="113"/>
    </row>
    <row r="3434" spans="14:14">
      <c r="N3434" s="113"/>
    </row>
    <row r="3435" spans="14:14">
      <c r="N3435" s="113"/>
    </row>
    <row r="3436" spans="14:14">
      <c r="N3436" s="113"/>
    </row>
    <row r="3437" spans="14:14">
      <c r="N3437" s="113"/>
    </row>
    <row r="3438" spans="14:14">
      <c r="N3438" s="113"/>
    </row>
    <row r="3439" spans="14:14">
      <c r="N3439" s="113"/>
    </row>
    <row r="3440" spans="14:14">
      <c r="N3440" s="113"/>
    </row>
    <row r="3441" spans="14:14">
      <c r="N3441" s="113"/>
    </row>
    <row r="3442" spans="14:14">
      <c r="N3442" s="113"/>
    </row>
    <row r="3443" spans="14:14">
      <c r="N3443" s="113"/>
    </row>
    <row r="3444" spans="14:14">
      <c r="N3444" s="113"/>
    </row>
    <row r="3445" spans="14:14">
      <c r="N3445" s="113"/>
    </row>
    <row r="3446" spans="14:14">
      <c r="N3446" s="113"/>
    </row>
    <row r="3447" spans="14:14">
      <c r="N3447" s="113"/>
    </row>
    <row r="3448" spans="14:14">
      <c r="N3448" s="113"/>
    </row>
    <row r="3449" spans="14:14">
      <c r="N3449" s="113"/>
    </row>
    <row r="3450" spans="14:14">
      <c r="N3450" s="113"/>
    </row>
    <row r="3451" spans="14:14">
      <c r="N3451" s="113"/>
    </row>
    <row r="3452" spans="14:14">
      <c r="N3452" s="113"/>
    </row>
    <row r="3453" spans="14:14">
      <c r="N3453" s="113"/>
    </row>
    <row r="3454" spans="14:14">
      <c r="N3454" s="113"/>
    </row>
    <row r="3455" spans="14:14">
      <c r="N3455" s="113"/>
    </row>
    <row r="3456" spans="14:14">
      <c r="N3456" s="113"/>
    </row>
    <row r="3457" spans="14:14">
      <c r="N3457" s="113"/>
    </row>
    <row r="3458" spans="14:14">
      <c r="N3458" s="113"/>
    </row>
    <row r="3459" spans="14:14">
      <c r="N3459" s="113"/>
    </row>
    <row r="3460" spans="14:14">
      <c r="N3460" s="113"/>
    </row>
    <row r="3461" spans="14:14">
      <c r="N3461" s="113"/>
    </row>
    <row r="3462" spans="14:14">
      <c r="N3462" s="113"/>
    </row>
    <row r="3463" spans="14:14">
      <c r="N3463" s="113"/>
    </row>
    <row r="3464" spans="14:14">
      <c r="N3464" s="113"/>
    </row>
    <row r="3465" spans="14:14">
      <c r="N3465" s="113"/>
    </row>
    <row r="3466" spans="14:14">
      <c r="N3466" s="113"/>
    </row>
    <row r="3467" spans="14:14">
      <c r="N3467" s="113"/>
    </row>
    <row r="3468" spans="14:14">
      <c r="N3468" s="113"/>
    </row>
    <row r="3469" spans="14:14">
      <c r="N3469" s="113"/>
    </row>
    <row r="3470" spans="14:14">
      <c r="N3470" s="113"/>
    </row>
    <row r="3471" spans="14:14">
      <c r="N3471" s="113"/>
    </row>
    <row r="3472" spans="14:14">
      <c r="N3472" s="113"/>
    </row>
    <row r="3473" spans="14:14">
      <c r="N3473" s="113"/>
    </row>
    <row r="3474" spans="14:14">
      <c r="N3474" s="113"/>
    </row>
    <row r="3475" spans="14:14">
      <c r="N3475" s="113"/>
    </row>
    <row r="3476" spans="14:14">
      <c r="N3476" s="113"/>
    </row>
    <row r="3477" spans="14:14">
      <c r="N3477" s="113"/>
    </row>
    <row r="3478" spans="14:14">
      <c r="N3478" s="113"/>
    </row>
    <row r="3479" spans="14:14">
      <c r="N3479" s="113"/>
    </row>
    <row r="3480" spans="14:14">
      <c r="N3480" s="113"/>
    </row>
    <row r="3481" spans="14:14">
      <c r="N3481" s="113"/>
    </row>
    <row r="3482" spans="14:14">
      <c r="N3482" s="113"/>
    </row>
    <row r="3483" spans="14:14">
      <c r="N3483" s="113"/>
    </row>
    <row r="3484" spans="14:14">
      <c r="N3484" s="113"/>
    </row>
    <row r="3485" spans="14:14">
      <c r="N3485" s="113"/>
    </row>
    <row r="3486" spans="14:14">
      <c r="N3486" s="113"/>
    </row>
    <row r="3487" spans="14:14">
      <c r="N3487" s="113"/>
    </row>
    <row r="3488" spans="14:14">
      <c r="N3488" s="113"/>
    </row>
    <row r="3489" spans="14:14">
      <c r="N3489" s="113"/>
    </row>
    <row r="3490" spans="14:14">
      <c r="N3490" s="113"/>
    </row>
    <row r="3491" spans="14:14">
      <c r="N3491" s="113"/>
    </row>
    <row r="3492" spans="14:14">
      <c r="N3492" s="113"/>
    </row>
    <row r="3493" spans="14:14">
      <c r="N3493" s="113"/>
    </row>
    <row r="3494" spans="14:14">
      <c r="N3494" s="113"/>
    </row>
    <row r="3495" spans="14:14">
      <c r="N3495" s="113"/>
    </row>
    <row r="3496" spans="14:14">
      <c r="N3496" s="113"/>
    </row>
    <row r="3497" spans="14:14">
      <c r="N3497" s="113"/>
    </row>
    <row r="3498" spans="14:14">
      <c r="N3498" s="113"/>
    </row>
    <row r="3499" spans="14:14">
      <c r="N3499" s="113"/>
    </row>
    <row r="3500" spans="14:14">
      <c r="N3500" s="113"/>
    </row>
    <row r="3501" spans="14:14">
      <c r="N3501" s="113"/>
    </row>
    <row r="3502" spans="14:14">
      <c r="N3502" s="113"/>
    </row>
    <row r="3503" spans="14:14">
      <c r="N3503" s="113"/>
    </row>
    <row r="3504" spans="14:14">
      <c r="N3504" s="113"/>
    </row>
    <row r="3505" spans="14:14">
      <c r="N3505" s="113"/>
    </row>
    <row r="3506" spans="14:14">
      <c r="N3506" s="113"/>
    </row>
    <row r="3507" spans="14:14">
      <c r="N3507" s="113"/>
    </row>
    <row r="3508" spans="14:14">
      <c r="N3508" s="113"/>
    </row>
    <row r="3509" spans="14:14">
      <c r="N3509" s="113"/>
    </row>
    <row r="3510" spans="14:14">
      <c r="N3510" s="113"/>
    </row>
    <row r="3511" spans="14:14">
      <c r="N3511" s="113"/>
    </row>
    <row r="3512" spans="14:14">
      <c r="N3512" s="113"/>
    </row>
    <row r="3513" spans="14:14">
      <c r="N3513" s="113"/>
    </row>
    <row r="3514" spans="14:14">
      <c r="N3514" s="113"/>
    </row>
    <row r="3515" spans="14:14">
      <c r="N3515" s="113"/>
    </row>
    <row r="3516" spans="14:14">
      <c r="N3516" s="113"/>
    </row>
    <row r="3517" spans="14:14">
      <c r="N3517" s="113"/>
    </row>
    <row r="3518" spans="14:14">
      <c r="N3518" s="113"/>
    </row>
    <row r="3519" spans="14:14">
      <c r="N3519" s="113"/>
    </row>
    <row r="3520" spans="14:14">
      <c r="N3520" s="113"/>
    </row>
    <row r="3521" spans="14:14">
      <c r="N3521" s="113"/>
    </row>
    <row r="3522" spans="14:14">
      <c r="N3522" s="113"/>
    </row>
    <row r="3523" spans="14:14">
      <c r="N3523" s="113"/>
    </row>
    <row r="3524" spans="14:14">
      <c r="N3524" s="113"/>
    </row>
    <row r="3525" spans="14:14">
      <c r="N3525" s="113"/>
    </row>
    <row r="3526" spans="14:14">
      <c r="N3526" s="113"/>
    </row>
    <row r="3527" spans="14:14">
      <c r="N3527" s="113"/>
    </row>
    <row r="3528" spans="14:14">
      <c r="N3528" s="113"/>
    </row>
    <row r="3529" spans="14:14">
      <c r="N3529" s="113"/>
    </row>
    <row r="3530" spans="14:14">
      <c r="N3530" s="113"/>
    </row>
    <row r="3531" spans="14:14">
      <c r="N3531" s="113"/>
    </row>
    <row r="3532" spans="14:14">
      <c r="N3532" s="113"/>
    </row>
    <row r="3533" spans="14:14">
      <c r="N3533" s="113"/>
    </row>
    <row r="3534" spans="14:14">
      <c r="N3534" s="113"/>
    </row>
    <row r="3535" spans="14:14">
      <c r="N3535" s="113"/>
    </row>
    <row r="3536" spans="14:14">
      <c r="N3536" s="113"/>
    </row>
    <row r="3537" spans="14:14">
      <c r="N3537" s="113"/>
    </row>
    <row r="3538" spans="14:14">
      <c r="N3538" s="113"/>
    </row>
    <row r="3539" spans="14:14">
      <c r="N3539" s="113"/>
    </row>
    <row r="3540" spans="14:14">
      <c r="N3540" s="113"/>
    </row>
    <row r="3541" spans="14:14">
      <c r="N3541" s="113"/>
    </row>
    <row r="3542" spans="14:14">
      <c r="N3542" s="113"/>
    </row>
    <row r="3543" spans="14:14">
      <c r="N3543" s="113"/>
    </row>
    <row r="3544" spans="14:14">
      <c r="N3544" s="113"/>
    </row>
    <row r="3545" spans="14:14">
      <c r="N3545" s="113"/>
    </row>
    <row r="3546" spans="14:14">
      <c r="N3546" s="113"/>
    </row>
    <row r="3547" spans="14:14">
      <c r="N3547" s="113"/>
    </row>
    <row r="3548" spans="14:14">
      <c r="N3548" s="113"/>
    </row>
    <row r="3549" spans="14:14">
      <c r="N3549" s="113"/>
    </row>
    <row r="3550" spans="14:14">
      <c r="N3550" s="113"/>
    </row>
    <row r="3551" spans="14:14">
      <c r="N3551" s="113"/>
    </row>
    <row r="3552" spans="14:14">
      <c r="N3552" s="113"/>
    </row>
    <row r="3553" spans="14:14">
      <c r="N3553" s="113"/>
    </row>
    <row r="3554" spans="14:14">
      <c r="N3554" s="113"/>
    </row>
    <row r="3555" spans="14:14">
      <c r="N3555" s="113"/>
    </row>
    <row r="3556" spans="14:14">
      <c r="N3556" s="113"/>
    </row>
    <row r="3557" spans="14:14">
      <c r="N3557" s="113"/>
    </row>
    <row r="3558" spans="14:14">
      <c r="N3558" s="113"/>
    </row>
    <row r="3559" spans="14:14">
      <c r="N3559" s="113"/>
    </row>
    <row r="3560" spans="14:14">
      <c r="N3560" s="113"/>
    </row>
    <row r="3561" spans="14:14">
      <c r="N3561" s="113"/>
    </row>
    <row r="3562" spans="14:14">
      <c r="N3562" s="113"/>
    </row>
    <row r="3563" spans="14:14">
      <c r="N3563" s="113"/>
    </row>
    <row r="3564" spans="14:14">
      <c r="N3564" s="113"/>
    </row>
    <row r="3565" spans="14:14">
      <c r="N3565" s="113"/>
    </row>
    <row r="3566" spans="14:14">
      <c r="N3566" s="113"/>
    </row>
    <row r="3567" spans="14:14">
      <c r="N3567" s="113"/>
    </row>
    <row r="3568" spans="14:14">
      <c r="N3568" s="113"/>
    </row>
    <row r="3569" spans="14:14">
      <c r="N3569" s="113"/>
    </row>
    <row r="3570" spans="14:14">
      <c r="N3570" s="113"/>
    </row>
    <row r="3571" spans="14:14">
      <c r="N3571" s="113"/>
    </row>
    <row r="3572" spans="14:14">
      <c r="N3572" s="113"/>
    </row>
    <row r="3573" spans="14:14">
      <c r="N3573" s="113"/>
    </row>
    <row r="3574" spans="14:14">
      <c r="N3574" s="113"/>
    </row>
    <row r="3575" spans="14:14">
      <c r="N3575" s="113"/>
    </row>
    <row r="3576" spans="14:14">
      <c r="N3576" s="113"/>
    </row>
    <row r="3577" spans="14:14">
      <c r="N3577" s="113"/>
    </row>
    <row r="3578" spans="14:14">
      <c r="N3578" s="113"/>
    </row>
    <row r="3579" spans="14:14">
      <c r="N3579" s="113"/>
    </row>
    <row r="3580" spans="14:14">
      <c r="N3580" s="113"/>
    </row>
    <row r="3581" spans="14:14">
      <c r="N3581" s="113"/>
    </row>
    <row r="3582" spans="14:14">
      <c r="N3582" s="113"/>
    </row>
    <row r="3583" spans="14:14">
      <c r="N3583" s="113"/>
    </row>
    <row r="3584" spans="14:14">
      <c r="N3584" s="113"/>
    </row>
    <row r="3585" spans="14:14">
      <c r="N3585" s="113"/>
    </row>
    <row r="3586" spans="14:14">
      <c r="N3586" s="113"/>
    </row>
    <row r="3587" spans="14:14">
      <c r="N3587" s="113"/>
    </row>
    <row r="3588" spans="14:14">
      <c r="N3588" s="113"/>
    </row>
    <row r="3589" spans="14:14">
      <c r="N3589" s="113"/>
    </row>
    <row r="3590" spans="14:14">
      <c r="N3590" s="113"/>
    </row>
    <row r="3591" spans="14:14">
      <c r="N3591" s="113"/>
    </row>
    <row r="3592" spans="14:14">
      <c r="N3592" s="113"/>
    </row>
    <row r="3593" spans="14:14">
      <c r="N3593" s="113"/>
    </row>
    <row r="3594" spans="14:14">
      <c r="N3594" s="113"/>
    </row>
    <row r="3595" spans="14:14">
      <c r="N3595" s="113"/>
    </row>
    <row r="3596" spans="14:14">
      <c r="N3596" s="113"/>
    </row>
    <row r="3597" spans="14:14">
      <c r="N3597" s="113"/>
    </row>
    <row r="3598" spans="14:14">
      <c r="N3598" s="113"/>
    </row>
    <row r="3599" spans="14:14">
      <c r="N3599" s="113"/>
    </row>
    <row r="3600" spans="14:14">
      <c r="N3600" s="113"/>
    </row>
    <row r="3601" spans="14:14">
      <c r="N3601" s="113"/>
    </row>
    <row r="3602" spans="14:14">
      <c r="N3602" s="113"/>
    </row>
    <row r="3603" spans="14:14">
      <c r="N3603" s="113"/>
    </row>
    <row r="3604" spans="14:14">
      <c r="N3604" s="113"/>
    </row>
    <row r="3605" spans="14:14">
      <c r="N3605" s="113"/>
    </row>
    <row r="3606" spans="14:14">
      <c r="N3606" s="113"/>
    </row>
    <row r="3607" spans="14:14">
      <c r="N3607" s="113"/>
    </row>
    <row r="3608" spans="14:14">
      <c r="N3608" s="113"/>
    </row>
    <row r="3609" spans="14:14">
      <c r="N3609" s="113"/>
    </row>
    <row r="3610" spans="14:14">
      <c r="N3610" s="113"/>
    </row>
    <row r="3611" spans="14:14">
      <c r="N3611" s="113"/>
    </row>
    <row r="3612" spans="14:14">
      <c r="N3612" s="113"/>
    </row>
    <row r="3613" spans="14:14">
      <c r="N3613" s="113"/>
    </row>
    <row r="3614" spans="14:14">
      <c r="N3614" s="113"/>
    </row>
    <row r="3615" spans="14:14">
      <c r="N3615" s="113"/>
    </row>
    <row r="3616" spans="14:14">
      <c r="N3616" s="113"/>
    </row>
    <row r="3617" spans="14:14">
      <c r="N3617" s="113"/>
    </row>
    <row r="3618" spans="14:14">
      <c r="N3618" s="113"/>
    </row>
    <row r="3619" spans="14:14">
      <c r="N3619" s="113"/>
    </row>
    <row r="3620" spans="14:14">
      <c r="N3620" s="113"/>
    </row>
    <row r="3621" spans="14:14">
      <c r="N3621" s="113"/>
    </row>
    <row r="3622" spans="14:14">
      <c r="N3622" s="113"/>
    </row>
    <row r="3623" spans="14:14">
      <c r="N3623" s="113"/>
    </row>
    <row r="3624" spans="14:14">
      <c r="N3624" s="113"/>
    </row>
    <row r="3625" spans="14:14">
      <c r="N3625" s="113"/>
    </row>
    <row r="3626" spans="14:14">
      <c r="N3626" s="113"/>
    </row>
    <row r="3627" spans="14:14">
      <c r="N3627" s="113"/>
    </row>
    <row r="3628" spans="14:14">
      <c r="N3628" s="113"/>
    </row>
    <row r="3629" spans="14:14">
      <c r="N3629" s="113"/>
    </row>
    <row r="3630" spans="14:14">
      <c r="N3630" s="113"/>
    </row>
    <row r="3631" spans="14:14">
      <c r="N3631" s="113"/>
    </row>
    <row r="3632" spans="14:14">
      <c r="N3632" s="113"/>
    </row>
    <row r="3633" spans="14:14">
      <c r="N3633" s="113"/>
    </row>
    <row r="3634" spans="14:14">
      <c r="N3634" s="113"/>
    </row>
    <row r="3635" spans="14:14">
      <c r="N3635" s="113"/>
    </row>
    <row r="3636" spans="14:14">
      <c r="N3636" s="113"/>
    </row>
    <row r="3637" spans="14:14">
      <c r="N3637" s="113"/>
    </row>
    <row r="3638" spans="14:14">
      <c r="N3638" s="113"/>
    </row>
    <row r="3639" spans="14:14">
      <c r="N3639" s="113"/>
    </row>
    <row r="3640" spans="14:14">
      <c r="N3640" s="113"/>
    </row>
    <row r="3641" spans="14:14">
      <c r="N3641" s="113"/>
    </row>
    <row r="3642" spans="14:14">
      <c r="N3642" s="113"/>
    </row>
    <row r="3643" spans="14:14">
      <c r="N3643" s="113"/>
    </row>
    <row r="3644" spans="14:14">
      <c r="N3644" s="113"/>
    </row>
    <row r="3645" spans="14:14">
      <c r="N3645" s="113"/>
    </row>
    <row r="3646" spans="14:14">
      <c r="N3646" s="113"/>
    </row>
    <row r="3647" spans="14:14">
      <c r="N3647" s="113"/>
    </row>
    <row r="3648" spans="14:14">
      <c r="N3648" s="113"/>
    </row>
    <row r="3649" spans="14:14">
      <c r="N3649" s="113"/>
    </row>
    <row r="3650" spans="14:14">
      <c r="N3650" s="113"/>
    </row>
    <row r="3651" spans="14:14">
      <c r="N3651" s="113"/>
    </row>
    <row r="3652" spans="14:14">
      <c r="N3652" s="113"/>
    </row>
    <row r="3653" spans="14:14">
      <c r="N3653" s="113"/>
    </row>
    <row r="3654" spans="14:14">
      <c r="N3654" s="113"/>
    </row>
    <row r="3655" spans="14:14">
      <c r="N3655" s="113"/>
    </row>
    <row r="3656" spans="14:14">
      <c r="N3656" s="113"/>
    </row>
    <row r="3657" spans="14:14">
      <c r="N3657" s="113"/>
    </row>
    <row r="3658" spans="14:14">
      <c r="N3658" s="113"/>
    </row>
    <row r="3659" spans="14:14">
      <c r="N3659" s="113"/>
    </row>
    <row r="3660" spans="14:14">
      <c r="N3660" s="113"/>
    </row>
    <row r="3661" spans="14:14">
      <c r="N3661" s="113"/>
    </row>
    <row r="3662" spans="14:14">
      <c r="N3662" s="113"/>
    </row>
    <row r="3663" spans="14:14">
      <c r="N3663" s="113"/>
    </row>
    <row r="3664" spans="14:14">
      <c r="N3664" s="113"/>
    </row>
    <row r="3665" spans="14:14">
      <c r="N3665" s="113"/>
    </row>
    <row r="3666" spans="14:14">
      <c r="N3666" s="113"/>
    </row>
    <row r="3667" spans="14:14">
      <c r="N3667" s="113"/>
    </row>
    <row r="3668" spans="14:14">
      <c r="N3668" s="113"/>
    </row>
    <row r="3669" spans="14:14">
      <c r="N3669" s="113"/>
    </row>
    <row r="3670" spans="14:14">
      <c r="N3670" s="113"/>
    </row>
    <row r="3671" spans="14:14">
      <c r="N3671" s="113"/>
    </row>
    <row r="3672" spans="14:14">
      <c r="N3672" s="113"/>
    </row>
    <row r="3673" spans="14:14">
      <c r="N3673" s="113"/>
    </row>
    <row r="3674" spans="14:14">
      <c r="N3674" s="113"/>
    </row>
    <row r="3675" spans="14:14">
      <c r="N3675" s="113"/>
    </row>
    <row r="3676" spans="14:14">
      <c r="N3676" s="113"/>
    </row>
    <row r="3677" spans="14:14">
      <c r="N3677" s="113"/>
    </row>
    <row r="3678" spans="14:14">
      <c r="N3678" s="113"/>
    </row>
    <row r="3679" spans="14:14">
      <c r="N3679" s="113"/>
    </row>
    <row r="3680" spans="14:14">
      <c r="N3680" s="113"/>
    </row>
    <row r="3681" spans="14:14">
      <c r="N3681" s="113"/>
    </row>
    <row r="3682" spans="14:14">
      <c r="N3682" s="113"/>
    </row>
    <row r="3683" spans="14:14">
      <c r="N3683" s="113"/>
    </row>
    <row r="3684" spans="14:14">
      <c r="N3684" s="113"/>
    </row>
    <row r="3685" spans="14:14">
      <c r="N3685" s="113"/>
    </row>
    <row r="3686" spans="14:14">
      <c r="N3686" s="113"/>
    </row>
    <row r="3687" spans="14:14">
      <c r="N3687" s="113"/>
    </row>
    <row r="3688" spans="14:14">
      <c r="N3688" s="113"/>
    </row>
    <row r="3689" spans="14:14">
      <c r="N3689" s="113"/>
    </row>
    <row r="3690" spans="14:14">
      <c r="N3690" s="113"/>
    </row>
    <row r="3691" spans="14:14">
      <c r="N3691" s="113"/>
    </row>
    <row r="3692" spans="14:14">
      <c r="N3692" s="113"/>
    </row>
    <row r="3693" spans="14:14">
      <c r="N3693" s="113"/>
    </row>
    <row r="3694" spans="14:14">
      <c r="N3694" s="113"/>
    </row>
    <row r="3695" spans="14:14">
      <c r="N3695" s="113"/>
    </row>
    <row r="3696" spans="14:14">
      <c r="N3696" s="113"/>
    </row>
    <row r="3697" spans="14:14">
      <c r="N3697" s="113"/>
    </row>
    <row r="3698" spans="14:14">
      <c r="N3698" s="113"/>
    </row>
    <row r="3699" spans="14:14">
      <c r="N3699" s="113"/>
    </row>
    <row r="3700" spans="14:14">
      <c r="N3700" s="113"/>
    </row>
    <row r="3701" spans="14:14">
      <c r="N3701" s="113"/>
    </row>
    <row r="3702" spans="14:14">
      <c r="N3702" s="113"/>
    </row>
    <row r="3703" spans="14:14">
      <c r="N3703" s="113"/>
    </row>
    <row r="3704" spans="14:14">
      <c r="N3704" s="113"/>
    </row>
    <row r="3705" spans="14:14">
      <c r="N3705" s="113"/>
    </row>
    <row r="3706" spans="14:14">
      <c r="N3706" s="113"/>
    </row>
    <row r="3707" spans="14:14">
      <c r="N3707" s="113"/>
    </row>
    <row r="3708" spans="14:14">
      <c r="N3708" s="113"/>
    </row>
    <row r="3709" spans="14:14">
      <c r="N3709" s="113"/>
    </row>
    <row r="3710" spans="14:14">
      <c r="N3710" s="113"/>
    </row>
    <row r="3711" spans="14:14">
      <c r="N3711" s="113"/>
    </row>
    <row r="3712" spans="14:14">
      <c r="N3712" s="113"/>
    </row>
    <row r="3713" spans="14:14">
      <c r="N3713" s="113"/>
    </row>
    <row r="3714" spans="14:14">
      <c r="N3714" s="113"/>
    </row>
    <row r="3715" spans="14:14">
      <c r="N3715" s="113"/>
    </row>
    <row r="3716" spans="14:14">
      <c r="N3716" s="113"/>
    </row>
    <row r="3717" spans="14:14">
      <c r="N3717" s="113"/>
    </row>
    <row r="3718" spans="14:14">
      <c r="N3718" s="113"/>
    </row>
    <row r="3719" spans="14:14">
      <c r="N3719" s="113"/>
    </row>
    <row r="3720" spans="14:14">
      <c r="N3720" s="113"/>
    </row>
    <row r="3721" spans="14:14">
      <c r="N3721" s="113"/>
    </row>
    <row r="3722" spans="14:14">
      <c r="N3722" s="113"/>
    </row>
    <row r="3723" spans="14:14">
      <c r="N3723" s="113"/>
    </row>
    <row r="3724" spans="14:14">
      <c r="N3724" s="113"/>
    </row>
    <row r="3725" spans="14:14">
      <c r="N3725" s="113"/>
    </row>
    <row r="3726" spans="14:14">
      <c r="N3726" s="113"/>
    </row>
    <row r="3727" spans="14:14">
      <c r="N3727" s="113"/>
    </row>
    <row r="3728" spans="14:14">
      <c r="N3728" s="113"/>
    </row>
    <row r="3729" spans="14:14">
      <c r="N3729" s="113"/>
    </row>
    <row r="3730" spans="14:14">
      <c r="N3730" s="113"/>
    </row>
    <row r="3731" spans="14:14">
      <c r="N3731" s="113"/>
    </row>
    <row r="3732" spans="14:14">
      <c r="N3732" s="113"/>
    </row>
    <row r="3733" spans="14:14">
      <c r="N3733" s="113"/>
    </row>
    <row r="3734" spans="14:14">
      <c r="N3734" s="113"/>
    </row>
    <row r="3735" spans="14:14">
      <c r="N3735" s="113"/>
    </row>
    <row r="3736" spans="14:14">
      <c r="N3736" s="113"/>
    </row>
    <row r="3737" spans="14:14">
      <c r="N3737" s="113"/>
    </row>
    <row r="3738" spans="14:14">
      <c r="N3738" s="113"/>
    </row>
    <row r="3739" spans="14:14">
      <c r="N3739" s="113"/>
    </row>
    <row r="3740" spans="14:14">
      <c r="N3740" s="113"/>
    </row>
    <row r="3741" spans="14:14">
      <c r="N3741" s="113"/>
    </row>
    <row r="3742" spans="14:14">
      <c r="N3742" s="113"/>
    </row>
    <row r="3743" spans="14:14">
      <c r="N3743" s="113"/>
    </row>
    <row r="3744" spans="14:14">
      <c r="N3744" s="113"/>
    </row>
    <row r="3745" spans="14:14">
      <c r="N3745" s="113"/>
    </row>
    <row r="3746" spans="14:14">
      <c r="N3746" s="113"/>
    </row>
    <row r="3747" spans="14:14">
      <c r="N3747" s="113"/>
    </row>
    <row r="3748" spans="14:14">
      <c r="N3748" s="113"/>
    </row>
    <row r="3749" spans="14:14">
      <c r="N3749" s="113"/>
    </row>
    <row r="3750" spans="14:14">
      <c r="N3750" s="113"/>
    </row>
    <row r="3751" spans="14:14">
      <c r="N3751" s="113"/>
    </row>
    <row r="3752" spans="14:14">
      <c r="N3752" s="113"/>
    </row>
    <row r="3753" spans="14:14">
      <c r="N3753" s="113"/>
    </row>
    <row r="3754" spans="14:14">
      <c r="N3754" s="113"/>
    </row>
    <row r="3755" spans="14:14">
      <c r="N3755" s="113"/>
    </row>
    <row r="3756" spans="14:14">
      <c r="N3756" s="113"/>
    </row>
    <row r="3757" spans="14:14">
      <c r="N3757" s="113"/>
    </row>
    <row r="3758" spans="14:14">
      <c r="N3758" s="113"/>
    </row>
    <row r="3759" spans="14:14">
      <c r="N3759" s="113"/>
    </row>
    <row r="3760" spans="14:14">
      <c r="N3760" s="113"/>
    </row>
    <row r="3761" spans="14:14">
      <c r="N3761" s="113"/>
    </row>
    <row r="3762" spans="14:14">
      <c r="N3762" s="113"/>
    </row>
    <row r="3763" spans="14:14">
      <c r="N3763" s="113"/>
    </row>
    <row r="3764" spans="14:14">
      <c r="N3764" s="113"/>
    </row>
    <row r="3765" spans="14:14">
      <c r="N3765" s="113"/>
    </row>
    <row r="3766" spans="14:14">
      <c r="N3766" s="113"/>
    </row>
    <row r="3767" spans="14:14">
      <c r="N3767" s="113"/>
    </row>
    <row r="3768" spans="14:14">
      <c r="N3768" s="113"/>
    </row>
    <row r="3769" spans="14:14">
      <c r="N3769" s="113"/>
    </row>
    <row r="3770" spans="14:14">
      <c r="N3770" s="113"/>
    </row>
    <row r="3771" spans="14:14">
      <c r="N3771" s="113"/>
    </row>
    <row r="3772" spans="14:14">
      <c r="N3772" s="113"/>
    </row>
    <row r="3773" spans="14:14">
      <c r="N3773" s="113"/>
    </row>
    <row r="3774" spans="14:14">
      <c r="N3774" s="113"/>
    </row>
    <row r="3775" spans="14:14">
      <c r="N3775" s="113"/>
    </row>
    <row r="3776" spans="14:14">
      <c r="N3776" s="113"/>
    </row>
    <row r="3777" spans="14:14">
      <c r="N3777" s="113"/>
    </row>
    <row r="3778" spans="14:14">
      <c r="N3778" s="113"/>
    </row>
    <row r="3779" spans="14:14">
      <c r="N3779" s="113"/>
    </row>
    <row r="3780" spans="14:14">
      <c r="N3780" s="113"/>
    </row>
    <row r="3781" spans="14:14">
      <c r="N3781" s="113"/>
    </row>
    <row r="3782" spans="14:14">
      <c r="N3782" s="113"/>
    </row>
    <row r="3783" spans="14:14">
      <c r="N3783" s="113"/>
    </row>
    <row r="3784" spans="14:14">
      <c r="N3784" s="113"/>
    </row>
    <row r="3785" spans="14:14">
      <c r="N3785" s="113"/>
    </row>
    <row r="3786" spans="14:14">
      <c r="N3786" s="113"/>
    </row>
    <row r="3787" spans="14:14">
      <c r="N3787" s="113"/>
    </row>
    <row r="3788" spans="14:14">
      <c r="N3788" s="113"/>
    </row>
    <row r="3789" spans="14:14">
      <c r="N3789" s="113"/>
    </row>
    <row r="3790" spans="14:14">
      <c r="N3790" s="113"/>
    </row>
    <row r="3791" spans="14:14">
      <c r="N3791" s="113"/>
    </row>
    <row r="3792" spans="14:14">
      <c r="N3792" s="113"/>
    </row>
    <row r="3793" spans="14:14">
      <c r="N3793" s="113"/>
    </row>
    <row r="3794" spans="14:14">
      <c r="N3794" s="113"/>
    </row>
    <row r="3795" spans="14:14">
      <c r="N3795" s="113"/>
    </row>
    <row r="3796" spans="14:14">
      <c r="N3796" s="113"/>
    </row>
    <row r="3797" spans="14:14">
      <c r="N3797" s="113"/>
    </row>
    <row r="3798" spans="14:14">
      <c r="N3798" s="113"/>
    </row>
    <row r="3799" spans="14:14">
      <c r="N3799" s="113"/>
    </row>
    <row r="3800" spans="14:14">
      <c r="N3800" s="113"/>
    </row>
    <row r="3801" spans="14:14">
      <c r="N3801" s="113"/>
    </row>
    <row r="3802" spans="14:14">
      <c r="N3802" s="113"/>
    </row>
    <row r="3803" spans="14:14">
      <c r="N3803" s="113"/>
    </row>
    <row r="3804" spans="14:14">
      <c r="N3804" s="113"/>
    </row>
    <row r="3805" spans="14:14">
      <c r="N3805" s="113"/>
    </row>
    <row r="3806" spans="14:14">
      <c r="N3806" s="113"/>
    </row>
    <row r="3807" spans="14:14">
      <c r="N3807" s="113"/>
    </row>
    <row r="3808" spans="14:14">
      <c r="N3808" s="113"/>
    </row>
    <row r="3809" spans="14:14">
      <c r="N3809" s="113"/>
    </row>
    <row r="3810" spans="14:14">
      <c r="N3810" s="113"/>
    </row>
    <row r="3811" spans="14:14">
      <c r="N3811" s="113"/>
    </row>
    <row r="3812" spans="14:14">
      <c r="N3812" s="113"/>
    </row>
    <row r="3813" spans="14:14">
      <c r="N3813" s="113"/>
    </row>
    <row r="3814" spans="14:14">
      <c r="N3814" s="113"/>
    </row>
    <row r="3815" spans="14:14">
      <c r="N3815" s="113"/>
    </row>
    <row r="3816" spans="14:14">
      <c r="N3816" s="113"/>
    </row>
    <row r="3817" spans="14:14">
      <c r="N3817" s="113"/>
    </row>
    <row r="3818" spans="14:14">
      <c r="N3818" s="113"/>
    </row>
    <row r="3819" spans="14:14">
      <c r="N3819" s="113"/>
    </row>
    <row r="3820" spans="14:14">
      <c r="N3820" s="113"/>
    </row>
    <row r="3821" spans="14:14">
      <c r="N3821" s="113"/>
    </row>
    <row r="3822" spans="14:14">
      <c r="N3822" s="113"/>
    </row>
    <row r="3823" spans="14:14">
      <c r="N3823" s="113"/>
    </row>
    <row r="3824" spans="14:14">
      <c r="N3824" s="113"/>
    </row>
    <row r="3825" spans="14:14">
      <c r="N3825" s="113"/>
    </row>
    <row r="3826" spans="14:14">
      <c r="N3826" s="113"/>
    </row>
    <row r="3827" spans="14:14">
      <c r="N3827" s="113"/>
    </row>
    <row r="3828" spans="14:14">
      <c r="N3828" s="113"/>
    </row>
    <row r="3829" spans="14:14">
      <c r="N3829" s="113"/>
    </row>
    <row r="3830" spans="14:14">
      <c r="N3830" s="113"/>
    </row>
    <row r="3831" spans="14:14">
      <c r="N3831" s="113"/>
    </row>
    <row r="3832" spans="14:14">
      <c r="N3832" s="113"/>
    </row>
    <row r="3833" spans="14:14">
      <c r="N3833" s="113"/>
    </row>
    <row r="3834" spans="14:14">
      <c r="N3834" s="113"/>
    </row>
    <row r="3835" spans="14:14">
      <c r="N3835" s="113"/>
    </row>
    <row r="3836" spans="14:14">
      <c r="N3836" s="113"/>
    </row>
    <row r="3837" spans="14:14">
      <c r="N3837" s="113"/>
    </row>
    <row r="3838" spans="14:14">
      <c r="N3838" s="113"/>
    </row>
    <row r="3839" spans="14:14">
      <c r="N3839" s="113"/>
    </row>
    <row r="3840" spans="14:14">
      <c r="N3840" s="113"/>
    </row>
    <row r="3841" spans="14:14">
      <c r="N3841" s="113"/>
    </row>
    <row r="3842" spans="14:14">
      <c r="N3842" s="113"/>
    </row>
    <row r="3843" spans="14:14">
      <c r="N3843" s="113"/>
    </row>
    <row r="3844" spans="14:14">
      <c r="N3844" s="113"/>
    </row>
    <row r="3845" spans="14:14">
      <c r="N3845" s="113"/>
    </row>
    <row r="3846" spans="14:14">
      <c r="N3846" s="113"/>
    </row>
    <row r="3847" spans="14:14">
      <c r="N3847" s="113"/>
    </row>
    <row r="3848" spans="14:14">
      <c r="N3848" s="113"/>
    </row>
    <row r="3849" spans="14:14">
      <c r="N3849" s="113"/>
    </row>
    <row r="3850" spans="14:14">
      <c r="N3850" s="113"/>
    </row>
    <row r="3851" spans="14:14">
      <c r="N3851" s="113"/>
    </row>
    <row r="3852" spans="14:14">
      <c r="N3852" s="113"/>
    </row>
    <row r="3853" spans="14:14">
      <c r="N3853" s="113"/>
    </row>
    <row r="3854" spans="14:14">
      <c r="N3854" s="113"/>
    </row>
    <row r="3855" spans="14:14">
      <c r="N3855" s="113"/>
    </row>
    <row r="3856" spans="14:14">
      <c r="N3856" s="113"/>
    </row>
    <row r="3857" spans="14:14">
      <c r="N3857" s="113"/>
    </row>
    <row r="3858" spans="14:14">
      <c r="N3858" s="113"/>
    </row>
    <row r="3859" spans="14:14">
      <c r="N3859" s="113"/>
    </row>
    <row r="3860" spans="14:14">
      <c r="N3860" s="113"/>
    </row>
    <row r="3861" spans="14:14">
      <c r="N3861" s="113"/>
    </row>
    <row r="3862" spans="14:14">
      <c r="N3862" s="113"/>
    </row>
    <row r="3863" spans="14:14">
      <c r="N3863" s="113"/>
    </row>
    <row r="3864" spans="14:14">
      <c r="N3864" s="113"/>
    </row>
    <row r="3865" spans="14:14">
      <c r="N3865" s="113"/>
    </row>
    <row r="3866" spans="14:14">
      <c r="N3866" s="113"/>
    </row>
    <row r="3867" spans="14:14">
      <c r="N3867" s="113"/>
    </row>
    <row r="3868" spans="14:14">
      <c r="N3868" s="113"/>
    </row>
    <row r="3869" spans="14:14">
      <c r="N3869" s="113"/>
    </row>
    <row r="3870" spans="14:14">
      <c r="N3870" s="113"/>
    </row>
    <row r="3871" spans="14:14">
      <c r="N3871" s="113"/>
    </row>
    <row r="3872" spans="14:14">
      <c r="N3872" s="113"/>
    </row>
    <row r="3873" spans="14:14">
      <c r="N3873" s="113"/>
    </row>
    <row r="3874" spans="14:14">
      <c r="N3874" s="113"/>
    </row>
    <row r="3875" spans="14:14">
      <c r="N3875" s="113"/>
    </row>
    <row r="3876" spans="14:14">
      <c r="N3876" s="113"/>
    </row>
    <row r="3877" spans="14:14">
      <c r="N3877" s="113"/>
    </row>
    <row r="3878" spans="14:14">
      <c r="N3878" s="113"/>
    </row>
    <row r="3879" spans="14:14">
      <c r="N3879" s="113"/>
    </row>
    <row r="3880" spans="14:14">
      <c r="N3880" s="113"/>
    </row>
    <row r="3881" spans="14:14">
      <c r="N3881" s="113"/>
    </row>
    <row r="3882" spans="14:14">
      <c r="N3882" s="113"/>
    </row>
    <row r="3883" spans="14:14">
      <c r="N3883" s="113"/>
    </row>
    <row r="3884" spans="14:14">
      <c r="N3884" s="113"/>
    </row>
    <row r="3885" spans="14:14">
      <c r="N3885" s="113"/>
    </row>
    <row r="3886" spans="14:14">
      <c r="N3886" s="113"/>
    </row>
    <row r="3887" spans="14:14">
      <c r="N3887" s="113"/>
    </row>
    <row r="3888" spans="14:14">
      <c r="N3888" s="113"/>
    </row>
    <row r="3889" spans="14:14">
      <c r="N3889" s="113"/>
    </row>
    <row r="3890" spans="14:14">
      <c r="N3890" s="113"/>
    </row>
    <row r="3891" spans="14:14">
      <c r="N3891" s="113"/>
    </row>
    <row r="3892" spans="14:14">
      <c r="N3892" s="113"/>
    </row>
    <row r="3893" spans="14:14">
      <c r="N3893" s="113"/>
    </row>
    <row r="3894" spans="14:14">
      <c r="N3894" s="113"/>
    </row>
    <row r="3895" spans="14:14">
      <c r="N3895" s="113"/>
    </row>
    <row r="3896" spans="14:14">
      <c r="N3896" s="113"/>
    </row>
    <row r="3897" spans="14:14">
      <c r="N3897" s="113"/>
    </row>
    <row r="3898" spans="14:14">
      <c r="N3898" s="113"/>
    </row>
    <row r="3899" spans="14:14">
      <c r="N3899" s="113"/>
    </row>
    <row r="3900" spans="14:14">
      <c r="N3900" s="113"/>
    </row>
    <row r="3901" spans="14:14">
      <c r="N3901" s="113"/>
    </row>
    <row r="3902" spans="14:14">
      <c r="N3902" s="113"/>
    </row>
    <row r="3903" spans="14:14">
      <c r="N3903" s="113"/>
    </row>
    <row r="3904" spans="14:14">
      <c r="N3904" s="113"/>
    </row>
    <row r="3905" spans="14:14">
      <c r="N3905" s="113"/>
    </row>
    <row r="3906" spans="14:14">
      <c r="N3906" s="113"/>
    </row>
    <row r="3907" spans="14:14">
      <c r="N3907" s="113"/>
    </row>
    <row r="3908" spans="14:14">
      <c r="N3908" s="113"/>
    </row>
    <row r="3909" spans="14:14">
      <c r="N3909" s="113"/>
    </row>
    <row r="3910" spans="14:14">
      <c r="N3910" s="113"/>
    </row>
    <row r="3911" spans="14:14">
      <c r="N3911" s="113"/>
    </row>
    <row r="3912" spans="14:14">
      <c r="N3912" s="113"/>
    </row>
    <row r="3913" spans="14:14">
      <c r="N3913" s="113"/>
    </row>
    <row r="3914" spans="14:14">
      <c r="N3914" s="113"/>
    </row>
    <row r="3915" spans="14:14">
      <c r="N3915" s="113"/>
    </row>
    <row r="3916" spans="14:14">
      <c r="N3916" s="113"/>
    </row>
    <row r="3917" spans="14:14">
      <c r="N3917" s="113"/>
    </row>
    <row r="3918" spans="14:14">
      <c r="N3918" s="113"/>
    </row>
    <row r="3919" spans="14:14">
      <c r="N3919" s="113"/>
    </row>
    <row r="3920" spans="14:14">
      <c r="N3920" s="113"/>
    </row>
    <row r="3921" spans="14:14">
      <c r="N3921" s="113"/>
    </row>
    <row r="3922" spans="14:14">
      <c r="N3922" s="113"/>
    </row>
    <row r="3923" spans="14:14">
      <c r="N3923" s="113"/>
    </row>
    <row r="3924" spans="14:14">
      <c r="N3924" s="113"/>
    </row>
    <row r="3925" spans="14:14">
      <c r="N3925" s="113"/>
    </row>
    <row r="3926" spans="14:14">
      <c r="N3926" s="113"/>
    </row>
    <row r="3927" spans="14:14">
      <c r="N3927" s="113"/>
    </row>
    <row r="3928" spans="14:14">
      <c r="N3928" s="113"/>
    </row>
    <row r="3929" spans="14:14">
      <c r="N3929" s="113"/>
    </row>
    <row r="3930" spans="14:14">
      <c r="N3930" s="113"/>
    </row>
    <row r="3931" spans="14:14">
      <c r="N3931" s="113"/>
    </row>
    <row r="3932" spans="14:14">
      <c r="N3932" s="113"/>
    </row>
    <row r="3933" spans="14:14">
      <c r="N3933" s="113"/>
    </row>
    <row r="3934" spans="14:14">
      <c r="N3934" s="113"/>
    </row>
    <row r="3935" spans="14:14">
      <c r="N3935" s="113"/>
    </row>
    <row r="3936" spans="14:14">
      <c r="N3936" s="113"/>
    </row>
    <row r="3937" spans="14:14">
      <c r="N3937" s="113"/>
    </row>
    <row r="3938" spans="14:14">
      <c r="N3938" s="113"/>
    </row>
    <row r="3939" spans="14:14">
      <c r="N3939" s="113"/>
    </row>
    <row r="3940" spans="14:14">
      <c r="N3940" s="113"/>
    </row>
    <row r="3941" spans="14:14">
      <c r="N3941" s="113"/>
    </row>
    <row r="3942" spans="14:14">
      <c r="N3942" s="113"/>
    </row>
    <row r="3943" spans="14:14">
      <c r="N3943" s="113"/>
    </row>
    <row r="3944" spans="14:14">
      <c r="N3944" s="113"/>
    </row>
    <row r="3945" spans="14:14">
      <c r="N3945" s="113"/>
    </row>
    <row r="3946" spans="14:14">
      <c r="N3946" s="113"/>
    </row>
    <row r="3947" spans="14:14">
      <c r="N3947" s="113"/>
    </row>
    <row r="3948" spans="14:14">
      <c r="N3948" s="113"/>
    </row>
    <row r="3949" spans="14:14">
      <c r="N3949" s="113"/>
    </row>
    <row r="3950" spans="14:14">
      <c r="N3950" s="113"/>
    </row>
    <row r="3951" spans="14:14">
      <c r="N3951" s="113"/>
    </row>
    <row r="3952" spans="14:14">
      <c r="N3952" s="113"/>
    </row>
    <row r="3953" spans="14:14">
      <c r="N3953" s="113"/>
    </row>
    <row r="3954" spans="14:14">
      <c r="N3954" s="113"/>
    </row>
    <row r="3955" spans="14:14">
      <c r="N3955" s="113"/>
    </row>
    <row r="3956" spans="14:14">
      <c r="N3956" s="113"/>
    </row>
    <row r="3957" spans="14:14">
      <c r="N3957" s="113"/>
    </row>
    <row r="3958" spans="14:14">
      <c r="N3958" s="113"/>
    </row>
    <row r="3959" spans="14:14">
      <c r="N3959" s="113"/>
    </row>
    <row r="3960" spans="14:14">
      <c r="N3960" s="113"/>
    </row>
    <row r="3961" spans="14:14">
      <c r="N3961" s="113"/>
    </row>
    <row r="3962" spans="14:14">
      <c r="N3962" s="113"/>
    </row>
    <row r="3963" spans="14:14">
      <c r="N3963" s="113"/>
    </row>
    <row r="3964" spans="14:14">
      <c r="N3964" s="113"/>
    </row>
    <row r="3965" spans="14:14">
      <c r="N3965" s="113"/>
    </row>
    <row r="3966" spans="14:14">
      <c r="N3966" s="113"/>
    </row>
    <row r="3967" spans="14:14">
      <c r="N3967" s="113"/>
    </row>
    <row r="3968" spans="14:14">
      <c r="N3968" s="113"/>
    </row>
    <row r="3969" spans="14:14">
      <c r="N3969" s="113"/>
    </row>
    <row r="3970" spans="14:14">
      <c r="N3970" s="113"/>
    </row>
    <row r="3971" spans="14:14">
      <c r="N3971" s="113"/>
    </row>
    <row r="3972" spans="14:14">
      <c r="N3972" s="113"/>
    </row>
    <row r="3973" spans="14:14">
      <c r="N3973" s="113"/>
    </row>
    <row r="3974" spans="14:14">
      <c r="N3974" s="113"/>
    </row>
    <row r="3975" spans="14:14">
      <c r="N3975" s="113"/>
    </row>
    <row r="3976" spans="14:14">
      <c r="N3976" s="113"/>
    </row>
    <row r="3977" spans="14:14">
      <c r="N3977" s="113"/>
    </row>
    <row r="3978" spans="14:14">
      <c r="N3978" s="113"/>
    </row>
    <row r="3979" spans="14:14">
      <c r="N3979" s="113"/>
    </row>
    <row r="3980" spans="14:14">
      <c r="N3980" s="113"/>
    </row>
    <row r="3981" spans="14:14">
      <c r="N3981" s="113"/>
    </row>
    <row r="3982" spans="14:14">
      <c r="N3982" s="113"/>
    </row>
    <row r="3983" spans="14:14">
      <c r="N3983" s="113"/>
    </row>
    <row r="3984" spans="14:14">
      <c r="N3984" s="113"/>
    </row>
    <row r="3985" spans="14:14">
      <c r="N3985" s="113"/>
    </row>
    <row r="3986" spans="14:14">
      <c r="N3986" s="113"/>
    </row>
    <row r="3987" spans="14:14">
      <c r="N3987" s="113"/>
    </row>
    <row r="3988" spans="14:14">
      <c r="N3988" s="113"/>
    </row>
    <row r="3989" spans="14:14">
      <c r="N3989" s="113"/>
    </row>
    <row r="3990" spans="14:14">
      <c r="N3990" s="113"/>
    </row>
    <row r="3991" spans="14:14">
      <c r="N3991" s="113"/>
    </row>
    <row r="3992" spans="14:14">
      <c r="N3992" s="113"/>
    </row>
    <row r="3993" spans="14:14">
      <c r="N3993" s="113"/>
    </row>
    <row r="3994" spans="14:14">
      <c r="N3994" s="113"/>
    </row>
    <row r="3995" spans="14:14">
      <c r="N3995" s="113"/>
    </row>
    <row r="3996" spans="14:14">
      <c r="N3996" s="113"/>
    </row>
    <row r="3997" spans="14:14">
      <c r="N3997" s="113"/>
    </row>
    <row r="3998" spans="14:14">
      <c r="N3998" s="113"/>
    </row>
    <row r="3999" spans="14:14">
      <c r="N3999" s="113"/>
    </row>
    <row r="4000" spans="14:14">
      <c r="N4000" s="113"/>
    </row>
    <row r="4001" spans="14:14">
      <c r="N4001" s="113"/>
    </row>
    <row r="4002" spans="14:14">
      <c r="N4002" s="113"/>
    </row>
    <row r="4003" spans="14:14">
      <c r="N4003" s="113"/>
    </row>
    <row r="4004" spans="14:14">
      <c r="N4004" s="113"/>
    </row>
    <row r="4005" spans="14:14">
      <c r="N4005" s="113"/>
    </row>
    <row r="4006" spans="14:14">
      <c r="N4006" s="113"/>
    </row>
    <row r="4007" spans="14:14">
      <c r="N4007" s="113"/>
    </row>
    <row r="4008" spans="14:14">
      <c r="N4008" s="113"/>
    </row>
    <row r="4009" spans="14:14">
      <c r="N4009" s="113"/>
    </row>
    <row r="4010" spans="14:14">
      <c r="N4010" s="113"/>
    </row>
    <row r="4011" spans="14:14">
      <c r="N4011" s="113"/>
    </row>
    <row r="4012" spans="14:14">
      <c r="N4012" s="113"/>
    </row>
    <row r="4013" spans="14:14">
      <c r="N4013" s="113"/>
    </row>
    <row r="4014" spans="14:14">
      <c r="N4014" s="113"/>
    </row>
    <row r="4015" spans="14:14">
      <c r="N4015" s="113"/>
    </row>
    <row r="4016" spans="14:14">
      <c r="N4016" s="113"/>
    </row>
    <row r="4017" spans="14:14">
      <c r="N4017" s="113"/>
    </row>
    <row r="4018" spans="14:14">
      <c r="N4018" s="113"/>
    </row>
    <row r="4019" spans="14:14">
      <c r="N4019" s="113"/>
    </row>
    <row r="4020" spans="14:14">
      <c r="N4020" s="113"/>
    </row>
    <row r="4021" spans="14:14">
      <c r="N4021" s="113"/>
    </row>
    <row r="4022" spans="14:14">
      <c r="N4022" s="113"/>
    </row>
    <row r="4023" spans="14:14">
      <c r="N4023" s="113"/>
    </row>
    <row r="4024" spans="14:14">
      <c r="N4024" s="113"/>
    </row>
    <row r="4025" spans="14:14">
      <c r="N4025" s="113"/>
    </row>
    <row r="4026" spans="14:14">
      <c r="N4026" s="113"/>
    </row>
    <row r="4027" spans="14:14">
      <c r="N4027" s="113"/>
    </row>
    <row r="4028" spans="14:14">
      <c r="N4028" s="113"/>
    </row>
    <row r="4029" spans="14:14">
      <c r="N4029" s="113"/>
    </row>
    <row r="4030" spans="14:14">
      <c r="N4030" s="113"/>
    </row>
    <row r="4031" spans="14:14">
      <c r="N4031" s="113"/>
    </row>
    <row r="4032" spans="14:14">
      <c r="N4032" s="113"/>
    </row>
    <row r="4033" spans="14:14">
      <c r="N4033" s="113"/>
    </row>
    <row r="4034" spans="14:14">
      <c r="N4034" s="113"/>
    </row>
    <row r="4035" spans="14:14">
      <c r="N4035" s="113"/>
    </row>
    <row r="4036" spans="14:14">
      <c r="N4036" s="113"/>
    </row>
    <row r="4037" spans="14:14">
      <c r="N4037" s="113"/>
    </row>
    <row r="4038" spans="14:14">
      <c r="N4038" s="113"/>
    </row>
    <row r="4039" spans="14:14">
      <c r="N4039" s="113"/>
    </row>
    <row r="4040" spans="14:14">
      <c r="N4040" s="113"/>
    </row>
    <row r="4041" spans="14:14">
      <c r="N4041" s="113"/>
    </row>
    <row r="4042" spans="14:14">
      <c r="N4042" s="113"/>
    </row>
    <row r="4043" spans="14:14">
      <c r="N4043" s="113"/>
    </row>
    <row r="4044" spans="14:14">
      <c r="N4044" s="113"/>
    </row>
    <row r="4045" spans="14:14">
      <c r="N4045" s="113"/>
    </row>
    <row r="4046" spans="14:14">
      <c r="N4046" s="113"/>
    </row>
    <row r="4047" spans="14:14">
      <c r="N4047" s="113"/>
    </row>
    <row r="4048" spans="14:14">
      <c r="N4048" s="113"/>
    </row>
    <row r="4049" spans="14:14">
      <c r="N4049" s="113"/>
    </row>
    <row r="4050" spans="14:14">
      <c r="N4050" s="113"/>
    </row>
    <row r="4051" spans="14:14">
      <c r="N4051" s="113"/>
    </row>
    <row r="4052" spans="14:14">
      <c r="N4052" s="113"/>
    </row>
    <row r="4053" spans="14:14">
      <c r="N4053" s="113"/>
    </row>
    <row r="4054" spans="14:14">
      <c r="N4054" s="113"/>
    </row>
    <row r="4055" spans="14:14">
      <c r="N4055" s="113"/>
    </row>
    <row r="4056" spans="14:14">
      <c r="N4056" s="113"/>
    </row>
    <row r="4057" spans="14:14">
      <c r="N4057" s="113"/>
    </row>
    <row r="4058" spans="14:14">
      <c r="N4058" s="113"/>
    </row>
    <row r="4059" spans="14:14">
      <c r="N4059" s="113"/>
    </row>
    <row r="4060" spans="14:14">
      <c r="N4060" s="113"/>
    </row>
    <row r="4061" spans="14:14">
      <c r="N4061" s="113"/>
    </row>
    <row r="4062" spans="14:14">
      <c r="N4062" s="113"/>
    </row>
    <row r="4063" spans="14:14">
      <c r="N4063" s="113"/>
    </row>
    <row r="4064" spans="14:14">
      <c r="N4064" s="113"/>
    </row>
    <row r="4065" spans="14:14">
      <c r="N4065" s="113"/>
    </row>
    <row r="4066" spans="14:14">
      <c r="N4066" s="113"/>
    </row>
    <row r="4067" spans="14:14">
      <c r="N4067" s="113"/>
    </row>
    <row r="4068" spans="14:14">
      <c r="N4068" s="113"/>
    </row>
    <row r="4069" spans="14:14">
      <c r="N4069" s="113"/>
    </row>
    <row r="4070" spans="14:14">
      <c r="N4070" s="113"/>
    </row>
    <row r="4071" spans="14:14">
      <c r="N4071" s="113"/>
    </row>
    <row r="4072" spans="14:14">
      <c r="N4072" s="113"/>
    </row>
    <row r="4073" spans="14:14">
      <c r="N4073" s="113"/>
    </row>
    <row r="4074" spans="14:14">
      <c r="N4074" s="113"/>
    </row>
    <row r="4075" spans="14:14">
      <c r="N4075" s="113"/>
    </row>
    <row r="4076" spans="14:14">
      <c r="N4076" s="113"/>
    </row>
    <row r="4077" spans="14:14">
      <c r="N4077" s="113"/>
    </row>
    <row r="4078" spans="14:14">
      <c r="N4078" s="113"/>
    </row>
    <row r="4079" spans="14:14">
      <c r="N4079" s="113"/>
    </row>
    <row r="4080" spans="14:14">
      <c r="N4080" s="113"/>
    </row>
    <row r="4081" spans="14:14">
      <c r="N4081" s="113"/>
    </row>
    <row r="4082" spans="14:14">
      <c r="N4082" s="113"/>
    </row>
    <row r="4083" spans="14:14">
      <c r="N4083" s="113"/>
    </row>
    <row r="4084" spans="14:14">
      <c r="N4084" s="113"/>
    </row>
    <row r="4085" spans="14:14">
      <c r="N4085" s="113"/>
    </row>
    <row r="4086" spans="14:14">
      <c r="N4086" s="113"/>
    </row>
    <row r="4087" spans="14:14">
      <c r="N4087" s="113"/>
    </row>
    <row r="4088" spans="14:14">
      <c r="N4088" s="113"/>
    </row>
    <row r="4089" spans="14:14">
      <c r="N4089" s="113"/>
    </row>
    <row r="4090" spans="14:14">
      <c r="N4090" s="113"/>
    </row>
    <row r="4091" spans="14:14">
      <c r="N4091" s="113"/>
    </row>
    <row r="4092" spans="14:14">
      <c r="N4092" s="113"/>
    </row>
    <row r="4093" spans="14:14">
      <c r="N4093" s="113"/>
    </row>
    <row r="4094" spans="14:14">
      <c r="N4094" s="113"/>
    </row>
    <row r="4095" spans="14:14">
      <c r="N4095" s="113"/>
    </row>
    <row r="4096" spans="14:14">
      <c r="N4096" s="113"/>
    </row>
    <row r="4097" spans="14:14">
      <c r="N4097" s="113"/>
    </row>
    <row r="4098" spans="14:14">
      <c r="N4098" s="113"/>
    </row>
    <row r="4099" spans="14:14">
      <c r="N4099" s="113"/>
    </row>
    <row r="4100" spans="14:14">
      <c r="N4100" s="113"/>
    </row>
    <row r="4101" spans="14:14">
      <c r="N4101" s="113"/>
    </row>
    <row r="4102" spans="14:14">
      <c r="N4102" s="113"/>
    </row>
    <row r="4103" spans="14:14">
      <c r="N4103" s="113"/>
    </row>
    <row r="4104" spans="14:14">
      <c r="N4104" s="113"/>
    </row>
    <row r="4105" spans="14:14">
      <c r="N4105" s="113"/>
    </row>
    <row r="4106" spans="14:14">
      <c r="N4106" s="113"/>
    </row>
    <row r="4107" spans="14:14">
      <c r="N4107" s="113"/>
    </row>
    <row r="4108" spans="14:14">
      <c r="N4108" s="113"/>
    </row>
    <row r="4109" spans="14:14">
      <c r="N4109" s="113"/>
    </row>
    <row r="4110" spans="14:14">
      <c r="N4110" s="113"/>
    </row>
    <row r="4111" spans="14:14">
      <c r="N4111" s="113"/>
    </row>
    <row r="4112" spans="14:14">
      <c r="N4112" s="113"/>
    </row>
    <row r="4113" spans="14:14">
      <c r="N4113" s="113"/>
    </row>
    <row r="4114" spans="14:14">
      <c r="N4114" s="113"/>
    </row>
    <row r="4115" spans="14:14">
      <c r="N4115" s="113"/>
    </row>
    <row r="4116" spans="14:14">
      <c r="N4116" s="113"/>
    </row>
    <row r="4117" spans="14:14">
      <c r="N4117" s="113"/>
    </row>
    <row r="4118" spans="14:14">
      <c r="N4118" s="113"/>
    </row>
    <row r="4119" spans="14:14">
      <c r="N4119" s="113"/>
    </row>
    <row r="4120" spans="14:14">
      <c r="N4120" s="113"/>
    </row>
    <row r="4121" spans="14:14">
      <c r="N4121" s="113"/>
    </row>
    <row r="4122" spans="14:14">
      <c r="N4122" s="113"/>
    </row>
    <row r="4123" spans="14:14">
      <c r="N4123" s="113"/>
    </row>
    <row r="4124" spans="14:14">
      <c r="N4124" s="113"/>
    </row>
    <row r="4125" spans="14:14">
      <c r="N4125" s="113"/>
    </row>
    <row r="4126" spans="14:14">
      <c r="N4126" s="113"/>
    </row>
    <row r="4127" spans="14:14">
      <c r="N4127" s="113"/>
    </row>
    <row r="4128" spans="14:14">
      <c r="N4128" s="113"/>
    </row>
    <row r="4129" spans="14:14">
      <c r="N4129" s="113"/>
    </row>
    <row r="4130" spans="14:14">
      <c r="N4130" s="113"/>
    </row>
    <row r="4131" spans="14:14">
      <c r="N4131" s="113"/>
    </row>
    <row r="4132" spans="14:14">
      <c r="N4132" s="113"/>
    </row>
    <row r="4133" spans="14:14">
      <c r="N4133" s="113"/>
    </row>
    <row r="4134" spans="14:14">
      <c r="N4134" s="113"/>
    </row>
    <row r="4135" spans="14:14">
      <c r="N4135" s="113"/>
    </row>
    <row r="4136" spans="14:14">
      <c r="N4136" s="113"/>
    </row>
    <row r="4137" spans="14:14">
      <c r="N4137" s="113"/>
    </row>
    <row r="4138" spans="14:14">
      <c r="N4138" s="113"/>
    </row>
    <row r="4139" spans="14:14">
      <c r="N4139" s="113"/>
    </row>
    <row r="4140" spans="14:14">
      <c r="N4140" s="113"/>
    </row>
    <row r="4141" spans="14:14">
      <c r="N4141" s="113"/>
    </row>
    <row r="4142" spans="14:14">
      <c r="N4142" s="113"/>
    </row>
    <row r="4143" spans="14:14">
      <c r="N4143" s="113"/>
    </row>
    <row r="4144" spans="14:14">
      <c r="N4144" s="113"/>
    </row>
    <row r="4145" spans="14:14">
      <c r="N4145" s="113"/>
    </row>
    <row r="4146" spans="14:14">
      <c r="N4146" s="113"/>
    </row>
    <row r="4147" spans="14:14">
      <c r="N4147" s="113"/>
    </row>
    <row r="4148" spans="14:14">
      <c r="N4148" s="113"/>
    </row>
    <row r="4149" spans="14:14">
      <c r="N4149" s="113"/>
    </row>
    <row r="4150" spans="14:14">
      <c r="N4150" s="113"/>
    </row>
    <row r="4151" spans="14:14">
      <c r="N4151" s="113"/>
    </row>
    <row r="4152" spans="14:14">
      <c r="N4152" s="113"/>
    </row>
    <row r="4153" spans="14:14">
      <c r="N4153" s="113"/>
    </row>
    <row r="4154" spans="14:14">
      <c r="N4154" s="113"/>
    </row>
    <row r="4155" spans="14:14">
      <c r="N4155" s="113"/>
    </row>
    <row r="4156" spans="14:14">
      <c r="N4156" s="113"/>
    </row>
    <row r="4157" spans="14:14">
      <c r="N4157" s="113"/>
    </row>
    <row r="4158" spans="14:14">
      <c r="N4158" s="113"/>
    </row>
    <row r="4159" spans="14:14">
      <c r="N4159" s="113"/>
    </row>
    <row r="4160" spans="14:14">
      <c r="N4160" s="113"/>
    </row>
    <row r="4161" spans="14:14">
      <c r="N4161" s="113"/>
    </row>
    <row r="4162" spans="14:14">
      <c r="N4162" s="113"/>
    </row>
    <row r="4163" spans="14:14">
      <c r="N4163" s="113"/>
    </row>
    <row r="4164" spans="14:14">
      <c r="N4164" s="113"/>
    </row>
    <row r="4165" spans="14:14">
      <c r="N4165" s="113"/>
    </row>
    <row r="4166" spans="14:14">
      <c r="N4166" s="113"/>
    </row>
    <row r="4167" spans="14:14">
      <c r="N4167" s="113"/>
    </row>
    <row r="4168" spans="14:14">
      <c r="N4168" s="113"/>
    </row>
    <row r="4169" spans="14:14">
      <c r="N4169" s="113"/>
    </row>
    <row r="4170" spans="14:14">
      <c r="N4170" s="113"/>
    </row>
    <row r="4171" spans="14:14">
      <c r="N4171" s="113"/>
    </row>
    <row r="4172" spans="14:14">
      <c r="N4172" s="113"/>
    </row>
    <row r="4173" spans="14:14">
      <c r="N4173" s="113"/>
    </row>
    <row r="4174" spans="14:14">
      <c r="N4174" s="113"/>
    </row>
    <row r="4175" spans="14:14">
      <c r="N4175" s="113"/>
    </row>
    <row r="4176" spans="14:14">
      <c r="N4176" s="113"/>
    </row>
    <row r="4177" spans="14:14">
      <c r="N4177" s="113"/>
    </row>
    <row r="4178" spans="14:14">
      <c r="N4178" s="113"/>
    </row>
    <row r="4179" spans="14:14">
      <c r="N4179" s="113"/>
    </row>
    <row r="4180" spans="14:14">
      <c r="N4180" s="113"/>
    </row>
    <row r="4181" spans="14:14">
      <c r="N4181" s="113"/>
    </row>
    <row r="4182" spans="14:14">
      <c r="N4182" s="113"/>
    </row>
    <row r="4183" spans="14:14">
      <c r="N4183" s="113"/>
    </row>
    <row r="4184" spans="14:14">
      <c r="N4184" s="113"/>
    </row>
    <row r="4185" spans="14:14">
      <c r="N4185" s="113"/>
    </row>
    <row r="4186" spans="14:14">
      <c r="N4186" s="113"/>
    </row>
    <row r="4187" spans="14:14">
      <c r="N4187" s="113"/>
    </row>
    <row r="4188" spans="14:14">
      <c r="N4188" s="113"/>
    </row>
    <row r="4189" spans="14:14">
      <c r="N4189" s="113"/>
    </row>
    <row r="4190" spans="14:14">
      <c r="N4190" s="113"/>
    </row>
    <row r="4191" spans="14:14">
      <c r="N4191" s="113"/>
    </row>
    <row r="4192" spans="14:14">
      <c r="N4192" s="113"/>
    </row>
    <row r="4193" spans="14:14">
      <c r="N4193" s="113"/>
    </row>
    <row r="4194" spans="14:14">
      <c r="N4194" s="113"/>
    </row>
    <row r="4195" spans="14:14">
      <c r="N4195" s="113"/>
    </row>
    <row r="4196" spans="14:14">
      <c r="N4196" s="113"/>
    </row>
    <row r="4197" spans="14:14">
      <c r="N4197" s="113"/>
    </row>
    <row r="4198" spans="14:14">
      <c r="N4198" s="113"/>
    </row>
    <row r="4199" spans="14:14">
      <c r="N4199" s="113"/>
    </row>
    <row r="4200" spans="14:14">
      <c r="N4200" s="113"/>
    </row>
    <row r="4201" spans="14:14">
      <c r="N4201" s="113"/>
    </row>
    <row r="4202" spans="14:14">
      <c r="N4202" s="113"/>
    </row>
    <row r="4203" spans="14:14">
      <c r="N4203" s="113"/>
    </row>
    <row r="4204" spans="14:14">
      <c r="N4204" s="113"/>
    </row>
    <row r="4205" spans="14:14">
      <c r="N4205" s="113"/>
    </row>
    <row r="4206" spans="14:14">
      <c r="N4206" s="113"/>
    </row>
    <row r="4207" spans="14:14">
      <c r="N4207" s="113"/>
    </row>
    <row r="4208" spans="14:14">
      <c r="N4208" s="113"/>
    </row>
    <row r="4209" spans="14:14">
      <c r="N4209" s="113"/>
    </row>
    <row r="4210" spans="14:14">
      <c r="N4210" s="113"/>
    </row>
    <row r="4211" spans="14:14">
      <c r="N4211" s="113"/>
    </row>
    <row r="4212" spans="14:14">
      <c r="N4212" s="113"/>
    </row>
    <row r="4213" spans="14:14">
      <c r="N4213" s="113"/>
    </row>
    <row r="4214" spans="14:14">
      <c r="N4214" s="113"/>
    </row>
    <row r="4215" spans="14:14">
      <c r="N4215" s="113"/>
    </row>
    <row r="4216" spans="14:14">
      <c r="N4216" s="113"/>
    </row>
    <row r="4217" spans="14:14">
      <c r="N4217" s="113"/>
    </row>
    <row r="4218" spans="14:14">
      <c r="N4218" s="113"/>
    </row>
    <row r="4219" spans="14:14">
      <c r="N4219" s="113"/>
    </row>
    <row r="4220" spans="14:14">
      <c r="N4220" s="113"/>
    </row>
    <row r="4221" spans="14:14">
      <c r="N4221" s="113"/>
    </row>
    <row r="4222" spans="14:14">
      <c r="N4222" s="113"/>
    </row>
    <row r="4223" spans="14:14">
      <c r="N4223" s="113"/>
    </row>
    <row r="4224" spans="14:14">
      <c r="N4224" s="113"/>
    </row>
    <row r="4225" spans="14:14">
      <c r="N4225" s="113"/>
    </row>
    <row r="4226" spans="14:14">
      <c r="N4226" s="113"/>
    </row>
    <row r="4227" spans="14:14">
      <c r="N4227" s="113"/>
    </row>
    <row r="4228" spans="14:14">
      <c r="N4228" s="113"/>
    </row>
    <row r="4229" spans="14:14">
      <c r="N4229" s="113"/>
    </row>
    <row r="4230" spans="14:14">
      <c r="N4230" s="113"/>
    </row>
    <row r="4231" spans="14:14">
      <c r="N4231" s="113"/>
    </row>
    <row r="4232" spans="14:14">
      <c r="N4232" s="113"/>
    </row>
    <row r="4233" spans="14:14">
      <c r="N4233" s="113"/>
    </row>
    <row r="4234" spans="14:14">
      <c r="N4234" s="113"/>
    </row>
    <row r="4235" spans="14:14">
      <c r="N4235" s="113"/>
    </row>
    <row r="4236" spans="14:14">
      <c r="N4236" s="113"/>
    </row>
    <row r="4237" spans="14:14">
      <c r="N4237" s="113"/>
    </row>
    <row r="4238" spans="14:14">
      <c r="N4238" s="113"/>
    </row>
    <row r="4239" spans="14:14">
      <c r="N4239" s="113"/>
    </row>
    <row r="4240" spans="14:14">
      <c r="N4240" s="113"/>
    </row>
    <row r="4241" spans="14:14">
      <c r="N4241" s="113"/>
    </row>
    <row r="4242" spans="14:14">
      <c r="N4242" s="113"/>
    </row>
    <row r="4243" spans="14:14">
      <c r="N4243" s="113"/>
    </row>
    <row r="4244" spans="14:14">
      <c r="N4244" s="113"/>
    </row>
    <row r="4245" spans="14:14">
      <c r="N4245" s="113"/>
    </row>
    <row r="4246" spans="14:14">
      <c r="N4246" s="113"/>
    </row>
    <row r="4247" spans="14:14">
      <c r="N4247" s="113"/>
    </row>
    <row r="4248" spans="14:14">
      <c r="N4248" s="113"/>
    </row>
    <row r="4249" spans="14:14">
      <c r="N4249" s="113"/>
    </row>
    <row r="4250" spans="14:14">
      <c r="N4250" s="113"/>
    </row>
    <row r="4251" spans="14:14">
      <c r="N4251" s="113"/>
    </row>
    <row r="4252" spans="14:14">
      <c r="N4252" s="113"/>
    </row>
    <row r="4253" spans="14:14">
      <c r="N4253" s="113"/>
    </row>
    <row r="4254" spans="14:14">
      <c r="N4254" s="113"/>
    </row>
    <row r="4255" spans="14:14">
      <c r="N4255" s="113"/>
    </row>
    <row r="4256" spans="14:14">
      <c r="N4256" s="113"/>
    </row>
    <row r="4257" spans="14:14">
      <c r="N4257" s="113"/>
    </row>
    <row r="4258" spans="14:14">
      <c r="N4258" s="113"/>
    </row>
    <row r="4259" spans="14:14">
      <c r="N4259" s="113"/>
    </row>
    <row r="4260" spans="14:14">
      <c r="N4260" s="113"/>
    </row>
    <row r="4261" spans="14:14">
      <c r="N4261" s="113"/>
    </row>
    <row r="4262" spans="14:14">
      <c r="N4262" s="113"/>
    </row>
    <row r="4263" spans="14:14">
      <c r="N4263" s="113"/>
    </row>
    <row r="4264" spans="14:14">
      <c r="N4264" s="113"/>
    </row>
    <row r="4265" spans="14:14">
      <c r="N4265" s="113"/>
    </row>
    <row r="4266" spans="14:14">
      <c r="N4266" s="113"/>
    </row>
    <row r="4267" spans="14:14">
      <c r="N4267" s="113"/>
    </row>
    <row r="4268" spans="14:14">
      <c r="N4268" s="113"/>
    </row>
    <row r="4269" spans="14:14">
      <c r="N4269" s="113"/>
    </row>
    <row r="4270" spans="14:14">
      <c r="N4270" s="113"/>
    </row>
    <row r="4271" spans="14:14">
      <c r="N4271" s="113"/>
    </row>
    <row r="4272" spans="14:14">
      <c r="N4272" s="113"/>
    </row>
    <row r="4273" spans="14:14">
      <c r="N4273" s="113"/>
    </row>
    <row r="4274" spans="14:14">
      <c r="N4274" s="113"/>
    </row>
    <row r="4275" spans="14:14">
      <c r="N4275" s="113"/>
    </row>
    <row r="4276" spans="14:14">
      <c r="N4276" s="113"/>
    </row>
    <row r="4277" spans="14:14">
      <c r="N4277" s="113"/>
    </row>
    <row r="4278" spans="14:14">
      <c r="N4278" s="113"/>
    </row>
    <row r="4279" spans="14:14">
      <c r="N4279" s="113"/>
    </row>
    <row r="4280" spans="14:14">
      <c r="N4280" s="113"/>
    </row>
    <row r="4281" spans="14:14">
      <c r="N4281" s="113"/>
    </row>
    <row r="4282" spans="14:14">
      <c r="N4282" s="113"/>
    </row>
    <row r="4283" spans="14:14">
      <c r="N4283" s="113"/>
    </row>
    <row r="4284" spans="14:14">
      <c r="N4284" s="113"/>
    </row>
    <row r="4285" spans="14:14">
      <c r="N4285" s="113"/>
    </row>
    <row r="4286" spans="14:14">
      <c r="N4286" s="113"/>
    </row>
    <row r="4287" spans="14:14">
      <c r="N4287" s="113"/>
    </row>
    <row r="4288" spans="14:14">
      <c r="N4288" s="113"/>
    </row>
    <row r="4289" spans="14:14">
      <c r="N4289" s="113"/>
    </row>
    <row r="4290" spans="14:14">
      <c r="N4290" s="113"/>
    </row>
    <row r="4291" spans="14:14">
      <c r="N4291" s="113"/>
    </row>
    <row r="4292" spans="14:14">
      <c r="N4292" s="113"/>
    </row>
    <row r="4293" spans="14:14">
      <c r="N4293" s="113"/>
    </row>
    <row r="4294" spans="14:14">
      <c r="N4294" s="113"/>
    </row>
    <row r="4295" spans="14:14">
      <c r="N4295" s="113"/>
    </row>
    <row r="4296" spans="14:14">
      <c r="N4296" s="113"/>
    </row>
    <row r="4297" spans="14:14">
      <c r="N4297" s="113"/>
    </row>
    <row r="4298" spans="14:14">
      <c r="N4298" s="113"/>
    </row>
    <row r="4299" spans="14:14">
      <c r="N4299" s="113"/>
    </row>
    <row r="4300" spans="14:14">
      <c r="N4300" s="113"/>
    </row>
    <row r="4301" spans="14:14">
      <c r="N4301" s="113"/>
    </row>
    <row r="4302" spans="14:14">
      <c r="N4302" s="113"/>
    </row>
    <row r="4303" spans="14:14">
      <c r="N4303" s="113"/>
    </row>
    <row r="4304" spans="14:14">
      <c r="N4304" s="113"/>
    </row>
    <row r="4305" spans="14:14">
      <c r="N4305" s="113"/>
    </row>
    <row r="4306" spans="14:14">
      <c r="N4306" s="113"/>
    </row>
    <row r="4307" spans="14:14">
      <c r="N4307" s="113"/>
    </row>
    <row r="4308" spans="14:14">
      <c r="N4308" s="113"/>
    </row>
    <row r="4309" spans="14:14">
      <c r="N4309" s="113"/>
    </row>
    <row r="4310" spans="14:14">
      <c r="N4310" s="113"/>
    </row>
    <row r="4311" spans="14:14">
      <c r="N4311" s="113"/>
    </row>
    <row r="4312" spans="14:14">
      <c r="N4312" s="113"/>
    </row>
    <row r="4313" spans="14:14">
      <c r="N4313" s="113"/>
    </row>
    <row r="4314" spans="14:14">
      <c r="N4314" s="113"/>
    </row>
    <row r="4315" spans="14:14">
      <c r="N4315" s="113"/>
    </row>
    <row r="4316" spans="14:14">
      <c r="N4316" s="113"/>
    </row>
    <row r="4317" spans="14:14">
      <c r="N4317" s="113"/>
    </row>
    <row r="4318" spans="14:14">
      <c r="N4318" s="113"/>
    </row>
    <row r="4319" spans="14:14">
      <c r="N4319" s="113"/>
    </row>
    <row r="4320" spans="14:14">
      <c r="N4320" s="113"/>
    </row>
    <row r="4321" spans="14:14">
      <c r="N4321" s="113"/>
    </row>
    <row r="4322" spans="14:14">
      <c r="N4322" s="113"/>
    </row>
    <row r="4323" spans="14:14">
      <c r="N4323" s="113"/>
    </row>
    <row r="4324" spans="14:14">
      <c r="N4324" s="113"/>
    </row>
    <row r="4325" spans="14:14">
      <c r="N4325" s="113"/>
    </row>
    <row r="4326" spans="14:14">
      <c r="N4326" s="113"/>
    </row>
    <row r="4327" spans="14:14">
      <c r="N4327" s="113"/>
    </row>
    <row r="4328" spans="14:14">
      <c r="N4328" s="113"/>
    </row>
    <row r="4329" spans="14:14">
      <c r="N4329" s="113"/>
    </row>
    <row r="4330" spans="14:14">
      <c r="N4330" s="113"/>
    </row>
    <row r="4331" spans="14:14">
      <c r="N4331" s="113"/>
    </row>
    <row r="4332" spans="14:14">
      <c r="N4332" s="113"/>
    </row>
    <row r="4333" spans="14:14">
      <c r="N4333" s="113"/>
    </row>
    <row r="4334" spans="14:14">
      <c r="N4334" s="113"/>
    </row>
    <row r="4335" spans="14:14">
      <c r="N4335" s="113"/>
    </row>
    <row r="4336" spans="14:14">
      <c r="N4336" s="113"/>
    </row>
    <row r="4337" spans="14:14">
      <c r="N4337" s="113"/>
    </row>
    <row r="4338" spans="14:14">
      <c r="N4338" s="113"/>
    </row>
    <row r="4339" spans="14:14">
      <c r="N4339" s="113"/>
    </row>
    <row r="4340" spans="14:14">
      <c r="N4340" s="113"/>
    </row>
    <row r="4341" spans="14:14">
      <c r="N4341" s="113"/>
    </row>
    <row r="4342" spans="14:14">
      <c r="N4342" s="113"/>
    </row>
    <row r="4343" spans="14:14">
      <c r="N4343" s="113"/>
    </row>
    <row r="4344" spans="14:14">
      <c r="N4344" s="113"/>
    </row>
    <row r="4345" spans="14:14">
      <c r="N4345" s="113"/>
    </row>
    <row r="4346" spans="14:14">
      <c r="N4346" s="113"/>
    </row>
    <row r="4347" spans="14:14">
      <c r="N4347" s="113"/>
    </row>
    <row r="4348" spans="14:14">
      <c r="N4348" s="113"/>
    </row>
    <row r="4349" spans="14:14">
      <c r="N4349" s="113"/>
    </row>
    <row r="4350" spans="14:14">
      <c r="N4350" s="113"/>
    </row>
    <row r="4351" spans="14:14">
      <c r="N4351" s="113"/>
    </row>
    <row r="4352" spans="14:14">
      <c r="N4352" s="113"/>
    </row>
    <row r="4353" spans="14:14">
      <c r="N4353" s="113"/>
    </row>
    <row r="4354" spans="14:14">
      <c r="N4354" s="113"/>
    </row>
    <row r="4355" spans="14:14">
      <c r="N4355" s="113"/>
    </row>
    <row r="4356" spans="14:14">
      <c r="N4356" s="113"/>
    </row>
    <row r="4357" spans="14:14">
      <c r="N4357" s="113"/>
    </row>
    <row r="4358" spans="14:14">
      <c r="N4358" s="113"/>
    </row>
    <row r="4359" spans="14:14">
      <c r="N4359" s="113"/>
    </row>
    <row r="4360" spans="14:14">
      <c r="N4360" s="113"/>
    </row>
    <row r="4361" spans="14:14">
      <c r="N4361" s="113"/>
    </row>
    <row r="4362" spans="14:14">
      <c r="N4362" s="113"/>
    </row>
    <row r="4363" spans="14:14">
      <c r="N4363" s="113"/>
    </row>
    <row r="4364" spans="14:14">
      <c r="N4364" s="113"/>
    </row>
    <row r="4365" spans="14:14">
      <c r="N4365" s="113"/>
    </row>
    <row r="4366" spans="14:14">
      <c r="N4366" s="113"/>
    </row>
    <row r="4367" spans="14:14">
      <c r="N4367" s="113"/>
    </row>
    <row r="4368" spans="14:14">
      <c r="N4368" s="113"/>
    </row>
    <row r="4369" spans="14:14">
      <c r="N4369" s="113"/>
    </row>
    <row r="4370" spans="14:14">
      <c r="N4370" s="113"/>
    </row>
    <row r="4371" spans="14:14">
      <c r="N4371" s="113"/>
    </row>
    <row r="4372" spans="14:14">
      <c r="N4372" s="113"/>
    </row>
    <row r="4373" spans="14:14">
      <c r="N4373" s="113"/>
    </row>
    <row r="4374" spans="14:14">
      <c r="N4374" s="113"/>
    </row>
    <row r="4375" spans="14:14">
      <c r="N4375" s="113"/>
    </row>
    <row r="4376" spans="14:14">
      <c r="N4376" s="113"/>
    </row>
    <row r="4377" spans="14:14">
      <c r="N4377" s="113"/>
    </row>
    <row r="4378" spans="14:14">
      <c r="N4378" s="113"/>
    </row>
    <row r="4379" spans="14:14">
      <c r="N4379" s="113"/>
    </row>
    <row r="4380" spans="14:14">
      <c r="N4380" s="113"/>
    </row>
    <row r="4381" spans="14:14">
      <c r="N4381" s="113"/>
    </row>
    <row r="4382" spans="14:14">
      <c r="N4382" s="113"/>
    </row>
    <row r="4383" spans="14:14">
      <c r="N4383" s="113"/>
    </row>
    <row r="4384" spans="14:14">
      <c r="N4384" s="113"/>
    </row>
    <row r="4385" spans="14:14">
      <c r="N4385" s="113"/>
    </row>
    <row r="4386" spans="14:14">
      <c r="N4386" s="113"/>
    </row>
    <row r="4387" spans="14:14">
      <c r="N4387" s="113"/>
    </row>
    <row r="4388" spans="14:14">
      <c r="N4388" s="113"/>
    </row>
    <row r="4389" spans="14:14">
      <c r="N4389" s="113"/>
    </row>
    <row r="4390" spans="14:14">
      <c r="N4390" s="113"/>
    </row>
    <row r="4391" spans="14:14">
      <c r="N4391" s="113"/>
    </row>
    <row r="4392" spans="14:14">
      <c r="N4392" s="113"/>
    </row>
    <row r="4393" spans="14:14">
      <c r="N4393" s="113"/>
    </row>
    <row r="4394" spans="14:14">
      <c r="N4394" s="113"/>
    </row>
    <row r="4395" spans="14:14">
      <c r="N4395" s="113"/>
    </row>
    <row r="4396" spans="14:14">
      <c r="N4396" s="113"/>
    </row>
    <row r="4397" spans="14:14">
      <c r="N4397" s="113"/>
    </row>
    <row r="4398" spans="14:14">
      <c r="N4398" s="113"/>
    </row>
    <row r="4399" spans="14:14">
      <c r="N4399" s="113"/>
    </row>
    <row r="4400" spans="14:14">
      <c r="N4400" s="113"/>
    </row>
    <row r="4401" spans="14:14">
      <c r="N4401" s="113"/>
    </row>
    <row r="4402" spans="14:14">
      <c r="N4402" s="113"/>
    </row>
    <row r="4403" spans="14:14">
      <c r="N4403" s="113"/>
    </row>
    <row r="4404" spans="14:14">
      <c r="N4404" s="113"/>
    </row>
    <row r="4405" spans="14:14">
      <c r="N4405" s="113"/>
    </row>
    <row r="4406" spans="14:14">
      <c r="N4406" s="113"/>
    </row>
    <row r="4407" spans="14:14">
      <c r="N4407" s="113"/>
    </row>
    <row r="4408" spans="14:14">
      <c r="N4408" s="113"/>
    </row>
    <row r="4409" spans="14:14">
      <c r="N4409" s="113"/>
    </row>
    <row r="4410" spans="14:14">
      <c r="N4410" s="113"/>
    </row>
    <row r="4411" spans="14:14">
      <c r="N4411" s="113"/>
    </row>
    <row r="4412" spans="14:14">
      <c r="N4412" s="113"/>
    </row>
    <row r="4413" spans="14:14">
      <c r="N4413" s="113"/>
    </row>
    <row r="4414" spans="14:14">
      <c r="N4414" s="113"/>
    </row>
    <row r="4415" spans="14:14">
      <c r="N4415" s="113"/>
    </row>
    <row r="4416" spans="14:14">
      <c r="N4416" s="113"/>
    </row>
    <row r="4417" spans="14:14">
      <c r="N4417" s="113"/>
    </row>
    <row r="4418" spans="14:14">
      <c r="N4418" s="113"/>
    </row>
    <row r="4419" spans="14:14">
      <c r="N4419" s="113"/>
    </row>
    <row r="4420" spans="14:14">
      <c r="N4420" s="113"/>
    </row>
    <row r="4421" spans="14:14">
      <c r="N4421" s="113"/>
    </row>
    <row r="4422" spans="14:14">
      <c r="N4422" s="113"/>
    </row>
    <row r="4423" spans="14:14">
      <c r="N4423" s="113"/>
    </row>
    <row r="4424" spans="14:14">
      <c r="N4424" s="113"/>
    </row>
    <row r="4425" spans="14:14">
      <c r="N4425" s="113"/>
    </row>
    <row r="4426" spans="14:14">
      <c r="N4426" s="113"/>
    </row>
    <row r="4427" spans="14:14">
      <c r="N4427" s="113"/>
    </row>
    <row r="4428" spans="14:14">
      <c r="N4428" s="113"/>
    </row>
    <row r="4429" spans="14:14">
      <c r="N4429" s="113"/>
    </row>
    <row r="4430" spans="14:14">
      <c r="N4430" s="113"/>
    </row>
    <row r="4431" spans="14:14">
      <c r="N4431" s="113"/>
    </row>
    <row r="4432" spans="14:14">
      <c r="N4432" s="113"/>
    </row>
    <row r="4433" spans="14:14">
      <c r="N4433" s="113"/>
    </row>
    <row r="4434" spans="14:14">
      <c r="N4434" s="113"/>
    </row>
    <row r="4435" spans="14:14">
      <c r="N4435" s="113"/>
    </row>
    <row r="4436" spans="14:14">
      <c r="N4436" s="113"/>
    </row>
    <row r="4437" spans="14:14">
      <c r="N4437" s="113"/>
    </row>
    <row r="4438" spans="14:14">
      <c r="N4438" s="113"/>
    </row>
    <row r="4439" spans="14:14">
      <c r="N4439" s="113"/>
    </row>
    <row r="4440" spans="14:14">
      <c r="N4440" s="113"/>
    </row>
    <row r="4441" spans="14:14">
      <c r="N4441" s="113"/>
    </row>
    <row r="4442" spans="14:14">
      <c r="N4442" s="113"/>
    </row>
    <row r="4443" spans="14:14">
      <c r="N4443" s="113"/>
    </row>
    <row r="4444" spans="14:14">
      <c r="N4444" s="113"/>
    </row>
    <row r="4445" spans="14:14">
      <c r="N4445" s="113"/>
    </row>
    <row r="4446" spans="14:14">
      <c r="N4446" s="113"/>
    </row>
    <row r="4447" spans="14:14">
      <c r="N4447" s="113"/>
    </row>
    <row r="4448" spans="14:14">
      <c r="N4448" s="113"/>
    </row>
    <row r="4449" spans="14:14">
      <c r="N4449" s="113"/>
    </row>
    <row r="4450" spans="14:14">
      <c r="N4450" s="113"/>
    </row>
    <row r="4451" spans="14:14">
      <c r="N4451" s="113"/>
    </row>
    <row r="4452" spans="14:14">
      <c r="N4452" s="113"/>
    </row>
    <row r="4453" spans="14:14">
      <c r="N4453" s="113"/>
    </row>
    <row r="4454" spans="14:14">
      <c r="N4454" s="113"/>
    </row>
    <row r="4455" spans="14:14">
      <c r="N4455" s="113"/>
    </row>
    <row r="4456" spans="14:14">
      <c r="N4456" s="113"/>
    </row>
    <row r="4457" spans="14:14">
      <c r="N4457" s="113"/>
    </row>
    <row r="4458" spans="14:14">
      <c r="N4458" s="113"/>
    </row>
    <row r="4459" spans="14:14">
      <c r="N4459" s="113"/>
    </row>
    <row r="4460" spans="14:14">
      <c r="N4460" s="113"/>
    </row>
    <row r="4461" spans="14:14">
      <c r="N4461" s="113"/>
    </row>
    <row r="4462" spans="14:14">
      <c r="N4462" s="113"/>
    </row>
    <row r="4463" spans="14:14">
      <c r="N4463" s="113"/>
    </row>
    <row r="4464" spans="14:14">
      <c r="N4464" s="113"/>
    </row>
    <row r="4465" spans="14:14">
      <c r="N4465" s="113"/>
    </row>
    <row r="4466" spans="14:14">
      <c r="N4466" s="113"/>
    </row>
    <row r="4467" spans="14:14">
      <c r="N4467" s="113"/>
    </row>
    <row r="4468" spans="14:14">
      <c r="N4468" s="113"/>
    </row>
    <row r="4469" spans="14:14">
      <c r="N4469" s="113"/>
    </row>
    <row r="4470" spans="14:14">
      <c r="N4470" s="113"/>
    </row>
    <row r="4471" spans="14:14">
      <c r="N4471" s="113"/>
    </row>
    <row r="4472" spans="14:14">
      <c r="N4472" s="113"/>
    </row>
    <row r="4473" spans="14:14">
      <c r="N4473" s="113"/>
    </row>
    <row r="4474" spans="14:14">
      <c r="N4474" s="113"/>
    </row>
    <row r="4475" spans="14:14">
      <c r="N4475" s="113"/>
    </row>
    <row r="4476" spans="14:14">
      <c r="N4476" s="113"/>
    </row>
    <row r="4477" spans="14:14">
      <c r="N4477" s="113"/>
    </row>
    <row r="4478" spans="14:14">
      <c r="N4478" s="113"/>
    </row>
    <row r="4479" spans="14:14">
      <c r="N4479" s="113"/>
    </row>
    <row r="4480" spans="14:14">
      <c r="N4480" s="113"/>
    </row>
    <row r="4481" spans="14:14">
      <c r="N4481" s="113"/>
    </row>
    <row r="4482" spans="14:14">
      <c r="N4482" s="113"/>
    </row>
    <row r="4483" spans="14:14">
      <c r="N4483" s="113"/>
    </row>
    <row r="4484" spans="14:14">
      <c r="N4484" s="113"/>
    </row>
    <row r="4485" spans="14:14">
      <c r="N4485" s="113"/>
    </row>
    <row r="4486" spans="14:14">
      <c r="N4486" s="113"/>
    </row>
    <row r="4487" spans="14:14">
      <c r="N4487" s="113"/>
    </row>
    <row r="4488" spans="14:14">
      <c r="N4488" s="113"/>
    </row>
    <row r="4489" spans="14:14">
      <c r="N4489" s="113"/>
    </row>
    <row r="4490" spans="14:14">
      <c r="N4490" s="113"/>
    </row>
    <row r="4491" spans="14:14">
      <c r="N4491" s="113"/>
    </row>
    <row r="4492" spans="14:14">
      <c r="N4492" s="113"/>
    </row>
    <row r="4493" spans="14:14">
      <c r="N4493" s="113"/>
    </row>
    <row r="4494" spans="14:14">
      <c r="N4494" s="113"/>
    </row>
    <row r="4495" spans="14:14">
      <c r="N4495" s="113"/>
    </row>
    <row r="4496" spans="14:14">
      <c r="N4496" s="113"/>
    </row>
    <row r="4497" spans="14:14">
      <c r="N4497" s="113"/>
    </row>
    <row r="4498" spans="14:14">
      <c r="N4498" s="113"/>
    </row>
    <row r="4499" spans="14:14">
      <c r="N4499" s="113"/>
    </row>
    <row r="4500" spans="14:14">
      <c r="N4500" s="113"/>
    </row>
    <row r="4501" spans="14:14">
      <c r="N4501" s="113"/>
    </row>
    <row r="4502" spans="14:14">
      <c r="N4502" s="113"/>
    </row>
    <row r="4503" spans="14:14">
      <c r="N4503" s="113"/>
    </row>
    <row r="4504" spans="14:14">
      <c r="N4504" s="113"/>
    </row>
    <row r="4505" spans="14:14">
      <c r="N4505" s="113"/>
    </row>
    <row r="4506" spans="14:14">
      <c r="N4506" s="113"/>
    </row>
    <row r="4507" spans="14:14">
      <c r="N4507" s="113"/>
    </row>
    <row r="4508" spans="14:14">
      <c r="N4508" s="113"/>
    </row>
    <row r="4509" spans="14:14">
      <c r="N4509" s="113"/>
    </row>
    <row r="4510" spans="14:14">
      <c r="N4510" s="113"/>
    </row>
    <row r="4511" spans="14:14">
      <c r="N4511" s="113"/>
    </row>
    <row r="4512" spans="14:14">
      <c r="N4512" s="113"/>
    </row>
    <row r="4513" spans="14:14">
      <c r="N4513" s="113"/>
    </row>
    <row r="4514" spans="14:14">
      <c r="N4514" s="113"/>
    </row>
    <row r="4515" spans="14:14">
      <c r="N4515" s="113"/>
    </row>
    <row r="4516" spans="14:14">
      <c r="N4516" s="113"/>
    </row>
    <row r="4517" spans="14:14">
      <c r="N4517" s="113"/>
    </row>
    <row r="4518" spans="14:14">
      <c r="N4518" s="113"/>
    </row>
    <row r="4519" spans="14:14">
      <c r="N4519" s="113"/>
    </row>
    <row r="4520" spans="14:14">
      <c r="N4520" s="113"/>
    </row>
    <row r="4521" spans="14:14">
      <c r="N4521" s="113"/>
    </row>
    <row r="4522" spans="14:14">
      <c r="N4522" s="113"/>
    </row>
    <row r="4523" spans="14:14">
      <c r="N4523" s="113"/>
    </row>
    <row r="4524" spans="14:14">
      <c r="N4524" s="113"/>
    </row>
    <row r="4525" spans="14:14">
      <c r="N4525" s="113"/>
    </row>
    <row r="4526" spans="14:14">
      <c r="N4526" s="113"/>
    </row>
    <row r="4527" spans="14:14">
      <c r="N4527" s="113"/>
    </row>
    <row r="4528" spans="14:14">
      <c r="N4528" s="113"/>
    </row>
    <row r="4529" spans="14:14">
      <c r="N4529" s="113"/>
    </row>
    <row r="4530" spans="14:14">
      <c r="N4530" s="113"/>
    </row>
    <row r="4531" spans="14:14">
      <c r="N4531" s="113"/>
    </row>
    <row r="4532" spans="14:14">
      <c r="N4532" s="113"/>
    </row>
    <row r="4533" spans="14:14">
      <c r="N4533" s="113"/>
    </row>
    <row r="4534" spans="14:14">
      <c r="N4534" s="113"/>
    </row>
    <row r="4535" spans="14:14">
      <c r="N4535" s="113"/>
    </row>
    <row r="4536" spans="14:14">
      <c r="N4536" s="113"/>
    </row>
    <row r="4537" spans="14:14">
      <c r="N4537" s="113"/>
    </row>
    <row r="4538" spans="14:14">
      <c r="N4538" s="113"/>
    </row>
    <row r="4539" spans="14:14">
      <c r="N4539" s="113"/>
    </row>
    <row r="4540" spans="14:14">
      <c r="N4540" s="113"/>
    </row>
    <row r="4541" spans="14:14">
      <c r="N4541" s="113"/>
    </row>
    <row r="4542" spans="14:14">
      <c r="N4542" s="113"/>
    </row>
    <row r="4543" spans="14:14">
      <c r="N4543" s="113"/>
    </row>
    <row r="4544" spans="14:14">
      <c r="N4544" s="113"/>
    </row>
    <row r="4545" spans="14:14">
      <c r="N4545" s="113"/>
    </row>
    <row r="4546" spans="14:14">
      <c r="N4546" s="113"/>
    </row>
    <row r="4547" spans="14:14">
      <c r="N4547" s="113"/>
    </row>
    <row r="4548" spans="14:14">
      <c r="N4548" s="113"/>
    </row>
    <row r="4549" spans="14:14">
      <c r="N4549" s="113"/>
    </row>
    <row r="4550" spans="14:14">
      <c r="N4550" s="113"/>
    </row>
    <row r="4551" spans="14:14">
      <c r="N4551" s="113"/>
    </row>
    <row r="4552" spans="14:14">
      <c r="N4552" s="113"/>
    </row>
    <row r="4553" spans="14:14">
      <c r="N4553" s="113"/>
    </row>
    <row r="4554" spans="14:14">
      <c r="N4554" s="113"/>
    </row>
    <row r="4555" spans="14:14">
      <c r="N4555" s="113"/>
    </row>
    <row r="4556" spans="14:14">
      <c r="N4556" s="113"/>
    </row>
    <row r="4557" spans="14:14">
      <c r="N4557" s="113"/>
    </row>
    <row r="4558" spans="14:14">
      <c r="N4558" s="113"/>
    </row>
    <row r="4559" spans="14:14">
      <c r="N4559" s="113"/>
    </row>
    <row r="4560" spans="14:14">
      <c r="N4560" s="113"/>
    </row>
    <row r="4561" spans="14:14">
      <c r="N4561" s="113"/>
    </row>
    <row r="4562" spans="14:14">
      <c r="N4562" s="113"/>
    </row>
    <row r="4563" spans="14:14">
      <c r="N4563" s="113"/>
    </row>
    <row r="4564" spans="14:14">
      <c r="N4564" s="113"/>
    </row>
    <row r="4565" spans="14:14">
      <c r="N4565" s="113"/>
    </row>
    <row r="4566" spans="14:14">
      <c r="N4566" s="113"/>
    </row>
    <row r="4567" spans="14:14">
      <c r="N4567" s="113"/>
    </row>
    <row r="4568" spans="14:14">
      <c r="N4568" s="113"/>
    </row>
    <row r="4569" spans="14:14">
      <c r="N4569" s="113"/>
    </row>
    <row r="4570" spans="14:14">
      <c r="N4570" s="113"/>
    </row>
    <row r="4571" spans="14:14">
      <c r="N4571" s="113"/>
    </row>
    <row r="4572" spans="14:14">
      <c r="N4572" s="113"/>
    </row>
    <row r="4573" spans="14:14">
      <c r="N4573" s="113"/>
    </row>
    <row r="4574" spans="14:14">
      <c r="N4574" s="113"/>
    </row>
    <row r="4575" spans="14:14">
      <c r="N4575" s="113"/>
    </row>
    <row r="4576" spans="14:14">
      <c r="N4576" s="113"/>
    </row>
    <row r="4577" spans="14:14">
      <c r="N4577" s="113"/>
    </row>
    <row r="4578" spans="14:14">
      <c r="N4578" s="113"/>
    </row>
    <row r="4579" spans="14:14">
      <c r="N4579" s="113"/>
    </row>
    <row r="4580" spans="14:14">
      <c r="N4580" s="113"/>
    </row>
    <row r="4581" spans="14:14">
      <c r="N4581" s="113"/>
    </row>
    <row r="4582" spans="14:14">
      <c r="N4582" s="113"/>
    </row>
    <row r="4583" spans="14:14">
      <c r="N4583" s="113"/>
    </row>
    <row r="4584" spans="14:14">
      <c r="N4584" s="113"/>
    </row>
    <row r="4585" spans="14:14">
      <c r="N4585" s="113"/>
    </row>
    <row r="4586" spans="14:14">
      <c r="N4586" s="113"/>
    </row>
    <row r="4587" spans="14:14">
      <c r="N4587" s="113"/>
    </row>
    <row r="4588" spans="14:14">
      <c r="N4588" s="113"/>
    </row>
    <row r="4589" spans="14:14">
      <c r="N4589" s="113"/>
    </row>
    <row r="4590" spans="14:14">
      <c r="N4590" s="113"/>
    </row>
    <row r="4591" spans="14:14">
      <c r="N4591" s="113"/>
    </row>
    <row r="4592" spans="14:14">
      <c r="N4592" s="113"/>
    </row>
    <row r="4593" spans="14:14">
      <c r="N4593" s="113"/>
    </row>
    <row r="4594" spans="14:14">
      <c r="N4594" s="113"/>
    </row>
    <row r="4595" spans="14:14">
      <c r="N4595" s="113"/>
    </row>
    <row r="4596" spans="14:14">
      <c r="N4596" s="113"/>
    </row>
    <row r="4597" spans="14:14">
      <c r="N4597" s="113"/>
    </row>
    <row r="4598" spans="14:14">
      <c r="N4598" s="113"/>
    </row>
    <row r="4599" spans="14:14">
      <c r="N4599" s="113"/>
    </row>
    <row r="4600" spans="14:14">
      <c r="N4600" s="113"/>
    </row>
    <row r="4601" spans="14:14">
      <c r="N4601" s="113"/>
    </row>
    <row r="4602" spans="14:14">
      <c r="N4602" s="113"/>
    </row>
    <row r="4603" spans="14:14">
      <c r="N4603" s="113"/>
    </row>
    <row r="4604" spans="14:14">
      <c r="N4604" s="113"/>
    </row>
    <row r="4605" spans="14:14">
      <c r="N4605" s="113"/>
    </row>
    <row r="4606" spans="14:14">
      <c r="N4606" s="113"/>
    </row>
    <row r="4607" spans="14:14">
      <c r="N4607" s="113"/>
    </row>
    <row r="4608" spans="14:14">
      <c r="N4608" s="113"/>
    </row>
    <row r="4609" spans="14:14">
      <c r="N4609" s="113"/>
    </row>
    <row r="4610" spans="14:14">
      <c r="N4610" s="113"/>
    </row>
    <row r="4611" spans="14:14">
      <c r="N4611" s="113"/>
    </row>
    <row r="4612" spans="14:14">
      <c r="N4612" s="113"/>
    </row>
    <row r="4613" spans="14:14">
      <c r="N4613" s="113"/>
    </row>
    <row r="4614" spans="14:14">
      <c r="N4614" s="113"/>
    </row>
    <row r="4615" spans="14:14">
      <c r="N4615" s="113"/>
    </row>
    <row r="4616" spans="14:14">
      <c r="N4616" s="113"/>
    </row>
    <row r="4617" spans="14:14">
      <c r="N4617" s="113"/>
    </row>
    <row r="4618" spans="14:14">
      <c r="N4618" s="113"/>
    </row>
    <row r="4619" spans="14:14">
      <c r="N4619" s="113"/>
    </row>
    <row r="4620" spans="14:14">
      <c r="N4620" s="113"/>
    </row>
    <row r="4621" spans="14:14">
      <c r="N4621" s="113"/>
    </row>
    <row r="4622" spans="14:14">
      <c r="N4622" s="113"/>
    </row>
    <row r="4623" spans="14:14">
      <c r="N4623" s="113"/>
    </row>
    <row r="4624" spans="14:14">
      <c r="N4624" s="113"/>
    </row>
    <row r="4625" spans="14:14">
      <c r="N4625" s="113"/>
    </row>
    <row r="4626" spans="14:14">
      <c r="N4626" s="113"/>
    </row>
    <row r="4627" spans="14:14">
      <c r="N4627" s="113"/>
    </row>
    <row r="4628" spans="14:14">
      <c r="N4628" s="113"/>
    </row>
    <row r="4629" spans="14:14">
      <c r="N4629" s="113"/>
    </row>
    <row r="4630" spans="14:14">
      <c r="N4630" s="113"/>
    </row>
    <row r="4631" spans="14:14">
      <c r="N4631" s="113"/>
    </row>
    <row r="4632" spans="14:14">
      <c r="N4632" s="113"/>
    </row>
    <row r="4633" spans="14:14">
      <c r="N4633" s="113"/>
    </row>
    <row r="4634" spans="14:14">
      <c r="N4634" s="113"/>
    </row>
    <row r="4635" spans="14:14">
      <c r="N4635" s="113"/>
    </row>
    <row r="4636" spans="14:14">
      <c r="N4636" s="113"/>
    </row>
    <row r="4637" spans="14:14">
      <c r="N4637" s="113"/>
    </row>
    <row r="4638" spans="14:14">
      <c r="N4638" s="113"/>
    </row>
    <row r="4639" spans="14:14">
      <c r="N4639" s="113"/>
    </row>
    <row r="4640" spans="14:14">
      <c r="N4640" s="113"/>
    </row>
    <row r="4641" spans="14:14">
      <c r="N4641" s="113"/>
    </row>
    <row r="4642" spans="14:14">
      <c r="N4642" s="113"/>
    </row>
    <row r="4643" spans="14:14">
      <c r="N4643" s="113"/>
    </row>
    <row r="4644" spans="14:14">
      <c r="N4644" s="113"/>
    </row>
    <row r="4645" spans="14:14">
      <c r="N4645" s="113"/>
    </row>
    <row r="4646" spans="14:14">
      <c r="N4646" s="113"/>
    </row>
    <row r="4647" spans="14:14">
      <c r="N4647" s="113"/>
    </row>
    <row r="4648" spans="14:14">
      <c r="N4648" s="113"/>
    </row>
    <row r="4649" spans="14:14">
      <c r="N4649" s="113"/>
    </row>
    <row r="4650" spans="14:14">
      <c r="N4650" s="113"/>
    </row>
    <row r="4651" spans="14:14">
      <c r="N4651" s="113"/>
    </row>
    <row r="4652" spans="14:14">
      <c r="N4652" s="113"/>
    </row>
    <row r="4653" spans="14:14">
      <c r="N4653" s="113"/>
    </row>
    <row r="4654" spans="14:14">
      <c r="N4654" s="113"/>
    </row>
    <row r="4655" spans="14:14">
      <c r="N4655" s="113"/>
    </row>
    <row r="4656" spans="14:14">
      <c r="N4656" s="113"/>
    </row>
    <row r="4657" spans="14:14">
      <c r="N4657" s="113"/>
    </row>
    <row r="4658" spans="14:14">
      <c r="N4658" s="113"/>
    </row>
    <row r="4659" spans="14:14">
      <c r="N4659" s="113"/>
    </row>
    <row r="4660" spans="14:14">
      <c r="N4660" s="113"/>
    </row>
    <row r="4661" spans="14:14">
      <c r="N4661" s="113"/>
    </row>
    <row r="4662" spans="14:14">
      <c r="N4662" s="113"/>
    </row>
    <row r="4663" spans="14:14">
      <c r="N4663" s="113"/>
    </row>
    <row r="4664" spans="14:14">
      <c r="N4664" s="113"/>
    </row>
    <row r="4665" spans="14:14">
      <c r="N4665" s="113"/>
    </row>
    <row r="4666" spans="14:14">
      <c r="N4666" s="113"/>
    </row>
    <row r="4667" spans="14:14">
      <c r="N4667" s="113"/>
    </row>
    <row r="4668" spans="14:14">
      <c r="N4668" s="113"/>
    </row>
    <row r="4669" spans="14:14">
      <c r="N4669" s="113"/>
    </row>
    <row r="4670" spans="14:14">
      <c r="N4670" s="113"/>
    </row>
    <row r="4671" spans="14:14">
      <c r="N4671" s="113"/>
    </row>
    <row r="4672" spans="14:14">
      <c r="N4672" s="113"/>
    </row>
    <row r="4673" spans="14:14">
      <c r="N4673" s="113"/>
    </row>
    <row r="4674" spans="14:14">
      <c r="N4674" s="113"/>
    </row>
    <row r="4675" spans="14:14">
      <c r="N4675" s="113"/>
    </row>
    <row r="4676" spans="14:14">
      <c r="N4676" s="113"/>
    </row>
    <row r="4677" spans="14:14">
      <c r="N4677" s="113"/>
    </row>
    <row r="4678" spans="14:14">
      <c r="N4678" s="113"/>
    </row>
    <row r="4679" spans="14:14">
      <c r="N4679" s="113"/>
    </row>
    <row r="4680" spans="14:14">
      <c r="N4680" s="113"/>
    </row>
    <row r="4681" spans="14:14">
      <c r="N4681" s="113"/>
    </row>
    <row r="4682" spans="14:14">
      <c r="N4682" s="113"/>
    </row>
    <row r="4683" spans="14:14">
      <c r="N4683" s="113"/>
    </row>
    <row r="4684" spans="14:14">
      <c r="N4684" s="113"/>
    </row>
    <row r="4685" spans="14:14">
      <c r="N4685" s="113"/>
    </row>
    <row r="4686" spans="14:14">
      <c r="N4686" s="113"/>
    </row>
    <row r="4687" spans="14:14">
      <c r="N4687" s="113"/>
    </row>
    <row r="4688" spans="14:14">
      <c r="N4688" s="113"/>
    </row>
    <row r="4689" spans="14:14">
      <c r="N4689" s="113"/>
    </row>
    <row r="4690" spans="14:14">
      <c r="N4690" s="113"/>
    </row>
    <row r="4691" spans="14:14">
      <c r="N4691" s="113"/>
    </row>
    <row r="4692" spans="14:14">
      <c r="N4692" s="113"/>
    </row>
    <row r="4693" spans="14:14">
      <c r="N4693" s="113"/>
    </row>
    <row r="4694" spans="14:14">
      <c r="N4694" s="113"/>
    </row>
    <row r="4695" spans="14:14">
      <c r="N4695" s="113"/>
    </row>
    <row r="4696" spans="14:14">
      <c r="N4696" s="113"/>
    </row>
    <row r="4697" spans="14:14">
      <c r="N4697" s="113"/>
    </row>
    <row r="4698" spans="14:14">
      <c r="N4698" s="113"/>
    </row>
    <row r="4699" spans="14:14">
      <c r="N4699" s="113"/>
    </row>
    <row r="4700" spans="14:14">
      <c r="N4700" s="113"/>
    </row>
    <row r="4701" spans="14:14">
      <c r="N4701" s="113"/>
    </row>
    <row r="4702" spans="14:14">
      <c r="N4702" s="113"/>
    </row>
    <row r="4703" spans="14:14">
      <c r="N4703" s="113"/>
    </row>
    <row r="4704" spans="14:14">
      <c r="N4704" s="113"/>
    </row>
    <row r="4705" spans="14:14">
      <c r="N4705" s="113"/>
    </row>
    <row r="4706" spans="14:14">
      <c r="N4706" s="113"/>
    </row>
    <row r="4707" spans="14:14">
      <c r="N4707" s="113"/>
    </row>
    <row r="4708" spans="14:14">
      <c r="N4708" s="113"/>
    </row>
    <row r="4709" spans="14:14">
      <c r="N4709" s="113"/>
    </row>
    <row r="4710" spans="14:14">
      <c r="N4710" s="113"/>
    </row>
    <row r="4711" spans="14:14">
      <c r="N4711" s="113"/>
    </row>
    <row r="4712" spans="14:14">
      <c r="N4712" s="113"/>
    </row>
    <row r="4713" spans="14:14">
      <c r="N4713" s="113"/>
    </row>
    <row r="4714" spans="14:14">
      <c r="N4714" s="113"/>
    </row>
    <row r="4715" spans="14:14">
      <c r="N4715" s="113"/>
    </row>
    <row r="4716" spans="14:14">
      <c r="N4716" s="113"/>
    </row>
    <row r="4717" spans="14:14">
      <c r="N4717" s="113"/>
    </row>
    <row r="4718" spans="14:14">
      <c r="N4718" s="113"/>
    </row>
    <row r="4719" spans="14:14">
      <c r="N4719" s="113"/>
    </row>
    <row r="4720" spans="14:14">
      <c r="N4720" s="113"/>
    </row>
    <row r="4721" spans="14:14">
      <c r="N4721" s="113"/>
    </row>
    <row r="4722" spans="14:14">
      <c r="N4722" s="113"/>
    </row>
    <row r="4723" spans="14:14">
      <c r="N4723" s="113"/>
    </row>
    <row r="4724" spans="14:14">
      <c r="N4724" s="113"/>
    </row>
    <row r="4725" spans="14:14">
      <c r="N4725" s="113"/>
    </row>
    <row r="4726" spans="14:14">
      <c r="N4726" s="113"/>
    </row>
    <row r="4727" spans="14:14">
      <c r="N4727" s="113"/>
    </row>
    <row r="4728" spans="14:14">
      <c r="N4728" s="113"/>
    </row>
    <row r="4729" spans="14:14">
      <c r="N4729" s="113"/>
    </row>
    <row r="4730" spans="14:14">
      <c r="N4730" s="113"/>
    </row>
    <row r="4731" spans="14:14">
      <c r="N4731" s="113"/>
    </row>
    <row r="4732" spans="14:14">
      <c r="N4732" s="113"/>
    </row>
    <row r="4733" spans="14:14">
      <c r="N4733" s="113"/>
    </row>
    <row r="4734" spans="14:14">
      <c r="N4734" s="113"/>
    </row>
    <row r="4735" spans="14:14">
      <c r="N4735" s="113"/>
    </row>
    <row r="4736" spans="14:14">
      <c r="N4736" s="113"/>
    </row>
    <row r="4737" spans="14:14">
      <c r="N4737" s="113"/>
    </row>
    <row r="4738" spans="14:14">
      <c r="N4738" s="113"/>
    </row>
    <row r="4739" spans="14:14">
      <c r="N4739" s="113"/>
    </row>
    <row r="4740" spans="14:14">
      <c r="N4740" s="113"/>
    </row>
    <row r="4741" spans="14:14">
      <c r="N4741" s="113"/>
    </row>
    <row r="4742" spans="14:14">
      <c r="N4742" s="113"/>
    </row>
    <row r="4743" spans="14:14">
      <c r="N4743" s="113"/>
    </row>
    <row r="4744" spans="14:14">
      <c r="N4744" s="113"/>
    </row>
    <row r="4745" spans="14:14">
      <c r="N4745" s="113"/>
    </row>
    <row r="4746" spans="14:14">
      <c r="N4746" s="113"/>
    </row>
    <row r="4747" spans="14:14">
      <c r="N4747" s="113"/>
    </row>
    <row r="4748" spans="14:14">
      <c r="N4748" s="113"/>
    </row>
    <row r="4749" spans="14:14">
      <c r="N4749" s="113"/>
    </row>
    <row r="4750" spans="14:14">
      <c r="N4750" s="113"/>
    </row>
    <row r="4751" spans="14:14">
      <c r="N4751" s="113"/>
    </row>
    <row r="4752" spans="14:14">
      <c r="N4752" s="113"/>
    </row>
    <row r="4753" spans="14:14">
      <c r="N4753" s="113"/>
    </row>
    <row r="4754" spans="14:14">
      <c r="N4754" s="113"/>
    </row>
    <row r="4755" spans="14:14">
      <c r="N4755" s="113"/>
    </row>
    <row r="4756" spans="14:14">
      <c r="N4756" s="113"/>
    </row>
    <row r="4757" spans="14:14">
      <c r="N4757" s="113"/>
    </row>
    <row r="4758" spans="14:14">
      <c r="N4758" s="113"/>
    </row>
    <row r="4759" spans="14:14">
      <c r="N4759" s="113"/>
    </row>
    <row r="4760" spans="14:14">
      <c r="N4760" s="113"/>
    </row>
    <row r="4761" spans="14:14">
      <c r="N4761" s="113"/>
    </row>
    <row r="4762" spans="14:14">
      <c r="N4762" s="113"/>
    </row>
    <row r="4763" spans="14:14">
      <c r="N4763" s="113"/>
    </row>
    <row r="4764" spans="14:14">
      <c r="N4764" s="113"/>
    </row>
    <row r="4765" spans="14:14">
      <c r="N4765" s="113"/>
    </row>
    <row r="4766" spans="14:14">
      <c r="N4766" s="113"/>
    </row>
    <row r="4767" spans="14:14">
      <c r="N4767" s="113"/>
    </row>
    <row r="4768" spans="14:14">
      <c r="N4768" s="113"/>
    </row>
    <row r="4769" spans="14:14">
      <c r="N4769" s="113"/>
    </row>
    <row r="4770" spans="14:14">
      <c r="N4770" s="113"/>
    </row>
    <row r="4771" spans="14:14">
      <c r="N4771" s="113"/>
    </row>
    <row r="4772" spans="14:14">
      <c r="N4772" s="113"/>
    </row>
    <row r="4773" spans="14:14">
      <c r="N4773" s="113"/>
    </row>
    <row r="4774" spans="14:14">
      <c r="N4774" s="113"/>
    </row>
    <row r="4775" spans="14:14">
      <c r="N4775" s="113"/>
    </row>
    <row r="4776" spans="14:14">
      <c r="N4776" s="113"/>
    </row>
    <row r="4777" spans="14:14">
      <c r="N4777" s="113"/>
    </row>
    <row r="4778" spans="14:14">
      <c r="N4778" s="113"/>
    </row>
    <row r="4779" spans="14:14">
      <c r="N4779" s="113"/>
    </row>
    <row r="4780" spans="14:14">
      <c r="N4780" s="113"/>
    </row>
    <row r="4781" spans="14:14">
      <c r="N4781" s="113"/>
    </row>
    <row r="4782" spans="14:14">
      <c r="N4782" s="113"/>
    </row>
    <row r="4783" spans="14:14">
      <c r="N4783" s="113"/>
    </row>
    <row r="4784" spans="14:14">
      <c r="N4784" s="113"/>
    </row>
    <row r="4785" spans="14:14">
      <c r="N4785" s="113"/>
    </row>
    <row r="4786" spans="14:14">
      <c r="N4786" s="113"/>
    </row>
    <row r="4787" spans="14:14">
      <c r="N4787" s="113"/>
    </row>
    <row r="4788" spans="14:14">
      <c r="N4788" s="113"/>
    </row>
    <row r="4789" spans="14:14">
      <c r="N4789" s="113"/>
    </row>
    <row r="4790" spans="14:14">
      <c r="N4790" s="113"/>
    </row>
    <row r="4791" spans="14:14">
      <c r="N4791" s="113"/>
    </row>
    <row r="4792" spans="14:14">
      <c r="N4792" s="113"/>
    </row>
    <row r="4793" spans="14:14">
      <c r="N4793" s="113"/>
    </row>
    <row r="4794" spans="14:14">
      <c r="N4794" s="113"/>
    </row>
    <row r="4795" spans="14:14">
      <c r="N4795" s="113"/>
    </row>
    <row r="4796" spans="14:14">
      <c r="N4796" s="113"/>
    </row>
    <row r="4797" spans="14:14">
      <c r="N4797" s="113"/>
    </row>
    <row r="4798" spans="14:14">
      <c r="N4798" s="113"/>
    </row>
    <row r="4799" spans="14:14">
      <c r="N4799" s="113"/>
    </row>
    <row r="4800" spans="14:14">
      <c r="N4800" s="113"/>
    </row>
    <row r="4801" spans="14:14">
      <c r="N4801" s="113"/>
    </row>
    <row r="4802" spans="14:14">
      <c r="N4802" s="113"/>
    </row>
    <row r="4803" spans="14:14">
      <c r="N4803" s="113"/>
    </row>
    <row r="4804" spans="14:14">
      <c r="N4804" s="113"/>
    </row>
    <row r="4805" spans="14:14">
      <c r="N4805" s="113"/>
    </row>
    <row r="4806" spans="14:14">
      <c r="N4806" s="113"/>
    </row>
    <row r="4807" spans="14:14">
      <c r="N4807" s="113"/>
    </row>
    <row r="4808" spans="14:14">
      <c r="N4808" s="113"/>
    </row>
    <row r="4809" spans="14:14">
      <c r="N4809" s="113"/>
    </row>
    <row r="4810" spans="14:14">
      <c r="N4810" s="113"/>
    </row>
    <row r="4811" spans="14:14">
      <c r="N4811" s="113"/>
    </row>
    <row r="4812" spans="14:14">
      <c r="N4812" s="113"/>
    </row>
    <row r="4813" spans="14:14">
      <c r="N4813" s="113"/>
    </row>
    <row r="4814" spans="14:14">
      <c r="N4814" s="113"/>
    </row>
    <row r="4815" spans="14:14">
      <c r="N4815" s="113"/>
    </row>
    <row r="4816" spans="14:14">
      <c r="N4816" s="113"/>
    </row>
    <row r="4817" spans="14:14">
      <c r="N4817" s="113"/>
    </row>
    <row r="4818" spans="14:14">
      <c r="N4818" s="113"/>
    </row>
    <row r="4819" spans="14:14">
      <c r="N4819" s="113"/>
    </row>
    <row r="4820" spans="14:14">
      <c r="N4820" s="113"/>
    </row>
    <row r="4821" spans="14:14">
      <c r="N4821" s="113"/>
    </row>
    <row r="4822" spans="14:14">
      <c r="N4822" s="113"/>
    </row>
    <row r="4823" spans="14:14">
      <c r="N4823" s="113"/>
    </row>
    <row r="4824" spans="14:14">
      <c r="N4824" s="113"/>
    </row>
    <row r="4825" spans="14:14">
      <c r="N4825" s="113"/>
    </row>
    <row r="4826" spans="14:14">
      <c r="N4826" s="113"/>
    </row>
    <row r="4827" spans="14:14">
      <c r="N4827" s="113"/>
    </row>
    <row r="4828" spans="14:14">
      <c r="N4828" s="113"/>
    </row>
    <row r="4829" spans="14:14">
      <c r="N4829" s="113"/>
    </row>
    <row r="4830" spans="14:14">
      <c r="N4830" s="113"/>
    </row>
    <row r="4831" spans="14:14">
      <c r="N4831" s="113"/>
    </row>
    <row r="4832" spans="14:14">
      <c r="N4832" s="113"/>
    </row>
    <row r="4833" spans="14:14">
      <c r="N4833" s="113"/>
    </row>
    <row r="4834" spans="14:14">
      <c r="N4834" s="113"/>
    </row>
    <row r="4835" spans="14:14">
      <c r="N4835" s="113"/>
    </row>
    <row r="4836" spans="14:14">
      <c r="N4836" s="113"/>
    </row>
    <row r="4837" spans="14:14">
      <c r="N4837" s="113"/>
    </row>
    <row r="4838" spans="14:14">
      <c r="N4838" s="113"/>
    </row>
    <row r="4839" spans="14:14">
      <c r="N4839" s="113"/>
    </row>
    <row r="4840" spans="14:14">
      <c r="N4840" s="113"/>
    </row>
    <row r="4841" spans="14:14">
      <c r="N4841" s="113"/>
    </row>
    <row r="4842" spans="14:14">
      <c r="N4842" s="113"/>
    </row>
    <row r="4843" spans="14:14">
      <c r="N4843" s="113"/>
    </row>
    <row r="4844" spans="14:14">
      <c r="N4844" s="113"/>
    </row>
    <row r="4845" spans="14:14">
      <c r="N4845" s="113"/>
    </row>
    <row r="4846" spans="14:14">
      <c r="N4846" s="113"/>
    </row>
    <row r="4847" spans="14:14">
      <c r="N4847" s="113"/>
    </row>
    <row r="4848" spans="14:14">
      <c r="N4848" s="113"/>
    </row>
    <row r="4849" spans="14:14">
      <c r="N4849" s="113"/>
    </row>
    <row r="4850" spans="14:14">
      <c r="N4850" s="113"/>
    </row>
    <row r="4851" spans="14:14">
      <c r="N4851" s="113"/>
    </row>
    <row r="4852" spans="14:14">
      <c r="N4852" s="113"/>
    </row>
    <row r="4853" spans="14:14">
      <c r="N4853" s="113"/>
    </row>
    <row r="4854" spans="14:14">
      <c r="N4854" s="113"/>
    </row>
    <row r="4855" spans="14:14">
      <c r="N4855" s="113"/>
    </row>
    <row r="4856" spans="14:14">
      <c r="N4856" s="113"/>
    </row>
    <row r="4857" spans="14:14">
      <c r="N4857" s="113"/>
    </row>
    <row r="4858" spans="14:14">
      <c r="N4858" s="113"/>
    </row>
    <row r="4859" spans="14:14">
      <c r="N4859" s="113"/>
    </row>
    <row r="4860" spans="14:14">
      <c r="N4860" s="113"/>
    </row>
    <row r="4861" spans="14:14">
      <c r="N4861" s="113"/>
    </row>
    <row r="4862" spans="14:14">
      <c r="N4862" s="113"/>
    </row>
    <row r="4863" spans="14:14">
      <c r="N4863" s="113"/>
    </row>
    <row r="4864" spans="14:14">
      <c r="N4864" s="113"/>
    </row>
    <row r="4865" spans="14:14">
      <c r="N4865" s="113"/>
    </row>
    <row r="4866" spans="14:14">
      <c r="N4866" s="113"/>
    </row>
    <row r="4867" spans="14:14">
      <c r="N4867" s="113"/>
    </row>
    <row r="4868" spans="14:14">
      <c r="N4868" s="113"/>
    </row>
    <row r="4869" spans="14:14">
      <c r="N4869" s="113"/>
    </row>
    <row r="4870" spans="14:14">
      <c r="N4870" s="113"/>
    </row>
    <row r="4871" spans="14:14">
      <c r="N4871" s="113"/>
    </row>
    <row r="4872" spans="14:14">
      <c r="N4872" s="113"/>
    </row>
    <row r="4873" spans="14:14">
      <c r="N4873" s="113"/>
    </row>
    <row r="4874" spans="14:14">
      <c r="N4874" s="113"/>
    </row>
    <row r="4875" spans="14:14">
      <c r="N4875" s="113"/>
    </row>
    <row r="4876" spans="14:14">
      <c r="N4876" s="113"/>
    </row>
    <row r="4877" spans="14:14">
      <c r="N4877" s="113"/>
    </row>
    <row r="4878" spans="14:14">
      <c r="N4878" s="113"/>
    </row>
    <row r="4879" spans="14:14">
      <c r="N4879" s="113"/>
    </row>
    <row r="4880" spans="14:14">
      <c r="N4880" s="113"/>
    </row>
    <row r="4881" spans="14:14">
      <c r="N4881" s="113"/>
    </row>
    <row r="4882" spans="14:14">
      <c r="N4882" s="113"/>
    </row>
    <row r="4883" spans="14:14">
      <c r="N4883" s="113"/>
    </row>
    <row r="4884" spans="14:14">
      <c r="N4884" s="113"/>
    </row>
    <row r="4885" spans="14:14">
      <c r="N4885" s="113"/>
    </row>
    <row r="4886" spans="14:14">
      <c r="N4886" s="113"/>
    </row>
    <row r="4887" spans="14:14">
      <c r="N4887" s="113"/>
    </row>
    <row r="4888" spans="14:14">
      <c r="N4888" s="113"/>
    </row>
    <row r="4889" spans="14:14">
      <c r="N4889" s="113"/>
    </row>
    <row r="4890" spans="14:14">
      <c r="N4890" s="113"/>
    </row>
    <row r="4891" spans="14:14">
      <c r="N4891" s="113"/>
    </row>
    <row r="4892" spans="14:14">
      <c r="N4892" s="113"/>
    </row>
    <row r="4893" spans="14:14">
      <c r="N4893" s="113"/>
    </row>
    <row r="4894" spans="14:14">
      <c r="N4894" s="113"/>
    </row>
    <row r="4895" spans="14:14">
      <c r="N4895" s="113"/>
    </row>
    <row r="4896" spans="14:14">
      <c r="N4896" s="113"/>
    </row>
    <row r="4897" spans="14:14">
      <c r="N4897" s="113"/>
    </row>
    <row r="4898" spans="14:14">
      <c r="N4898" s="113"/>
    </row>
    <row r="4899" spans="14:14">
      <c r="N4899" s="113"/>
    </row>
    <row r="4900" spans="14:14">
      <c r="N4900" s="113"/>
    </row>
    <row r="4901" spans="14:14">
      <c r="N4901" s="113"/>
    </row>
    <row r="4902" spans="14:14">
      <c r="N4902" s="113"/>
    </row>
    <row r="4903" spans="14:14">
      <c r="N4903" s="113"/>
    </row>
    <row r="4904" spans="14:14">
      <c r="N4904" s="113"/>
    </row>
    <row r="4905" spans="14:14">
      <c r="N4905" s="113"/>
    </row>
    <row r="4906" spans="14:14">
      <c r="N4906" s="113"/>
    </row>
    <row r="4907" spans="14:14">
      <c r="N4907" s="113"/>
    </row>
    <row r="4908" spans="14:14">
      <c r="N4908" s="113"/>
    </row>
    <row r="4909" spans="14:14">
      <c r="N4909" s="113"/>
    </row>
    <row r="4910" spans="14:14">
      <c r="N4910" s="113"/>
    </row>
    <row r="4911" spans="14:14">
      <c r="N4911" s="113"/>
    </row>
    <row r="4912" spans="14:14">
      <c r="N4912" s="113"/>
    </row>
    <row r="4913" spans="14:14">
      <c r="N4913" s="113"/>
    </row>
    <row r="4914" spans="14:14">
      <c r="N4914" s="113"/>
    </row>
    <row r="4915" spans="14:14">
      <c r="N4915" s="113"/>
    </row>
    <row r="4916" spans="14:14">
      <c r="N4916" s="113"/>
    </row>
    <row r="4917" spans="14:14">
      <c r="N4917" s="113"/>
    </row>
    <row r="4918" spans="14:14">
      <c r="N4918" s="113"/>
    </row>
    <row r="4919" spans="14:14">
      <c r="N4919" s="113"/>
    </row>
    <row r="4920" spans="14:14">
      <c r="N4920" s="113"/>
    </row>
    <row r="4921" spans="14:14">
      <c r="N4921" s="113"/>
    </row>
    <row r="4922" spans="14:14">
      <c r="N4922" s="113"/>
    </row>
    <row r="4923" spans="14:14">
      <c r="N4923" s="113"/>
    </row>
    <row r="4924" spans="14:14">
      <c r="N4924" s="113"/>
    </row>
    <row r="4925" spans="14:14">
      <c r="N4925" s="113"/>
    </row>
    <row r="4926" spans="14:14">
      <c r="N4926" s="113"/>
    </row>
    <row r="4927" spans="14:14">
      <c r="N4927" s="113"/>
    </row>
    <row r="4928" spans="14:14">
      <c r="N4928" s="113"/>
    </row>
    <row r="4929" spans="14:14">
      <c r="N4929" s="113"/>
    </row>
    <row r="4930" spans="14:14">
      <c r="N4930" s="113"/>
    </row>
    <row r="4931" spans="14:14">
      <c r="N4931" s="113"/>
    </row>
    <row r="4932" spans="14:14">
      <c r="N4932" s="113"/>
    </row>
    <row r="4933" spans="14:14">
      <c r="N4933" s="113"/>
    </row>
    <row r="4934" spans="14:14">
      <c r="N4934" s="113"/>
    </row>
    <row r="4935" spans="14:14">
      <c r="N4935" s="113"/>
    </row>
    <row r="4936" spans="14:14">
      <c r="N4936" s="113"/>
    </row>
    <row r="4937" spans="14:14">
      <c r="N4937" s="113"/>
    </row>
    <row r="4938" spans="14:14">
      <c r="N4938" s="113"/>
    </row>
    <row r="4939" spans="14:14">
      <c r="N4939" s="113"/>
    </row>
    <row r="4940" spans="14:14">
      <c r="N4940" s="113"/>
    </row>
    <row r="4941" spans="14:14">
      <c r="N4941" s="113"/>
    </row>
    <row r="4942" spans="14:14">
      <c r="N4942" s="113"/>
    </row>
    <row r="4943" spans="14:14">
      <c r="N4943" s="113"/>
    </row>
    <row r="4944" spans="14:14">
      <c r="N4944" s="113"/>
    </row>
    <row r="4945" spans="14:14">
      <c r="N4945" s="113"/>
    </row>
    <row r="4946" spans="14:14">
      <c r="N4946" s="113"/>
    </row>
    <row r="4947" spans="14:14">
      <c r="N4947" s="113"/>
    </row>
    <row r="4948" spans="14:14">
      <c r="N4948" s="113"/>
    </row>
    <row r="4949" spans="14:14">
      <c r="N4949" s="113"/>
    </row>
    <row r="4950" spans="14:14">
      <c r="N4950" s="113"/>
    </row>
    <row r="4951" spans="14:14">
      <c r="N4951" s="113"/>
    </row>
    <row r="4952" spans="14:14">
      <c r="N4952" s="113"/>
    </row>
    <row r="4953" spans="14:14">
      <c r="N4953" s="113"/>
    </row>
    <row r="4954" spans="14:14">
      <c r="N4954" s="113"/>
    </row>
    <row r="4955" spans="14:14">
      <c r="N4955" s="113"/>
    </row>
    <row r="4956" spans="14:14">
      <c r="N4956" s="113"/>
    </row>
    <row r="4957" spans="14:14">
      <c r="N4957" s="113"/>
    </row>
    <row r="4958" spans="14:14">
      <c r="N4958" s="113"/>
    </row>
    <row r="4959" spans="14:14">
      <c r="N4959" s="113"/>
    </row>
    <row r="4960" spans="14:14">
      <c r="N4960" s="113"/>
    </row>
    <row r="4961" spans="14:14">
      <c r="N4961" s="113"/>
    </row>
    <row r="4962" spans="14:14">
      <c r="N4962" s="113"/>
    </row>
    <row r="4963" spans="14:14">
      <c r="N4963" s="113"/>
    </row>
    <row r="4964" spans="14:14">
      <c r="N4964" s="113"/>
    </row>
    <row r="4965" spans="14:14">
      <c r="N4965" s="113"/>
    </row>
    <row r="4966" spans="14:14">
      <c r="N4966" s="113"/>
    </row>
    <row r="4967" spans="14:14">
      <c r="N4967" s="113"/>
    </row>
    <row r="4968" spans="14:14">
      <c r="N4968" s="113"/>
    </row>
    <row r="4969" spans="14:14">
      <c r="N4969" s="113"/>
    </row>
    <row r="4970" spans="14:14">
      <c r="N4970" s="113"/>
    </row>
    <row r="4971" spans="14:14">
      <c r="N4971" s="113"/>
    </row>
    <row r="4972" spans="14:14">
      <c r="N4972" s="113"/>
    </row>
    <row r="4973" spans="14:14">
      <c r="N4973" s="113"/>
    </row>
    <row r="4974" spans="14:14">
      <c r="N4974" s="113"/>
    </row>
    <row r="4975" spans="14:14">
      <c r="N4975" s="113"/>
    </row>
    <row r="4976" spans="14:14">
      <c r="N4976" s="113"/>
    </row>
    <row r="4977" spans="14:14">
      <c r="N4977" s="113"/>
    </row>
    <row r="4978" spans="14:14">
      <c r="N4978" s="113"/>
    </row>
    <row r="4979" spans="14:14">
      <c r="N4979" s="113"/>
    </row>
    <row r="4980" spans="14:14">
      <c r="N4980" s="113"/>
    </row>
    <row r="4981" spans="14:14">
      <c r="N4981" s="113"/>
    </row>
    <row r="4982" spans="14:14">
      <c r="N4982" s="113"/>
    </row>
    <row r="4983" spans="14:14">
      <c r="N4983" s="113"/>
    </row>
    <row r="4984" spans="14:14">
      <c r="N4984" s="113"/>
    </row>
    <row r="4985" spans="14:14">
      <c r="N4985" s="113"/>
    </row>
    <row r="4986" spans="14:14">
      <c r="N4986" s="113"/>
    </row>
    <row r="4987" spans="14:14">
      <c r="N4987" s="113"/>
    </row>
    <row r="4988" spans="14:14">
      <c r="N4988" s="113"/>
    </row>
    <row r="4989" spans="14:14">
      <c r="N4989" s="113"/>
    </row>
    <row r="4990" spans="14:14">
      <c r="N4990" s="113"/>
    </row>
    <row r="4991" spans="14:14">
      <c r="N4991" s="113"/>
    </row>
    <row r="4992" spans="14:14">
      <c r="N4992" s="113"/>
    </row>
    <row r="4993" spans="14:14">
      <c r="N4993" s="113"/>
    </row>
    <row r="4994" spans="14:14">
      <c r="N4994" s="113"/>
    </row>
    <row r="4995" spans="14:14">
      <c r="N4995" s="113"/>
    </row>
    <row r="4996" spans="14:14">
      <c r="N4996" s="113"/>
    </row>
    <row r="4997" spans="14:14">
      <c r="N4997" s="113"/>
    </row>
    <row r="4998" spans="14:14">
      <c r="N4998" s="113"/>
    </row>
    <row r="4999" spans="14:14">
      <c r="N4999" s="113"/>
    </row>
    <row r="5000" spans="14:14">
      <c r="N5000" s="113"/>
    </row>
    <row r="5001" spans="14:14">
      <c r="N5001" s="113"/>
    </row>
    <row r="5002" spans="14:14">
      <c r="N5002" s="113"/>
    </row>
    <row r="5003" spans="14:14">
      <c r="N5003" s="113"/>
    </row>
    <row r="5004" spans="14:14">
      <c r="N5004" s="113"/>
    </row>
    <row r="5005" spans="14:14">
      <c r="N5005" s="113"/>
    </row>
    <row r="5006" spans="14:14">
      <c r="N5006" s="113"/>
    </row>
    <row r="5007" spans="14:14">
      <c r="N5007" s="113"/>
    </row>
    <row r="5008" spans="14:14">
      <c r="N5008" s="113"/>
    </row>
    <row r="5009" spans="14:14">
      <c r="N5009" s="113"/>
    </row>
    <row r="5010" spans="14:14">
      <c r="N5010" s="113"/>
    </row>
    <row r="5011" spans="14:14">
      <c r="N5011" s="113"/>
    </row>
    <row r="5012" spans="14:14">
      <c r="N5012" s="113"/>
    </row>
    <row r="5013" spans="14:14">
      <c r="N5013" s="113"/>
    </row>
    <row r="5014" spans="14:14">
      <c r="N5014" s="113"/>
    </row>
    <row r="5015" spans="14:14">
      <c r="N5015" s="113"/>
    </row>
    <row r="5016" spans="14:14">
      <c r="N5016" s="113"/>
    </row>
    <row r="5017" spans="14:14">
      <c r="N5017" s="113"/>
    </row>
    <row r="5018" spans="14:14">
      <c r="N5018" s="113"/>
    </row>
    <row r="5019" spans="14:14">
      <c r="N5019" s="113"/>
    </row>
    <row r="5020" spans="14:14">
      <c r="N5020" s="113"/>
    </row>
    <row r="5021" spans="14:14">
      <c r="N5021" s="113"/>
    </row>
    <row r="5022" spans="14:14">
      <c r="N5022" s="113"/>
    </row>
    <row r="5023" spans="14:14">
      <c r="N5023" s="113"/>
    </row>
    <row r="5024" spans="14:14">
      <c r="N5024" s="113"/>
    </row>
    <row r="5025" spans="14:14">
      <c r="N5025" s="113"/>
    </row>
    <row r="5026" spans="14:14">
      <c r="N5026" s="113"/>
    </row>
    <row r="5027" spans="14:14">
      <c r="N5027" s="113"/>
    </row>
    <row r="5028" spans="14:14">
      <c r="N5028" s="113"/>
    </row>
    <row r="5029" spans="14:14">
      <c r="N5029" s="113"/>
    </row>
    <row r="5030" spans="14:14">
      <c r="N5030" s="113"/>
    </row>
    <row r="5031" spans="14:14">
      <c r="N5031" s="113"/>
    </row>
    <row r="5032" spans="14:14">
      <c r="N5032" s="113"/>
    </row>
    <row r="5033" spans="14:14">
      <c r="N5033" s="113"/>
    </row>
    <row r="5034" spans="14:14">
      <c r="N5034" s="113"/>
    </row>
    <row r="5035" spans="14:14">
      <c r="N5035" s="113"/>
    </row>
    <row r="5036" spans="14:14">
      <c r="N5036" s="113"/>
    </row>
    <row r="5037" spans="14:14">
      <c r="N5037" s="113"/>
    </row>
    <row r="5038" spans="14:14">
      <c r="N5038" s="113"/>
    </row>
    <row r="5039" spans="14:14">
      <c r="N5039" s="113"/>
    </row>
    <row r="5040" spans="14:14">
      <c r="N5040" s="113"/>
    </row>
    <row r="5041" spans="14:14">
      <c r="N5041" s="113"/>
    </row>
    <row r="5042" spans="14:14">
      <c r="N5042" s="113"/>
    </row>
    <row r="5043" spans="14:14">
      <c r="N5043" s="113"/>
    </row>
    <row r="5044" spans="14:14">
      <c r="N5044" s="113"/>
    </row>
    <row r="5045" spans="14:14">
      <c r="N5045" s="113"/>
    </row>
    <row r="5046" spans="14:14">
      <c r="N5046" s="113"/>
    </row>
    <row r="5047" spans="14:14">
      <c r="N5047" s="113"/>
    </row>
    <row r="5048" spans="14:14">
      <c r="N5048" s="113"/>
    </row>
    <row r="5049" spans="14:14">
      <c r="N5049" s="113"/>
    </row>
    <row r="5050" spans="14:14">
      <c r="N5050" s="113"/>
    </row>
    <row r="5051" spans="14:14">
      <c r="N5051" s="113"/>
    </row>
    <row r="5052" spans="14:14">
      <c r="N5052" s="113"/>
    </row>
    <row r="5053" spans="14:14">
      <c r="N5053" s="113"/>
    </row>
    <row r="5054" spans="14:14">
      <c r="N5054" s="113"/>
    </row>
    <row r="5055" spans="14:14">
      <c r="N5055" s="113"/>
    </row>
    <row r="5056" spans="14:14">
      <c r="N5056" s="113"/>
    </row>
    <row r="5057" spans="14:14">
      <c r="N5057" s="113"/>
    </row>
    <row r="5058" spans="14:14">
      <c r="N5058" s="113"/>
    </row>
    <row r="5059" spans="14:14">
      <c r="N5059" s="113"/>
    </row>
    <row r="5060" spans="14:14">
      <c r="N5060" s="113"/>
    </row>
    <row r="5061" spans="14:14">
      <c r="N5061" s="113"/>
    </row>
    <row r="5062" spans="14:14">
      <c r="N5062" s="113"/>
    </row>
    <row r="5063" spans="14:14">
      <c r="N5063" s="113"/>
    </row>
    <row r="5064" spans="14:14">
      <c r="N5064" s="113"/>
    </row>
    <row r="5065" spans="14:14">
      <c r="N5065" s="113"/>
    </row>
    <row r="5066" spans="14:14">
      <c r="N5066" s="113"/>
    </row>
    <row r="5067" spans="14:14">
      <c r="N5067" s="113"/>
    </row>
    <row r="5068" spans="14:14">
      <c r="N5068" s="113"/>
    </row>
    <row r="5069" spans="14:14">
      <c r="N5069" s="113"/>
    </row>
    <row r="5070" spans="14:14">
      <c r="N5070" s="113"/>
    </row>
    <row r="5071" spans="14:14">
      <c r="N5071" s="113"/>
    </row>
    <row r="5072" spans="14:14">
      <c r="N5072" s="113"/>
    </row>
    <row r="5073" spans="14:14">
      <c r="N5073" s="113"/>
    </row>
    <row r="5074" spans="14:14">
      <c r="N5074" s="113"/>
    </row>
    <row r="5075" spans="14:14">
      <c r="N5075" s="113"/>
    </row>
    <row r="5076" spans="14:14">
      <c r="N5076" s="113"/>
    </row>
    <row r="5077" spans="14:14">
      <c r="N5077" s="113"/>
    </row>
    <row r="5078" spans="14:14">
      <c r="N5078" s="113"/>
    </row>
    <row r="5079" spans="14:14">
      <c r="N5079" s="113"/>
    </row>
    <row r="5080" spans="14:14">
      <c r="N5080" s="113"/>
    </row>
    <row r="5081" spans="14:14">
      <c r="N5081" s="113"/>
    </row>
    <row r="5082" spans="14:14">
      <c r="N5082" s="113"/>
    </row>
    <row r="5083" spans="14:14">
      <c r="N5083" s="113"/>
    </row>
    <row r="5084" spans="14:14">
      <c r="N5084" s="113"/>
    </row>
    <row r="5085" spans="14:14">
      <c r="N5085" s="113"/>
    </row>
    <row r="5086" spans="14:14">
      <c r="N5086" s="113"/>
    </row>
    <row r="5087" spans="14:14">
      <c r="N5087" s="113"/>
    </row>
    <row r="5088" spans="14:14">
      <c r="N5088" s="113"/>
    </row>
    <row r="5089" spans="14:14">
      <c r="N5089" s="113"/>
    </row>
    <row r="5090" spans="14:14">
      <c r="N5090" s="113"/>
    </row>
    <row r="5091" spans="14:14">
      <c r="N5091" s="113"/>
    </row>
    <row r="5092" spans="14:14">
      <c r="N5092" s="113"/>
    </row>
    <row r="5093" spans="14:14">
      <c r="N5093" s="113"/>
    </row>
    <row r="5094" spans="14:14">
      <c r="N5094" s="113"/>
    </row>
    <row r="5095" spans="14:14">
      <c r="N5095" s="113"/>
    </row>
    <row r="5096" spans="14:14">
      <c r="N5096" s="113"/>
    </row>
    <row r="5097" spans="14:14">
      <c r="N5097" s="113"/>
    </row>
    <row r="5098" spans="14:14">
      <c r="N5098" s="113"/>
    </row>
    <row r="5099" spans="14:14">
      <c r="N5099" s="113"/>
    </row>
    <row r="5100" spans="14:14">
      <c r="N5100" s="113"/>
    </row>
    <row r="5101" spans="14:14">
      <c r="N5101" s="113"/>
    </row>
    <row r="5102" spans="14:14">
      <c r="N5102" s="113"/>
    </row>
    <row r="5103" spans="14:14">
      <c r="N5103" s="113"/>
    </row>
    <row r="5104" spans="14:14">
      <c r="N5104" s="113"/>
    </row>
    <row r="5105" spans="14:14">
      <c r="N5105" s="113"/>
    </row>
    <row r="5106" spans="14:14">
      <c r="N5106" s="113"/>
    </row>
    <row r="5107" spans="14:14">
      <c r="N5107" s="113"/>
    </row>
    <row r="5108" spans="14:14">
      <c r="N5108" s="113"/>
    </row>
    <row r="5109" spans="14:14">
      <c r="N5109" s="113"/>
    </row>
    <row r="5110" spans="14:14">
      <c r="N5110" s="113"/>
    </row>
    <row r="5111" spans="14:14">
      <c r="N5111" s="113"/>
    </row>
    <row r="5112" spans="14:14">
      <c r="N5112" s="113"/>
    </row>
    <row r="5113" spans="14:14">
      <c r="N5113" s="113"/>
    </row>
    <row r="5114" spans="14:14">
      <c r="N5114" s="113"/>
    </row>
    <row r="5115" spans="14:14">
      <c r="N5115" s="113"/>
    </row>
    <row r="5116" spans="14:14">
      <c r="N5116" s="113"/>
    </row>
    <row r="5117" spans="14:14">
      <c r="N5117" s="113"/>
    </row>
    <row r="5118" spans="14:14">
      <c r="N5118" s="113"/>
    </row>
    <row r="5119" spans="14:14">
      <c r="N5119" s="113"/>
    </row>
    <row r="5120" spans="14:14">
      <c r="N5120" s="113"/>
    </row>
    <row r="5121" spans="14:14">
      <c r="N5121" s="113"/>
    </row>
    <row r="5122" spans="14:14">
      <c r="N5122" s="113"/>
    </row>
    <row r="5123" spans="14:14">
      <c r="N5123" s="113"/>
    </row>
    <row r="5124" spans="14:14">
      <c r="N5124" s="113"/>
    </row>
    <row r="5125" spans="14:14">
      <c r="N5125" s="113"/>
    </row>
    <row r="5126" spans="14:14">
      <c r="N5126" s="113"/>
    </row>
    <row r="5127" spans="14:14">
      <c r="N5127" s="113"/>
    </row>
    <row r="5128" spans="14:14">
      <c r="N5128" s="113"/>
    </row>
    <row r="5129" spans="14:14">
      <c r="N5129" s="113"/>
    </row>
    <row r="5130" spans="14:14">
      <c r="N5130" s="113"/>
    </row>
    <row r="5131" spans="14:14">
      <c r="N5131" s="113"/>
    </row>
    <row r="5132" spans="14:14">
      <c r="N5132" s="113"/>
    </row>
    <row r="5133" spans="14:14">
      <c r="N5133" s="113"/>
    </row>
    <row r="5134" spans="14:14">
      <c r="N5134" s="113"/>
    </row>
    <row r="5135" spans="14:14">
      <c r="N5135" s="113"/>
    </row>
    <row r="5136" spans="14:14">
      <c r="N5136" s="113"/>
    </row>
    <row r="5137" spans="14:14">
      <c r="N5137" s="113"/>
    </row>
    <row r="5138" spans="14:14">
      <c r="N5138" s="113"/>
    </row>
    <row r="5139" spans="14:14">
      <c r="N5139" s="113"/>
    </row>
    <row r="5140" spans="14:14">
      <c r="N5140" s="113"/>
    </row>
    <row r="5141" spans="14:14">
      <c r="N5141" s="113"/>
    </row>
    <row r="5142" spans="14:14">
      <c r="N5142" s="113"/>
    </row>
    <row r="5143" spans="14:14">
      <c r="N5143" s="113"/>
    </row>
    <row r="5144" spans="14:14">
      <c r="N5144" s="113"/>
    </row>
    <row r="5145" spans="14:14">
      <c r="N5145" s="113"/>
    </row>
    <row r="5146" spans="14:14">
      <c r="N5146" s="113"/>
    </row>
    <row r="5147" spans="14:14">
      <c r="N5147" s="113"/>
    </row>
    <row r="5148" spans="14:14">
      <c r="N5148" s="113"/>
    </row>
    <row r="5149" spans="14:14">
      <c r="N5149" s="113"/>
    </row>
    <row r="5150" spans="14:14">
      <c r="N5150" s="113"/>
    </row>
    <row r="5151" spans="14:14">
      <c r="N5151" s="113"/>
    </row>
    <row r="5152" spans="14:14">
      <c r="N5152" s="113"/>
    </row>
    <row r="5153" spans="14:14">
      <c r="N5153" s="113"/>
    </row>
    <row r="5154" spans="14:14">
      <c r="N5154" s="113"/>
    </row>
    <row r="5155" spans="14:14">
      <c r="N5155" s="113"/>
    </row>
    <row r="5156" spans="14:14">
      <c r="N5156" s="113"/>
    </row>
    <row r="5157" spans="14:14">
      <c r="N5157" s="113"/>
    </row>
    <row r="5158" spans="14:14">
      <c r="N5158" s="113"/>
    </row>
    <row r="5159" spans="14:14">
      <c r="N5159" s="113"/>
    </row>
    <row r="5160" spans="14:14">
      <c r="N5160" s="113"/>
    </row>
    <row r="5161" spans="14:14">
      <c r="N5161" s="113"/>
    </row>
    <row r="5162" spans="14:14">
      <c r="N5162" s="113"/>
    </row>
    <row r="5163" spans="14:14">
      <c r="N5163" s="113"/>
    </row>
    <row r="5164" spans="14:14">
      <c r="N5164" s="113"/>
    </row>
    <row r="5165" spans="14:14">
      <c r="N5165" s="113"/>
    </row>
    <row r="5166" spans="14:14">
      <c r="N5166" s="113"/>
    </row>
    <row r="5167" spans="14:14">
      <c r="N5167" s="113"/>
    </row>
    <row r="5168" spans="14:14">
      <c r="N5168" s="113"/>
    </row>
    <row r="5169" spans="14:14">
      <c r="N5169" s="113"/>
    </row>
    <row r="5170" spans="14:14">
      <c r="N5170" s="113"/>
    </row>
    <row r="5171" spans="14:14">
      <c r="N5171" s="113"/>
    </row>
    <row r="5172" spans="14:14">
      <c r="N5172" s="113"/>
    </row>
    <row r="5173" spans="14:14">
      <c r="N5173" s="113"/>
    </row>
    <row r="5174" spans="14:14">
      <c r="N5174" s="113"/>
    </row>
    <row r="5175" spans="14:14">
      <c r="N5175" s="113"/>
    </row>
    <row r="5176" spans="14:14">
      <c r="N5176" s="113"/>
    </row>
    <row r="5177" spans="14:14">
      <c r="N5177" s="113"/>
    </row>
    <row r="5178" spans="14:14">
      <c r="N5178" s="113"/>
    </row>
    <row r="5179" spans="14:14">
      <c r="N5179" s="113"/>
    </row>
    <row r="5180" spans="14:14">
      <c r="N5180" s="113"/>
    </row>
    <row r="5181" spans="14:14">
      <c r="N5181" s="113"/>
    </row>
    <row r="5182" spans="14:14">
      <c r="N5182" s="113"/>
    </row>
    <row r="5183" spans="14:14">
      <c r="N5183" s="113"/>
    </row>
    <row r="5184" spans="14:14">
      <c r="N5184" s="113"/>
    </row>
    <row r="5185" spans="14:14">
      <c r="N5185" s="113"/>
    </row>
    <row r="5186" spans="14:14">
      <c r="N5186" s="113"/>
    </row>
    <row r="5187" spans="14:14">
      <c r="N5187" s="113"/>
    </row>
    <row r="5188" spans="14:14">
      <c r="N5188" s="113"/>
    </row>
    <row r="5189" spans="14:14">
      <c r="N5189" s="113"/>
    </row>
    <row r="5190" spans="14:14">
      <c r="N5190" s="113"/>
    </row>
    <row r="5191" spans="14:14">
      <c r="N5191" s="113"/>
    </row>
    <row r="5192" spans="14:14">
      <c r="N5192" s="113"/>
    </row>
    <row r="5193" spans="14:14">
      <c r="N5193" s="113"/>
    </row>
    <row r="5194" spans="14:14">
      <c r="N5194" s="113"/>
    </row>
    <row r="5195" spans="14:14">
      <c r="N5195" s="113"/>
    </row>
    <row r="5196" spans="14:14">
      <c r="N5196" s="113"/>
    </row>
    <row r="5197" spans="14:14">
      <c r="N5197" s="113"/>
    </row>
    <row r="5198" spans="14:14">
      <c r="N5198" s="113"/>
    </row>
    <row r="5199" spans="14:14">
      <c r="N5199" s="113"/>
    </row>
    <row r="5200" spans="14:14">
      <c r="N5200" s="113"/>
    </row>
    <row r="5201" spans="14:14">
      <c r="N5201" s="113"/>
    </row>
    <row r="5202" spans="14:14">
      <c r="N5202" s="113"/>
    </row>
    <row r="5203" spans="14:14">
      <c r="N5203" s="113"/>
    </row>
    <row r="5204" spans="14:14">
      <c r="N5204" s="113"/>
    </row>
    <row r="5205" spans="14:14">
      <c r="N5205" s="113"/>
    </row>
    <row r="5206" spans="14:14">
      <c r="N5206" s="113"/>
    </row>
    <row r="5207" spans="14:14">
      <c r="N5207" s="113"/>
    </row>
    <row r="5208" spans="14:14">
      <c r="N5208" s="113"/>
    </row>
    <row r="5209" spans="14:14">
      <c r="N5209" s="113"/>
    </row>
    <row r="5210" spans="14:14">
      <c r="N5210" s="113"/>
    </row>
    <row r="5211" spans="14:14">
      <c r="N5211" s="113"/>
    </row>
    <row r="5212" spans="14:14">
      <c r="N5212" s="113"/>
    </row>
    <row r="5213" spans="14:14">
      <c r="N5213" s="113"/>
    </row>
    <row r="5214" spans="14:14">
      <c r="N5214" s="113"/>
    </row>
    <row r="5215" spans="14:14">
      <c r="N5215" s="113"/>
    </row>
    <row r="5216" spans="14:14">
      <c r="N5216" s="113"/>
    </row>
    <row r="5217" spans="14:14">
      <c r="N5217" s="113"/>
    </row>
    <row r="5218" spans="14:14">
      <c r="N5218" s="113"/>
    </row>
    <row r="5219" spans="14:14">
      <c r="N5219" s="113"/>
    </row>
    <row r="5220" spans="14:14">
      <c r="N5220" s="113"/>
    </row>
    <row r="5221" spans="14:14">
      <c r="N5221" s="113"/>
    </row>
    <row r="5222" spans="14:14">
      <c r="N5222" s="113"/>
    </row>
    <row r="5223" spans="14:14">
      <c r="N5223" s="113"/>
    </row>
    <row r="5224" spans="14:14">
      <c r="N5224" s="113"/>
    </row>
    <row r="5225" spans="14:14">
      <c r="N5225" s="113"/>
    </row>
    <row r="5226" spans="14:14">
      <c r="N5226" s="113"/>
    </row>
    <row r="5227" spans="14:14">
      <c r="N5227" s="113"/>
    </row>
    <row r="5228" spans="14:14">
      <c r="N5228" s="113"/>
    </row>
    <row r="5229" spans="14:14">
      <c r="N5229" s="113"/>
    </row>
    <row r="5230" spans="14:14">
      <c r="N5230" s="113"/>
    </row>
    <row r="5231" spans="14:14">
      <c r="N5231" s="113"/>
    </row>
    <row r="5232" spans="14:14">
      <c r="N5232" s="113"/>
    </row>
    <row r="5233" spans="14:14">
      <c r="N5233" s="113"/>
    </row>
    <row r="5234" spans="14:14">
      <c r="N5234" s="113"/>
    </row>
    <row r="5235" spans="14:14">
      <c r="N5235" s="113"/>
    </row>
    <row r="5236" spans="14:14">
      <c r="N5236" s="113"/>
    </row>
    <row r="5237" spans="14:14">
      <c r="N5237" s="113"/>
    </row>
    <row r="5238" spans="14:14">
      <c r="N5238" s="113"/>
    </row>
    <row r="5239" spans="14:14">
      <c r="N5239" s="113"/>
    </row>
    <row r="5240" spans="14:14">
      <c r="N5240" s="113"/>
    </row>
    <row r="5241" spans="14:14">
      <c r="N5241" s="113"/>
    </row>
    <row r="5242" spans="14:14">
      <c r="N5242" s="113"/>
    </row>
    <row r="5243" spans="14:14">
      <c r="N5243" s="113"/>
    </row>
    <row r="5244" spans="14:14">
      <c r="N5244" s="113"/>
    </row>
    <row r="5245" spans="14:14">
      <c r="N5245" s="113"/>
    </row>
    <row r="5246" spans="14:14">
      <c r="N5246" s="113"/>
    </row>
    <row r="5247" spans="14:14">
      <c r="N5247" s="113"/>
    </row>
    <row r="5248" spans="14:14">
      <c r="N5248" s="113"/>
    </row>
    <row r="5249" spans="14:14">
      <c r="N5249" s="113"/>
    </row>
    <row r="5250" spans="14:14">
      <c r="N5250" s="113"/>
    </row>
    <row r="5251" spans="14:14">
      <c r="N5251" s="113"/>
    </row>
    <row r="5252" spans="14:14">
      <c r="N5252" s="113"/>
    </row>
    <row r="5253" spans="14:14">
      <c r="N5253" s="113"/>
    </row>
    <row r="5254" spans="14:14">
      <c r="N5254" s="113"/>
    </row>
    <row r="5255" spans="14:14">
      <c r="N5255" s="113"/>
    </row>
    <row r="5256" spans="14:14">
      <c r="N5256" s="113"/>
    </row>
    <row r="5257" spans="14:14">
      <c r="N5257" s="113"/>
    </row>
    <row r="5258" spans="14:14">
      <c r="N5258" s="113"/>
    </row>
    <row r="5259" spans="14:14">
      <c r="N5259" s="113"/>
    </row>
    <row r="5260" spans="14:14">
      <c r="N5260" s="113"/>
    </row>
    <row r="5261" spans="14:14">
      <c r="N5261" s="113"/>
    </row>
    <row r="5262" spans="14:14">
      <c r="N5262" s="113"/>
    </row>
    <row r="5263" spans="14:14">
      <c r="N5263" s="113"/>
    </row>
    <row r="5264" spans="14:14">
      <c r="N5264" s="113"/>
    </row>
    <row r="5265" spans="14:14">
      <c r="N5265" s="113"/>
    </row>
    <row r="5266" spans="14:14">
      <c r="N5266" s="113"/>
    </row>
    <row r="5267" spans="14:14">
      <c r="N5267" s="113"/>
    </row>
    <row r="5268" spans="14:14">
      <c r="N5268" s="113"/>
    </row>
    <row r="5269" spans="14:14">
      <c r="N5269" s="113"/>
    </row>
    <row r="5270" spans="14:14">
      <c r="N5270" s="113"/>
    </row>
    <row r="5271" spans="14:14">
      <c r="N5271" s="113"/>
    </row>
    <row r="5272" spans="14:14">
      <c r="N5272" s="113"/>
    </row>
    <row r="5273" spans="14:14">
      <c r="N5273" s="113"/>
    </row>
    <row r="5274" spans="14:14">
      <c r="N5274" s="113"/>
    </row>
    <row r="5275" spans="14:14">
      <c r="N5275" s="113"/>
    </row>
    <row r="5276" spans="14:14">
      <c r="N5276" s="113"/>
    </row>
    <row r="5277" spans="14:14">
      <c r="N5277" s="113"/>
    </row>
    <row r="5278" spans="14:14">
      <c r="N5278" s="113"/>
    </row>
    <row r="5279" spans="14:14">
      <c r="N5279" s="113"/>
    </row>
    <row r="5280" spans="14:14">
      <c r="N5280" s="113"/>
    </row>
    <row r="5281" spans="14:14">
      <c r="N5281" s="113"/>
    </row>
    <row r="5282" spans="14:14">
      <c r="N5282" s="113"/>
    </row>
    <row r="5283" spans="14:14">
      <c r="N5283" s="113"/>
    </row>
    <row r="5284" spans="14:14">
      <c r="N5284" s="113"/>
    </row>
    <row r="5285" spans="14:14">
      <c r="N5285" s="113"/>
    </row>
    <row r="5286" spans="14:14">
      <c r="N5286" s="113"/>
    </row>
    <row r="5287" spans="14:14">
      <c r="N5287" s="113"/>
    </row>
    <row r="5288" spans="14:14">
      <c r="N5288" s="113"/>
    </row>
    <row r="5289" spans="14:14">
      <c r="N5289" s="113"/>
    </row>
    <row r="5290" spans="14:14">
      <c r="N5290" s="113"/>
    </row>
    <row r="5291" spans="14:14">
      <c r="N5291" s="113"/>
    </row>
    <row r="5292" spans="14:14">
      <c r="N5292" s="113"/>
    </row>
    <row r="5293" spans="14:14">
      <c r="N5293" s="113"/>
    </row>
    <row r="5294" spans="14:14">
      <c r="N5294" s="113"/>
    </row>
    <row r="5295" spans="14:14">
      <c r="N5295" s="113"/>
    </row>
    <row r="5296" spans="14:14">
      <c r="N5296" s="113"/>
    </row>
    <row r="5297" spans="14:14">
      <c r="N5297" s="113"/>
    </row>
    <row r="5298" spans="14:14">
      <c r="N5298" s="113"/>
    </row>
    <row r="5299" spans="14:14">
      <c r="N5299" s="113"/>
    </row>
    <row r="5300" spans="14:14">
      <c r="N5300" s="113"/>
    </row>
    <row r="5301" spans="14:14">
      <c r="N5301" s="113"/>
    </row>
    <row r="5302" spans="14:14">
      <c r="N5302" s="113"/>
    </row>
    <row r="5303" spans="14:14">
      <c r="N5303" s="113"/>
    </row>
    <row r="5304" spans="14:14">
      <c r="N5304" s="113"/>
    </row>
    <row r="5305" spans="14:14">
      <c r="N5305" s="113"/>
    </row>
    <row r="5306" spans="14:14">
      <c r="N5306" s="113"/>
    </row>
    <row r="5307" spans="14:14">
      <c r="N5307" s="113"/>
    </row>
    <row r="5308" spans="14:14">
      <c r="N5308" s="113"/>
    </row>
    <row r="5309" spans="14:14">
      <c r="N5309" s="113"/>
    </row>
    <row r="5310" spans="14:14">
      <c r="N5310" s="113"/>
    </row>
    <row r="5311" spans="14:14">
      <c r="N5311" s="113"/>
    </row>
    <row r="5312" spans="14:14">
      <c r="N5312" s="113"/>
    </row>
    <row r="5313" spans="14:14">
      <c r="N5313" s="113"/>
    </row>
    <row r="5314" spans="14:14">
      <c r="N5314" s="113"/>
    </row>
    <row r="5315" spans="14:14">
      <c r="N5315" s="113"/>
    </row>
    <row r="5316" spans="14:14">
      <c r="N5316" s="113"/>
    </row>
    <row r="5317" spans="14:14">
      <c r="N5317" s="113"/>
    </row>
    <row r="5318" spans="14:14">
      <c r="N5318" s="113"/>
    </row>
    <row r="5319" spans="14:14">
      <c r="N5319" s="113"/>
    </row>
    <row r="5320" spans="14:14">
      <c r="N5320" s="113"/>
    </row>
    <row r="5321" spans="14:14">
      <c r="N5321" s="113"/>
    </row>
    <row r="5322" spans="14:14">
      <c r="N5322" s="113"/>
    </row>
    <row r="5323" spans="14:14">
      <c r="N5323" s="113"/>
    </row>
    <row r="5324" spans="14:14">
      <c r="N5324" s="113"/>
    </row>
    <row r="5325" spans="14:14">
      <c r="N5325" s="113"/>
    </row>
    <row r="5326" spans="14:14">
      <c r="N5326" s="113"/>
    </row>
    <row r="5327" spans="14:14">
      <c r="N5327" s="113"/>
    </row>
    <row r="5328" spans="14:14">
      <c r="N5328" s="113"/>
    </row>
    <row r="5329" spans="14:14">
      <c r="N5329" s="113"/>
    </row>
    <row r="5330" spans="14:14">
      <c r="N5330" s="113"/>
    </row>
    <row r="5331" spans="14:14">
      <c r="N5331" s="113"/>
    </row>
    <row r="5332" spans="14:14">
      <c r="N5332" s="113"/>
    </row>
    <row r="5333" spans="14:14">
      <c r="N5333" s="113"/>
    </row>
    <row r="5334" spans="14:14">
      <c r="N5334" s="113"/>
    </row>
    <row r="5335" spans="14:14">
      <c r="N5335" s="113"/>
    </row>
    <row r="5336" spans="14:14">
      <c r="N5336" s="113"/>
    </row>
    <row r="5337" spans="14:14">
      <c r="N5337" s="113"/>
    </row>
    <row r="5338" spans="14:14">
      <c r="N5338" s="113"/>
    </row>
    <row r="5339" spans="14:14">
      <c r="N5339" s="113"/>
    </row>
    <row r="5340" spans="14:14">
      <c r="N5340" s="113"/>
    </row>
    <row r="5341" spans="14:14">
      <c r="N5341" s="113"/>
    </row>
    <row r="5342" spans="14:14">
      <c r="N5342" s="113"/>
    </row>
    <row r="5343" spans="14:14">
      <c r="N5343" s="113"/>
    </row>
    <row r="5344" spans="14:14">
      <c r="N5344" s="113"/>
    </row>
    <row r="5345" spans="14:14">
      <c r="N5345" s="113"/>
    </row>
    <row r="5346" spans="14:14">
      <c r="N5346" s="113"/>
    </row>
    <row r="5347" spans="14:14">
      <c r="N5347" s="113"/>
    </row>
    <row r="5348" spans="14:14">
      <c r="N5348" s="113"/>
    </row>
    <row r="5349" spans="14:14">
      <c r="N5349" s="113"/>
    </row>
    <row r="5350" spans="14:14">
      <c r="N5350" s="113"/>
    </row>
    <row r="5351" spans="14:14">
      <c r="N5351" s="113"/>
    </row>
    <row r="5352" spans="14:14">
      <c r="N5352" s="113"/>
    </row>
    <row r="5353" spans="14:14">
      <c r="N5353" s="113"/>
    </row>
    <row r="5354" spans="14:14">
      <c r="N5354" s="113"/>
    </row>
    <row r="5355" spans="14:14">
      <c r="N5355" s="113"/>
    </row>
    <row r="5356" spans="14:14">
      <c r="N5356" s="113"/>
    </row>
    <row r="5357" spans="14:14">
      <c r="N5357" s="113"/>
    </row>
    <row r="5358" spans="14:14">
      <c r="N5358" s="113"/>
    </row>
    <row r="5359" spans="14:14">
      <c r="N5359" s="113"/>
    </row>
    <row r="5360" spans="14:14">
      <c r="N5360" s="113"/>
    </row>
    <row r="5361" spans="14:14">
      <c r="N5361" s="113"/>
    </row>
    <row r="5362" spans="14:14">
      <c r="N5362" s="113"/>
    </row>
    <row r="5363" spans="14:14">
      <c r="N5363" s="113"/>
    </row>
    <row r="5364" spans="14:14">
      <c r="N5364" s="113"/>
    </row>
    <row r="5365" spans="14:14">
      <c r="N5365" s="113"/>
    </row>
    <row r="5366" spans="14:14">
      <c r="N5366" s="113"/>
    </row>
    <row r="5367" spans="14:14">
      <c r="N5367" s="113"/>
    </row>
    <row r="5368" spans="14:14">
      <c r="N5368" s="113"/>
    </row>
    <row r="5369" spans="14:14">
      <c r="N5369" s="113"/>
    </row>
    <row r="5370" spans="14:14">
      <c r="N5370" s="113"/>
    </row>
    <row r="5371" spans="14:14">
      <c r="N5371" s="113"/>
    </row>
    <row r="5372" spans="14:14">
      <c r="N5372" s="113"/>
    </row>
    <row r="5373" spans="14:14">
      <c r="N5373" s="113"/>
    </row>
    <row r="5374" spans="14:14">
      <c r="N5374" s="113"/>
    </row>
    <row r="5375" spans="14:14">
      <c r="N5375" s="113"/>
    </row>
    <row r="5376" spans="14:14">
      <c r="N5376" s="113"/>
    </row>
    <row r="5377" spans="14:14">
      <c r="N5377" s="113"/>
    </row>
    <row r="5378" spans="14:14">
      <c r="N5378" s="113"/>
    </row>
    <row r="5379" spans="14:14">
      <c r="N5379" s="113"/>
    </row>
    <row r="5380" spans="14:14">
      <c r="N5380" s="113"/>
    </row>
    <row r="5381" spans="14:14">
      <c r="N5381" s="113"/>
    </row>
    <row r="5382" spans="14:14">
      <c r="N5382" s="113"/>
    </row>
    <row r="5383" spans="14:14">
      <c r="N5383" s="113"/>
    </row>
    <row r="5384" spans="14:14">
      <c r="N5384" s="113"/>
    </row>
    <row r="5385" spans="14:14">
      <c r="N5385" s="113"/>
    </row>
    <row r="5386" spans="14:14">
      <c r="N5386" s="113"/>
    </row>
    <row r="5387" spans="14:14">
      <c r="N5387" s="113"/>
    </row>
    <row r="5388" spans="14:14">
      <c r="N5388" s="113"/>
    </row>
    <row r="5389" spans="14:14">
      <c r="N5389" s="113"/>
    </row>
    <row r="5390" spans="14:14">
      <c r="N5390" s="113"/>
    </row>
    <row r="5391" spans="14:14">
      <c r="N5391" s="113"/>
    </row>
    <row r="5392" spans="14:14">
      <c r="N5392" s="113"/>
    </row>
    <row r="5393" spans="14:14">
      <c r="N5393" s="113"/>
    </row>
    <row r="5394" spans="14:14">
      <c r="N5394" s="113"/>
    </row>
    <row r="5395" spans="14:14">
      <c r="N5395" s="113"/>
    </row>
    <row r="5396" spans="14:14">
      <c r="N5396" s="113"/>
    </row>
    <row r="5397" spans="14:14">
      <c r="N5397" s="113"/>
    </row>
    <row r="5398" spans="14:14">
      <c r="N5398" s="113"/>
    </row>
    <row r="5399" spans="14:14">
      <c r="N5399" s="113"/>
    </row>
    <row r="5400" spans="14:14">
      <c r="N5400" s="113"/>
    </row>
    <row r="5401" spans="14:14">
      <c r="N5401" s="113"/>
    </row>
    <row r="5402" spans="14:14">
      <c r="N5402" s="113"/>
    </row>
    <row r="5403" spans="14:14">
      <c r="N5403" s="113"/>
    </row>
    <row r="5404" spans="14:14">
      <c r="N5404" s="113"/>
    </row>
    <row r="5405" spans="14:14">
      <c r="N5405" s="113"/>
    </row>
    <row r="5406" spans="14:14">
      <c r="N5406" s="113"/>
    </row>
    <row r="5407" spans="14:14">
      <c r="N5407" s="113"/>
    </row>
    <row r="5408" spans="14:14">
      <c r="N5408" s="113"/>
    </row>
    <row r="5409" spans="14:14">
      <c r="N5409" s="113"/>
    </row>
    <row r="5410" spans="14:14">
      <c r="N5410" s="113"/>
    </row>
    <row r="5411" spans="14:14">
      <c r="N5411" s="113"/>
    </row>
    <row r="5412" spans="14:14">
      <c r="N5412" s="113"/>
    </row>
    <row r="5413" spans="14:14">
      <c r="N5413" s="113"/>
    </row>
    <row r="5414" spans="14:14">
      <c r="N5414" s="113"/>
    </row>
    <row r="5415" spans="14:14">
      <c r="N5415" s="113"/>
    </row>
    <row r="5416" spans="14:14">
      <c r="N5416" s="113"/>
    </row>
    <row r="5417" spans="14:14">
      <c r="N5417" s="113"/>
    </row>
    <row r="5418" spans="14:14">
      <c r="N5418" s="113"/>
    </row>
    <row r="5419" spans="14:14">
      <c r="N5419" s="113"/>
    </row>
    <row r="5420" spans="14:14">
      <c r="N5420" s="113"/>
    </row>
    <row r="5421" spans="14:14">
      <c r="N5421" s="113"/>
    </row>
    <row r="5422" spans="14:14">
      <c r="N5422" s="113"/>
    </row>
    <row r="5423" spans="14:14">
      <c r="N5423" s="113"/>
    </row>
    <row r="5424" spans="14:14">
      <c r="N5424" s="113"/>
    </row>
    <row r="5425" spans="14:14">
      <c r="N5425" s="113"/>
    </row>
    <row r="5426" spans="14:14">
      <c r="N5426" s="113"/>
    </row>
    <row r="5427" spans="14:14">
      <c r="N5427" s="113"/>
    </row>
    <row r="5428" spans="14:14">
      <c r="N5428" s="113"/>
    </row>
    <row r="5429" spans="14:14">
      <c r="N5429" s="113"/>
    </row>
    <row r="5430" spans="14:14">
      <c r="N5430" s="113"/>
    </row>
    <row r="5431" spans="14:14">
      <c r="N5431" s="113"/>
    </row>
    <row r="5432" spans="14:14">
      <c r="N5432" s="113"/>
    </row>
    <row r="5433" spans="14:14">
      <c r="N5433" s="113"/>
    </row>
    <row r="5434" spans="14:14">
      <c r="N5434" s="113"/>
    </row>
    <row r="5435" spans="14:14">
      <c r="N5435" s="113"/>
    </row>
    <row r="5436" spans="14:14">
      <c r="N5436" s="113"/>
    </row>
    <row r="5437" spans="14:14">
      <c r="N5437" s="113"/>
    </row>
    <row r="5438" spans="14:14">
      <c r="N5438" s="113"/>
    </row>
    <row r="5439" spans="14:14">
      <c r="N5439" s="113"/>
    </row>
    <row r="5440" spans="14:14">
      <c r="N5440" s="113"/>
    </row>
    <row r="5441" spans="14:14">
      <c r="N5441" s="113"/>
    </row>
    <row r="5442" spans="14:14">
      <c r="N5442" s="113"/>
    </row>
    <row r="5443" spans="14:14">
      <c r="N5443" s="113"/>
    </row>
    <row r="5444" spans="14:14">
      <c r="N5444" s="113"/>
    </row>
    <row r="5445" spans="14:14">
      <c r="N5445" s="113"/>
    </row>
    <row r="5446" spans="14:14">
      <c r="N5446" s="113"/>
    </row>
    <row r="5447" spans="14:14">
      <c r="N5447" s="113"/>
    </row>
    <row r="5448" spans="14:14">
      <c r="N5448" s="113"/>
    </row>
    <row r="5449" spans="14:14">
      <c r="N5449" s="113"/>
    </row>
    <row r="5450" spans="14:14">
      <c r="N5450" s="113"/>
    </row>
    <row r="5451" spans="14:14">
      <c r="N5451" s="113"/>
    </row>
    <row r="5452" spans="14:14">
      <c r="N5452" s="113"/>
    </row>
    <row r="5453" spans="14:14">
      <c r="N5453" s="113"/>
    </row>
    <row r="5454" spans="14:14">
      <c r="N5454" s="113"/>
    </row>
    <row r="5455" spans="14:14">
      <c r="N5455" s="113"/>
    </row>
    <row r="5456" spans="14:14">
      <c r="N5456" s="113"/>
    </row>
    <row r="5457" spans="14:14">
      <c r="N5457" s="113"/>
    </row>
    <row r="5458" spans="14:14">
      <c r="N5458" s="113"/>
    </row>
    <row r="5459" spans="14:14">
      <c r="N5459" s="113"/>
    </row>
    <row r="5460" spans="14:14">
      <c r="N5460" s="113"/>
    </row>
    <row r="5461" spans="14:14">
      <c r="N5461" s="113"/>
    </row>
    <row r="5462" spans="14:14">
      <c r="N5462" s="113"/>
    </row>
    <row r="5463" spans="14:14">
      <c r="N5463" s="113"/>
    </row>
    <row r="5464" spans="14:14">
      <c r="N5464" s="113"/>
    </row>
    <row r="5465" spans="14:14">
      <c r="N5465" s="113"/>
    </row>
    <row r="5466" spans="14:14">
      <c r="N5466" s="113"/>
    </row>
    <row r="5467" spans="14:14">
      <c r="N5467" s="113"/>
    </row>
    <row r="5468" spans="14:14">
      <c r="N5468" s="113"/>
    </row>
    <row r="5469" spans="14:14">
      <c r="N5469" s="113"/>
    </row>
    <row r="5470" spans="14:14">
      <c r="N5470" s="113"/>
    </row>
    <row r="5471" spans="14:14">
      <c r="N5471" s="113"/>
    </row>
    <row r="5472" spans="14:14">
      <c r="N5472" s="113"/>
    </row>
    <row r="5473" spans="14:14">
      <c r="N5473" s="113"/>
    </row>
    <row r="5474" spans="14:14">
      <c r="N5474" s="113"/>
    </row>
    <row r="5475" spans="14:14">
      <c r="N5475" s="113"/>
    </row>
    <row r="5476" spans="14:14">
      <c r="N5476" s="113"/>
    </row>
    <row r="5477" spans="14:14">
      <c r="N5477" s="113"/>
    </row>
    <row r="5478" spans="14:14">
      <c r="N5478" s="113"/>
    </row>
    <row r="5479" spans="14:14">
      <c r="N5479" s="113"/>
    </row>
    <row r="5480" spans="14:14">
      <c r="N5480" s="113"/>
    </row>
    <row r="5481" spans="14:14">
      <c r="N5481" s="113"/>
    </row>
    <row r="5482" spans="14:14">
      <c r="N5482" s="113"/>
    </row>
    <row r="5483" spans="14:14">
      <c r="N5483" s="113"/>
    </row>
    <row r="5484" spans="14:14">
      <c r="N5484" s="113"/>
    </row>
    <row r="5485" spans="14:14">
      <c r="N5485" s="113"/>
    </row>
    <row r="5486" spans="14:14">
      <c r="N5486" s="113"/>
    </row>
    <row r="5487" spans="14:14">
      <c r="N5487" s="113"/>
    </row>
    <row r="5488" spans="14:14">
      <c r="N5488" s="113"/>
    </row>
    <row r="5489" spans="14:14">
      <c r="N5489" s="113"/>
    </row>
    <row r="5490" spans="14:14">
      <c r="N5490" s="113"/>
    </row>
    <row r="5491" spans="14:14">
      <c r="N5491" s="113"/>
    </row>
    <row r="5492" spans="14:14">
      <c r="N5492" s="113"/>
    </row>
    <row r="5493" spans="14:14">
      <c r="N5493" s="113"/>
    </row>
    <row r="5494" spans="14:14">
      <c r="N5494" s="113"/>
    </row>
    <row r="5495" spans="14:14">
      <c r="N5495" s="113"/>
    </row>
    <row r="5496" spans="14:14">
      <c r="N5496" s="113"/>
    </row>
    <row r="5497" spans="14:14">
      <c r="N5497" s="113"/>
    </row>
    <row r="5498" spans="14:14">
      <c r="N5498" s="113"/>
    </row>
    <row r="5499" spans="14:14">
      <c r="N5499" s="113"/>
    </row>
    <row r="5500" spans="14:14">
      <c r="N5500" s="113"/>
    </row>
    <row r="5501" spans="14:14">
      <c r="N5501" s="113"/>
    </row>
    <row r="5502" spans="14:14">
      <c r="N5502" s="113"/>
    </row>
    <row r="5503" spans="14:14">
      <c r="N5503" s="113"/>
    </row>
    <row r="5504" spans="14:14">
      <c r="N5504" s="113"/>
    </row>
    <row r="5505" spans="14:14">
      <c r="N5505" s="113"/>
    </row>
    <row r="5506" spans="14:14">
      <c r="N5506" s="113"/>
    </row>
    <row r="5507" spans="14:14">
      <c r="N5507" s="113"/>
    </row>
    <row r="5508" spans="14:14">
      <c r="N5508" s="113"/>
    </row>
    <row r="5509" spans="14:14">
      <c r="N5509" s="113"/>
    </row>
    <row r="5510" spans="14:14">
      <c r="N5510" s="113"/>
    </row>
    <row r="5511" spans="14:14">
      <c r="N5511" s="113"/>
    </row>
    <row r="5512" spans="14:14">
      <c r="N5512" s="113"/>
    </row>
    <row r="5513" spans="14:14">
      <c r="N5513" s="113"/>
    </row>
    <row r="5514" spans="14:14">
      <c r="N5514" s="113"/>
    </row>
    <row r="5515" spans="14:14">
      <c r="N5515" s="113"/>
    </row>
    <row r="5516" spans="14:14">
      <c r="N5516" s="113"/>
    </row>
    <row r="5517" spans="14:14">
      <c r="N5517" s="113"/>
    </row>
    <row r="5518" spans="14:14">
      <c r="N5518" s="113"/>
    </row>
    <row r="5519" spans="14:14">
      <c r="N5519" s="113"/>
    </row>
    <row r="5520" spans="14:14">
      <c r="N5520" s="113"/>
    </row>
    <row r="5521" spans="14:14">
      <c r="N5521" s="113"/>
    </row>
    <row r="5522" spans="14:14">
      <c r="N5522" s="113"/>
    </row>
    <row r="5523" spans="14:14">
      <c r="N5523" s="113"/>
    </row>
    <row r="5524" spans="14:14">
      <c r="N5524" s="113"/>
    </row>
    <row r="5525" spans="14:14">
      <c r="N5525" s="113"/>
    </row>
    <row r="5526" spans="14:14">
      <c r="N5526" s="113"/>
    </row>
    <row r="5527" spans="14:14">
      <c r="N5527" s="113"/>
    </row>
    <row r="5528" spans="14:14">
      <c r="N5528" s="113"/>
    </row>
    <row r="5529" spans="14:14">
      <c r="N5529" s="113"/>
    </row>
    <row r="5530" spans="14:14">
      <c r="N5530" s="113"/>
    </row>
    <row r="5531" spans="14:14">
      <c r="N5531" s="113"/>
    </row>
    <row r="5532" spans="14:14">
      <c r="N5532" s="113"/>
    </row>
    <row r="5533" spans="14:14">
      <c r="N5533" s="113"/>
    </row>
    <row r="5534" spans="14:14">
      <c r="N5534" s="113"/>
    </row>
    <row r="5535" spans="14:14">
      <c r="N5535" s="113"/>
    </row>
    <row r="5536" spans="14:14">
      <c r="N5536" s="113"/>
    </row>
    <row r="5537" spans="14:14">
      <c r="N5537" s="113"/>
    </row>
    <row r="5538" spans="14:14">
      <c r="N5538" s="113"/>
    </row>
    <row r="5539" spans="14:14">
      <c r="N5539" s="113"/>
    </row>
    <row r="5540" spans="14:14">
      <c r="N5540" s="113"/>
    </row>
    <row r="5541" spans="14:14">
      <c r="N5541" s="113"/>
    </row>
    <row r="5542" spans="14:14">
      <c r="N5542" s="113"/>
    </row>
    <row r="5543" spans="14:14">
      <c r="N5543" s="113"/>
    </row>
    <row r="5544" spans="14:14">
      <c r="N5544" s="113"/>
    </row>
    <row r="5545" spans="14:14">
      <c r="N5545" s="113"/>
    </row>
    <row r="5546" spans="14:14">
      <c r="N5546" s="113"/>
    </row>
    <row r="5547" spans="14:14">
      <c r="N5547" s="113"/>
    </row>
    <row r="5548" spans="14:14">
      <c r="N5548" s="113"/>
    </row>
    <row r="5549" spans="14:14">
      <c r="N5549" s="113"/>
    </row>
    <row r="5550" spans="14:14">
      <c r="N5550" s="113"/>
    </row>
    <row r="5551" spans="14:14">
      <c r="N5551" s="113"/>
    </row>
    <row r="5552" spans="14:14">
      <c r="N5552" s="113"/>
    </row>
    <row r="5553" spans="14:14">
      <c r="N5553" s="113"/>
    </row>
    <row r="5554" spans="14:14">
      <c r="N5554" s="113"/>
    </row>
    <row r="5555" spans="14:14">
      <c r="N5555" s="113"/>
    </row>
    <row r="5556" spans="14:14">
      <c r="N5556" s="113"/>
    </row>
    <row r="5557" spans="14:14">
      <c r="N5557" s="113"/>
    </row>
    <row r="5558" spans="14:14">
      <c r="N5558" s="113"/>
    </row>
    <row r="5559" spans="14:14">
      <c r="N5559" s="113"/>
    </row>
    <row r="5560" spans="14:14">
      <c r="N5560" s="113"/>
    </row>
    <row r="5561" spans="14:14">
      <c r="N5561" s="113"/>
    </row>
    <row r="5562" spans="14:14">
      <c r="N5562" s="113"/>
    </row>
    <row r="5563" spans="14:14">
      <c r="N5563" s="113"/>
    </row>
    <row r="5564" spans="14:14">
      <c r="N5564" s="113"/>
    </row>
    <row r="5565" spans="14:14">
      <c r="N5565" s="113"/>
    </row>
    <row r="5566" spans="14:14">
      <c r="N5566" s="113"/>
    </row>
    <row r="5567" spans="14:14">
      <c r="N5567" s="113"/>
    </row>
    <row r="5568" spans="14:14">
      <c r="N5568" s="113"/>
    </row>
    <row r="5569" spans="14:14">
      <c r="N5569" s="113"/>
    </row>
    <row r="5570" spans="14:14">
      <c r="N5570" s="113"/>
    </row>
    <row r="5571" spans="14:14">
      <c r="N5571" s="113"/>
    </row>
    <row r="5572" spans="14:14">
      <c r="N5572" s="113"/>
    </row>
    <row r="5573" spans="14:14">
      <c r="N5573" s="113"/>
    </row>
    <row r="5574" spans="14:14">
      <c r="N5574" s="113"/>
    </row>
    <row r="5575" spans="14:14">
      <c r="N5575" s="113"/>
    </row>
    <row r="5576" spans="14:14">
      <c r="N5576" s="113"/>
    </row>
    <row r="5577" spans="14:14">
      <c r="N5577" s="113"/>
    </row>
    <row r="5578" spans="14:14">
      <c r="N5578" s="113"/>
    </row>
    <row r="5579" spans="14:14">
      <c r="N5579" s="113"/>
    </row>
    <row r="5580" spans="14:14">
      <c r="N5580" s="113"/>
    </row>
    <row r="5581" spans="14:14">
      <c r="N5581" s="113"/>
    </row>
    <row r="5582" spans="14:14">
      <c r="N5582" s="113"/>
    </row>
    <row r="5583" spans="14:14">
      <c r="N5583" s="113"/>
    </row>
    <row r="5584" spans="14:14">
      <c r="N5584" s="113"/>
    </row>
    <row r="5585" spans="14:14">
      <c r="N5585" s="113"/>
    </row>
    <row r="5586" spans="14:14">
      <c r="N5586" s="113"/>
    </row>
    <row r="5587" spans="14:14">
      <c r="N5587" s="113"/>
    </row>
    <row r="5588" spans="14:14">
      <c r="N5588" s="113"/>
    </row>
    <row r="5589" spans="14:14">
      <c r="N5589" s="113"/>
    </row>
    <row r="5590" spans="14:14">
      <c r="N5590" s="113"/>
    </row>
    <row r="5591" spans="14:14">
      <c r="N5591" s="113"/>
    </row>
    <row r="5592" spans="14:14">
      <c r="N5592" s="113"/>
    </row>
    <row r="5593" spans="14:14">
      <c r="N5593" s="113"/>
    </row>
    <row r="5594" spans="14:14">
      <c r="N5594" s="113"/>
    </row>
    <row r="5595" spans="14:14">
      <c r="N5595" s="113"/>
    </row>
    <row r="5596" spans="14:14">
      <c r="N5596" s="113"/>
    </row>
    <row r="5597" spans="14:14">
      <c r="N5597" s="113"/>
    </row>
    <row r="5598" spans="14:14">
      <c r="N5598" s="113"/>
    </row>
    <row r="5599" spans="14:14">
      <c r="N5599" s="113"/>
    </row>
    <row r="5600" spans="14:14">
      <c r="N5600" s="113"/>
    </row>
    <row r="5601" spans="14:14">
      <c r="N5601" s="113"/>
    </row>
    <row r="5602" spans="14:14">
      <c r="N5602" s="113"/>
    </row>
    <row r="5603" spans="14:14">
      <c r="N5603" s="113"/>
    </row>
    <row r="5604" spans="14:14">
      <c r="N5604" s="113"/>
    </row>
    <row r="5605" spans="14:14">
      <c r="N5605" s="113"/>
    </row>
    <row r="5606" spans="14:14">
      <c r="N5606" s="113"/>
    </row>
    <row r="5607" spans="14:14">
      <c r="N5607" s="113"/>
    </row>
    <row r="5608" spans="14:14">
      <c r="N5608" s="113"/>
    </row>
    <row r="5609" spans="14:14">
      <c r="N5609" s="113"/>
    </row>
    <row r="5610" spans="14:14">
      <c r="N5610" s="113"/>
    </row>
    <row r="5611" spans="14:14">
      <c r="N5611" s="113"/>
    </row>
    <row r="5612" spans="14:14">
      <c r="N5612" s="113"/>
    </row>
    <row r="5613" spans="14:14">
      <c r="N5613" s="113"/>
    </row>
    <row r="5614" spans="14:14">
      <c r="N5614" s="113"/>
    </row>
    <row r="5615" spans="14:14">
      <c r="N5615" s="113"/>
    </row>
    <row r="5616" spans="14:14">
      <c r="N5616" s="113"/>
    </row>
    <row r="5617" spans="14:14">
      <c r="N5617" s="113"/>
    </row>
    <row r="5618" spans="14:14">
      <c r="N5618" s="113"/>
    </row>
    <row r="5619" spans="14:14">
      <c r="N5619" s="113"/>
    </row>
    <row r="5620" spans="14:14">
      <c r="N5620" s="113"/>
    </row>
    <row r="5621" spans="14:14">
      <c r="N5621" s="113"/>
    </row>
    <row r="5622" spans="14:14">
      <c r="N5622" s="113"/>
    </row>
    <row r="5623" spans="14:14">
      <c r="N5623" s="113"/>
    </row>
    <row r="5624" spans="14:14">
      <c r="N5624" s="113"/>
    </row>
    <row r="5625" spans="14:14">
      <c r="N5625" s="113"/>
    </row>
    <row r="5626" spans="14:14">
      <c r="N5626" s="113"/>
    </row>
    <row r="5627" spans="14:14">
      <c r="N5627" s="113"/>
    </row>
    <row r="5628" spans="14:14">
      <c r="N5628" s="113"/>
    </row>
    <row r="5629" spans="14:14">
      <c r="N5629" s="113"/>
    </row>
    <row r="5630" spans="14:14">
      <c r="N5630" s="113"/>
    </row>
    <row r="5631" spans="14:14">
      <c r="N5631" s="113"/>
    </row>
    <row r="5632" spans="14:14">
      <c r="N5632" s="113"/>
    </row>
    <row r="5633" spans="14:14">
      <c r="N5633" s="113"/>
    </row>
    <row r="5634" spans="14:14">
      <c r="N5634" s="113"/>
    </row>
    <row r="5635" spans="14:14">
      <c r="N5635" s="113"/>
    </row>
    <row r="5636" spans="14:14">
      <c r="N5636" s="113"/>
    </row>
    <row r="5637" spans="14:14">
      <c r="N5637" s="113"/>
    </row>
    <row r="5638" spans="14:14">
      <c r="N5638" s="113"/>
    </row>
    <row r="5639" spans="14:14">
      <c r="N5639" s="113"/>
    </row>
    <row r="5640" spans="14:14">
      <c r="N5640" s="113"/>
    </row>
    <row r="5641" spans="14:14">
      <c r="N5641" s="113"/>
    </row>
    <row r="5642" spans="14:14">
      <c r="N5642" s="113"/>
    </row>
    <row r="5643" spans="14:14">
      <c r="N5643" s="113"/>
    </row>
    <row r="5644" spans="14:14">
      <c r="N5644" s="113"/>
    </row>
    <row r="5645" spans="14:14">
      <c r="N5645" s="113"/>
    </row>
    <row r="5646" spans="14:14">
      <c r="N5646" s="113"/>
    </row>
    <row r="5647" spans="14:14">
      <c r="N5647" s="113"/>
    </row>
    <row r="5648" spans="14:14">
      <c r="N5648" s="113"/>
    </row>
    <row r="5649" spans="14:14">
      <c r="N5649" s="113"/>
    </row>
    <row r="5650" spans="14:14">
      <c r="N5650" s="113"/>
    </row>
    <row r="5651" spans="14:14">
      <c r="N5651" s="113"/>
    </row>
    <row r="5652" spans="14:14">
      <c r="N5652" s="113"/>
    </row>
    <row r="5653" spans="14:14">
      <c r="N5653" s="113"/>
    </row>
    <row r="5654" spans="14:14">
      <c r="N5654" s="113"/>
    </row>
    <row r="5655" spans="14:14">
      <c r="N5655" s="113"/>
    </row>
    <row r="5656" spans="14:14">
      <c r="N5656" s="113"/>
    </row>
    <row r="5657" spans="14:14">
      <c r="N5657" s="113"/>
    </row>
    <row r="5658" spans="14:14">
      <c r="N5658" s="113"/>
    </row>
    <row r="5659" spans="14:14">
      <c r="N5659" s="113"/>
    </row>
    <row r="5660" spans="14:14">
      <c r="N5660" s="113"/>
    </row>
    <row r="5661" spans="14:14">
      <c r="N5661" s="113"/>
    </row>
    <row r="5662" spans="14:14">
      <c r="N5662" s="113"/>
    </row>
    <row r="5663" spans="14:14">
      <c r="N5663" s="113"/>
    </row>
    <row r="5664" spans="14:14">
      <c r="N5664" s="113"/>
    </row>
    <row r="5665" spans="14:14">
      <c r="N5665" s="113"/>
    </row>
    <row r="5666" spans="14:14">
      <c r="N5666" s="113"/>
    </row>
    <row r="5667" spans="14:14">
      <c r="N5667" s="113"/>
    </row>
    <row r="5668" spans="14:14">
      <c r="N5668" s="113"/>
    </row>
    <row r="5669" spans="14:14">
      <c r="N5669" s="113"/>
    </row>
    <row r="5670" spans="14:14">
      <c r="N5670" s="113"/>
    </row>
    <row r="5671" spans="14:14">
      <c r="N5671" s="113"/>
    </row>
    <row r="5672" spans="14:14">
      <c r="N5672" s="113"/>
    </row>
    <row r="5673" spans="14:14">
      <c r="N5673" s="113"/>
    </row>
    <row r="5674" spans="14:14">
      <c r="N5674" s="113"/>
    </row>
    <row r="5675" spans="14:14">
      <c r="N5675" s="113"/>
    </row>
    <row r="5676" spans="14:14">
      <c r="N5676" s="113"/>
    </row>
    <row r="5677" spans="14:14">
      <c r="N5677" s="113"/>
    </row>
    <row r="5678" spans="14:14">
      <c r="N5678" s="113"/>
    </row>
    <row r="5679" spans="14:14">
      <c r="N5679" s="113"/>
    </row>
    <row r="5680" spans="14:14">
      <c r="N5680" s="113"/>
    </row>
    <row r="5681" spans="14:14">
      <c r="N5681" s="113"/>
    </row>
    <row r="5682" spans="14:14">
      <c r="N5682" s="113"/>
    </row>
    <row r="5683" spans="14:14">
      <c r="N5683" s="113"/>
    </row>
    <row r="5684" spans="14:14">
      <c r="N5684" s="113"/>
    </row>
    <row r="5685" spans="14:14">
      <c r="N5685" s="113"/>
    </row>
    <row r="5686" spans="14:14">
      <c r="N5686" s="113"/>
    </row>
    <row r="5687" spans="14:14">
      <c r="N5687" s="113"/>
    </row>
    <row r="5688" spans="14:14">
      <c r="N5688" s="113"/>
    </row>
    <row r="5689" spans="14:14">
      <c r="N5689" s="113"/>
    </row>
    <row r="5690" spans="14:14">
      <c r="N5690" s="113"/>
    </row>
    <row r="5691" spans="14:14">
      <c r="N5691" s="113"/>
    </row>
    <row r="5692" spans="14:14">
      <c r="N5692" s="113"/>
    </row>
    <row r="5693" spans="14:14">
      <c r="N5693" s="113"/>
    </row>
    <row r="5694" spans="14:14">
      <c r="N5694" s="113"/>
    </row>
    <row r="5695" spans="14:14">
      <c r="N5695" s="113"/>
    </row>
    <row r="5696" spans="14:14">
      <c r="N5696" s="113"/>
    </row>
    <row r="5697" spans="14:14">
      <c r="N5697" s="113"/>
    </row>
    <row r="5698" spans="14:14">
      <c r="N5698" s="113"/>
    </row>
    <row r="5699" spans="14:14">
      <c r="N5699" s="113"/>
    </row>
    <row r="5700" spans="14:14">
      <c r="N5700" s="113"/>
    </row>
    <row r="5701" spans="14:14">
      <c r="N5701" s="113"/>
    </row>
    <row r="5702" spans="14:14">
      <c r="N5702" s="113"/>
    </row>
    <row r="5703" spans="14:14">
      <c r="N5703" s="113"/>
    </row>
    <row r="5704" spans="14:14">
      <c r="N5704" s="113"/>
    </row>
    <row r="5705" spans="14:14">
      <c r="N5705" s="113"/>
    </row>
    <row r="5706" spans="14:14">
      <c r="N5706" s="113"/>
    </row>
    <row r="5707" spans="14:14">
      <c r="N5707" s="113"/>
    </row>
    <row r="5708" spans="14:14">
      <c r="N5708" s="113"/>
    </row>
    <row r="5709" spans="14:14">
      <c r="N5709" s="113"/>
    </row>
    <row r="5710" spans="14:14">
      <c r="N5710" s="113"/>
    </row>
    <row r="5711" spans="14:14">
      <c r="N5711" s="113"/>
    </row>
    <row r="5712" spans="14:14">
      <c r="N5712" s="113"/>
    </row>
    <row r="5713" spans="14:14">
      <c r="N5713" s="113"/>
    </row>
    <row r="5714" spans="14:14">
      <c r="N5714" s="113"/>
    </row>
    <row r="5715" spans="14:14">
      <c r="N5715" s="113"/>
    </row>
    <row r="5716" spans="14:14">
      <c r="N5716" s="113"/>
    </row>
    <row r="5717" spans="14:14">
      <c r="N5717" s="113"/>
    </row>
    <row r="5718" spans="14:14">
      <c r="N5718" s="113"/>
    </row>
    <row r="5719" spans="14:14">
      <c r="N5719" s="113"/>
    </row>
    <row r="5720" spans="14:14">
      <c r="N5720" s="113"/>
    </row>
    <row r="5721" spans="14:14">
      <c r="N5721" s="113"/>
    </row>
    <row r="5722" spans="14:14">
      <c r="N5722" s="113"/>
    </row>
    <row r="5723" spans="14:14">
      <c r="N5723" s="113"/>
    </row>
    <row r="5724" spans="14:14">
      <c r="N5724" s="113"/>
    </row>
    <row r="5725" spans="14:14">
      <c r="N5725" s="113"/>
    </row>
    <row r="5726" spans="14:14">
      <c r="N5726" s="113"/>
    </row>
    <row r="5727" spans="14:14">
      <c r="N5727" s="113"/>
    </row>
    <row r="5728" spans="14:14">
      <c r="N5728" s="113"/>
    </row>
    <row r="5729" spans="14:14">
      <c r="N5729" s="113"/>
    </row>
    <row r="5730" spans="14:14">
      <c r="N5730" s="113"/>
    </row>
    <row r="5731" spans="14:14">
      <c r="N5731" s="113"/>
    </row>
    <row r="5732" spans="14:14">
      <c r="N5732" s="113"/>
    </row>
    <row r="5733" spans="14:14">
      <c r="N5733" s="113"/>
    </row>
    <row r="5734" spans="14:14">
      <c r="N5734" s="113"/>
    </row>
    <row r="5735" spans="14:14">
      <c r="N5735" s="113"/>
    </row>
    <row r="5736" spans="14:14">
      <c r="N5736" s="113"/>
    </row>
    <row r="5737" spans="14:14">
      <c r="N5737" s="113"/>
    </row>
    <row r="5738" spans="14:14">
      <c r="N5738" s="113"/>
    </row>
    <row r="5739" spans="14:14">
      <c r="N5739" s="113"/>
    </row>
    <row r="5740" spans="14:14">
      <c r="N5740" s="113"/>
    </row>
    <row r="5741" spans="14:14">
      <c r="N5741" s="113"/>
    </row>
    <row r="5742" spans="14:14">
      <c r="N5742" s="113"/>
    </row>
    <row r="5743" spans="14:14">
      <c r="N5743" s="113"/>
    </row>
    <row r="5744" spans="14:14">
      <c r="N5744" s="113"/>
    </row>
    <row r="5745" spans="14:14">
      <c r="N5745" s="113"/>
    </row>
    <row r="5746" spans="14:14">
      <c r="N5746" s="113"/>
    </row>
    <row r="5747" spans="14:14">
      <c r="N5747" s="113"/>
    </row>
    <row r="5748" spans="14:14">
      <c r="N5748" s="113"/>
    </row>
    <row r="5749" spans="14:14">
      <c r="N5749" s="113"/>
    </row>
    <row r="5750" spans="14:14">
      <c r="N5750" s="113"/>
    </row>
    <row r="5751" spans="14:14">
      <c r="N5751" s="113"/>
    </row>
    <row r="5752" spans="14:14">
      <c r="N5752" s="113"/>
    </row>
    <row r="5753" spans="14:14">
      <c r="N5753" s="113"/>
    </row>
    <row r="5754" spans="14:14">
      <c r="N5754" s="113"/>
    </row>
    <row r="5755" spans="14:14">
      <c r="N5755" s="113"/>
    </row>
    <row r="5756" spans="14:14">
      <c r="N5756" s="113"/>
    </row>
    <row r="5757" spans="14:14">
      <c r="N5757" s="113"/>
    </row>
    <row r="5758" spans="14:14">
      <c r="N5758" s="113"/>
    </row>
    <row r="5759" spans="14:14">
      <c r="N5759" s="113"/>
    </row>
    <row r="5760" spans="14:14">
      <c r="N5760" s="113"/>
    </row>
    <row r="5761" spans="14:14">
      <c r="N5761" s="113"/>
    </row>
    <row r="5762" spans="14:14">
      <c r="N5762" s="113"/>
    </row>
    <row r="5763" spans="14:14">
      <c r="N5763" s="113"/>
    </row>
    <row r="5764" spans="14:14">
      <c r="N5764" s="113"/>
    </row>
    <row r="5765" spans="14:14">
      <c r="N5765" s="113"/>
    </row>
    <row r="5766" spans="14:14">
      <c r="N5766" s="113"/>
    </row>
    <row r="5767" spans="14:14">
      <c r="N5767" s="113"/>
    </row>
    <row r="5768" spans="14:14">
      <c r="N5768" s="113"/>
    </row>
    <row r="5769" spans="14:14">
      <c r="N5769" s="113"/>
    </row>
    <row r="5770" spans="14:14">
      <c r="N5770" s="113"/>
    </row>
    <row r="5771" spans="14:14">
      <c r="N5771" s="113"/>
    </row>
    <row r="5772" spans="14:14">
      <c r="N5772" s="113"/>
    </row>
    <row r="5773" spans="14:14">
      <c r="N5773" s="113"/>
    </row>
    <row r="5774" spans="14:14">
      <c r="N5774" s="113"/>
    </row>
    <row r="5775" spans="14:14">
      <c r="N5775" s="113"/>
    </row>
    <row r="5776" spans="14:14">
      <c r="N5776" s="113"/>
    </row>
    <row r="5777" spans="14:14">
      <c r="N5777" s="113"/>
    </row>
    <row r="5778" spans="14:14">
      <c r="N5778" s="113"/>
    </row>
    <row r="5779" spans="14:14">
      <c r="N5779" s="113"/>
    </row>
    <row r="5780" spans="14:14">
      <c r="N5780" s="113"/>
    </row>
    <row r="5781" spans="14:14">
      <c r="N5781" s="113"/>
    </row>
    <row r="5782" spans="14:14">
      <c r="N5782" s="113"/>
    </row>
    <row r="5783" spans="14:14">
      <c r="N5783" s="113"/>
    </row>
    <row r="5784" spans="14:14">
      <c r="N5784" s="113"/>
    </row>
    <row r="5785" spans="14:14">
      <c r="N5785" s="113"/>
    </row>
    <row r="5786" spans="14:14">
      <c r="N5786" s="113"/>
    </row>
    <row r="5787" spans="14:14">
      <c r="N5787" s="113"/>
    </row>
    <row r="5788" spans="14:14">
      <c r="N5788" s="113"/>
    </row>
    <row r="5789" spans="14:14">
      <c r="N5789" s="113"/>
    </row>
    <row r="5790" spans="14:14">
      <c r="N5790" s="113"/>
    </row>
    <row r="5791" spans="14:14">
      <c r="N5791" s="113"/>
    </row>
    <row r="5792" spans="14:14">
      <c r="N5792" s="113"/>
    </row>
    <row r="5793" spans="14:14">
      <c r="N5793" s="113"/>
    </row>
    <row r="5794" spans="14:14">
      <c r="N5794" s="113"/>
    </row>
    <row r="5795" spans="14:14">
      <c r="N5795" s="113"/>
    </row>
    <row r="5796" spans="14:14">
      <c r="N5796" s="113"/>
    </row>
    <row r="5797" spans="14:14">
      <c r="N5797" s="113"/>
    </row>
    <row r="5798" spans="14:14">
      <c r="N5798" s="113"/>
    </row>
    <row r="5799" spans="14:14">
      <c r="N5799" s="113"/>
    </row>
    <row r="5800" spans="14:14">
      <c r="N5800" s="113"/>
    </row>
    <row r="5801" spans="14:14">
      <c r="N5801" s="113"/>
    </row>
    <row r="5802" spans="14:14">
      <c r="N5802" s="113"/>
    </row>
    <row r="5803" spans="14:14">
      <c r="N5803" s="113"/>
    </row>
    <row r="5804" spans="14:14">
      <c r="N5804" s="113"/>
    </row>
    <row r="5805" spans="14:14">
      <c r="N5805" s="113"/>
    </row>
    <row r="5806" spans="14:14">
      <c r="N5806" s="113"/>
    </row>
    <row r="5807" spans="14:14">
      <c r="N5807" s="113"/>
    </row>
    <row r="5808" spans="14:14">
      <c r="N5808" s="113"/>
    </row>
    <row r="5809" spans="14:14">
      <c r="N5809" s="113"/>
    </row>
    <row r="5810" spans="14:14">
      <c r="N5810" s="113"/>
    </row>
    <row r="5811" spans="14:14">
      <c r="N5811" s="113"/>
    </row>
    <row r="5812" spans="14:14">
      <c r="N5812" s="113"/>
    </row>
    <row r="5813" spans="14:14">
      <c r="N5813" s="113"/>
    </row>
    <row r="5814" spans="14:14">
      <c r="N5814" s="113"/>
    </row>
    <row r="5815" spans="14:14">
      <c r="N5815" s="113"/>
    </row>
    <row r="5816" spans="14:14">
      <c r="N5816" s="113"/>
    </row>
    <row r="5817" spans="14:14">
      <c r="N5817" s="113"/>
    </row>
    <row r="5818" spans="14:14">
      <c r="N5818" s="113"/>
    </row>
    <row r="5819" spans="14:14">
      <c r="N5819" s="113"/>
    </row>
    <row r="5820" spans="14:14">
      <c r="N5820" s="113"/>
    </row>
    <row r="5821" spans="14:14">
      <c r="N5821" s="113"/>
    </row>
    <row r="5822" spans="14:14">
      <c r="N5822" s="113"/>
    </row>
    <row r="5823" spans="14:14">
      <c r="N5823" s="113"/>
    </row>
    <row r="5824" spans="14:14">
      <c r="N5824" s="113"/>
    </row>
    <row r="5825" spans="14:14">
      <c r="N5825" s="113"/>
    </row>
    <row r="5826" spans="14:14">
      <c r="N5826" s="113"/>
    </row>
    <row r="5827" spans="14:14">
      <c r="N5827" s="113"/>
    </row>
    <row r="5828" spans="14:14">
      <c r="N5828" s="113"/>
    </row>
    <row r="5829" spans="14:14">
      <c r="N5829" s="113"/>
    </row>
    <row r="5830" spans="14:14">
      <c r="N5830" s="113"/>
    </row>
    <row r="5831" spans="14:14">
      <c r="N5831" s="113"/>
    </row>
    <row r="5832" spans="14:14">
      <c r="N5832" s="113"/>
    </row>
    <row r="5833" spans="14:14">
      <c r="N5833" s="113"/>
    </row>
    <row r="5834" spans="14:14">
      <c r="N5834" s="113"/>
    </row>
    <row r="5835" spans="14:14">
      <c r="N5835" s="113"/>
    </row>
    <row r="5836" spans="14:14">
      <c r="N5836" s="113"/>
    </row>
    <row r="5837" spans="14:14">
      <c r="N5837" s="113"/>
    </row>
    <row r="5838" spans="14:14">
      <c r="N5838" s="113"/>
    </row>
    <row r="5839" spans="14:14">
      <c r="N5839" s="113"/>
    </row>
    <row r="5840" spans="14:14">
      <c r="N5840" s="113"/>
    </row>
    <row r="5841" spans="14:14">
      <c r="N5841" s="113"/>
    </row>
    <row r="5842" spans="14:14">
      <c r="N5842" s="113"/>
    </row>
    <row r="5843" spans="14:14">
      <c r="N5843" s="113"/>
    </row>
    <row r="5844" spans="14:14">
      <c r="N5844" s="113"/>
    </row>
    <row r="5845" spans="14:14">
      <c r="N5845" s="113"/>
    </row>
    <row r="5846" spans="14:14">
      <c r="N5846" s="113"/>
    </row>
    <row r="5847" spans="14:14">
      <c r="N5847" s="113"/>
    </row>
    <row r="5848" spans="14:14">
      <c r="N5848" s="113"/>
    </row>
    <row r="5849" spans="14:14">
      <c r="N5849" s="113"/>
    </row>
    <row r="5850" spans="14:14">
      <c r="N5850" s="113"/>
    </row>
    <row r="5851" spans="14:14">
      <c r="N5851" s="113"/>
    </row>
    <row r="5852" spans="14:14">
      <c r="N5852" s="113"/>
    </row>
    <row r="5853" spans="14:14">
      <c r="N5853" s="113"/>
    </row>
    <row r="5854" spans="14:14">
      <c r="N5854" s="113"/>
    </row>
    <row r="5855" spans="14:14">
      <c r="N5855" s="113"/>
    </row>
    <row r="5856" spans="14:14">
      <c r="N5856" s="113"/>
    </row>
    <row r="5857" spans="14:14">
      <c r="N5857" s="113"/>
    </row>
    <row r="5858" spans="14:14">
      <c r="N5858" s="113"/>
    </row>
    <row r="5859" spans="14:14">
      <c r="N5859" s="113"/>
    </row>
    <row r="5860" spans="14:14">
      <c r="N5860" s="113"/>
    </row>
    <row r="5861" spans="14:14">
      <c r="N5861" s="113"/>
    </row>
    <row r="5862" spans="14:14">
      <c r="N5862" s="113"/>
    </row>
    <row r="5863" spans="14:14">
      <c r="N5863" s="113"/>
    </row>
    <row r="5864" spans="14:14">
      <c r="N5864" s="113"/>
    </row>
    <row r="5865" spans="14:14">
      <c r="N5865" s="113"/>
    </row>
    <row r="5866" spans="14:14">
      <c r="N5866" s="113"/>
    </row>
    <row r="5867" spans="14:14">
      <c r="N5867" s="113"/>
    </row>
    <row r="5868" spans="14:14">
      <c r="N5868" s="113"/>
    </row>
    <row r="5869" spans="14:14">
      <c r="N5869" s="113"/>
    </row>
    <row r="5870" spans="14:14">
      <c r="N5870" s="113"/>
    </row>
    <row r="5871" spans="14:14">
      <c r="N5871" s="113"/>
    </row>
    <row r="5872" spans="14:14">
      <c r="N5872" s="113"/>
    </row>
    <row r="5873" spans="14:14">
      <c r="N5873" s="113"/>
    </row>
    <row r="5874" spans="14:14">
      <c r="N5874" s="113"/>
    </row>
    <row r="5875" spans="14:14">
      <c r="N5875" s="113"/>
    </row>
    <row r="5876" spans="14:14">
      <c r="N5876" s="113"/>
    </row>
    <row r="5877" spans="14:14">
      <c r="N5877" s="113"/>
    </row>
    <row r="5878" spans="14:14">
      <c r="N5878" s="113"/>
    </row>
    <row r="5879" spans="14:14">
      <c r="N5879" s="113"/>
    </row>
    <row r="5880" spans="14:14">
      <c r="N5880" s="113"/>
    </row>
    <row r="5881" spans="14:14">
      <c r="N5881" s="113"/>
    </row>
    <row r="5882" spans="14:14">
      <c r="N5882" s="113"/>
    </row>
    <row r="5883" spans="14:14">
      <c r="N5883" s="113"/>
    </row>
    <row r="5884" spans="14:14">
      <c r="N5884" s="113"/>
    </row>
    <row r="5885" spans="14:14">
      <c r="N5885" s="113"/>
    </row>
    <row r="5886" spans="14:14">
      <c r="N5886" s="113"/>
    </row>
    <row r="5887" spans="14:14">
      <c r="N5887" s="113"/>
    </row>
    <row r="5888" spans="14:14">
      <c r="N5888" s="113"/>
    </row>
    <row r="5889" spans="14:14">
      <c r="N5889" s="113"/>
    </row>
    <row r="5890" spans="14:14">
      <c r="N5890" s="113"/>
    </row>
    <row r="5891" spans="14:14">
      <c r="N5891" s="113"/>
    </row>
    <row r="5892" spans="14:14">
      <c r="N5892" s="113"/>
    </row>
    <row r="5893" spans="14:14">
      <c r="N5893" s="113"/>
    </row>
    <row r="5894" spans="14:14">
      <c r="N5894" s="113"/>
    </row>
    <row r="5895" spans="14:14">
      <c r="N5895" s="113"/>
    </row>
    <row r="5896" spans="14:14">
      <c r="N5896" s="113"/>
    </row>
    <row r="5897" spans="14:14">
      <c r="N5897" s="113"/>
    </row>
    <row r="5898" spans="14:14">
      <c r="N5898" s="113"/>
    </row>
    <row r="5899" spans="14:14">
      <c r="N5899" s="113"/>
    </row>
    <row r="5900" spans="14:14">
      <c r="N5900" s="113"/>
    </row>
    <row r="5901" spans="14:14">
      <c r="N5901" s="113"/>
    </row>
    <row r="5902" spans="14:14">
      <c r="N5902" s="113"/>
    </row>
    <row r="5903" spans="14:14">
      <c r="N5903" s="113"/>
    </row>
    <row r="5904" spans="14:14">
      <c r="N5904" s="113"/>
    </row>
    <row r="5905" spans="14:14">
      <c r="N5905" s="113"/>
    </row>
    <row r="5906" spans="14:14">
      <c r="N5906" s="113"/>
    </row>
    <row r="5907" spans="14:14">
      <c r="N5907" s="113"/>
    </row>
    <row r="5908" spans="14:14">
      <c r="N5908" s="113"/>
    </row>
    <row r="5909" spans="14:14">
      <c r="N5909" s="113"/>
    </row>
    <row r="5910" spans="14:14">
      <c r="N5910" s="113"/>
    </row>
    <row r="5911" spans="14:14">
      <c r="N5911" s="113"/>
    </row>
    <row r="5912" spans="14:14">
      <c r="N5912" s="113"/>
    </row>
    <row r="5913" spans="14:14">
      <c r="N5913" s="113"/>
    </row>
    <row r="5914" spans="14:14">
      <c r="N5914" s="113"/>
    </row>
    <row r="5915" spans="14:14">
      <c r="N5915" s="113"/>
    </row>
    <row r="5916" spans="14:14">
      <c r="N5916" s="113"/>
    </row>
    <row r="5917" spans="14:14">
      <c r="N5917" s="113"/>
    </row>
    <row r="5918" spans="14:14">
      <c r="N5918" s="113"/>
    </row>
    <row r="5919" spans="14:14">
      <c r="N5919" s="113"/>
    </row>
    <row r="5920" spans="14:14">
      <c r="N5920" s="113"/>
    </row>
    <row r="5921" spans="14:14">
      <c r="N5921" s="113"/>
    </row>
    <row r="5922" spans="14:14">
      <c r="N5922" s="113"/>
    </row>
    <row r="5923" spans="14:14">
      <c r="N5923" s="113"/>
    </row>
    <row r="5924" spans="14:14">
      <c r="N5924" s="113"/>
    </row>
    <row r="5925" spans="14:14">
      <c r="N5925" s="113"/>
    </row>
    <row r="5926" spans="14:14">
      <c r="N5926" s="113"/>
    </row>
    <row r="5927" spans="14:14">
      <c r="N5927" s="113"/>
    </row>
    <row r="5928" spans="14:14">
      <c r="N5928" s="113"/>
    </row>
    <row r="5929" spans="14:14">
      <c r="N5929" s="113"/>
    </row>
    <row r="5930" spans="14:14">
      <c r="N5930" s="113"/>
    </row>
    <row r="5931" spans="14:14">
      <c r="N5931" s="113"/>
    </row>
    <row r="5932" spans="14:14">
      <c r="N5932" s="113"/>
    </row>
    <row r="5933" spans="14:14">
      <c r="N5933" s="113"/>
    </row>
    <row r="5934" spans="14:14">
      <c r="N5934" s="113"/>
    </row>
    <row r="5935" spans="14:14">
      <c r="N5935" s="113"/>
    </row>
    <row r="5936" spans="14:14">
      <c r="N5936" s="113"/>
    </row>
    <row r="5937" spans="14:14">
      <c r="N5937" s="113"/>
    </row>
    <row r="5938" spans="14:14">
      <c r="N5938" s="113"/>
    </row>
    <row r="5939" spans="14:14">
      <c r="N5939" s="113"/>
    </row>
    <row r="5940" spans="14:14">
      <c r="N5940" s="113"/>
    </row>
    <row r="5941" spans="14:14">
      <c r="N5941" s="113"/>
    </row>
    <row r="5942" spans="14:14">
      <c r="N5942" s="113"/>
    </row>
    <row r="5943" spans="14:14">
      <c r="N5943" s="113"/>
    </row>
    <row r="5944" spans="14:14">
      <c r="N5944" s="113"/>
    </row>
    <row r="5945" spans="14:14">
      <c r="N5945" s="113"/>
    </row>
    <row r="5946" spans="14:14">
      <c r="N5946" s="113"/>
    </row>
    <row r="5947" spans="14:14">
      <c r="N5947" s="113"/>
    </row>
    <row r="5948" spans="14:14">
      <c r="N5948" s="113"/>
    </row>
    <row r="5949" spans="14:14">
      <c r="N5949" s="113"/>
    </row>
    <row r="5950" spans="14:14">
      <c r="N5950" s="113"/>
    </row>
    <row r="5951" spans="14:14">
      <c r="N5951" s="113"/>
    </row>
    <row r="5952" spans="14:14">
      <c r="N5952" s="113"/>
    </row>
    <row r="5953" spans="14:14">
      <c r="N5953" s="113"/>
    </row>
    <row r="5954" spans="14:14">
      <c r="N5954" s="113"/>
    </row>
    <row r="5955" spans="14:14">
      <c r="N5955" s="113"/>
    </row>
    <row r="5956" spans="14:14">
      <c r="N5956" s="113"/>
    </row>
    <row r="5957" spans="14:14">
      <c r="N5957" s="113"/>
    </row>
    <row r="5958" spans="14:14">
      <c r="N5958" s="113"/>
    </row>
    <row r="5959" spans="14:14">
      <c r="N5959" s="113"/>
    </row>
    <row r="5960" spans="14:14">
      <c r="N5960" s="113"/>
    </row>
    <row r="5961" spans="14:14">
      <c r="N5961" s="113"/>
    </row>
    <row r="5962" spans="14:14">
      <c r="N5962" s="113"/>
    </row>
    <row r="5963" spans="14:14">
      <c r="N5963" s="113"/>
    </row>
    <row r="5964" spans="14:14">
      <c r="N5964" s="113"/>
    </row>
    <row r="5965" spans="14:14">
      <c r="N5965" s="113"/>
    </row>
    <row r="5966" spans="14:14">
      <c r="N5966" s="113"/>
    </row>
    <row r="5967" spans="14:14">
      <c r="N5967" s="113"/>
    </row>
    <row r="5968" spans="14:14">
      <c r="N5968" s="113"/>
    </row>
    <row r="5969" spans="14:14">
      <c r="N5969" s="113"/>
    </row>
    <row r="5970" spans="14:14">
      <c r="N5970" s="113"/>
    </row>
    <row r="5971" spans="14:14">
      <c r="N5971" s="113"/>
    </row>
    <row r="5972" spans="14:14">
      <c r="N5972" s="113"/>
    </row>
    <row r="5973" spans="14:14">
      <c r="N5973" s="113"/>
    </row>
    <row r="5974" spans="14:14">
      <c r="N5974" s="113"/>
    </row>
    <row r="5975" spans="14:14">
      <c r="N5975" s="113"/>
    </row>
    <row r="5976" spans="14:14">
      <c r="N5976" s="113"/>
    </row>
    <row r="5977" spans="14:14">
      <c r="N5977" s="113"/>
    </row>
    <row r="5978" spans="14:14">
      <c r="N5978" s="113"/>
    </row>
    <row r="5979" spans="14:14">
      <c r="N5979" s="113"/>
    </row>
    <row r="5980" spans="14:14">
      <c r="N5980" s="113"/>
    </row>
    <row r="5981" spans="14:14">
      <c r="N5981" s="113"/>
    </row>
    <row r="5982" spans="14:14">
      <c r="N5982" s="113"/>
    </row>
    <row r="5983" spans="14:14">
      <c r="N5983" s="113"/>
    </row>
    <row r="5984" spans="14:14">
      <c r="N5984" s="113"/>
    </row>
    <row r="5985" spans="14:14">
      <c r="N5985" s="113"/>
    </row>
    <row r="5986" spans="14:14">
      <c r="N5986" s="113"/>
    </row>
    <row r="5987" spans="14:14">
      <c r="N5987" s="113"/>
    </row>
    <row r="5988" spans="14:14">
      <c r="N5988" s="113"/>
    </row>
    <row r="5989" spans="14:14">
      <c r="N5989" s="113"/>
    </row>
    <row r="5990" spans="14:14">
      <c r="N5990" s="113"/>
    </row>
    <row r="5991" spans="14:14">
      <c r="N5991" s="113"/>
    </row>
    <row r="5992" spans="14:14">
      <c r="N5992" s="113"/>
    </row>
    <row r="5993" spans="14:14">
      <c r="N5993" s="113"/>
    </row>
    <row r="5994" spans="14:14">
      <c r="N5994" s="113"/>
    </row>
    <row r="5995" spans="14:14">
      <c r="N5995" s="113"/>
    </row>
    <row r="5996" spans="14:14">
      <c r="N5996" s="113"/>
    </row>
    <row r="5997" spans="14:14">
      <c r="N5997" s="113"/>
    </row>
    <row r="5998" spans="14:14">
      <c r="N5998" s="113"/>
    </row>
    <row r="5999" spans="14:14">
      <c r="N5999" s="113"/>
    </row>
    <row r="6000" spans="14:14">
      <c r="N6000" s="113"/>
    </row>
    <row r="6001" spans="14:14">
      <c r="N6001" s="113"/>
    </row>
    <row r="6002" spans="14:14">
      <c r="N6002" s="113"/>
    </row>
    <row r="6003" spans="14:14">
      <c r="N6003" s="113"/>
    </row>
    <row r="6004" spans="14:14">
      <c r="N6004" s="113"/>
    </row>
    <row r="6005" spans="14:14">
      <c r="N6005" s="113"/>
    </row>
    <row r="6006" spans="14:14">
      <c r="N6006" s="113"/>
    </row>
    <row r="6007" spans="14:14">
      <c r="N6007" s="113"/>
    </row>
    <row r="6008" spans="14:14">
      <c r="N6008" s="113"/>
    </row>
    <row r="6009" spans="14:14">
      <c r="N6009" s="113"/>
    </row>
    <row r="6010" spans="14:14">
      <c r="N6010" s="113"/>
    </row>
    <row r="6011" spans="14:14">
      <c r="N6011" s="113"/>
    </row>
    <row r="6012" spans="14:14">
      <c r="N6012" s="113"/>
    </row>
    <row r="6013" spans="14:14">
      <c r="N6013" s="113"/>
    </row>
    <row r="6014" spans="14:14">
      <c r="N6014" s="113"/>
    </row>
    <row r="6015" spans="14:14">
      <c r="N6015" s="113"/>
    </row>
    <row r="6016" spans="14:14">
      <c r="N6016" s="113"/>
    </row>
    <row r="6017" spans="14:14">
      <c r="N6017" s="113"/>
    </row>
    <row r="6018" spans="14:14">
      <c r="N6018" s="113"/>
    </row>
    <row r="6019" spans="14:14">
      <c r="N6019" s="113"/>
    </row>
    <row r="6020" spans="14:14">
      <c r="N6020" s="113"/>
    </row>
    <row r="6021" spans="14:14">
      <c r="N6021" s="113"/>
    </row>
    <row r="6022" spans="14:14">
      <c r="N6022" s="113"/>
    </row>
    <row r="6023" spans="14:14">
      <c r="N6023" s="113"/>
    </row>
    <row r="6024" spans="14:14">
      <c r="N6024" s="113"/>
    </row>
    <row r="6025" spans="14:14">
      <c r="N6025" s="113"/>
    </row>
    <row r="6026" spans="14:14">
      <c r="N6026" s="113"/>
    </row>
    <row r="6027" spans="14:14">
      <c r="N6027" s="113"/>
    </row>
    <row r="6028" spans="14:14">
      <c r="N6028" s="113"/>
    </row>
    <row r="6029" spans="14:14">
      <c r="N6029" s="113"/>
    </row>
    <row r="6030" spans="14:14">
      <c r="N6030" s="113"/>
    </row>
    <row r="6031" spans="14:14">
      <c r="N6031" s="113"/>
    </row>
    <row r="6032" spans="14:14">
      <c r="N6032" s="113"/>
    </row>
    <row r="6033" spans="14:14">
      <c r="N6033" s="113"/>
    </row>
    <row r="6034" spans="14:14">
      <c r="N6034" s="113"/>
    </row>
    <row r="6035" spans="14:14">
      <c r="N6035" s="113"/>
    </row>
    <row r="6036" spans="14:14">
      <c r="N6036" s="113"/>
    </row>
    <row r="6037" spans="14:14">
      <c r="N6037" s="113"/>
    </row>
    <row r="6038" spans="14:14">
      <c r="N6038" s="113"/>
    </row>
    <row r="6039" spans="14:14">
      <c r="N6039" s="113"/>
    </row>
    <row r="6040" spans="14:14">
      <c r="N6040" s="113"/>
    </row>
    <row r="6041" spans="14:14">
      <c r="N6041" s="113"/>
    </row>
    <row r="6042" spans="14:14">
      <c r="N6042" s="113"/>
    </row>
    <row r="6043" spans="14:14">
      <c r="N6043" s="113"/>
    </row>
    <row r="6044" spans="14:14">
      <c r="N6044" s="113"/>
    </row>
    <row r="6045" spans="14:14">
      <c r="N6045" s="113"/>
    </row>
    <row r="6046" spans="14:14">
      <c r="N6046" s="113"/>
    </row>
    <row r="6047" spans="14:14">
      <c r="N6047" s="113"/>
    </row>
    <row r="6048" spans="14:14">
      <c r="N6048" s="113"/>
    </row>
    <row r="6049" spans="14:14">
      <c r="N6049" s="113"/>
    </row>
    <row r="6050" spans="14:14">
      <c r="N6050" s="113"/>
    </row>
    <row r="6051" spans="14:14">
      <c r="N6051" s="113"/>
    </row>
    <row r="6052" spans="14:14">
      <c r="N6052" s="113"/>
    </row>
    <row r="6053" spans="14:14">
      <c r="N6053" s="113"/>
    </row>
    <row r="6054" spans="14:14">
      <c r="N6054" s="113"/>
    </row>
    <row r="6055" spans="14:14">
      <c r="N6055" s="113"/>
    </row>
    <row r="6056" spans="14:14">
      <c r="N6056" s="113"/>
    </row>
    <row r="6057" spans="14:14">
      <c r="N6057" s="113"/>
    </row>
    <row r="6058" spans="14:14">
      <c r="N6058" s="113"/>
    </row>
    <row r="6059" spans="14:14">
      <c r="N6059" s="113"/>
    </row>
    <row r="6060" spans="14:14">
      <c r="N6060" s="113"/>
    </row>
    <row r="6061" spans="14:14">
      <c r="N6061" s="113"/>
    </row>
    <row r="6062" spans="14:14">
      <c r="N6062" s="113"/>
    </row>
    <row r="6063" spans="14:14">
      <c r="N6063" s="113"/>
    </row>
    <row r="6064" spans="14:14">
      <c r="N6064" s="113"/>
    </row>
    <row r="6065" spans="14:14">
      <c r="N6065" s="113"/>
    </row>
    <row r="6066" spans="14:14">
      <c r="N6066" s="113"/>
    </row>
    <row r="6067" spans="14:14">
      <c r="N6067" s="113"/>
    </row>
    <row r="6068" spans="14:14">
      <c r="N6068" s="113"/>
    </row>
    <row r="6069" spans="14:14">
      <c r="N6069" s="113"/>
    </row>
    <row r="6070" spans="14:14">
      <c r="N6070" s="113"/>
    </row>
    <row r="6071" spans="14:14">
      <c r="N6071" s="113"/>
    </row>
    <row r="6072" spans="14:14">
      <c r="N6072" s="113"/>
    </row>
    <row r="6073" spans="14:14">
      <c r="N6073" s="113"/>
    </row>
    <row r="6074" spans="14:14">
      <c r="N6074" s="113"/>
    </row>
    <row r="6075" spans="14:14">
      <c r="N6075" s="113"/>
    </row>
    <row r="6076" spans="14:14">
      <c r="N6076" s="113"/>
    </row>
    <row r="6077" spans="14:14">
      <c r="N6077" s="113"/>
    </row>
    <row r="6078" spans="14:14">
      <c r="N6078" s="113"/>
    </row>
    <row r="6079" spans="14:14">
      <c r="N6079" s="113"/>
    </row>
    <row r="6080" spans="14:14">
      <c r="N6080" s="113"/>
    </row>
    <row r="6081" spans="14:14">
      <c r="N6081" s="113"/>
    </row>
    <row r="6082" spans="14:14">
      <c r="N6082" s="113"/>
    </row>
    <row r="6083" spans="14:14">
      <c r="N6083" s="113"/>
    </row>
    <row r="6084" spans="14:14">
      <c r="N6084" s="113"/>
    </row>
    <row r="6085" spans="14:14">
      <c r="N6085" s="113"/>
    </row>
    <row r="6086" spans="14:14">
      <c r="N6086" s="113"/>
    </row>
    <row r="6087" spans="14:14">
      <c r="N6087" s="113"/>
    </row>
    <row r="6088" spans="14:14">
      <c r="N6088" s="113"/>
    </row>
    <row r="6089" spans="14:14">
      <c r="N6089" s="113"/>
    </row>
    <row r="6090" spans="14:14">
      <c r="N6090" s="113"/>
    </row>
    <row r="6091" spans="14:14">
      <c r="N6091" s="113"/>
    </row>
    <row r="6092" spans="14:14">
      <c r="N6092" s="113"/>
    </row>
    <row r="6093" spans="14:14">
      <c r="N6093" s="113"/>
    </row>
    <row r="6094" spans="14:14">
      <c r="N6094" s="113"/>
    </row>
    <row r="6095" spans="14:14">
      <c r="N6095" s="113"/>
    </row>
    <row r="6096" spans="14:14">
      <c r="N6096" s="113"/>
    </row>
    <row r="6097" spans="14:14">
      <c r="N6097" s="113"/>
    </row>
    <row r="6098" spans="14:14">
      <c r="N6098" s="113"/>
    </row>
    <row r="6099" spans="14:14">
      <c r="N6099" s="113"/>
    </row>
    <row r="6100" spans="14:14">
      <c r="N6100" s="113"/>
    </row>
    <row r="6101" spans="14:14">
      <c r="N6101" s="113"/>
    </row>
    <row r="6102" spans="14:14">
      <c r="N6102" s="113"/>
    </row>
    <row r="6103" spans="14:14">
      <c r="N6103" s="113"/>
    </row>
    <row r="6104" spans="14:14">
      <c r="N6104" s="113"/>
    </row>
    <row r="6105" spans="14:14">
      <c r="N6105" s="113"/>
    </row>
    <row r="6106" spans="14:14">
      <c r="N6106" s="113"/>
    </row>
    <row r="6107" spans="14:14">
      <c r="N6107" s="113"/>
    </row>
    <row r="6108" spans="14:14">
      <c r="N6108" s="113"/>
    </row>
    <row r="6109" spans="14:14">
      <c r="N6109" s="113"/>
    </row>
    <row r="6110" spans="14:14">
      <c r="N6110" s="113"/>
    </row>
    <row r="6111" spans="14:14">
      <c r="N6111" s="113"/>
    </row>
    <row r="6112" spans="14:14">
      <c r="N6112" s="113"/>
    </row>
    <row r="6113" spans="14:14">
      <c r="N6113" s="113"/>
    </row>
    <row r="6114" spans="14:14">
      <c r="N6114" s="113"/>
    </row>
    <row r="6115" spans="14:14">
      <c r="N6115" s="113"/>
    </row>
    <row r="6116" spans="14:14">
      <c r="N6116" s="113"/>
    </row>
    <row r="6117" spans="14:14">
      <c r="N6117" s="113"/>
    </row>
    <row r="6118" spans="14:14">
      <c r="N6118" s="113"/>
    </row>
    <row r="6119" spans="14:14">
      <c r="N6119" s="113"/>
    </row>
    <row r="6120" spans="14:14">
      <c r="N6120" s="113"/>
    </row>
    <row r="6121" spans="14:14">
      <c r="N6121" s="113"/>
    </row>
    <row r="6122" spans="14:14">
      <c r="N6122" s="113"/>
    </row>
    <row r="6123" spans="14:14">
      <c r="N6123" s="113"/>
    </row>
    <row r="6124" spans="14:14">
      <c r="N6124" s="113"/>
    </row>
    <row r="6125" spans="14:14">
      <c r="N6125" s="113"/>
    </row>
    <row r="6126" spans="14:14">
      <c r="N6126" s="113"/>
    </row>
    <row r="6127" spans="14:14">
      <c r="N6127" s="113"/>
    </row>
    <row r="6128" spans="14:14">
      <c r="N6128" s="113"/>
    </row>
    <row r="6129" spans="14:14">
      <c r="N6129" s="113"/>
    </row>
    <row r="6130" spans="14:14">
      <c r="N6130" s="113"/>
    </row>
    <row r="6131" spans="14:14">
      <c r="N6131" s="113"/>
    </row>
    <row r="6132" spans="14:14">
      <c r="N6132" s="113"/>
    </row>
    <row r="6133" spans="14:14">
      <c r="N6133" s="113"/>
    </row>
    <row r="6134" spans="14:14">
      <c r="N6134" s="113"/>
    </row>
    <row r="6135" spans="14:14">
      <c r="N6135" s="113"/>
    </row>
    <row r="6136" spans="14:14">
      <c r="N6136" s="113"/>
    </row>
    <row r="6137" spans="14:14">
      <c r="N6137" s="113"/>
    </row>
    <row r="6138" spans="14:14">
      <c r="N6138" s="113"/>
    </row>
    <row r="6139" spans="14:14">
      <c r="N6139" s="113"/>
    </row>
    <row r="6140" spans="14:14">
      <c r="N6140" s="113"/>
    </row>
    <row r="6141" spans="14:14">
      <c r="N6141" s="113"/>
    </row>
    <row r="6142" spans="14:14">
      <c r="N6142" s="113"/>
    </row>
    <row r="6143" spans="14:14">
      <c r="N6143" s="113"/>
    </row>
    <row r="6144" spans="14:14">
      <c r="N6144" s="113"/>
    </row>
    <row r="6145" spans="14:14">
      <c r="N6145" s="113"/>
    </row>
    <row r="6146" spans="14:14">
      <c r="N6146" s="113"/>
    </row>
    <row r="6147" spans="14:14">
      <c r="N6147" s="113"/>
    </row>
    <row r="6148" spans="14:14">
      <c r="N6148" s="113"/>
    </row>
    <row r="6149" spans="14:14">
      <c r="N6149" s="113"/>
    </row>
    <row r="6150" spans="14:14">
      <c r="N6150" s="113"/>
    </row>
    <row r="6151" spans="14:14">
      <c r="N6151" s="113"/>
    </row>
    <row r="6152" spans="14:14">
      <c r="N6152" s="113"/>
    </row>
    <row r="6153" spans="14:14">
      <c r="N6153" s="113"/>
    </row>
    <row r="6154" spans="14:14">
      <c r="N6154" s="113"/>
    </row>
    <row r="6155" spans="14:14">
      <c r="N6155" s="113"/>
    </row>
    <row r="6156" spans="14:14">
      <c r="N6156" s="113"/>
    </row>
    <row r="6157" spans="14:14">
      <c r="N6157" s="113"/>
    </row>
    <row r="6158" spans="14:14">
      <c r="N6158" s="113"/>
    </row>
    <row r="6159" spans="14:14">
      <c r="N6159" s="113"/>
    </row>
    <row r="6160" spans="14:14">
      <c r="N6160" s="113"/>
    </row>
    <row r="6161" spans="14:14">
      <c r="N6161" s="113"/>
    </row>
    <row r="6162" spans="14:14">
      <c r="N6162" s="113"/>
    </row>
    <row r="6163" spans="14:14">
      <c r="N6163" s="113"/>
    </row>
    <row r="6164" spans="14:14">
      <c r="N6164" s="113"/>
    </row>
    <row r="6165" spans="14:14">
      <c r="N6165" s="113"/>
    </row>
    <row r="6166" spans="14:14">
      <c r="N6166" s="113"/>
    </row>
    <row r="6167" spans="14:14">
      <c r="N6167" s="113"/>
    </row>
    <row r="6168" spans="14:14">
      <c r="N6168" s="113"/>
    </row>
    <row r="6169" spans="14:14">
      <c r="N6169" s="113"/>
    </row>
    <row r="6170" spans="14:14">
      <c r="N6170" s="113"/>
    </row>
    <row r="6171" spans="14:14">
      <c r="N6171" s="113"/>
    </row>
    <row r="6172" spans="14:14">
      <c r="N6172" s="113"/>
    </row>
    <row r="6173" spans="14:14">
      <c r="N6173" s="113"/>
    </row>
    <row r="6174" spans="14:14">
      <c r="N6174" s="113"/>
    </row>
    <row r="6175" spans="14:14">
      <c r="N6175" s="113"/>
    </row>
    <row r="6176" spans="14:14">
      <c r="N6176" s="113"/>
    </row>
    <row r="6177" spans="14:14">
      <c r="N6177" s="113"/>
    </row>
    <row r="6178" spans="14:14">
      <c r="N6178" s="113"/>
    </row>
    <row r="6179" spans="14:14">
      <c r="N6179" s="113"/>
    </row>
    <row r="6180" spans="14:14">
      <c r="N6180" s="113"/>
    </row>
    <row r="6181" spans="14:14">
      <c r="N6181" s="113"/>
    </row>
    <row r="6182" spans="14:14">
      <c r="N6182" s="113"/>
    </row>
    <row r="6183" spans="14:14">
      <c r="N6183" s="113"/>
    </row>
    <row r="6184" spans="14:14">
      <c r="N6184" s="113"/>
    </row>
    <row r="6185" spans="14:14">
      <c r="N6185" s="113"/>
    </row>
    <row r="6186" spans="14:14">
      <c r="N6186" s="113"/>
    </row>
    <row r="6187" spans="14:14">
      <c r="N6187" s="113"/>
    </row>
    <row r="6188" spans="14:14">
      <c r="N6188" s="113"/>
    </row>
    <row r="6189" spans="14:14">
      <c r="N6189" s="113"/>
    </row>
    <row r="6190" spans="14:14">
      <c r="N6190" s="113"/>
    </row>
    <row r="6191" spans="14:14">
      <c r="N6191" s="113"/>
    </row>
    <row r="6192" spans="14:14">
      <c r="N6192" s="113"/>
    </row>
    <row r="6193" spans="14:14">
      <c r="N6193" s="113"/>
    </row>
    <row r="6194" spans="14:14">
      <c r="N6194" s="113"/>
    </row>
    <row r="6195" spans="14:14">
      <c r="N6195" s="113"/>
    </row>
    <row r="6196" spans="14:14">
      <c r="N6196" s="113"/>
    </row>
    <row r="6197" spans="14:14">
      <c r="N6197" s="113"/>
    </row>
    <row r="6198" spans="14:14">
      <c r="N6198" s="113"/>
    </row>
    <row r="6199" spans="14:14">
      <c r="N6199" s="113"/>
    </row>
    <row r="6200" spans="14:14">
      <c r="N6200" s="113"/>
    </row>
    <row r="6201" spans="14:14">
      <c r="N6201" s="113"/>
    </row>
    <row r="6202" spans="14:14">
      <c r="N6202" s="113"/>
    </row>
    <row r="6203" spans="14:14">
      <c r="N6203" s="113"/>
    </row>
    <row r="6204" spans="14:14">
      <c r="N6204" s="113"/>
    </row>
    <row r="6205" spans="14:14">
      <c r="N6205" s="113"/>
    </row>
    <row r="6206" spans="14:14">
      <c r="N6206" s="113"/>
    </row>
    <row r="6207" spans="14:14">
      <c r="N6207" s="113"/>
    </row>
    <row r="6208" spans="14:14">
      <c r="N6208" s="113"/>
    </row>
    <row r="6209" spans="14:14">
      <c r="N6209" s="113"/>
    </row>
    <row r="6210" spans="14:14">
      <c r="N6210" s="113"/>
    </row>
    <row r="6211" spans="14:14">
      <c r="N6211" s="113"/>
    </row>
    <row r="6212" spans="14:14">
      <c r="N6212" s="113"/>
    </row>
    <row r="6213" spans="14:14">
      <c r="N6213" s="113"/>
    </row>
    <row r="6214" spans="14:14">
      <c r="N6214" s="113"/>
    </row>
    <row r="6215" spans="14:14">
      <c r="N6215" s="113"/>
    </row>
    <row r="6216" spans="14:14">
      <c r="N6216" s="113"/>
    </row>
    <row r="6217" spans="14:14">
      <c r="N6217" s="113"/>
    </row>
    <row r="6218" spans="14:14">
      <c r="N6218" s="113"/>
    </row>
    <row r="6219" spans="14:14">
      <c r="N6219" s="113"/>
    </row>
    <row r="6220" spans="14:14">
      <c r="N6220" s="113"/>
    </row>
    <row r="6221" spans="14:14">
      <c r="N6221" s="113"/>
    </row>
    <row r="6222" spans="14:14">
      <c r="N6222" s="113"/>
    </row>
    <row r="6223" spans="14:14">
      <c r="N6223" s="113"/>
    </row>
    <row r="6224" spans="14:14">
      <c r="N6224" s="113"/>
    </row>
    <row r="6225" spans="14:14">
      <c r="N6225" s="113"/>
    </row>
    <row r="6226" spans="14:14">
      <c r="N6226" s="113"/>
    </row>
    <row r="6227" spans="14:14">
      <c r="N6227" s="113"/>
    </row>
    <row r="6228" spans="14:14">
      <c r="N6228" s="113"/>
    </row>
    <row r="6229" spans="14:14">
      <c r="N6229" s="113"/>
    </row>
    <row r="6230" spans="14:14">
      <c r="N6230" s="113"/>
    </row>
    <row r="6231" spans="14:14">
      <c r="N6231" s="113"/>
    </row>
    <row r="6232" spans="14:14">
      <c r="N6232" s="113"/>
    </row>
    <row r="6233" spans="14:14">
      <c r="N6233" s="113"/>
    </row>
    <row r="6234" spans="14:14">
      <c r="N6234" s="113"/>
    </row>
    <row r="6235" spans="14:14">
      <c r="N6235" s="113"/>
    </row>
    <row r="6236" spans="14:14">
      <c r="N6236" s="113"/>
    </row>
    <row r="6237" spans="14:14">
      <c r="N6237" s="113"/>
    </row>
    <row r="6238" spans="14:14">
      <c r="N6238" s="113"/>
    </row>
    <row r="6239" spans="14:14">
      <c r="N6239" s="113"/>
    </row>
    <row r="6240" spans="14:14">
      <c r="N6240" s="113"/>
    </row>
    <row r="6241" spans="14:14">
      <c r="N6241" s="113"/>
    </row>
    <row r="6242" spans="14:14">
      <c r="N6242" s="113"/>
    </row>
    <row r="6243" spans="14:14">
      <c r="N6243" s="113"/>
    </row>
    <row r="6244" spans="14:14">
      <c r="N6244" s="113"/>
    </row>
    <row r="6245" spans="14:14">
      <c r="N6245" s="113"/>
    </row>
    <row r="6246" spans="14:14">
      <c r="N6246" s="113"/>
    </row>
    <row r="6247" spans="14:14">
      <c r="N6247" s="113"/>
    </row>
    <row r="6248" spans="14:14">
      <c r="N6248" s="113"/>
    </row>
    <row r="6249" spans="14:14">
      <c r="N6249" s="113"/>
    </row>
    <row r="6250" spans="14:14">
      <c r="N6250" s="113"/>
    </row>
    <row r="6251" spans="14:14">
      <c r="N6251" s="113"/>
    </row>
    <row r="6252" spans="14:14">
      <c r="N6252" s="113"/>
    </row>
    <row r="6253" spans="14:14">
      <c r="N6253" s="113"/>
    </row>
    <row r="6254" spans="14:14">
      <c r="N6254" s="113"/>
    </row>
    <row r="6255" spans="14:14">
      <c r="N6255" s="113"/>
    </row>
    <row r="6256" spans="14:14">
      <c r="N6256" s="113"/>
    </row>
    <row r="6257" spans="14:14">
      <c r="N6257" s="113"/>
    </row>
    <row r="6258" spans="14:14">
      <c r="N6258" s="113"/>
    </row>
    <row r="6259" spans="14:14">
      <c r="N6259" s="113"/>
    </row>
    <row r="6260" spans="14:14">
      <c r="N6260" s="113"/>
    </row>
    <row r="6261" spans="14:14">
      <c r="N6261" s="113"/>
    </row>
    <row r="6262" spans="14:14">
      <c r="N6262" s="113"/>
    </row>
    <row r="6263" spans="14:14">
      <c r="N6263" s="113"/>
    </row>
    <row r="6264" spans="14:14">
      <c r="N6264" s="113"/>
    </row>
    <row r="6265" spans="14:14">
      <c r="N6265" s="113"/>
    </row>
    <row r="6266" spans="14:14">
      <c r="N6266" s="113"/>
    </row>
    <row r="6267" spans="14:14">
      <c r="N6267" s="113"/>
    </row>
    <row r="6268" spans="14:14">
      <c r="N6268" s="113"/>
    </row>
    <row r="6269" spans="14:14">
      <c r="N6269" s="113"/>
    </row>
    <row r="6270" spans="14:14">
      <c r="N6270" s="113"/>
    </row>
    <row r="6271" spans="14:14">
      <c r="N6271" s="113"/>
    </row>
    <row r="6272" spans="14:14">
      <c r="N6272" s="113"/>
    </row>
    <row r="6273" spans="14:14">
      <c r="N6273" s="113"/>
    </row>
    <row r="6274" spans="14:14">
      <c r="N6274" s="113"/>
    </row>
    <row r="6275" spans="14:14">
      <c r="N6275" s="113"/>
    </row>
    <row r="6276" spans="14:14">
      <c r="N6276" s="113"/>
    </row>
    <row r="6277" spans="14:14">
      <c r="N6277" s="113"/>
    </row>
    <row r="6278" spans="14:14">
      <c r="N6278" s="113"/>
    </row>
    <row r="6279" spans="14:14">
      <c r="N6279" s="113"/>
    </row>
    <row r="6280" spans="14:14">
      <c r="N6280" s="113"/>
    </row>
    <row r="6281" spans="14:14">
      <c r="N6281" s="113"/>
    </row>
    <row r="6282" spans="14:14">
      <c r="N6282" s="113"/>
    </row>
    <row r="6283" spans="14:14">
      <c r="N6283" s="113"/>
    </row>
    <row r="6284" spans="14:14">
      <c r="N6284" s="113"/>
    </row>
    <row r="6285" spans="14:14">
      <c r="N6285" s="113"/>
    </row>
    <row r="6286" spans="14:14">
      <c r="N6286" s="113"/>
    </row>
    <row r="6287" spans="14:14">
      <c r="N6287" s="113"/>
    </row>
    <row r="6288" spans="14:14">
      <c r="N6288" s="113"/>
    </row>
    <row r="6289" spans="14:14">
      <c r="N6289" s="113"/>
    </row>
    <row r="6290" spans="14:14">
      <c r="N6290" s="113"/>
    </row>
    <row r="6291" spans="14:14">
      <c r="N6291" s="113"/>
    </row>
    <row r="6292" spans="14:14">
      <c r="N6292" s="113"/>
    </row>
    <row r="6293" spans="14:14">
      <c r="N6293" s="113"/>
    </row>
    <row r="6294" spans="14:14">
      <c r="N6294" s="113"/>
    </row>
    <row r="6295" spans="14:14">
      <c r="N6295" s="113"/>
    </row>
    <row r="6296" spans="14:14">
      <c r="N6296" s="113"/>
    </row>
    <row r="6297" spans="14:14">
      <c r="N6297" s="113"/>
    </row>
    <row r="6298" spans="14:14">
      <c r="N6298" s="113"/>
    </row>
    <row r="6299" spans="14:14">
      <c r="N6299" s="113"/>
    </row>
    <row r="6300" spans="14:14">
      <c r="N6300" s="113"/>
    </row>
    <row r="6301" spans="14:14">
      <c r="N6301" s="113"/>
    </row>
    <row r="6302" spans="14:14">
      <c r="N6302" s="113"/>
    </row>
    <row r="6303" spans="14:14">
      <c r="N6303" s="113"/>
    </row>
    <row r="6304" spans="14:14">
      <c r="N6304" s="113"/>
    </row>
    <row r="6305" spans="14:14">
      <c r="N6305" s="113"/>
    </row>
    <row r="6306" spans="14:14">
      <c r="N6306" s="113"/>
    </row>
    <row r="6307" spans="14:14">
      <c r="N6307" s="113"/>
    </row>
    <row r="6308" spans="14:14">
      <c r="N6308" s="113"/>
    </row>
    <row r="6309" spans="14:14">
      <c r="N6309" s="113"/>
    </row>
    <row r="6310" spans="14:14">
      <c r="N6310" s="113"/>
    </row>
    <row r="6311" spans="14:14">
      <c r="N6311" s="113"/>
    </row>
    <row r="6312" spans="14:14">
      <c r="N6312" s="113"/>
    </row>
    <row r="6313" spans="14:14">
      <c r="N6313" s="113"/>
    </row>
    <row r="6314" spans="14:14">
      <c r="N6314" s="113"/>
    </row>
    <row r="6315" spans="14:14">
      <c r="N6315" s="113"/>
    </row>
    <row r="6316" spans="14:14">
      <c r="N6316" s="113"/>
    </row>
    <row r="6317" spans="14:14">
      <c r="N6317" s="113"/>
    </row>
    <row r="6318" spans="14:14">
      <c r="N6318" s="113"/>
    </row>
    <row r="6319" spans="14:14">
      <c r="N6319" s="113"/>
    </row>
    <row r="6320" spans="14:14">
      <c r="N6320" s="113"/>
    </row>
    <row r="6321" spans="14:14">
      <c r="N6321" s="113"/>
    </row>
    <row r="6322" spans="14:14">
      <c r="N6322" s="113"/>
    </row>
    <row r="6323" spans="14:14">
      <c r="N6323" s="113"/>
    </row>
    <row r="6324" spans="14:14">
      <c r="N6324" s="113"/>
    </row>
    <row r="6325" spans="14:14">
      <c r="N6325" s="113"/>
    </row>
    <row r="6326" spans="14:14">
      <c r="N6326" s="113"/>
    </row>
    <row r="6327" spans="14:14">
      <c r="N6327" s="113"/>
    </row>
    <row r="6328" spans="14:14">
      <c r="N6328" s="113"/>
    </row>
    <row r="6329" spans="14:14">
      <c r="N6329" s="113"/>
    </row>
    <row r="6330" spans="14:14">
      <c r="N6330" s="113"/>
    </row>
    <row r="6331" spans="14:14">
      <c r="N6331" s="113"/>
    </row>
    <row r="6332" spans="14:14">
      <c r="N6332" s="113"/>
    </row>
    <row r="6333" spans="14:14">
      <c r="N6333" s="113"/>
    </row>
    <row r="6334" spans="14:14">
      <c r="N6334" s="113"/>
    </row>
    <row r="6335" spans="14:14">
      <c r="N6335" s="113"/>
    </row>
    <row r="6336" spans="14:14">
      <c r="N6336" s="113"/>
    </row>
    <row r="6337" spans="14:14">
      <c r="N6337" s="113"/>
    </row>
    <row r="6338" spans="14:14">
      <c r="N6338" s="113"/>
    </row>
    <row r="6339" spans="14:14">
      <c r="N6339" s="113"/>
    </row>
    <row r="6340" spans="14:14">
      <c r="N6340" s="113"/>
    </row>
    <row r="6341" spans="14:14">
      <c r="N6341" s="113"/>
    </row>
    <row r="6342" spans="14:14">
      <c r="N6342" s="113"/>
    </row>
    <row r="6343" spans="14:14">
      <c r="N6343" s="113"/>
    </row>
    <row r="6344" spans="14:14">
      <c r="N6344" s="113"/>
    </row>
    <row r="6345" spans="14:14">
      <c r="N6345" s="113"/>
    </row>
    <row r="6346" spans="14:14">
      <c r="N6346" s="113"/>
    </row>
    <row r="6347" spans="14:14">
      <c r="N6347" s="113"/>
    </row>
    <row r="6348" spans="14:14">
      <c r="N6348" s="113"/>
    </row>
    <row r="6349" spans="14:14">
      <c r="N6349" s="113"/>
    </row>
    <row r="6350" spans="14:14">
      <c r="N6350" s="113"/>
    </row>
    <row r="6351" spans="14:14">
      <c r="N6351" s="113"/>
    </row>
    <row r="6352" spans="14:14">
      <c r="N6352" s="113"/>
    </row>
    <row r="6353" spans="14:14">
      <c r="N6353" s="113"/>
    </row>
    <row r="6354" spans="14:14">
      <c r="N6354" s="113"/>
    </row>
    <row r="6355" spans="14:14">
      <c r="N6355" s="113"/>
    </row>
    <row r="6356" spans="14:14">
      <c r="N6356" s="113"/>
    </row>
    <row r="6357" spans="14:14">
      <c r="N6357" s="113"/>
    </row>
    <row r="6358" spans="14:14">
      <c r="N6358" s="113"/>
    </row>
    <row r="6359" spans="14:14">
      <c r="N6359" s="113"/>
    </row>
    <row r="6360" spans="14:14">
      <c r="N6360" s="113"/>
    </row>
    <row r="6361" spans="14:14">
      <c r="N6361" s="113"/>
    </row>
    <row r="6362" spans="14:14">
      <c r="N6362" s="113"/>
    </row>
    <row r="6363" spans="14:14">
      <c r="N6363" s="113"/>
    </row>
    <row r="6364" spans="14:14">
      <c r="N6364" s="113"/>
    </row>
    <row r="6365" spans="14:14">
      <c r="N6365" s="113"/>
    </row>
    <row r="6366" spans="14:14">
      <c r="N6366" s="113"/>
    </row>
    <row r="6367" spans="14:14">
      <c r="N6367" s="113"/>
    </row>
    <row r="6368" spans="14:14">
      <c r="N6368" s="113"/>
    </row>
    <row r="6369" spans="14:14">
      <c r="N6369" s="113"/>
    </row>
    <row r="6370" spans="14:14">
      <c r="N6370" s="113"/>
    </row>
    <row r="6371" spans="14:14">
      <c r="N6371" s="113"/>
    </row>
    <row r="6372" spans="14:14">
      <c r="N6372" s="113"/>
    </row>
    <row r="6373" spans="14:14">
      <c r="N6373" s="113"/>
    </row>
    <row r="6374" spans="14:14">
      <c r="N6374" s="113"/>
    </row>
    <row r="6375" spans="14:14">
      <c r="N6375" s="113"/>
    </row>
    <row r="6376" spans="14:14">
      <c r="N6376" s="113"/>
    </row>
    <row r="6377" spans="14:14">
      <c r="N6377" s="113"/>
    </row>
    <row r="6378" spans="14:14">
      <c r="N6378" s="113"/>
    </row>
    <row r="6379" spans="14:14">
      <c r="N6379" s="113"/>
    </row>
    <row r="6380" spans="14:14">
      <c r="N6380" s="113"/>
    </row>
    <row r="6381" spans="14:14">
      <c r="N6381" s="113"/>
    </row>
    <row r="6382" spans="14:14">
      <c r="N6382" s="113"/>
    </row>
    <row r="6383" spans="14:14">
      <c r="N6383" s="113"/>
    </row>
    <row r="6384" spans="14:14">
      <c r="N6384" s="113"/>
    </row>
    <row r="6385" spans="14:14">
      <c r="N6385" s="113"/>
    </row>
    <row r="6386" spans="14:14">
      <c r="N6386" s="113"/>
    </row>
    <row r="6387" spans="14:14">
      <c r="N6387" s="113"/>
    </row>
    <row r="6388" spans="14:14">
      <c r="N6388" s="113"/>
    </row>
    <row r="6389" spans="14:14">
      <c r="N6389" s="113"/>
    </row>
    <row r="6390" spans="14:14">
      <c r="N6390" s="113"/>
    </row>
    <row r="6391" spans="14:14">
      <c r="N6391" s="113"/>
    </row>
    <row r="6392" spans="14:14">
      <c r="N6392" s="113"/>
    </row>
    <row r="6393" spans="14:14">
      <c r="N6393" s="113"/>
    </row>
    <row r="6394" spans="14:14">
      <c r="N6394" s="113"/>
    </row>
    <row r="6395" spans="14:14">
      <c r="N6395" s="113"/>
    </row>
    <row r="6396" spans="14:14">
      <c r="N6396" s="113"/>
    </row>
    <row r="6397" spans="14:14">
      <c r="N6397" s="113"/>
    </row>
    <row r="6398" spans="14:14">
      <c r="N6398" s="113"/>
    </row>
    <row r="6399" spans="14:14">
      <c r="N6399" s="113"/>
    </row>
    <row r="6400" spans="14:14">
      <c r="N6400" s="113"/>
    </row>
    <row r="6401" spans="14:14">
      <c r="N6401" s="113"/>
    </row>
    <row r="6402" spans="14:14">
      <c r="N6402" s="113"/>
    </row>
    <row r="6403" spans="14:14">
      <c r="N6403" s="113"/>
    </row>
    <row r="6404" spans="14:14">
      <c r="N6404" s="113"/>
    </row>
    <row r="6405" spans="14:14">
      <c r="N6405" s="113"/>
    </row>
    <row r="6406" spans="14:14">
      <c r="N6406" s="113"/>
    </row>
    <row r="6407" spans="14:14">
      <c r="N6407" s="113"/>
    </row>
    <row r="6408" spans="14:14">
      <c r="N6408" s="113"/>
    </row>
    <row r="6409" spans="14:14">
      <c r="N6409" s="113"/>
    </row>
    <row r="6410" spans="14:14">
      <c r="N6410" s="113"/>
    </row>
    <row r="6411" spans="14:14">
      <c r="N6411" s="113"/>
    </row>
    <row r="6412" spans="14:14">
      <c r="N6412" s="113"/>
    </row>
    <row r="6413" spans="14:14">
      <c r="N6413" s="113"/>
    </row>
    <row r="6414" spans="14:14">
      <c r="N6414" s="113"/>
    </row>
    <row r="6415" spans="14:14">
      <c r="N6415" s="113"/>
    </row>
    <row r="6416" spans="14:14">
      <c r="N6416" s="113"/>
    </row>
    <row r="6417" spans="14:14">
      <c r="N6417" s="113"/>
    </row>
    <row r="6418" spans="14:14">
      <c r="N6418" s="113"/>
    </row>
    <row r="6419" spans="14:14">
      <c r="N6419" s="113"/>
    </row>
    <row r="6420" spans="14:14">
      <c r="N6420" s="113"/>
    </row>
    <row r="6421" spans="14:14">
      <c r="N6421" s="113"/>
    </row>
    <row r="6422" spans="14:14">
      <c r="N6422" s="113"/>
    </row>
    <row r="6423" spans="14:14">
      <c r="N6423" s="113"/>
    </row>
    <row r="6424" spans="14:14">
      <c r="N6424" s="113"/>
    </row>
    <row r="6425" spans="14:14">
      <c r="N6425" s="113"/>
    </row>
    <row r="6426" spans="14:14">
      <c r="N6426" s="113"/>
    </row>
    <row r="6427" spans="14:14">
      <c r="N6427" s="113"/>
    </row>
    <row r="6428" spans="14:14">
      <c r="N6428" s="113"/>
    </row>
    <row r="6429" spans="14:14">
      <c r="N6429" s="113"/>
    </row>
    <row r="6430" spans="14:14">
      <c r="N6430" s="113"/>
    </row>
    <row r="6431" spans="14:14">
      <c r="N6431" s="113"/>
    </row>
    <row r="6432" spans="14:14">
      <c r="N6432" s="113"/>
    </row>
    <row r="6433" spans="14:14">
      <c r="N6433" s="113"/>
    </row>
    <row r="6434" spans="14:14">
      <c r="N6434" s="113"/>
    </row>
    <row r="6435" spans="14:14">
      <c r="N6435" s="113"/>
    </row>
    <row r="6436" spans="14:14">
      <c r="N6436" s="113"/>
    </row>
    <row r="6437" spans="14:14">
      <c r="N6437" s="113"/>
    </row>
    <row r="6438" spans="14:14">
      <c r="N6438" s="113"/>
    </row>
    <row r="6439" spans="14:14">
      <c r="N6439" s="113"/>
    </row>
    <row r="6440" spans="14:14">
      <c r="N6440" s="113"/>
    </row>
    <row r="6441" spans="14:14">
      <c r="N6441" s="113"/>
    </row>
    <row r="6442" spans="14:14">
      <c r="N6442" s="113"/>
    </row>
    <row r="6443" spans="14:14">
      <c r="N6443" s="113"/>
    </row>
    <row r="6444" spans="14:14">
      <c r="N6444" s="113"/>
    </row>
    <row r="6445" spans="14:14">
      <c r="N6445" s="113"/>
    </row>
    <row r="6446" spans="14:14">
      <c r="N6446" s="113"/>
    </row>
    <row r="6447" spans="14:14">
      <c r="N6447" s="113"/>
    </row>
    <row r="6448" spans="14:14">
      <c r="N6448" s="113"/>
    </row>
    <row r="6449" spans="14:14">
      <c r="N6449" s="113"/>
    </row>
    <row r="6450" spans="14:14">
      <c r="N6450" s="113"/>
    </row>
    <row r="6451" spans="14:14">
      <c r="N6451" s="113"/>
    </row>
    <row r="6452" spans="14:14">
      <c r="N6452" s="113"/>
    </row>
    <row r="6453" spans="14:14">
      <c r="N6453" s="113"/>
    </row>
    <row r="6454" spans="14:14">
      <c r="N6454" s="113"/>
    </row>
    <row r="6455" spans="14:14">
      <c r="N6455" s="113"/>
    </row>
    <row r="6456" spans="14:14">
      <c r="N6456" s="113"/>
    </row>
    <row r="6457" spans="14:14">
      <c r="N6457" s="113"/>
    </row>
    <row r="6458" spans="14:14">
      <c r="N6458" s="113"/>
    </row>
    <row r="6459" spans="14:14">
      <c r="N6459" s="113"/>
    </row>
    <row r="6460" spans="14:14">
      <c r="N6460" s="113"/>
    </row>
    <row r="6461" spans="14:14">
      <c r="N6461" s="113"/>
    </row>
    <row r="6462" spans="14:14">
      <c r="N6462" s="113"/>
    </row>
    <row r="6463" spans="14:14">
      <c r="N6463" s="113"/>
    </row>
    <row r="6464" spans="14:14">
      <c r="N6464" s="113"/>
    </row>
    <row r="6465" spans="14:14">
      <c r="N6465" s="113"/>
    </row>
    <row r="6466" spans="14:14">
      <c r="N6466" s="113"/>
    </row>
    <row r="6467" spans="14:14">
      <c r="N6467" s="113"/>
    </row>
    <row r="6468" spans="14:14">
      <c r="N6468" s="113"/>
    </row>
    <row r="6469" spans="14:14">
      <c r="N6469" s="113"/>
    </row>
    <row r="6470" spans="14:14">
      <c r="N6470" s="113"/>
    </row>
    <row r="6471" spans="14:14">
      <c r="N6471" s="113"/>
    </row>
    <row r="6472" spans="14:14">
      <c r="N6472" s="113"/>
    </row>
    <row r="6473" spans="14:14">
      <c r="N6473" s="113"/>
    </row>
    <row r="6474" spans="14:14">
      <c r="N6474" s="113"/>
    </row>
    <row r="6475" spans="14:14">
      <c r="N6475" s="113"/>
    </row>
    <row r="6476" spans="14:14">
      <c r="N6476" s="113"/>
    </row>
    <row r="6477" spans="14:14">
      <c r="N6477" s="113"/>
    </row>
    <row r="6478" spans="14:14">
      <c r="N6478" s="113"/>
    </row>
    <row r="6479" spans="14:14">
      <c r="N6479" s="113"/>
    </row>
    <row r="6480" spans="14:14">
      <c r="N6480" s="113"/>
    </row>
    <row r="6481" spans="14:14">
      <c r="N6481" s="113"/>
    </row>
    <row r="6482" spans="14:14">
      <c r="N6482" s="113"/>
    </row>
    <row r="6483" spans="14:14">
      <c r="N6483" s="113"/>
    </row>
    <row r="6484" spans="14:14">
      <c r="N6484" s="113"/>
    </row>
    <row r="6485" spans="14:14">
      <c r="N6485" s="113"/>
    </row>
    <row r="6486" spans="14:14">
      <c r="N6486" s="113"/>
    </row>
    <row r="6487" spans="14:14">
      <c r="N6487" s="113"/>
    </row>
    <row r="6488" spans="14:14">
      <c r="N6488" s="113"/>
    </row>
    <row r="6489" spans="14:14">
      <c r="N6489" s="113"/>
    </row>
    <row r="6490" spans="14:14">
      <c r="N6490" s="113"/>
    </row>
    <row r="6491" spans="14:14">
      <c r="N6491" s="113"/>
    </row>
    <row r="6492" spans="14:14">
      <c r="N6492" s="113"/>
    </row>
    <row r="6493" spans="14:14">
      <c r="N6493" s="113"/>
    </row>
    <row r="6494" spans="14:14">
      <c r="N6494" s="113"/>
    </row>
    <row r="6495" spans="14:14">
      <c r="N6495" s="113"/>
    </row>
    <row r="6496" spans="14:14">
      <c r="N6496" s="113"/>
    </row>
    <row r="6497" spans="14:14">
      <c r="N6497" s="113"/>
    </row>
    <row r="6498" spans="14:14">
      <c r="N6498" s="113"/>
    </row>
    <row r="6499" spans="14:14">
      <c r="N6499" s="113"/>
    </row>
    <row r="6500" spans="14:14">
      <c r="N6500" s="113"/>
    </row>
    <row r="6501" spans="14:14">
      <c r="N6501" s="113"/>
    </row>
    <row r="6502" spans="14:14">
      <c r="N6502" s="113"/>
    </row>
    <row r="6503" spans="14:14">
      <c r="N6503" s="113"/>
    </row>
    <row r="6504" spans="14:14">
      <c r="N6504" s="113"/>
    </row>
    <row r="6505" spans="14:14">
      <c r="N6505" s="113"/>
    </row>
    <row r="6506" spans="14:14">
      <c r="N6506" s="113"/>
    </row>
    <row r="6507" spans="14:14">
      <c r="N6507" s="113"/>
    </row>
    <row r="6508" spans="14:14">
      <c r="N6508" s="113"/>
    </row>
    <row r="6509" spans="14:14">
      <c r="N6509" s="113"/>
    </row>
    <row r="6510" spans="14:14">
      <c r="N6510" s="113"/>
    </row>
    <row r="6511" spans="14:14">
      <c r="N6511" s="113"/>
    </row>
    <row r="6512" spans="14:14">
      <c r="N6512" s="113"/>
    </row>
    <row r="6513" spans="14:14">
      <c r="N6513" s="113"/>
    </row>
    <row r="6514" spans="14:14">
      <c r="N6514" s="113"/>
    </row>
    <row r="6515" spans="14:14">
      <c r="N6515" s="113"/>
    </row>
    <row r="6516" spans="14:14">
      <c r="N6516" s="113"/>
    </row>
    <row r="6517" spans="14:14">
      <c r="N6517" s="113"/>
    </row>
    <row r="6518" spans="14:14">
      <c r="N6518" s="113"/>
    </row>
    <row r="6519" spans="14:14">
      <c r="N6519" s="113"/>
    </row>
    <row r="6520" spans="14:14">
      <c r="N6520" s="113"/>
    </row>
    <row r="6521" spans="14:14">
      <c r="N6521" s="113"/>
    </row>
    <row r="6522" spans="14:14">
      <c r="N6522" s="113"/>
    </row>
    <row r="6523" spans="14:14">
      <c r="N6523" s="113"/>
    </row>
    <row r="6524" spans="14:14">
      <c r="N6524" s="113"/>
    </row>
    <row r="6525" spans="14:14">
      <c r="N6525" s="113"/>
    </row>
    <row r="6526" spans="14:14">
      <c r="N6526" s="113"/>
    </row>
    <row r="6527" spans="14:14">
      <c r="N6527" s="113"/>
    </row>
    <row r="6528" spans="14:14">
      <c r="N6528" s="113"/>
    </row>
    <row r="6529" spans="14:14">
      <c r="N6529" s="113"/>
    </row>
    <row r="6530" spans="14:14">
      <c r="N6530" s="113"/>
    </row>
    <row r="6531" spans="14:14">
      <c r="N6531" s="113"/>
    </row>
    <row r="6532" spans="14:14">
      <c r="N6532" s="113"/>
    </row>
    <row r="6533" spans="14:14">
      <c r="N6533" s="113"/>
    </row>
    <row r="6534" spans="14:14">
      <c r="N6534" s="113"/>
    </row>
    <row r="6535" spans="14:14">
      <c r="N6535" s="113"/>
    </row>
    <row r="6536" spans="14:14">
      <c r="N6536" s="113"/>
    </row>
    <row r="6537" spans="14:14">
      <c r="N6537" s="113"/>
    </row>
    <row r="6538" spans="14:14">
      <c r="N6538" s="113"/>
    </row>
    <row r="6539" spans="14:14">
      <c r="N6539" s="113"/>
    </row>
    <row r="6540" spans="14:14">
      <c r="N6540" s="113"/>
    </row>
    <row r="6541" spans="14:14">
      <c r="N6541" s="113"/>
    </row>
    <row r="6542" spans="14:14">
      <c r="N6542" s="113"/>
    </row>
    <row r="6543" spans="14:14">
      <c r="N6543" s="113"/>
    </row>
    <row r="6544" spans="14:14">
      <c r="N6544" s="113"/>
    </row>
    <row r="6545" spans="14:14">
      <c r="N6545" s="113"/>
    </row>
    <row r="6546" spans="14:14">
      <c r="N6546" s="113"/>
    </row>
    <row r="6547" spans="14:14">
      <c r="N6547" s="113"/>
    </row>
    <row r="6548" spans="14:14">
      <c r="N6548" s="113"/>
    </row>
    <row r="6549" spans="14:14">
      <c r="N6549" s="113"/>
    </row>
    <row r="6550" spans="14:14">
      <c r="N6550" s="113"/>
    </row>
    <row r="6551" spans="14:14">
      <c r="N6551" s="113"/>
    </row>
    <row r="6552" spans="14:14">
      <c r="N6552" s="113"/>
    </row>
    <row r="6553" spans="14:14">
      <c r="N6553" s="113"/>
    </row>
    <row r="6554" spans="14:14">
      <c r="N6554" s="113"/>
    </row>
    <row r="6555" spans="14:14">
      <c r="N6555" s="113"/>
    </row>
    <row r="6556" spans="14:14">
      <c r="N6556" s="113"/>
    </row>
    <row r="6557" spans="14:14">
      <c r="N6557" s="113"/>
    </row>
    <row r="6558" spans="14:14">
      <c r="N6558" s="113"/>
    </row>
    <row r="6559" spans="14:14">
      <c r="N6559" s="113"/>
    </row>
    <row r="6560" spans="14:14">
      <c r="N6560" s="113"/>
    </row>
    <row r="6561" spans="14:14">
      <c r="N6561" s="113"/>
    </row>
    <row r="6562" spans="14:14">
      <c r="N6562" s="113"/>
    </row>
    <row r="6563" spans="14:14">
      <c r="N6563" s="113"/>
    </row>
    <row r="6564" spans="14:14">
      <c r="N6564" s="113"/>
    </row>
    <row r="6565" spans="14:14">
      <c r="N6565" s="113"/>
    </row>
    <row r="6566" spans="14:14">
      <c r="N6566" s="113"/>
    </row>
    <row r="6567" spans="14:14">
      <c r="N6567" s="113"/>
    </row>
    <row r="6568" spans="14:14">
      <c r="N6568" s="113"/>
    </row>
    <row r="6569" spans="14:14">
      <c r="N6569" s="113"/>
    </row>
    <row r="6570" spans="14:14">
      <c r="N6570" s="113"/>
    </row>
    <row r="6571" spans="14:14">
      <c r="N6571" s="113"/>
    </row>
    <row r="6572" spans="14:14">
      <c r="N6572" s="113"/>
    </row>
    <row r="6573" spans="14:14">
      <c r="N6573" s="113"/>
    </row>
    <row r="6574" spans="14:14">
      <c r="N6574" s="113"/>
    </row>
    <row r="6575" spans="14:14">
      <c r="N6575" s="113"/>
    </row>
    <row r="6576" spans="14:14">
      <c r="N6576" s="113"/>
    </row>
    <row r="6577" spans="14:14">
      <c r="N6577" s="113"/>
    </row>
    <row r="6578" spans="14:14">
      <c r="N6578" s="113"/>
    </row>
    <row r="6579" spans="14:14">
      <c r="N6579" s="113"/>
    </row>
    <row r="6580" spans="14:14">
      <c r="N6580" s="113"/>
    </row>
    <row r="6581" spans="14:14">
      <c r="N6581" s="113"/>
    </row>
    <row r="6582" spans="14:14">
      <c r="N6582" s="113"/>
    </row>
    <row r="6583" spans="14:14">
      <c r="N6583" s="113"/>
    </row>
    <row r="6584" spans="14:14">
      <c r="N6584" s="113"/>
    </row>
    <row r="6585" spans="14:14">
      <c r="N6585" s="113"/>
    </row>
    <row r="6586" spans="14:14">
      <c r="N6586" s="113"/>
    </row>
    <row r="6587" spans="14:14">
      <c r="N6587" s="113"/>
    </row>
    <row r="6588" spans="14:14">
      <c r="N6588" s="113"/>
    </row>
    <row r="6589" spans="14:14">
      <c r="N6589" s="113"/>
    </row>
    <row r="6590" spans="14:14">
      <c r="N6590" s="113"/>
    </row>
    <row r="6591" spans="14:14">
      <c r="N6591" s="113"/>
    </row>
    <row r="6592" spans="14:14">
      <c r="N6592" s="113"/>
    </row>
    <row r="6593" spans="14:14">
      <c r="N6593" s="113"/>
    </row>
    <row r="6594" spans="14:14">
      <c r="N6594" s="113"/>
    </row>
    <row r="6595" spans="14:14">
      <c r="N6595" s="113"/>
    </row>
    <row r="6596" spans="14:14">
      <c r="N6596" s="113"/>
    </row>
    <row r="6597" spans="14:14">
      <c r="N6597" s="113"/>
    </row>
    <row r="6598" spans="14:14">
      <c r="N6598" s="113"/>
    </row>
    <row r="6599" spans="14:14">
      <c r="N6599" s="113"/>
    </row>
    <row r="6600" spans="14:14">
      <c r="N6600" s="113"/>
    </row>
    <row r="6601" spans="14:14">
      <c r="N6601" s="113"/>
    </row>
    <row r="6602" spans="14:14">
      <c r="N6602" s="113"/>
    </row>
    <row r="6603" spans="14:14">
      <c r="N6603" s="113"/>
    </row>
    <row r="6604" spans="14:14">
      <c r="N6604" s="113"/>
    </row>
    <row r="6605" spans="14:14">
      <c r="N6605" s="113"/>
    </row>
    <row r="6606" spans="14:14">
      <c r="N6606" s="113"/>
    </row>
    <row r="6607" spans="14:14">
      <c r="N6607" s="113"/>
    </row>
    <row r="6608" spans="14:14">
      <c r="N6608" s="113"/>
    </row>
    <row r="6609" spans="14:14">
      <c r="N6609" s="113"/>
    </row>
    <row r="6610" spans="14:14">
      <c r="N6610" s="113"/>
    </row>
    <row r="6611" spans="14:14">
      <c r="N6611" s="113"/>
    </row>
    <row r="6612" spans="14:14">
      <c r="N6612" s="113"/>
    </row>
    <row r="6613" spans="14:14">
      <c r="N6613" s="113"/>
    </row>
    <row r="6614" spans="14:14">
      <c r="N6614" s="113"/>
    </row>
    <row r="6615" spans="14:14">
      <c r="N6615" s="113"/>
    </row>
    <row r="6616" spans="14:14">
      <c r="N6616" s="113"/>
    </row>
    <row r="6617" spans="14:14">
      <c r="N6617" s="113"/>
    </row>
    <row r="6618" spans="14:14">
      <c r="N6618" s="113"/>
    </row>
    <row r="6619" spans="14:14">
      <c r="N6619" s="113"/>
    </row>
    <row r="6620" spans="14:14">
      <c r="N6620" s="113"/>
    </row>
    <row r="6621" spans="14:14">
      <c r="N6621" s="113"/>
    </row>
    <row r="6622" spans="14:14">
      <c r="N6622" s="113"/>
    </row>
    <row r="6623" spans="14:14">
      <c r="N6623" s="113"/>
    </row>
    <row r="6624" spans="14:14">
      <c r="N6624" s="113"/>
    </row>
    <row r="6625" spans="14:14">
      <c r="N6625" s="113"/>
    </row>
    <row r="6626" spans="14:14">
      <c r="N6626" s="113"/>
    </row>
    <row r="6627" spans="14:14">
      <c r="N6627" s="113"/>
    </row>
    <row r="6628" spans="14:14">
      <c r="N6628" s="113"/>
    </row>
    <row r="6629" spans="14:14">
      <c r="N6629" s="113"/>
    </row>
    <row r="6630" spans="14:14">
      <c r="N6630" s="113"/>
    </row>
    <row r="6631" spans="14:14">
      <c r="N6631" s="113"/>
    </row>
    <row r="6632" spans="14:14">
      <c r="N6632" s="113"/>
    </row>
    <row r="6633" spans="14:14">
      <c r="N6633" s="113"/>
    </row>
    <row r="6634" spans="14:14">
      <c r="N6634" s="113"/>
    </row>
    <row r="6635" spans="14:14">
      <c r="N6635" s="113"/>
    </row>
    <row r="6636" spans="14:14">
      <c r="N6636" s="113"/>
    </row>
    <row r="6637" spans="14:14">
      <c r="N6637" s="113"/>
    </row>
    <row r="6638" spans="14:14">
      <c r="N6638" s="113"/>
    </row>
    <row r="6639" spans="14:14">
      <c r="N6639" s="113"/>
    </row>
    <row r="6640" spans="14:14">
      <c r="N6640" s="113"/>
    </row>
    <row r="6641" spans="14:14">
      <c r="N6641" s="113"/>
    </row>
    <row r="6642" spans="14:14">
      <c r="N6642" s="113"/>
    </row>
    <row r="6643" spans="14:14">
      <c r="N6643" s="113"/>
    </row>
    <row r="6644" spans="14:14">
      <c r="N6644" s="113"/>
    </row>
    <row r="6645" spans="14:14">
      <c r="N6645" s="113"/>
    </row>
    <row r="6646" spans="14:14">
      <c r="N6646" s="113"/>
    </row>
    <row r="6647" spans="14:14">
      <c r="N6647" s="113"/>
    </row>
    <row r="6648" spans="14:14">
      <c r="N6648" s="113"/>
    </row>
    <row r="6649" spans="14:14">
      <c r="N6649" s="113"/>
    </row>
    <row r="6650" spans="14:14">
      <c r="N6650" s="113"/>
    </row>
    <row r="6651" spans="14:14">
      <c r="N6651" s="113"/>
    </row>
    <row r="6652" spans="14:14">
      <c r="N6652" s="113"/>
    </row>
    <row r="6653" spans="14:14">
      <c r="N6653" s="113"/>
    </row>
    <row r="6654" spans="14:14">
      <c r="N6654" s="113"/>
    </row>
    <row r="6655" spans="14:14">
      <c r="N6655" s="113"/>
    </row>
    <row r="6656" spans="14:14">
      <c r="N6656" s="113"/>
    </row>
    <row r="6657" spans="14:14">
      <c r="N6657" s="113"/>
    </row>
    <row r="6658" spans="14:14">
      <c r="N6658" s="113"/>
    </row>
    <row r="6659" spans="14:14">
      <c r="N6659" s="113"/>
    </row>
    <row r="6660" spans="14:14">
      <c r="N6660" s="113"/>
    </row>
    <row r="6661" spans="14:14">
      <c r="N6661" s="113"/>
    </row>
    <row r="6662" spans="14:14">
      <c r="N6662" s="113"/>
    </row>
    <row r="6663" spans="14:14">
      <c r="N6663" s="113"/>
    </row>
    <row r="6664" spans="14:14">
      <c r="N6664" s="113"/>
    </row>
    <row r="6665" spans="14:14">
      <c r="N6665" s="113"/>
    </row>
    <row r="6666" spans="14:14">
      <c r="N6666" s="113"/>
    </row>
    <row r="6667" spans="14:14">
      <c r="N6667" s="113"/>
    </row>
    <row r="6668" spans="14:14">
      <c r="N6668" s="113"/>
    </row>
    <row r="6669" spans="14:14">
      <c r="N6669" s="113"/>
    </row>
    <row r="6670" spans="14:14">
      <c r="N6670" s="113"/>
    </row>
    <row r="6671" spans="14:14">
      <c r="N6671" s="113"/>
    </row>
    <row r="6672" spans="14:14">
      <c r="N6672" s="113"/>
    </row>
    <row r="6673" spans="14:14">
      <c r="N6673" s="113"/>
    </row>
    <row r="6674" spans="14:14">
      <c r="N6674" s="113"/>
    </row>
    <row r="6675" spans="14:14">
      <c r="N6675" s="113"/>
    </row>
    <row r="6676" spans="14:14">
      <c r="N6676" s="113"/>
    </row>
    <row r="6677" spans="14:14">
      <c r="N6677" s="113"/>
    </row>
    <row r="6678" spans="14:14">
      <c r="N6678" s="113"/>
    </row>
    <row r="6679" spans="14:14">
      <c r="N6679" s="113"/>
    </row>
    <row r="6680" spans="14:14">
      <c r="N6680" s="113"/>
    </row>
    <row r="6681" spans="14:14">
      <c r="N6681" s="113"/>
    </row>
    <row r="6682" spans="14:14">
      <c r="N6682" s="113"/>
    </row>
    <row r="6683" spans="14:14">
      <c r="N6683" s="113"/>
    </row>
    <row r="6684" spans="14:14">
      <c r="N6684" s="113"/>
    </row>
    <row r="6685" spans="14:14">
      <c r="N6685" s="113"/>
    </row>
    <row r="6686" spans="14:14">
      <c r="N6686" s="113"/>
    </row>
    <row r="6687" spans="14:14">
      <c r="N6687" s="113"/>
    </row>
    <row r="6688" spans="14:14">
      <c r="N6688" s="113"/>
    </row>
    <row r="6689" spans="14:14">
      <c r="N6689" s="113"/>
    </row>
    <row r="6690" spans="14:14">
      <c r="N6690" s="113"/>
    </row>
    <row r="6691" spans="14:14">
      <c r="N6691" s="113"/>
    </row>
    <row r="6692" spans="14:14">
      <c r="N6692" s="113"/>
    </row>
    <row r="6693" spans="14:14">
      <c r="N6693" s="113"/>
    </row>
    <row r="6694" spans="14:14">
      <c r="N6694" s="113"/>
    </row>
    <row r="6695" spans="14:14">
      <c r="N6695" s="113"/>
    </row>
    <row r="6696" spans="14:14">
      <c r="N6696" s="113"/>
    </row>
    <row r="6697" spans="14:14">
      <c r="N6697" s="113"/>
    </row>
    <row r="6698" spans="14:14">
      <c r="N6698" s="113"/>
    </row>
    <row r="6699" spans="14:14">
      <c r="N6699" s="113"/>
    </row>
    <row r="6700" spans="14:14">
      <c r="N6700" s="113"/>
    </row>
    <row r="6701" spans="14:14">
      <c r="N6701" s="113"/>
    </row>
    <row r="6702" spans="14:14">
      <c r="N6702" s="113"/>
    </row>
    <row r="6703" spans="14:14">
      <c r="N6703" s="113"/>
    </row>
    <row r="6704" spans="14:14">
      <c r="N6704" s="113"/>
    </row>
    <row r="6705" spans="14:14">
      <c r="N6705" s="113"/>
    </row>
    <row r="6706" spans="14:14">
      <c r="N6706" s="113"/>
    </row>
    <row r="6707" spans="14:14">
      <c r="N6707" s="113"/>
    </row>
    <row r="6708" spans="14:14">
      <c r="N6708" s="113"/>
    </row>
    <row r="6709" spans="14:14">
      <c r="N6709" s="113"/>
    </row>
    <row r="6710" spans="14:14">
      <c r="N6710" s="113"/>
    </row>
    <row r="6711" spans="14:14">
      <c r="N6711" s="113"/>
    </row>
    <row r="6712" spans="14:14">
      <c r="N6712" s="113"/>
    </row>
    <row r="6713" spans="14:14">
      <c r="N6713" s="113"/>
    </row>
    <row r="6714" spans="14:14">
      <c r="N6714" s="113"/>
    </row>
    <row r="6715" spans="14:14">
      <c r="N6715" s="113"/>
    </row>
    <row r="6716" spans="14:14">
      <c r="N6716" s="113"/>
    </row>
    <row r="6717" spans="14:14">
      <c r="N6717" s="113"/>
    </row>
    <row r="6718" spans="14:14">
      <c r="N6718" s="113"/>
    </row>
    <row r="6719" spans="14:14">
      <c r="N6719" s="113"/>
    </row>
    <row r="6720" spans="14:14">
      <c r="N6720" s="113"/>
    </row>
    <row r="6721" spans="14:14">
      <c r="N6721" s="113"/>
    </row>
    <row r="6722" spans="14:14">
      <c r="N6722" s="113"/>
    </row>
    <row r="6723" spans="14:14">
      <c r="N6723" s="113"/>
    </row>
    <row r="6724" spans="14:14">
      <c r="N6724" s="113"/>
    </row>
    <row r="6725" spans="14:14">
      <c r="N6725" s="113"/>
    </row>
    <row r="6726" spans="14:14">
      <c r="N6726" s="113"/>
    </row>
    <row r="6727" spans="14:14">
      <c r="N6727" s="113"/>
    </row>
    <row r="6728" spans="14:14">
      <c r="N6728" s="113"/>
    </row>
    <row r="6729" spans="14:14">
      <c r="N6729" s="113"/>
    </row>
    <row r="6730" spans="14:14">
      <c r="N6730" s="113"/>
    </row>
    <row r="6731" spans="14:14">
      <c r="N6731" s="113"/>
    </row>
    <row r="6732" spans="14:14">
      <c r="N6732" s="113"/>
    </row>
    <row r="6733" spans="14:14">
      <c r="N6733" s="113"/>
    </row>
    <row r="6734" spans="14:14">
      <c r="N6734" s="113"/>
    </row>
    <row r="6735" spans="14:14">
      <c r="N6735" s="113"/>
    </row>
    <row r="6736" spans="14:14">
      <c r="N6736" s="113"/>
    </row>
    <row r="6737" spans="14:14">
      <c r="N6737" s="113"/>
    </row>
    <row r="6738" spans="14:14">
      <c r="N6738" s="113"/>
    </row>
    <row r="6739" spans="14:14">
      <c r="N6739" s="113"/>
    </row>
    <row r="6740" spans="14:14">
      <c r="N6740" s="113"/>
    </row>
    <row r="6741" spans="14:14">
      <c r="N6741" s="113"/>
    </row>
    <row r="6742" spans="14:14">
      <c r="N6742" s="113"/>
    </row>
    <row r="6743" spans="14:14">
      <c r="N6743" s="113"/>
    </row>
    <row r="6744" spans="14:14">
      <c r="N6744" s="113"/>
    </row>
    <row r="6745" spans="14:14">
      <c r="N6745" s="113"/>
    </row>
    <row r="6746" spans="14:14">
      <c r="N6746" s="113"/>
    </row>
    <row r="6747" spans="14:14">
      <c r="N6747" s="113"/>
    </row>
    <row r="6748" spans="14:14">
      <c r="N6748" s="113"/>
    </row>
    <row r="6749" spans="14:14">
      <c r="N6749" s="113"/>
    </row>
    <row r="6750" spans="14:14">
      <c r="N6750" s="113"/>
    </row>
    <row r="6751" spans="14:14">
      <c r="N6751" s="113"/>
    </row>
    <row r="6752" spans="14:14">
      <c r="N6752" s="113"/>
    </row>
    <row r="6753" spans="14:14">
      <c r="N6753" s="113"/>
    </row>
    <row r="6754" spans="14:14">
      <c r="N6754" s="113"/>
    </row>
    <row r="6755" spans="14:14">
      <c r="N6755" s="113"/>
    </row>
    <row r="6756" spans="14:14">
      <c r="N6756" s="113"/>
    </row>
    <row r="6757" spans="14:14">
      <c r="N6757" s="113"/>
    </row>
    <row r="6758" spans="14:14">
      <c r="N6758" s="113"/>
    </row>
    <row r="6759" spans="14:14">
      <c r="N6759" s="113"/>
    </row>
    <row r="6760" spans="14:14">
      <c r="N6760" s="113"/>
    </row>
    <row r="6761" spans="14:14">
      <c r="N6761" s="113"/>
    </row>
    <row r="6762" spans="14:14">
      <c r="N6762" s="113"/>
    </row>
    <row r="6763" spans="14:14">
      <c r="N6763" s="113"/>
    </row>
    <row r="6764" spans="14:14">
      <c r="N6764" s="113"/>
    </row>
    <row r="6765" spans="14:14">
      <c r="N6765" s="113"/>
    </row>
    <row r="6766" spans="14:14">
      <c r="N6766" s="113"/>
    </row>
    <row r="6767" spans="14:14">
      <c r="N6767" s="113"/>
    </row>
    <row r="6768" spans="14:14">
      <c r="N6768" s="113"/>
    </row>
    <row r="6769" spans="14:14">
      <c r="N6769" s="113"/>
    </row>
    <row r="6770" spans="14:14">
      <c r="N6770" s="113"/>
    </row>
    <row r="6771" spans="14:14">
      <c r="N6771" s="113"/>
    </row>
    <row r="6772" spans="14:14">
      <c r="N6772" s="113"/>
    </row>
    <row r="6773" spans="14:14">
      <c r="N6773" s="113"/>
    </row>
    <row r="6774" spans="14:14">
      <c r="N6774" s="113"/>
    </row>
    <row r="6775" spans="14:14">
      <c r="N6775" s="113"/>
    </row>
    <row r="6776" spans="14:14">
      <c r="N6776" s="113"/>
    </row>
    <row r="6777" spans="14:14">
      <c r="N6777" s="113"/>
    </row>
    <row r="6778" spans="14:14">
      <c r="N6778" s="113"/>
    </row>
    <row r="6779" spans="14:14">
      <c r="N6779" s="113"/>
    </row>
    <row r="6780" spans="14:14">
      <c r="N6780" s="113"/>
    </row>
    <row r="6781" spans="14:14">
      <c r="N6781" s="113"/>
    </row>
    <row r="6782" spans="14:14">
      <c r="N6782" s="113"/>
    </row>
    <row r="6783" spans="14:14">
      <c r="N6783" s="113"/>
    </row>
    <row r="6784" spans="14:14">
      <c r="N6784" s="113"/>
    </row>
    <row r="6785" spans="14:14">
      <c r="N6785" s="113"/>
    </row>
    <row r="6786" spans="14:14">
      <c r="N6786" s="113"/>
    </row>
    <row r="6787" spans="14:14">
      <c r="N6787" s="113"/>
    </row>
    <row r="6788" spans="14:14">
      <c r="N6788" s="113"/>
    </row>
    <row r="6789" spans="14:14">
      <c r="N6789" s="113"/>
    </row>
    <row r="6790" spans="14:14">
      <c r="N6790" s="113"/>
    </row>
    <row r="6791" spans="14:14">
      <c r="N6791" s="113"/>
    </row>
    <row r="6792" spans="14:14">
      <c r="N6792" s="113"/>
    </row>
    <row r="6793" spans="14:14">
      <c r="N6793" s="113"/>
    </row>
    <row r="6794" spans="14:14">
      <c r="N6794" s="113"/>
    </row>
    <row r="6795" spans="14:14">
      <c r="N6795" s="113"/>
    </row>
    <row r="6796" spans="14:14">
      <c r="N6796" s="113"/>
    </row>
    <row r="6797" spans="14:14">
      <c r="N6797" s="113"/>
    </row>
    <row r="6798" spans="14:14">
      <c r="N6798" s="113"/>
    </row>
    <row r="6799" spans="14:14">
      <c r="N6799" s="113"/>
    </row>
    <row r="6800" spans="14:14">
      <c r="N6800" s="113"/>
    </row>
    <row r="6801" spans="14:14">
      <c r="N6801" s="113"/>
    </row>
    <row r="6802" spans="14:14">
      <c r="N6802" s="113"/>
    </row>
    <row r="6803" spans="14:14">
      <c r="N6803" s="113"/>
    </row>
    <row r="6804" spans="14:14">
      <c r="N6804" s="113"/>
    </row>
    <row r="6805" spans="14:14">
      <c r="N6805" s="113"/>
    </row>
    <row r="6806" spans="14:14">
      <c r="N6806" s="113"/>
    </row>
    <row r="6807" spans="14:14">
      <c r="N6807" s="113"/>
    </row>
    <row r="6808" spans="14:14">
      <c r="N6808" s="113"/>
    </row>
    <row r="6809" spans="14:14">
      <c r="N6809" s="113"/>
    </row>
    <row r="6810" spans="14:14">
      <c r="N6810" s="113"/>
    </row>
    <row r="6811" spans="14:14">
      <c r="N6811" s="113"/>
    </row>
    <row r="6812" spans="14:14">
      <c r="N6812" s="113"/>
    </row>
    <row r="6813" spans="14:14">
      <c r="N6813" s="113"/>
    </row>
    <row r="6814" spans="14:14">
      <c r="N6814" s="113"/>
    </row>
    <row r="6815" spans="14:14">
      <c r="N6815" s="113"/>
    </row>
    <row r="6816" spans="14:14">
      <c r="N6816" s="113"/>
    </row>
    <row r="6817" spans="14:14">
      <c r="N6817" s="113"/>
    </row>
    <row r="6818" spans="14:14">
      <c r="N6818" s="113"/>
    </row>
    <row r="6819" spans="14:14">
      <c r="N6819" s="113"/>
    </row>
    <row r="6820" spans="14:14">
      <c r="N6820" s="113"/>
    </row>
    <row r="6821" spans="14:14">
      <c r="N6821" s="113"/>
    </row>
    <row r="6822" spans="14:14">
      <c r="N6822" s="113"/>
    </row>
    <row r="6823" spans="14:14">
      <c r="N6823" s="113"/>
    </row>
    <row r="6824" spans="14:14">
      <c r="N6824" s="113"/>
    </row>
    <row r="6825" spans="14:14">
      <c r="N6825" s="113"/>
    </row>
    <row r="6826" spans="14:14">
      <c r="N6826" s="113"/>
    </row>
    <row r="6827" spans="14:14">
      <c r="N6827" s="113"/>
    </row>
    <row r="6828" spans="14:14">
      <c r="N6828" s="113"/>
    </row>
    <row r="6829" spans="14:14">
      <c r="N6829" s="113"/>
    </row>
    <row r="6830" spans="14:14">
      <c r="N6830" s="113"/>
    </row>
    <row r="6831" spans="14:14">
      <c r="N6831" s="113"/>
    </row>
    <row r="6832" spans="14:14">
      <c r="N6832" s="113"/>
    </row>
    <row r="6833" spans="14:14">
      <c r="N6833" s="113"/>
    </row>
    <row r="6834" spans="14:14">
      <c r="N6834" s="113"/>
    </row>
    <row r="6835" spans="14:14">
      <c r="N6835" s="113"/>
    </row>
    <row r="6836" spans="14:14">
      <c r="N6836" s="113"/>
    </row>
    <row r="6837" spans="14:14">
      <c r="N6837" s="113"/>
    </row>
    <row r="6838" spans="14:14">
      <c r="N6838" s="113"/>
    </row>
    <row r="6839" spans="14:14">
      <c r="N6839" s="113"/>
    </row>
    <row r="6840" spans="14:14">
      <c r="N6840" s="113"/>
    </row>
    <row r="6841" spans="14:14">
      <c r="N6841" s="113"/>
    </row>
    <row r="6842" spans="14:14">
      <c r="N6842" s="113"/>
    </row>
    <row r="6843" spans="14:14">
      <c r="N6843" s="113"/>
    </row>
    <row r="6844" spans="14:14">
      <c r="N6844" s="113"/>
    </row>
    <row r="6845" spans="14:14">
      <c r="N6845" s="113"/>
    </row>
    <row r="6846" spans="14:14">
      <c r="N6846" s="113"/>
    </row>
    <row r="6847" spans="14:14">
      <c r="N6847" s="113"/>
    </row>
    <row r="6848" spans="14:14">
      <c r="N6848" s="113"/>
    </row>
    <row r="6849" spans="14:14">
      <c r="N6849" s="113"/>
    </row>
    <row r="6850" spans="14:14">
      <c r="N6850" s="113"/>
    </row>
    <row r="6851" spans="14:14">
      <c r="N6851" s="113"/>
    </row>
    <row r="6852" spans="14:14">
      <c r="N6852" s="113"/>
    </row>
    <row r="6853" spans="14:14">
      <c r="N6853" s="113"/>
    </row>
    <row r="6854" spans="14:14">
      <c r="N6854" s="113"/>
    </row>
    <row r="6855" spans="14:14">
      <c r="N6855" s="113"/>
    </row>
    <row r="6856" spans="14:14">
      <c r="N6856" s="113"/>
    </row>
    <row r="6857" spans="14:14">
      <c r="N6857" s="113"/>
    </row>
    <row r="6858" spans="14:14">
      <c r="N6858" s="113"/>
    </row>
    <row r="6859" spans="14:14">
      <c r="N6859" s="113"/>
    </row>
    <row r="6860" spans="14:14">
      <c r="N6860" s="113"/>
    </row>
    <row r="6861" spans="14:14">
      <c r="N6861" s="113"/>
    </row>
    <row r="6862" spans="14:14">
      <c r="N6862" s="113"/>
    </row>
    <row r="6863" spans="14:14">
      <c r="N6863" s="113"/>
    </row>
    <row r="6864" spans="14:14">
      <c r="N6864" s="113"/>
    </row>
    <row r="6865" spans="14:14">
      <c r="N6865" s="113"/>
    </row>
    <row r="6866" spans="14:14">
      <c r="N6866" s="113"/>
    </row>
    <row r="6867" spans="14:14">
      <c r="N6867" s="113"/>
    </row>
    <row r="6868" spans="14:14">
      <c r="N6868" s="113"/>
    </row>
    <row r="6869" spans="14:14">
      <c r="N6869" s="113"/>
    </row>
    <row r="6870" spans="14:14">
      <c r="N6870" s="113"/>
    </row>
    <row r="6871" spans="14:14">
      <c r="N6871" s="113"/>
    </row>
    <row r="6872" spans="14:14">
      <c r="N6872" s="113"/>
    </row>
    <row r="6873" spans="14:14">
      <c r="N6873" s="113"/>
    </row>
    <row r="6874" spans="14:14">
      <c r="N6874" s="113"/>
    </row>
    <row r="6875" spans="14:14">
      <c r="N6875" s="113"/>
    </row>
    <row r="6876" spans="14:14">
      <c r="N6876" s="113"/>
    </row>
    <row r="6877" spans="14:14">
      <c r="N6877" s="113"/>
    </row>
    <row r="6878" spans="14:14">
      <c r="N6878" s="113"/>
    </row>
    <row r="6879" spans="14:14">
      <c r="N6879" s="113"/>
    </row>
    <row r="6880" spans="14:14">
      <c r="N6880" s="113"/>
    </row>
    <row r="6881" spans="14:14">
      <c r="N6881" s="113"/>
    </row>
    <row r="6882" spans="14:14">
      <c r="N6882" s="113"/>
    </row>
    <row r="6883" spans="14:14">
      <c r="N6883" s="113"/>
    </row>
    <row r="6884" spans="14:14">
      <c r="N6884" s="113"/>
    </row>
    <row r="6885" spans="14:14">
      <c r="N6885" s="113"/>
    </row>
    <row r="6886" spans="14:14">
      <c r="N6886" s="113"/>
    </row>
    <row r="6887" spans="14:14">
      <c r="N6887" s="113"/>
    </row>
    <row r="6888" spans="14:14">
      <c r="N6888" s="113"/>
    </row>
    <row r="6889" spans="14:14">
      <c r="N6889" s="113"/>
    </row>
    <row r="6890" spans="14:14">
      <c r="N6890" s="113"/>
    </row>
    <row r="6891" spans="14:14">
      <c r="N6891" s="113"/>
    </row>
    <row r="6892" spans="14:14">
      <c r="N6892" s="113"/>
    </row>
    <row r="6893" spans="14:14">
      <c r="N6893" s="113"/>
    </row>
    <row r="6894" spans="14:14">
      <c r="N6894" s="113"/>
    </row>
    <row r="6895" spans="14:14">
      <c r="N6895" s="113"/>
    </row>
    <row r="6896" spans="14:14">
      <c r="N6896" s="113"/>
    </row>
    <row r="6897" spans="14:14">
      <c r="N6897" s="113"/>
    </row>
    <row r="6898" spans="14:14">
      <c r="N6898" s="113"/>
    </row>
    <row r="6899" spans="14:14">
      <c r="N6899" s="113"/>
    </row>
    <row r="6900" spans="14:14">
      <c r="N6900" s="113"/>
    </row>
    <row r="6901" spans="14:14">
      <c r="N6901" s="113"/>
    </row>
    <row r="6902" spans="14:14">
      <c r="N6902" s="113"/>
    </row>
    <row r="6903" spans="14:14">
      <c r="N6903" s="113"/>
    </row>
    <row r="6904" spans="14:14">
      <c r="N6904" s="113"/>
    </row>
    <row r="6905" spans="14:14">
      <c r="N6905" s="113"/>
    </row>
    <row r="6906" spans="14:14">
      <c r="N6906" s="113"/>
    </row>
    <row r="6907" spans="14:14">
      <c r="N6907" s="113"/>
    </row>
    <row r="6908" spans="14:14">
      <c r="N6908" s="113"/>
    </row>
    <row r="6909" spans="14:14">
      <c r="N6909" s="113"/>
    </row>
    <row r="6910" spans="14:14">
      <c r="N6910" s="113"/>
    </row>
    <row r="6911" spans="14:14">
      <c r="N6911" s="113"/>
    </row>
    <row r="6912" spans="14:14">
      <c r="N6912" s="113"/>
    </row>
    <row r="6913" spans="14:14">
      <c r="N6913" s="113"/>
    </row>
    <row r="6914" spans="14:14">
      <c r="N6914" s="113"/>
    </row>
    <row r="6915" spans="14:14">
      <c r="N6915" s="113"/>
    </row>
    <row r="6916" spans="14:14">
      <c r="N6916" s="113"/>
    </row>
    <row r="6917" spans="14:14">
      <c r="N6917" s="113"/>
    </row>
    <row r="6918" spans="14:14">
      <c r="N6918" s="113"/>
    </row>
    <row r="6919" spans="14:14">
      <c r="N6919" s="113"/>
    </row>
    <row r="6920" spans="14:14">
      <c r="N6920" s="113"/>
    </row>
    <row r="6921" spans="14:14">
      <c r="N6921" s="113"/>
    </row>
    <row r="6922" spans="14:14">
      <c r="N6922" s="113"/>
    </row>
    <row r="6923" spans="14:14">
      <c r="N6923" s="113"/>
    </row>
    <row r="6924" spans="14:14">
      <c r="N6924" s="113"/>
    </row>
    <row r="6925" spans="14:14">
      <c r="N6925" s="113"/>
    </row>
    <row r="6926" spans="14:14">
      <c r="N6926" s="113"/>
    </row>
    <row r="6927" spans="14:14">
      <c r="N6927" s="113"/>
    </row>
    <row r="6928" spans="14:14">
      <c r="N6928" s="113"/>
    </row>
    <row r="6929" spans="14:14">
      <c r="N6929" s="113"/>
    </row>
    <row r="6930" spans="14:14">
      <c r="N6930" s="113"/>
    </row>
    <row r="6931" spans="14:14">
      <c r="N6931" s="113"/>
    </row>
    <row r="6932" spans="14:14">
      <c r="N6932" s="113"/>
    </row>
    <row r="6933" spans="14:14">
      <c r="N6933" s="113"/>
    </row>
    <row r="6934" spans="14:14">
      <c r="N6934" s="113"/>
    </row>
    <row r="6935" spans="14:14">
      <c r="N6935" s="113"/>
    </row>
    <row r="6936" spans="14:14">
      <c r="N6936" s="113"/>
    </row>
    <row r="6937" spans="14:14">
      <c r="N6937" s="113"/>
    </row>
    <row r="6938" spans="14:14">
      <c r="N6938" s="113"/>
    </row>
    <row r="6939" spans="14:14">
      <c r="N6939" s="113"/>
    </row>
    <row r="6940" spans="14:14">
      <c r="N6940" s="113"/>
    </row>
    <row r="6941" spans="14:14">
      <c r="N6941" s="113"/>
    </row>
    <row r="6942" spans="14:14">
      <c r="N6942" s="113"/>
    </row>
    <row r="6943" spans="14:14">
      <c r="N6943" s="113"/>
    </row>
    <row r="6944" spans="14:14">
      <c r="N6944" s="113"/>
    </row>
    <row r="6945" spans="14:14">
      <c r="N6945" s="113"/>
    </row>
    <row r="6946" spans="14:14">
      <c r="N6946" s="113"/>
    </row>
    <row r="6947" spans="14:14">
      <c r="N6947" s="113"/>
    </row>
    <row r="6948" spans="14:14">
      <c r="N6948" s="113"/>
    </row>
    <row r="6949" spans="14:14">
      <c r="N6949" s="113"/>
    </row>
    <row r="6950" spans="14:14">
      <c r="N6950" s="113"/>
    </row>
    <row r="6951" spans="14:14">
      <c r="N6951" s="113"/>
    </row>
    <row r="6952" spans="14:14">
      <c r="N6952" s="113"/>
    </row>
    <row r="6953" spans="14:14">
      <c r="N6953" s="113"/>
    </row>
    <row r="6954" spans="14:14">
      <c r="N6954" s="113"/>
    </row>
    <row r="6955" spans="14:14">
      <c r="N6955" s="113"/>
    </row>
    <row r="6956" spans="14:14">
      <c r="N6956" s="113"/>
    </row>
    <row r="6957" spans="14:14">
      <c r="N6957" s="113"/>
    </row>
    <row r="6958" spans="14:14">
      <c r="N6958" s="113"/>
    </row>
    <row r="6959" spans="14:14">
      <c r="N6959" s="113"/>
    </row>
    <row r="6960" spans="14:14">
      <c r="N6960" s="113"/>
    </row>
    <row r="6961" spans="14:14">
      <c r="N6961" s="113"/>
    </row>
    <row r="6962" spans="14:14">
      <c r="N6962" s="113"/>
    </row>
    <row r="6963" spans="14:14">
      <c r="N6963" s="113"/>
    </row>
    <row r="6964" spans="14:14">
      <c r="N6964" s="113"/>
    </row>
    <row r="6965" spans="14:14">
      <c r="N6965" s="113"/>
    </row>
    <row r="6966" spans="14:14">
      <c r="N6966" s="113"/>
    </row>
    <row r="6967" spans="14:14">
      <c r="N6967" s="113"/>
    </row>
    <row r="6968" spans="14:14">
      <c r="N6968" s="113"/>
    </row>
    <row r="6969" spans="14:14">
      <c r="N6969" s="113"/>
    </row>
    <row r="6970" spans="14:14">
      <c r="N6970" s="113"/>
    </row>
    <row r="6971" spans="14:14">
      <c r="N6971" s="113"/>
    </row>
    <row r="6972" spans="14:14">
      <c r="N6972" s="113"/>
    </row>
    <row r="6973" spans="14:14">
      <c r="N6973" s="113"/>
    </row>
    <row r="6974" spans="14:14">
      <c r="N6974" s="113"/>
    </row>
    <row r="6975" spans="14:14">
      <c r="N6975" s="113"/>
    </row>
    <row r="6976" spans="14:14">
      <c r="N6976" s="113"/>
    </row>
    <row r="6977" spans="14:14">
      <c r="N6977" s="113"/>
    </row>
    <row r="6978" spans="14:14">
      <c r="N6978" s="113"/>
    </row>
    <row r="6979" spans="14:14">
      <c r="N6979" s="113"/>
    </row>
    <row r="6980" spans="14:14">
      <c r="N6980" s="113"/>
    </row>
    <row r="6981" spans="14:14">
      <c r="N6981" s="113"/>
    </row>
    <row r="6982" spans="14:14">
      <c r="N6982" s="113"/>
    </row>
    <row r="6983" spans="14:14">
      <c r="N6983" s="113"/>
    </row>
    <row r="6984" spans="14:14">
      <c r="N6984" s="113"/>
    </row>
    <row r="6985" spans="14:14">
      <c r="N6985" s="113"/>
    </row>
    <row r="6986" spans="14:14">
      <c r="N6986" s="113"/>
    </row>
    <row r="6987" spans="14:14">
      <c r="N6987" s="113"/>
    </row>
    <row r="6988" spans="14:14">
      <c r="N6988" s="113"/>
    </row>
    <row r="6989" spans="14:14">
      <c r="N6989" s="113"/>
    </row>
    <row r="6990" spans="14:14">
      <c r="N6990" s="113"/>
    </row>
    <row r="6991" spans="14:14">
      <c r="N6991" s="113"/>
    </row>
    <row r="6992" spans="14:14">
      <c r="N6992" s="113"/>
    </row>
    <row r="6993" spans="14:14">
      <c r="N6993" s="113"/>
    </row>
    <row r="6994" spans="14:14">
      <c r="N6994" s="113"/>
    </row>
    <row r="6995" spans="14:14">
      <c r="N6995" s="113"/>
    </row>
    <row r="6996" spans="14:14">
      <c r="N6996" s="113"/>
    </row>
    <row r="6997" spans="14:14">
      <c r="N6997" s="113"/>
    </row>
    <row r="6998" spans="14:14">
      <c r="N6998" s="113"/>
    </row>
    <row r="6999" spans="14:14">
      <c r="N6999" s="113"/>
    </row>
    <row r="7000" spans="14:14">
      <c r="N7000" s="113"/>
    </row>
    <row r="7001" spans="14:14">
      <c r="N7001" s="113"/>
    </row>
    <row r="7002" spans="14:14">
      <c r="N7002" s="113"/>
    </row>
    <row r="7003" spans="14:14">
      <c r="N7003" s="113"/>
    </row>
    <row r="7004" spans="14:14">
      <c r="N7004" s="113"/>
    </row>
    <row r="7005" spans="14:14">
      <c r="N7005" s="113"/>
    </row>
    <row r="7006" spans="14:14">
      <c r="N7006" s="113"/>
    </row>
    <row r="7007" spans="14:14">
      <c r="N7007" s="113"/>
    </row>
    <row r="7008" spans="14:14">
      <c r="N7008" s="113"/>
    </row>
    <row r="7009" spans="14:14">
      <c r="N7009" s="113"/>
    </row>
    <row r="7010" spans="14:14">
      <c r="N7010" s="113"/>
    </row>
    <row r="7011" spans="14:14">
      <c r="N7011" s="113"/>
    </row>
    <row r="7012" spans="14:14">
      <c r="N7012" s="113"/>
    </row>
    <row r="7013" spans="14:14">
      <c r="N7013" s="113"/>
    </row>
    <row r="7014" spans="14:14">
      <c r="N7014" s="113"/>
    </row>
    <row r="7015" spans="14:14">
      <c r="N7015" s="113"/>
    </row>
    <row r="7016" spans="14:14">
      <c r="N7016" s="113"/>
    </row>
    <row r="7017" spans="14:14">
      <c r="N7017" s="113"/>
    </row>
    <row r="7018" spans="14:14">
      <c r="N7018" s="113"/>
    </row>
    <row r="7019" spans="14:14">
      <c r="N7019" s="113"/>
    </row>
    <row r="7020" spans="14:14">
      <c r="N7020" s="113"/>
    </row>
    <row r="7021" spans="14:14">
      <c r="N7021" s="113"/>
    </row>
    <row r="7022" spans="14:14">
      <c r="N7022" s="113"/>
    </row>
    <row r="7023" spans="14:14">
      <c r="N7023" s="113"/>
    </row>
    <row r="7024" spans="14:14">
      <c r="N7024" s="113"/>
    </row>
    <row r="7025" spans="14:14">
      <c r="N7025" s="113"/>
    </row>
    <row r="7026" spans="14:14">
      <c r="N7026" s="113"/>
    </row>
    <row r="7027" spans="14:14">
      <c r="N7027" s="113"/>
    </row>
    <row r="7028" spans="14:14">
      <c r="N7028" s="113"/>
    </row>
    <row r="7029" spans="14:14">
      <c r="N7029" s="113"/>
    </row>
    <row r="7030" spans="14:14">
      <c r="N7030" s="113"/>
    </row>
    <row r="7031" spans="14:14">
      <c r="N7031" s="113"/>
    </row>
    <row r="7032" spans="14:14">
      <c r="N7032" s="113"/>
    </row>
    <row r="7033" spans="14:14">
      <c r="N7033" s="113"/>
    </row>
    <row r="7034" spans="14:14">
      <c r="N7034" s="113"/>
    </row>
    <row r="7035" spans="14:14">
      <c r="N7035" s="113"/>
    </row>
    <row r="7036" spans="14:14">
      <c r="N7036" s="113"/>
    </row>
    <row r="7037" spans="14:14">
      <c r="N7037" s="113"/>
    </row>
    <row r="7038" spans="14:14">
      <c r="N7038" s="113"/>
    </row>
    <row r="7039" spans="14:14">
      <c r="N7039" s="113"/>
    </row>
    <row r="7040" spans="14:14">
      <c r="N7040" s="113"/>
    </row>
    <row r="7041" spans="14:14">
      <c r="N7041" s="113"/>
    </row>
    <row r="7042" spans="14:14">
      <c r="N7042" s="113"/>
    </row>
    <row r="7043" spans="14:14">
      <c r="N7043" s="113"/>
    </row>
    <row r="7044" spans="14:14">
      <c r="N7044" s="113"/>
    </row>
    <row r="7045" spans="14:14">
      <c r="N7045" s="113"/>
    </row>
    <row r="7046" spans="14:14">
      <c r="N7046" s="113"/>
    </row>
    <row r="7047" spans="14:14">
      <c r="N7047" s="113"/>
    </row>
    <row r="7048" spans="14:14">
      <c r="N7048" s="113"/>
    </row>
    <row r="7049" spans="14:14">
      <c r="N7049" s="113"/>
    </row>
    <row r="7050" spans="14:14">
      <c r="N7050" s="113"/>
    </row>
    <row r="7051" spans="14:14">
      <c r="N7051" s="113"/>
    </row>
    <row r="7052" spans="14:14">
      <c r="N7052" s="113"/>
    </row>
    <row r="7053" spans="14:14">
      <c r="N7053" s="113"/>
    </row>
    <row r="7054" spans="14:14">
      <c r="N7054" s="113"/>
    </row>
    <row r="7055" spans="14:14">
      <c r="N7055" s="113"/>
    </row>
    <row r="7056" spans="14:14">
      <c r="N7056" s="113"/>
    </row>
    <row r="7057" spans="14:14">
      <c r="N7057" s="113"/>
    </row>
    <row r="7058" spans="14:14">
      <c r="N7058" s="113"/>
    </row>
    <row r="7059" spans="14:14">
      <c r="N7059" s="113"/>
    </row>
    <row r="7060" spans="14:14">
      <c r="N7060" s="113"/>
    </row>
    <row r="7061" spans="14:14">
      <c r="N7061" s="113"/>
    </row>
    <row r="7062" spans="14:14">
      <c r="N7062" s="113"/>
    </row>
    <row r="7063" spans="14:14">
      <c r="N7063" s="113"/>
    </row>
    <row r="7064" spans="14:14">
      <c r="N7064" s="113"/>
    </row>
    <row r="7065" spans="14:14">
      <c r="N7065" s="113"/>
    </row>
    <row r="7066" spans="14:14">
      <c r="N7066" s="113"/>
    </row>
    <row r="7067" spans="14:14">
      <c r="N7067" s="113"/>
    </row>
    <row r="7068" spans="14:14">
      <c r="N7068" s="113"/>
    </row>
    <row r="7069" spans="14:14">
      <c r="N7069" s="113"/>
    </row>
    <row r="7070" spans="14:14">
      <c r="N7070" s="113"/>
    </row>
    <row r="7071" spans="14:14">
      <c r="N7071" s="113"/>
    </row>
    <row r="7072" spans="14:14">
      <c r="N7072" s="113"/>
    </row>
    <row r="7073" spans="14:14">
      <c r="N7073" s="113"/>
    </row>
    <row r="7074" spans="14:14">
      <c r="N7074" s="113"/>
    </row>
    <row r="7075" spans="14:14">
      <c r="N7075" s="113"/>
    </row>
    <row r="7076" spans="14:14">
      <c r="N7076" s="113"/>
    </row>
    <row r="7077" spans="14:14">
      <c r="N7077" s="113"/>
    </row>
    <row r="7078" spans="14:14">
      <c r="N7078" s="113"/>
    </row>
    <row r="7079" spans="14:14">
      <c r="N7079" s="113"/>
    </row>
    <row r="7080" spans="14:14">
      <c r="N7080" s="113"/>
    </row>
    <row r="7081" spans="14:14">
      <c r="N7081" s="113"/>
    </row>
    <row r="7082" spans="14:14">
      <c r="N7082" s="113"/>
    </row>
    <row r="7083" spans="14:14">
      <c r="N7083" s="113"/>
    </row>
    <row r="7084" spans="14:14">
      <c r="N7084" s="113"/>
    </row>
    <row r="7085" spans="14:14">
      <c r="N7085" s="113"/>
    </row>
    <row r="7086" spans="14:14">
      <c r="N7086" s="113"/>
    </row>
    <row r="7087" spans="14:14">
      <c r="N7087" s="113"/>
    </row>
    <row r="7088" spans="14:14">
      <c r="N7088" s="113"/>
    </row>
    <row r="7089" spans="14:14">
      <c r="N7089" s="113"/>
    </row>
    <row r="7090" spans="14:14">
      <c r="N7090" s="113"/>
    </row>
    <row r="7091" spans="14:14">
      <c r="N7091" s="113"/>
    </row>
    <row r="7092" spans="14:14">
      <c r="N7092" s="113"/>
    </row>
    <row r="7093" spans="14:14">
      <c r="N7093" s="113"/>
    </row>
    <row r="7094" spans="14:14">
      <c r="N7094" s="113"/>
    </row>
    <row r="7095" spans="14:14">
      <c r="N7095" s="113"/>
    </row>
    <row r="7096" spans="14:14">
      <c r="N7096" s="113"/>
    </row>
    <row r="7097" spans="14:14">
      <c r="N7097" s="113"/>
    </row>
    <row r="7098" spans="14:14">
      <c r="N7098" s="113"/>
    </row>
    <row r="7099" spans="14:14">
      <c r="N7099" s="113"/>
    </row>
    <row r="7100" spans="14:14">
      <c r="N7100" s="113"/>
    </row>
    <row r="7101" spans="14:14">
      <c r="N7101" s="113"/>
    </row>
    <row r="7102" spans="14:14">
      <c r="N7102" s="113"/>
    </row>
    <row r="7103" spans="14:14">
      <c r="N7103" s="113"/>
    </row>
    <row r="7104" spans="14:14">
      <c r="N7104" s="113"/>
    </row>
    <row r="7105" spans="14:14">
      <c r="N7105" s="113"/>
    </row>
    <row r="7106" spans="14:14">
      <c r="N7106" s="113"/>
    </row>
    <row r="7107" spans="14:14">
      <c r="N7107" s="113"/>
    </row>
    <row r="7108" spans="14:14">
      <c r="N7108" s="113"/>
    </row>
    <row r="7109" spans="14:14">
      <c r="N7109" s="113"/>
    </row>
    <row r="7110" spans="14:14">
      <c r="N7110" s="113"/>
    </row>
    <row r="7111" spans="14:14">
      <c r="N7111" s="113"/>
    </row>
    <row r="7112" spans="14:14">
      <c r="N7112" s="113"/>
    </row>
    <row r="7113" spans="14:14">
      <c r="N7113" s="113"/>
    </row>
    <row r="7114" spans="14:14">
      <c r="N7114" s="113"/>
    </row>
    <row r="7115" spans="14:14">
      <c r="N7115" s="113"/>
    </row>
    <row r="7116" spans="14:14">
      <c r="N7116" s="113"/>
    </row>
    <row r="7117" spans="14:14">
      <c r="N7117" s="113"/>
    </row>
    <row r="7118" spans="14:14">
      <c r="N7118" s="113"/>
    </row>
    <row r="7119" spans="14:14">
      <c r="N7119" s="113"/>
    </row>
    <row r="7120" spans="14:14">
      <c r="N7120" s="113"/>
    </row>
    <row r="7121" spans="14:14">
      <c r="N7121" s="113"/>
    </row>
    <row r="7122" spans="14:14">
      <c r="N7122" s="113"/>
    </row>
    <row r="7123" spans="14:14">
      <c r="N7123" s="113"/>
    </row>
    <row r="7124" spans="14:14">
      <c r="N7124" s="113"/>
    </row>
    <row r="7125" spans="14:14">
      <c r="N7125" s="113"/>
    </row>
    <row r="7126" spans="14:14">
      <c r="N7126" s="113"/>
    </row>
    <row r="7127" spans="14:14">
      <c r="N7127" s="113"/>
    </row>
    <row r="7128" spans="14:14">
      <c r="N7128" s="113"/>
    </row>
    <row r="7129" spans="14:14">
      <c r="N7129" s="113"/>
    </row>
    <row r="7130" spans="14:14">
      <c r="N7130" s="113"/>
    </row>
    <row r="7131" spans="14:14">
      <c r="N7131" s="113"/>
    </row>
    <row r="7132" spans="14:14">
      <c r="N7132" s="113"/>
    </row>
    <row r="7133" spans="14:14">
      <c r="N7133" s="113"/>
    </row>
    <row r="7134" spans="14:14">
      <c r="N7134" s="113"/>
    </row>
    <row r="7135" spans="14:14">
      <c r="N7135" s="113"/>
    </row>
    <row r="7136" spans="14:14">
      <c r="N7136" s="113"/>
    </row>
    <row r="7137" spans="14:14">
      <c r="N7137" s="113"/>
    </row>
    <row r="7138" spans="14:14">
      <c r="N7138" s="113"/>
    </row>
    <row r="7139" spans="14:14">
      <c r="N7139" s="113"/>
    </row>
    <row r="7140" spans="14:14">
      <c r="N7140" s="113"/>
    </row>
    <row r="7141" spans="14:14">
      <c r="N7141" s="113"/>
    </row>
    <row r="7142" spans="14:14">
      <c r="N7142" s="113"/>
    </row>
    <row r="7143" spans="14:14">
      <c r="N7143" s="113"/>
    </row>
    <row r="7144" spans="14:14">
      <c r="N7144" s="113"/>
    </row>
    <row r="7145" spans="14:14">
      <c r="N7145" s="113"/>
    </row>
    <row r="7146" spans="14:14">
      <c r="N7146" s="113"/>
    </row>
    <row r="7147" spans="14:14">
      <c r="N7147" s="113"/>
    </row>
    <row r="7148" spans="14:14">
      <c r="N7148" s="113"/>
    </row>
    <row r="7149" spans="14:14">
      <c r="N7149" s="113"/>
    </row>
    <row r="7150" spans="14:14">
      <c r="N7150" s="113"/>
    </row>
    <row r="7151" spans="14:14">
      <c r="N7151" s="113"/>
    </row>
    <row r="7152" spans="14:14">
      <c r="N7152" s="113"/>
    </row>
    <row r="7153" spans="14:14">
      <c r="N7153" s="113"/>
    </row>
    <row r="7154" spans="14:14">
      <c r="N7154" s="113"/>
    </row>
    <row r="7155" spans="14:14">
      <c r="N7155" s="113"/>
    </row>
    <row r="7156" spans="14:14">
      <c r="N7156" s="113"/>
    </row>
    <row r="7157" spans="14:14">
      <c r="N7157" s="113"/>
    </row>
    <row r="7158" spans="14:14">
      <c r="N7158" s="113"/>
    </row>
    <row r="7159" spans="14:14">
      <c r="N7159" s="113"/>
    </row>
    <row r="7160" spans="14:14">
      <c r="N7160" s="113"/>
    </row>
    <row r="7161" spans="14:14">
      <c r="N7161" s="113"/>
    </row>
    <row r="7162" spans="14:14">
      <c r="N7162" s="113"/>
    </row>
    <row r="7163" spans="14:14">
      <c r="N7163" s="113"/>
    </row>
    <row r="7164" spans="14:14">
      <c r="N7164" s="113"/>
    </row>
    <row r="7165" spans="14:14">
      <c r="N7165" s="113"/>
    </row>
    <row r="7166" spans="14:14">
      <c r="N7166" s="113"/>
    </row>
    <row r="7167" spans="14:14">
      <c r="N7167" s="113"/>
    </row>
    <row r="7168" spans="14:14">
      <c r="N7168" s="113"/>
    </row>
    <row r="7169" spans="14:14">
      <c r="N7169" s="113"/>
    </row>
    <row r="7170" spans="14:14">
      <c r="N7170" s="113"/>
    </row>
    <row r="7171" spans="14:14">
      <c r="N7171" s="113"/>
    </row>
    <row r="7172" spans="14:14">
      <c r="N7172" s="113"/>
    </row>
    <row r="7173" spans="14:14">
      <c r="N7173" s="113"/>
    </row>
    <row r="7174" spans="14:14">
      <c r="N7174" s="113"/>
    </row>
    <row r="7175" spans="14:14">
      <c r="N7175" s="113"/>
    </row>
    <row r="7176" spans="14:14">
      <c r="N7176" s="113"/>
    </row>
    <row r="7177" spans="14:14">
      <c r="N7177" s="113"/>
    </row>
    <row r="7178" spans="14:14">
      <c r="N7178" s="113"/>
    </row>
    <row r="7179" spans="14:14">
      <c r="N7179" s="113"/>
    </row>
    <row r="7180" spans="14:14">
      <c r="N7180" s="113"/>
    </row>
    <row r="7181" spans="14:14">
      <c r="N7181" s="113"/>
    </row>
    <row r="7182" spans="14:14">
      <c r="N7182" s="113"/>
    </row>
    <row r="7183" spans="14:14">
      <c r="N7183" s="113"/>
    </row>
    <row r="7184" spans="14:14">
      <c r="N7184" s="113"/>
    </row>
    <row r="7185" spans="14:14">
      <c r="N7185" s="113"/>
    </row>
    <row r="7186" spans="14:14">
      <c r="N7186" s="113"/>
    </row>
    <row r="7187" spans="14:14">
      <c r="N7187" s="113"/>
    </row>
    <row r="7188" spans="14:14">
      <c r="N7188" s="113"/>
    </row>
    <row r="7189" spans="14:14">
      <c r="N7189" s="113"/>
    </row>
    <row r="7190" spans="14:14">
      <c r="N7190" s="113"/>
    </row>
    <row r="7191" spans="14:14">
      <c r="N7191" s="113"/>
    </row>
    <row r="7192" spans="14:14">
      <c r="N7192" s="113"/>
    </row>
    <row r="7193" spans="14:14">
      <c r="N7193" s="113"/>
    </row>
    <row r="7194" spans="14:14">
      <c r="N7194" s="113"/>
    </row>
    <row r="7195" spans="14:14">
      <c r="N7195" s="113"/>
    </row>
    <row r="7196" spans="14:14">
      <c r="N7196" s="113"/>
    </row>
    <row r="7197" spans="14:14">
      <c r="N7197" s="113"/>
    </row>
    <row r="7198" spans="14:14">
      <c r="N7198" s="113"/>
    </row>
    <row r="7199" spans="14:14">
      <c r="N7199" s="113"/>
    </row>
    <row r="7200" spans="14:14">
      <c r="N7200" s="113"/>
    </row>
    <row r="7201" spans="14:14">
      <c r="N7201" s="113"/>
    </row>
    <row r="7202" spans="14:14">
      <c r="N7202" s="113"/>
    </row>
    <row r="7203" spans="14:14">
      <c r="N7203" s="113"/>
    </row>
    <row r="7204" spans="14:14">
      <c r="N7204" s="113"/>
    </row>
    <row r="7205" spans="14:14">
      <c r="N7205" s="113"/>
    </row>
    <row r="7206" spans="14:14">
      <c r="N7206" s="113"/>
    </row>
    <row r="7207" spans="14:14">
      <c r="N7207" s="113"/>
    </row>
    <row r="7208" spans="14:14">
      <c r="N7208" s="113"/>
    </row>
    <row r="7209" spans="14:14">
      <c r="N7209" s="113"/>
    </row>
    <row r="7210" spans="14:14">
      <c r="N7210" s="113"/>
    </row>
    <row r="7211" spans="14:14">
      <c r="N7211" s="113"/>
    </row>
    <row r="7212" spans="14:14">
      <c r="N7212" s="113"/>
    </row>
    <row r="7213" spans="14:14">
      <c r="N7213" s="113"/>
    </row>
    <row r="7214" spans="14:14">
      <c r="N7214" s="113"/>
    </row>
    <row r="7215" spans="14:14">
      <c r="N7215" s="113"/>
    </row>
    <row r="7216" spans="14:14">
      <c r="N7216" s="113"/>
    </row>
    <row r="7217" spans="14:14">
      <c r="N7217" s="113"/>
    </row>
    <row r="7218" spans="14:14">
      <c r="N7218" s="113"/>
    </row>
    <row r="7219" spans="14:14">
      <c r="N7219" s="113"/>
    </row>
    <row r="7220" spans="14:14">
      <c r="N7220" s="113"/>
    </row>
    <row r="7221" spans="14:14">
      <c r="N7221" s="113"/>
    </row>
    <row r="7222" spans="14:14">
      <c r="N7222" s="113"/>
    </row>
    <row r="7223" spans="14:14">
      <c r="N7223" s="113"/>
    </row>
    <row r="7224" spans="14:14">
      <c r="N7224" s="113"/>
    </row>
    <row r="7225" spans="14:14">
      <c r="N7225" s="113"/>
    </row>
    <row r="7226" spans="14:14">
      <c r="N7226" s="113"/>
    </row>
    <row r="7227" spans="14:14">
      <c r="N7227" s="113"/>
    </row>
    <row r="7228" spans="14:14">
      <c r="N7228" s="113"/>
    </row>
    <row r="7229" spans="14:14">
      <c r="N7229" s="113"/>
    </row>
    <row r="7230" spans="14:14">
      <c r="N7230" s="113"/>
    </row>
    <row r="7231" spans="14:14">
      <c r="N7231" s="113"/>
    </row>
    <row r="7232" spans="14:14">
      <c r="N7232" s="113"/>
    </row>
    <row r="7233" spans="14:14">
      <c r="N7233" s="113"/>
    </row>
    <row r="7234" spans="14:14">
      <c r="N7234" s="113"/>
    </row>
    <row r="7235" spans="14:14">
      <c r="N7235" s="113"/>
    </row>
    <row r="7236" spans="14:14">
      <c r="N7236" s="113"/>
    </row>
    <row r="7237" spans="14:14">
      <c r="N7237" s="113"/>
    </row>
    <row r="7238" spans="14:14">
      <c r="N7238" s="113"/>
    </row>
    <row r="7239" spans="14:14">
      <c r="N7239" s="113"/>
    </row>
    <row r="7240" spans="14:14">
      <c r="N7240" s="113"/>
    </row>
    <row r="7241" spans="14:14">
      <c r="N7241" s="113"/>
    </row>
    <row r="7242" spans="14:14">
      <c r="N7242" s="113"/>
    </row>
    <row r="7243" spans="14:14">
      <c r="N7243" s="113"/>
    </row>
    <row r="7244" spans="14:14">
      <c r="N7244" s="113"/>
    </row>
    <row r="7245" spans="14:14">
      <c r="N7245" s="113"/>
    </row>
    <row r="7246" spans="14:14">
      <c r="N7246" s="113"/>
    </row>
    <row r="7247" spans="14:14">
      <c r="N7247" s="113"/>
    </row>
    <row r="7248" spans="14:14">
      <c r="N7248" s="113"/>
    </row>
    <row r="7249" spans="14:14">
      <c r="N7249" s="113"/>
    </row>
    <row r="7250" spans="14:14">
      <c r="N7250" s="113"/>
    </row>
    <row r="7251" spans="14:14">
      <c r="N7251" s="113"/>
    </row>
    <row r="7252" spans="14:14">
      <c r="N7252" s="113"/>
    </row>
    <row r="7253" spans="14:14">
      <c r="N7253" s="113"/>
    </row>
    <row r="7254" spans="14:14">
      <c r="N7254" s="113"/>
    </row>
    <row r="7255" spans="14:14">
      <c r="N7255" s="113"/>
    </row>
    <row r="7256" spans="14:14">
      <c r="N7256" s="113"/>
    </row>
    <row r="7257" spans="14:14">
      <c r="N7257" s="113"/>
    </row>
    <row r="7258" spans="14:14">
      <c r="N7258" s="113"/>
    </row>
    <row r="7259" spans="14:14">
      <c r="N7259" s="113"/>
    </row>
    <row r="7260" spans="14:14">
      <c r="N7260" s="113"/>
    </row>
    <row r="7261" spans="14:14">
      <c r="N7261" s="113"/>
    </row>
    <row r="7262" spans="14:14">
      <c r="N7262" s="113"/>
    </row>
    <row r="7263" spans="14:14">
      <c r="N7263" s="113"/>
    </row>
    <row r="7264" spans="14:14">
      <c r="N7264" s="113"/>
    </row>
    <row r="7265" spans="14:14">
      <c r="N7265" s="113"/>
    </row>
    <row r="7266" spans="14:14">
      <c r="N7266" s="113"/>
    </row>
    <row r="7267" spans="14:14">
      <c r="N7267" s="113"/>
    </row>
    <row r="7268" spans="14:14">
      <c r="N7268" s="113"/>
    </row>
    <row r="7269" spans="14:14">
      <c r="N7269" s="113"/>
    </row>
    <row r="7270" spans="14:14">
      <c r="N7270" s="113"/>
    </row>
    <row r="7271" spans="14:14">
      <c r="N7271" s="113"/>
    </row>
    <row r="7272" spans="14:14">
      <c r="N7272" s="113"/>
    </row>
    <row r="7273" spans="14:14">
      <c r="N7273" s="113"/>
    </row>
    <row r="7274" spans="14:14">
      <c r="N7274" s="113"/>
    </row>
    <row r="7275" spans="14:14">
      <c r="N7275" s="113"/>
    </row>
    <row r="7276" spans="14:14">
      <c r="N7276" s="113"/>
    </row>
    <row r="7277" spans="14:14">
      <c r="N7277" s="113"/>
    </row>
    <row r="7278" spans="14:14">
      <c r="N7278" s="113"/>
    </row>
    <row r="7279" spans="14:14">
      <c r="N7279" s="113"/>
    </row>
    <row r="7280" spans="14:14">
      <c r="N7280" s="113"/>
    </row>
    <row r="7281" spans="14:14">
      <c r="N7281" s="113"/>
    </row>
    <row r="7282" spans="14:14">
      <c r="N7282" s="113"/>
    </row>
    <row r="7283" spans="14:14">
      <c r="N7283" s="113"/>
    </row>
    <row r="7284" spans="14:14">
      <c r="N7284" s="113"/>
    </row>
    <row r="7285" spans="14:14">
      <c r="N7285" s="113"/>
    </row>
    <row r="7286" spans="14:14">
      <c r="N7286" s="113"/>
    </row>
    <row r="7287" spans="14:14">
      <c r="N7287" s="113"/>
    </row>
    <row r="7288" spans="14:14">
      <c r="N7288" s="113"/>
    </row>
    <row r="7289" spans="14:14">
      <c r="N7289" s="113"/>
    </row>
    <row r="7290" spans="14:14">
      <c r="N7290" s="113"/>
    </row>
    <row r="7291" spans="14:14">
      <c r="N7291" s="113"/>
    </row>
    <row r="7292" spans="14:14">
      <c r="N7292" s="113"/>
    </row>
    <row r="7293" spans="14:14">
      <c r="N7293" s="113"/>
    </row>
    <row r="7294" spans="14:14">
      <c r="N7294" s="113"/>
    </row>
    <row r="7295" spans="14:14">
      <c r="N7295" s="113"/>
    </row>
    <row r="7296" spans="14:14">
      <c r="N7296" s="113"/>
    </row>
    <row r="7297" spans="14:14">
      <c r="N7297" s="113"/>
    </row>
    <row r="7298" spans="14:14">
      <c r="N7298" s="113"/>
    </row>
    <row r="7299" spans="14:14">
      <c r="N7299" s="113"/>
    </row>
    <row r="7300" spans="14:14">
      <c r="N7300" s="113"/>
    </row>
    <row r="7301" spans="14:14">
      <c r="N7301" s="113"/>
    </row>
    <row r="7302" spans="14:14">
      <c r="N7302" s="113"/>
    </row>
    <row r="7303" spans="14:14">
      <c r="N7303" s="113"/>
    </row>
    <row r="7304" spans="14:14">
      <c r="N7304" s="113"/>
    </row>
    <row r="7305" spans="14:14">
      <c r="N7305" s="113"/>
    </row>
    <row r="7306" spans="14:14">
      <c r="N7306" s="113"/>
    </row>
    <row r="7307" spans="14:14">
      <c r="N7307" s="113"/>
    </row>
    <row r="7308" spans="14:14">
      <c r="N7308" s="113"/>
    </row>
    <row r="7309" spans="14:14">
      <c r="N7309" s="113"/>
    </row>
    <row r="7310" spans="14:14">
      <c r="N7310" s="113"/>
    </row>
    <row r="7311" spans="14:14">
      <c r="N7311" s="113"/>
    </row>
    <row r="7312" spans="14:14">
      <c r="N7312" s="113"/>
    </row>
    <row r="7313" spans="14:14">
      <c r="N7313" s="113"/>
    </row>
    <row r="7314" spans="14:14">
      <c r="N7314" s="113"/>
    </row>
    <row r="7315" spans="14:14">
      <c r="N7315" s="113"/>
    </row>
    <row r="7316" spans="14:14">
      <c r="N7316" s="113"/>
    </row>
    <row r="7317" spans="14:14">
      <c r="N7317" s="113"/>
    </row>
    <row r="7318" spans="14:14">
      <c r="N7318" s="113"/>
    </row>
    <row r="7319" spans="14:14">
      <c r="N7319" s="113"/>
    </row>
    <row r="7320" spans="14:14">
      <c r="N7320" s="113"/>
    </row>
    <row r="7321" spans="14:14">
      <c r="N7321" s="113"/>
    </row>
    <row r="7322" spans="14:14">
      <c r="N7322" s="113"/>
    </row>
    <row r="7323" spans="14:14">
      <c r="N7323" s="113"/>
    </row>
    <row r="7324" spans="14:14">
      <c r="N7324" s="113"/>
    </row>
    <row r="7325" spans="14:14">
      <c r="N7325" s="113"/>
    </row>
    <row r="7326" spans="14:14">
      <c r="N7326" s="113"/>
    </row>
    <row r="7327" spans="14:14">
      <c r="N7327" s="113"/>
    </row>
    <row r="7328" spans="14:14">
      <c r="N7328" s="113"/>
    </row>
    <row r="7329" spans="14:14">
      <c r="N7329" s="113"/>
    </row>
    <row r="7330" spans="14:14">
      <c r="N7330" s="113"/>
    </row>
    <row r="7331" spans="14:14">
      <c r="N7331" s="113"/>
    </row>
    <row r="7332" spans="14:14">
      <c r="N7332" s="113"/>
    </row>
    <row r="7333" spans="14:14">
      <c r="N7333" s="113"/>
    </row>
    <row r="7334" spans="14:14">
      <c r="N7334" s="113"/>
    </row>
    <row r="7335" spans="14:14">
      <c r="N7335" s="113"/>
    </row>
    <row r="7336" spans="14:14">
      <c r="N7336" s="113"/>
    </row>
    <row r="7337" spans="14:14">
      <c r="N7337" s="113"/>
    </row>
    <row r="7338" spans="14:14">
      <c r="N7338" s="113"/>
    </row>
    <row r="7339" spans="14:14">
      <c r="N7339" s="113"/>
    </row>
    <row r="7340" spans="14:14">
      <c r="N7340" s="113"/>
    </row>
    <row r="7341" spans="14:14">
      <c r="N7341" s="113"/>
    </row>
    <row r="7342" spans="14:14">
      <c r="N7342" s="113"/>
    </row>
    <row r="7343" spans="14:14">
      <c r="N7343" s="113"/>
    </row>
    <row r="7344" spans="14:14">
      <c r="N7344" s="113"/>
    </row>
    <row r="7345" spans="14:14">
      <c r="N7345" s="113"/>
    </row>
    <row r="7346" spans="14:14">
      <c r="N7346" s="113"/>
    </row>
    <row r="7347" spans="14:14">
      <c r="N7347" s="113"/>
    </row>
    <row r="7348" spans="14:14">
      <c r="N7348" s="113"/>
    </row>
    <row r="7349" spans="14:14">
      <c r="N7349" s="113"/>
    </row>
    <row r="7350" spans="14:14">
      <c r="N7350" s="113"/>
    </row>
    <row r="7351" spans="14:14">
      <c r="N7351" s="113"/>
    </row>
    <row r="7352" spans="14:14">
      <c r="N7352" s="113"/>
    </row>
    <row r="7353" spans="14:14">
      <c r="N7353" s="113"/>
    </row>
    <row r="7354" spans="14:14">
      <c r="N7354" s="113"/>
    </row>
    <row r="7355" spans="14:14">
      <c r="N7355" s="113"/>
    </row>
    <row r="7356" spans="14:14">
      <c r="N7356" s="113"/>
    </row>
    <row r="7357" spans="14:14">
      <c r="N7357" s="113"/>
    </row>
    <row r="7358" spans="14:14">
      <c r="N7358" s="113"/>
    </row>
    <row r="7359" spans="14:14">
      <c r="N7359" s="113"/>
    </row>
    <row r="7360" spans="14:14">
      <c r="N7360" s="113"/>
    </row>
    <row r="7361" spans="14:14">
      <c r="N7361" s="113"/>
    </row>
    <row r="7362" spans="14:14">
      <c r="N7362" s="113"/>
    </row>
    <row r="7363" spans="14:14">
      <c r="N7363" s="113"/>
    </row>
    <row r="7364" spans="14:14">
      <c r="N7364" s="113"/>
    </row>
    <row r="7365" spans="14:14">
      <c r="N7365" s="113"/>
    </row>
    <row r="7366" spans="14:14">
      <c r="N7366" s="113"/>
    </row>
    <row r="7367" spans="14:14">
      <c r="N7367" s="113"/>
    </row>
    <row r="7368" spans="14:14">
      <c r="N7368" s="113"/>
    </row>
    <row r="7369" spans="14:14">
      <c r="N7369" s="113"/>
    </row>
    <row r="7370" spans="14:14">
      <c r="N7370" s="113"/>
    </row>
    <row r="7371" spans="14:14">
      <c r="N7371" s="113"/>
    </row>
    <row r="7372" spans="14:14">
      <c r="N7372" s="113"/>
    </row>
    <row r="7373" spans="14:14">
      <c r="N7373" s="113"/>
    </row>
    <row r="7374" spans="14:14">
      <c r="N7374" s="113"/>
    </row>
    <row r="7375" spans="14:14">
      <c r="N7375" s="113"/>
    </row>
    <row r="7376" spans="14:14">
      <c r="N7376" s="113"/>
    </row>
    <row r="7377" spans="14:14">
      <c r="N7377" s="113"/>
    </row>
    <row r="7378" spans="14:14">
      <c r="N7378" s="113"/>
    </row>
    <row r="7379" spans="14:14">
      <c r="N7379" s="113"/>
    </row>
    <row r="7380" spans="14:14">
      <c r="N7380" s="113"/>
    </row>
    <row r="7381" spans="14:14">
      <c r="N7381" s="113"/>
    </row>
    <row r="7382" spans="14:14">
      <c r="N7382" s="113"/>
    </row>
    <row r="7383" spans="14:14">
      <c r="N7383" s="113"/>
    </row>
    <row r="7384" spans="14:14">
      <c r="N7384" s="113"/>
    </row>
    <row r="7385" spans="14:14">
      <c r="N7385" s="113"/>
    </row>
    <row r="7386" spans="14:14">
      <c r="N7386" s="113"/>
    </row>
    <row r="7387" spans="14:14">
      <c r="N7387" s="113"/>
    </row>
    <row r="7388" spans="14:14">
      <c r="N7388" s="113"/>
    </row>
    <row r="7389" spans="14:14">
      <c r="N7389" s="113"/>
    </row>
    <row r="7390" spans="14:14">
      <c r="N7390" s="113"/>
    </row>
    <row r="7391" spans="14:14">
      <c r="N7391" s="113"/>
    </row>
    <row r="7392" spans="14:14">
      <c r="N7392" s="113"/>
    </row>
    <row r="7393" spans="14:14">
      <c r="N7393" s="113"/>
    </row>
    <row r="7394" spans="14:14">
      <c r="N7394" s="113"/>
    </row>
    <row r="7395" spans="14:14">
      <c r="N7395" s="113"/>
    </row>
    <row r="7396" spans="14:14">
      <c r="N7396" s="113"/>
    </row>
    <row r="7397" spans="14:14">
      <c r="N7397" s="113"/>
    </row>
    <row r="7398" spans="14:14">
      <c r="N7398" s="113"/>
    </row>
    <row r="7399" spans="14:14">
      <c r="N7399" s="113"/>
    </row>
    <row r="7400" spans="14:14">
      <c r="N7400" s="113"/>
    </row>
    <row r="7401" spans="14:14">
      <c r="N7401" s="113"/>
    </row>
    <row r="7402" spans="14:14">
      <c r="N7402" s="113"/>
    </row>
    <row r="7403" spans="14:14">
      <c r="N7403" s="113"/>
    </row>
    <row r="7404" spans="14:14">
      <c r="N7404" s="113"/>
    </row>
    <row r="7405" spans="14:14">
      <c r="N7405" s="113"/>
    </row>
    <row r="7406" spans="14:14">
      <c r="N7406" s="113"/>
    </row>
    <row r="7407" spans="14:14">
      <c r="N7407" s="113"/>
    </row>
    <row r="7408" spans="14:14">
      <c r="N7408" s="113"/>
    </row>
    <row r="7409" spans="14:14">
      <c r="N7409" s="113"/>
    </row>
    <row r="7410" spans="14:14">
      <c r="N7410" s="113"/>
    </row>
    <row r="7411" spans="14:14">
      <c r="N7411" s="113"/>
    </row>
    <row r="7412" spans="14:14">
      <c r="N7412" s="113"/>
    </row>
    <row r="7413" spans="14:14">
      <c r="N7413" s="113"/>
    </row>
    <row r="7414" spans="14:14">
      <c r="N7414" s="113"/>
    </row>
    <row r="7415" spans="14:14">
      <c r="N7415" s="113"/>
    </row>
    <row r="7416" spans="14:14">
      <c r="N7416" s="113"/>
    </row>
    <row r="7417" spans="14:14">
      <c r="N7417" s="113"/>
    </row>
    <row r="7418" spans="14:14">
      <c r="N7418" s="113"/>
    </row>
    <row r="7419" spans="14:14">
      <c r="N7419" s="113"/>
    </row>
    <row r="7420" spans="14:14">
      <c r="N7420" s="113"/>
    </row>
    <row r="7421" spans="14:14">
      <c r="N7421" s="113"/>
    </row>
    <row r="7422" spans="14:14">
      <c r="N7422" s="113"/>
    </row>
    <row r="7423" spans="14:14">
      <c r="N7423" s="113"/>
    </row>
    <row r="7424" spans="14:14">
      <c r="N7424" s="113"/>
    </row>
    <row r="7425" spans="14:14">
      <c r="N7425" s="113"/>
    </row>
    <row r="7426" spans="14:14">
      <c r="N7426" s="113"/>
    </row>
    <row r="7427" spans="14:14">
      <c r="N7427" s="113"/>
    </row>
    <row r="7428" spans="14:14">
      <c r="N7428" s="113"/>
    </row>
    <row r="7429" spans="14:14">
      <c r="N7429" s="113"/>
    </row>
    <row r="7430" spans="14:14">
      <c r="N7430" s="113"/>
    </row>
    <row r="7431" spans="14:14">
      <c r="N7431" s="113"/>
    </row>
    <row r="7432" spans="14:14">
      <c r="N7432" s="113"/>
    </row>
    <row r="7433" spans="14:14">
      <c r="N7433" s="113"/>
    </row>
    <row r="7434" spans="14:14">
      <c r="N7434" s="113"/>
    </row>
    <row r="7435" spans="14:14">
      <c r="N7435" s="113"/>
    </row>
    <row r="7436" spans="14:14">
      <c r="N7436" s="113"/>
    </row>
    <row r="7437" spans="14:14">
      <c r="N7437" s="113"/>
    </row>
    <row r="7438" spans="14:14">
      <c r="N7438" s="113"/>
    </row>
    <row r="7439" spans="14:14">
      <c r="N7439" s="113"/>
    </row>
    <row r="7440" spans="14:14">
      <c r="N7440" s="113"/>
    </row>
    <row r="7441" spans="14:14">
      <c r="N7441" s="113"/>
    </row>
    <row r="7442" spans="14:14">
      <c r="N7442" s="113"/>
    </row>
    <row r="7443" spans="14:14">
      <c r="N7443" s="113"/>
    </row>
    <row r="7444" spans="14:14">
      <c r="N7444" s="113"/>
    </row>
    <row r="7445" spans="14:14">
      <c r="N7445" s="113"/>
    </row>
    <row r="7446" spans="14:14">
      <c r="N7446" s="113"/>
    </row>
    <row r="7447" spans="14:14">
      <c r="N7447" s="113"/>
    </row>
    <row r="7448" spans="14:14">
      <c r="N7448" s="113"/>
    </row>
    <row r="7449" spans="14:14">
      <c r="N7449" s="113"/>
    </row>
    <row r="7450" spans="14:14">
      <c r="N7450" s="113"/>
    </row>
    <row r="7451" spans="14:14">
      <c r="N7451" s="113"/>
    </row>
    <row r="7452" spans="14:14">
      <c r="N7452" s="113"/>
    </row>
    <row r="7453" spans="14:14">
      <c r="N7453" s="113"/>
    </row>
    <row r="7454" spans="14:14">
      <c r="N7454" s="113"/>
    </row>
    <row r="7455" spans="14:14">
      <c r="N7455" s="113"/>
    </row>
    <row r="7456" spans="14:14">
      <c r="N7456" s="113"/>
    </row>
    <row r="7457" spans="14:14">
      <c r="N7457" s="113"/>
    </row>
    <row r="7458" spans="14:14">
      <c r="N7458" s="113"/>
    </row>
    <row r="7459" spans="14:14">
      <c r="N7459" s="113"/>
    </row>
    <row r="7460" spans="14:14">
      <c r="N7460" s="113"/>
    </row>
    <row r="7461" spans="14:14">
      <c r="N7461" s="113"/>
    </row>
    <row r="7462" spans="14:14">
      <c r="N7462" s="113"/>
    </row>
    <row r="7463" spans="14:14">
      <c r="N7463" s="113"/>
    </row>
    <row r="7464" spans="14:14">
      <c r="N7464" s="113"/>
    </row>
    <row r="7465" spans="14:14">
      <c r="N7465" s="113"/>
    </row>
    <row r="7466" spans="14:14">
      <c r="N7466" s="113"/>
    </row>
    <row r="7467" spans="14:14">
      <c r="N7467" s="113"/>
    </row>
    <row r="7468" spans="14:14">
      <c r="N7468" s="113"/>
    </row>
    <row r="7469" spans="14:14">
      <c r="N7469" s="113"/>
    </row>
    <row r="7470" spans="14:14">
      <c r="N7470" s="113"/>
    </row>
    <row r="7471" spans="14:14">
      <c r="N7471" s="113"/>
    </row>
    <row r="7472" spans="14:14">
      <c r="N7472" s="113"/>
    </row>
    <row r="7473" spans="14:14">
      <c r="N7473" s="113"/>
    </row>
    <row r="7474" spans="14:14">
      <c r="N7474" s="113"/>
    </row>
    <row r="7475" spans="14:14">
      <c r="N7475" s="113"/>
    </row>
    <row r="7476" spans="14:14">
      <c r="N7476" s="113"/>
    </row>
    <row r="7477" spans="14:14">
      <c r="N7477" s="113"/>
    </row>
    <row r="7478" spans="14:14">
      <c r="N7478" s="113"/>
    </row>
    <row r="7479" spans="14:14">
      <c r="N7479" s="113"/>
    </row>
    <row r="7480" spans="14:14">
      <c r="N7480" s="113"/>
    </row>
    <row r="7481" spans="14:14">
      <c r="N7481" s="113"/>
    </row>
    <row r="7482" spans="14:14">
      <c r="N7482" s="113"/>
    </row>
    <row r="7483" spans="14:14">
      <c r="N7483" s="113"/>
    </row>
    <row r="7484" spans="14:14">
      <c r="N7484" s="113"/>
    </row>
    <row r="7485" spans="14:14">
      <c r="N7485" s="113"/>
    </row>
    <row r="7486" spans="14:14">
      <c r="N7486" s="113"/>
    </row>
    <row r="7487" spans="14:14">
      <c r="N7487" s="113"/>
    </row>
    <row r="7488" spans="14:14">
      <c r="N7488" s="113"/>
    </row>
    <row r="7489" spans="14:14">
      <c r="N7489" s="113"/>
    </row>
    <row r="7490" spans="14:14">
      <c r="N7490" s="113"/>
    </row>
    <row r="7491" spans="14:14">
      <c r="N7491" s="113"/>
    </row>
    <row r="7492" spans="14:14">
      <c r="N7492" s="113"/>
    </row>
    <row r="7493" spans="14:14">
      <c r="N7493" s="113"/>
    </row>
    <row r="7494" spans="14:14">
      <c r="N7494" s="113"/>
    </row>
    <row r="7495" spans="14:14">
      <c r="N7495" s="113"/>
    </row>
    <row r="7496" spans="14:14">
      <c r="N7496" s="113"/>
    </row>
    <row r="7497" spans="14:14">
      <c r="N7497" s="113"/>
    </row>
    <row r="7498" spans="14:14">
      <c r="N7498" s="113"/>
    </row>
    <row r="7499" spans="14:14">
      <c r="N7499" s="113"/>
    </row>
    <row r="7500" spans="14:14">
      <c r="N7500" s="113"/>
    </row>
    <row r="7501" spans="14:14">
      <c r="N7501" s="113"/>
    </row>
    <row r="7502" spans="14:14">
      <c r="N7502" s="113"/>
    </row>
    <row r="7503" spans="14:14">
      <c r="N7503" s="113"/>
    </row>
    <row r="7504" spans="14:14">
      <c r="N7504" s="113"/>
    </row>
    <row r="7505" spans="14:14">
      <c r="N7505" s="113"/>
    </row>
    <row r="7506" spans="14:14">
      <c r="N7506" s="113"/>
    </row>
    <row r="7507" spans="14:14">
      <c r="N7507" s="113"/>
    </row>
    <row r="7508" spans="14:14">
      <c r="N7508" s="113"/>
    </row>
    <row r="7509" spans="14:14">
      <c r="N7509" s="113"/>
    </row>
    <row r="7510" spans="14:14">
      <c r="N7510" s="113"/>
    </row>
    <row r="7511" spans="14:14">
      <c r="N7511" s="113"/>
    </row>
    <row r="7512" spans="14:14">
      <c r="N7512" s="113"/>
    </row>
    <row r="7513" spans="14:14">
      <c r="N7513" s="113"/>
    </row>
    <row r="7514" spans="14:14">
      <c r="N7514" s="113"/>
    </row>
    <row r="7515" spans="14:14">
      <c r="N7515" s="113"/>
    </row>
    <row r="7516" spans="14:14">
      <c r="N7516" s="113"/>
    </row>
    <row r="7517" spans="14:14">
      <c r="N7517" s="113"/>
    </row>
    <row r="7518" spans="14:14">
      <c r="N7518" s="113"/>
    </row>
    <row r="7519" spans="14:14">
      <c r="N7519" s="113"/>
    </row>
    <row r="7520" spans="14:14">
      <c r="N7520" s="113"/>
    </row>
    <row r="7521" spans="14:14">
      <c r="N7521" s="113"/>
    </row>
    <row r="7522" spans="14:14">
      <c r="N7522" s="113"/>
    </row>
    <row r="7523" spans="14:14">
      <c r="N7523" s="113"/>
    </row>
    <row r="7524" spans="14:14">
      <c r="N7524" s="113"/>
    </row>
    <row r="7525" spans="14:14">
      <c r="N7525" s="113"/>
    </row>
    <row r="7526" spans="14:14">
      <c r="N7526" s="113"/>
    </row>
    <row r="7527" spans="14:14">
      <c r="N7527" s="113"/>
    </row>
    <row r="7528" spans="14:14">
      <c r="N7528" s="113"/>
    </row>
    <row r="7529" spans="14:14">
      <c r="N7529" s="113"/>
    </row>
    <row r="7530" spans="14:14">
      <c r="N7530" s="113"/>
    </row>
    <row r="7531" spans="14:14">
      <c r="N7531" s="113"/>
    </row>
    <row r="7532" spans="14:14">
      <c r="N7532" s="113"/>
    </row>
    <row r="7533" spans="14:14">
      <c r="N7533" s="113"/>
    </row>
    <row r="7534" spans="14:14">
      <c r="N7534" s="113"/>
    </row>
    <row r="7535" spans="14:14">
      <c r="N7535" s="113"/>
    </row>
    <row r="7536" spans="14:14">
      <c r="N7536" s="113"/>
    </row>
    <row r="7537" spans="14:14">
      <c r="N7537" s="113"/>
    </row>
    <row r="7538" spans="14:14">
      <c r="N7538" s="113"/>
    </row>
    <row r="7539" spans="14:14">
      <c r="N7539" s="113"/>
    </row>
    <row r="7540" spans="14:14">
      <c r="N7540" s="113"/>
    </row>
    <row r="7541" spans="14:14">
      <c r="N7541" s="113"/>
    </row>
    <row r="7542" spans="14:14">
      <c r="N7542" s="113"/>
    </row>
    <row r="7543" spans="14:14">
      <c r="N7543" s="113"/>
    </row>
    <row r="7544" spans="14:14">
      <c r="N7544" s="113"/>
    </row>
    <row r="7545" spans="14:14">
      <c r="N7545" s="113"/>
    </row>
    <row r="7546" spans="14:14">
      <c r="N7546" s="113"/>
    </row>
    <row r="7547" spans="14:14">
      <c r="N7547" s="113"/>
    </row>
    <row r="7548" spans="14:14">
      <c r="N7548" s="113"/>
    </row>
    <row r="7549" spans="14:14">
      <c r="N7549" s="113"/>
    </row>
    <row r="7550" spans="14:14">
      <c r="N7550" s="113"/>
    </row>
    <row r="7551" spans="14:14">
      <c r="N7551" s="113"/>
    </row>
    <row r="7552" spans="14:14">
      <c r="N7552" s="113"/>
    </row>
    <row r="7553" spans="14:14">
      <c r="N7553" s="113"/>
    </row>
    <row r="7554" spans="14:14">
      <c r="N7554" s="113"/>
    </row>
    <row r="7555" spans="14:14">
      <c r="N7555" s="113"/>
    </row>
    <row r="7556" spans="14:14">
      <c r="N7556" s="113"/>
    </row>
    <row r="7557" spans="14:14">
      <c r="N7557" s="113"/>
    </row>
    <row r="7558" spans="14:14">
      <c r="N7558" s="113"/>
    </row>
    <row r="7559" spans="14:14">
      <c r="N7559" s="113"/>
    </row>
    <row r="7560" spans="14:14">
      <c r="N7560" s="113"/>
    </row>
    <row r="7561" spans="14:14">
      <c r="N7561" s="113"/>
    </row>
    <row r="7562" spans="14:14">
      <c r="N7562" s="113"/>
    </row>
    <row r="7563" spans="14:14">
      <c r="N7563" s="113"/>
    </row>
    <row r="7564" spans="14:14">
      <c r="N7564" s="113"/>
    </row>
    <row r="7565" spans="14:14">
      <c r="N7565" s="113"/>
    </row>
    <row r="7566" spans="14:14">
      <c r="N7566" s="113"/>
    </row>
    <row r="7567" spans="14:14">
      <c r="N7567" s="113"/>
    </row>
    <row r="7568" spans="14:14">
      <c r="N7568" s="113"/>
    </row>
    <row r="7569" spans="14:14">
      <c r="N7569" s="113"/>
    </row>
    <row r="7570" spans="14:14">
      <c r="N7570" s="113"/>
    </row>
    <row r="7571" spans="14:14">
      <c r="N7571" s="113"/>
    </row>
    <row r="7572" spans="14:14">
      <c r="N7572" s="113"/>
    </row>
    <row r="7573" spans="14:14">
      <c r="N7573" s="113"/>
    </row>
    <row r="7574" spans="14:14">
      <c r="N7574" s="113"/>
    </row>
    <row r="7575" spans="14:14">
      <c r="N7575" s="113"/>
    </row>
    <row r="7576" spans="14:14">
      <c r="N7576" s="113"/>
    </row>
    <row r="7577" spans="14:14">
      <c r="N7577" s="113"/>
    </row>
    <row r="7578" spans="14:14">
      <c r="N7578" s="113"/>
    </row>
    <row r="7579" spans="14:14">
      <c r="N7579" s="113"/>
    </row>
    <row r="7580" spans="14:14">
      <c r="N7580" s="113"/>
    </row>
    <row r="7581" spans="14:14">
      <c r="N7581" s="113"/>
    </row>
    <row r="7582" spans="14:14">
      <c r="N7582" s="113"/>
    </row>
    <row r="7583" spans="14:14">
      <c r="N7583" s="113"/>
    </row>
    <row r="7584" spans="14:14">
      <c r="N7584" s="113"/>
    </row>
    <row r="7585" spans="14:14">
      <c r="N7585" s="113"/>
    </row>
    <row r="7586" spans="14:14">
      <c r="N7586" s="113"/>
    </row>
    <row r="7587" spans="14:14">
      <c r="N7587" s="113"/>
    </row>
    <row r="7588" spans="14:14">
      <c r="N7588" s="113"/>
    </row>
    <row r="7589" spans="14:14">
      <c r="N7589" s="113"/>
    </row>
    <row r="7590" spans="14:14">
      <c r="N7590" s="113"/>
    </row>
    <row r="7591" spans="14:14">
      <c r="N7591" s="113"/>
    </row>
    <row r="7592" spans="14:14">
      <c r="N7592" s="113"/>
    </row>
    <row r="7593" spans="14:14">
      <c r="N7593" s="113"/>
    </row>
    <row r="7594" spans="14:14">
      <c r="N7594" s="113"/>
    </row>
    <row r="7595" spans="14:14">
      <c r="N7595" s="113"/>
    </row>
    <row r="7596" spans="14:14">
      <c r="N7596" s="113"/>
    </row>
    <row r="7597" spans="14:14">
      <c r="N7597" s="113"/>
    </row>
    <row r="7598" spans="14:14">
      <c r="N7598" s="113"/>
    </row>
    <row r="7599" spans="14:14">
      <c r="N7599" s="113"/>
    </row>
    <row r="7600" spans="14:14">
      <c r="N7600" s="113"/>
    </row>
    <row r="7601" spans="14:14">
      <c r="N7601" s="113"/>
    </row>
    <row r="7602" spans="14:14">
      <c r="N7602" s="113"/>
    </row>
    <row r="7603" spans="14:14">
      <c r="N7603" s="113"/>
    </row>
    <row r="7604" spans="14:14">
      <c r="N7604" s="113"/>
    </row>
    <row r="7605" spans="14:14">
      <c r="N7605" s="113"/>
    </row>
    <row r="7606" spans="14:14">
      <c r="N7606" s="113"/>
    </row>
    <row r="7607" spans="14:14">
      <c r="N7607" s="113"/>
    </row>
    <row r="7608" spans="14:14">
      <c r="N7608" s="113"/>
    </row>
    <row r="7609" spans="14:14">
      <c r="N7609" s="113"/>
    </row>
    <row r="7610" spans="14:14">
      <c r="N7610" s="113"/>
    </row>
    <row r="7611" spans="14:14">
      <c r="N7611" s="113"/>
    </row>
    <row r="7612" spans="14:14">
      <c r="N7612" s="113"/>
    </row>
    <row r="7613" spans="14:14">
      <c r="N7613" s="113"/>
    </row>
    <row r="7614" spans="14:14">
      <c r="N7614" s="113"/>
    </row>
    <row r="7615" spans="14:14">
      <c r="N7615" s="113"/>
    </row>
    <row r="7616" spans="14:14">
      <c r="N7616" s="113"/>
    </row>
    <row r="7617" spans="14:14">
      <c r="N7617" s="113"/>
    </row>
    <row r="7618" spans="14:14">
      <c r="N7618" s="113"/>
    </row>
    <row r="7619" spans="14:14">
      <c r="N7619" s="113"/>
    </row>
    <row r="7620" spans="14:14">
      <c r="N7620" s="113"/>
    </row>
    <row r="7621" spans="14:14">
      <c r="N7621" s="113"/>
    </row>
    <row r="7622" spans="14:14">
      <c r="N7622" s="113"/>
    </row>
    <row r="7623" spans="14:14">
      <c r="N7623" s="113"/>
    </row>
    <row r="7624" spans="14:14">
      <c r="N7624" s="113"/>
    </row>
    <row r="7625" spans="14:14">
      <c r="N7625" s="113"/>
    </row>
    <row r="7626" spans="14:14">
      <c r="N7626" s="113"/>
    </row>
    <row r="7627" spans="14:14">
      <c r="N7627" s="113"/>
    </row>
    <row r="7628" spans="14:14">
      <c r="N7628" s="113"/>
    </row>
    <row r="7629" spans="14:14">
      <c r="N7629" s="113"/>
    </row>
    <row r="7630" spans="14:14">
      <c r="N7630" s="113"/>
    </row>
    <row r="7631" spans="14:14">
      <c r="N7631" s="113"/>
    </row>
    <row r="7632" spans="14:14">
      <c r="N7632" s="113"/>
    </row>
    <row r="7633" spans="14:14">
      <c r="N7633" s="113"/>
    </row>
    <row r="7634" spans="14:14">
      <c r="N7634" s="113"/>
    </row>
    <row r="7635" spans="14:14">
      <c r="N7635" s="113"/>
    </row>
    <row r="7636" spans="14:14">
      <c r="N7636" s="113"/>
    </row>
    <row r="7637" spans="14:14">
      <c r="N7637" s="113"/>
    </row>
    <row r="7638" spans="14:14">
      <c r="N7638" s="113"/>
    </row>
    <row r="7639" spans="14:14">
      <c r="N7639" s="113"/>
    </row>
    <row r="7640" spans="14:14">
      <c r="N7640" s="113"/>
    </row>
    <row r="7641" spans="14:14">
      <c r="N7641" s="113"/>
    </row>
    <row r="7642" spans="14:14">
      <c r="N7642" s="113"/>
    </row>
    <row r="7643" spans="14:14">
      <c r="N7643" s="113"/>
    </row>
    <row r="7644" spans="14:14">
      <c r="N7644" s="113"/>
    </row>
    <row r="7645" spans="14:14">
      <c r="N7645" s="113"/>
    </row>
    <row r="7646" spans="14:14">
      <c r="N7646" s="113"/>
    </row>
    <row r="7647" spans="14:14">
      <c r="N7647" s="113"/>
    </row>
    <row r="7648" spans="14:14">
      <c r="N7648" s="113"/>
    </row>
    <row r="7649" spans="14:14">
      <c r="N7649" s="113"/>
    </row>
    <row r="7650" spans="14:14">
      <c r="N7650" s="113"/>
    </row>
    <row r="7651" spans="14:14">
      <c r="N7651" s="113"/>
    </row>
    <row r="7652" spans="14:14">
      <c r="N7652" s="113"/>
    </row>
    <row r="7653" spans="14:14">
      <c r="N7653" s="113"/>
    </row>
    <row r="7654" spans="14:14">
      <c r="N7654" s="113"/>
    </row>
    <row r="7655" spans="14:14">
      <c r="N7655" s="113"/>
    </row>
    <row r="7656" spans="14:14">
      <c r="N7656" s="113"/>
    </row>
    <row r="7657" spans="14:14">
      <c r="N7657" s="113"/>
    </row>
    <row r="7658" spans="14:14">
      <c r="N7658" s="113"/>
    </row>
    <row r="7659" spans="14:14">
      <c r="N7659" s="113"/>
    </row>
    <row r="7660" spans="14:14">
      <c r="N7660" s="113"/>
    </row>
    <row r="7661" spans="14:14">
      <c r="N7661" s="113"/>
    </row>
    <row r="7662" spans="14:14">
      <c r="N7662" s="113"/>
    </row>
    <row r="7663" spans="14:14">
      <c r="N7663" s="113"/>
    </row>
    <row r="7664" spans="14:14">
      <c r="N7664" s="113"/>
    </row>
    <row r="7665" spans="14:14">
      <c r="N7665" s="113"/>
    </row>
    <row r="7666" spans="14:14">
      <c r="N7666" s="113"/>
    </row>
    <row r="7667" spans="14:14">
      <c r="N7667" s="113"/>
    </row>
    <row r="7668" spans="14:14">
      <c r="N7668" s="113"/>
    </row>
    <row r="7669" spans="14:14">
      <c r="N7669" s="113"/>
    </row>
    <row r="7670" spans="14:14">
      <c r="N7670" s="113"/>
    </row>
    <row r="7671" spans="14:14">
      <c r="N7671" s="113"/>
    </row>
    <row r="7672" spans="14:14">
      <c r="N7672" s="113"/>
    </row>
    <row r="7673" spans="14:14">
      <c r="N7673" s="113"/>
    </row>
    <row r="7674" spans="14:14">
      <c r="N7674" s="113"/>
    </row>
    <row r="7675" spans="14:14">
      <c r="N7675" s="113"/>
    </row>
    <row r="7676" spans="14:14">
      <c r="N7676" s="113"/>
    </row>
    <row r="7677" spans="14:14">
      <c r="N7677" s="113"/>
    </row>
    <row r="7678" spans="14:14">
      <c r="N7678" s="113"/>
    </row>
    <row r="7679" spans="14:14">
      <c r="N7679" s="113"/>
    </row>
    <row r="7680" spans="14:14">
      <c r="N7680" s="113"/>
    </row>
    <row r="7681" spans="14:14">
      <c r="N7681" s="113"/>
    </row>
    <row r="7682" spans="14:14">
      <c r="N7682" s="113"/>
    </row>
    <row r="7683" spans="14:14">
      <c r="N7683" s="113"/>
    </row>
    <row r="7684" spans="14:14">
      <c r="N7684" s="113"/>
    </row>
    <row r="7685" spans="14:14">
      <c r="N7685" s="113"/>
    </row>
    <row r="7686" spans="14:14">
      <c r="N7686" s="113"/>
    </row>
    <row r="7687" spans="14:14">
      <c r="N7687" s="113"/>
    </row>
    <row r="7688" spans="14:14">
      <c r="N7688" s="113"/>
    </row>
    <row r="7689" spans="14:14">
      <c r="N7689" s="113"/>
    </row>
    <row r="7690" spans="14:14">
      <c r="N7690" s="113"/>
    </row>
    <row r="7691" spans="14:14">
      <c r="N7691" s="113"/>
    </row>
    <row r="7692" spans="14:14">
      <c r="N7692" s="113"/>
    </row>
    <row r="7693" spans="14:14">
      <c r="N7693" s="113"/>
    </row>
    <row r="7694" spans="14:14">
      <c r="N7694" s="113"/>
    </row>
    <row r="7695" spans="14:14">
      <c r="N7695" s="113"/>
    </row>
    <row r="7696" spans="14:14">
      <c r="N7696" s="113"/>
    </row>
    <row r="7697" spans="14:14">
      <c r="N7697" s="113"/>
    </row>
    <row r="7698" spans="14:14">
      <c r="N7698" s="113"/>
    </row>
    <row r="7699" spans="14:14">
      <c r="N7699" s="113"/>
    </row>
    <row r="7700" spans="14:14">
      <c r="N7700" s="113"/>
    </row>
    <row r="7701" spans="14:14">
      <c r="N7701" s="113"/>
    </row>
    <row r="7702" spans="14:14">
      <c r="N7702" s="113"/>
    </row>
    <row r="7703" spans="14:14">
      <c r="N7703" s="113"/>
    </row>
    <row r="7704" spans="14:14">
      <c r="N7704" s="113"/>
    </row>
    <row r="7705" spans="14:14">
      <c r="N7705" s="113"/>
    </row>
    <row r="7706" spans="14:14">
      <c r="N7706" s="113"/>
    </row>
    <row r="7707" spans="14:14">
      <c r="N7707" s="113"/>
    </row>
    <row r="7708" spans="14:14">
      <c r="N7708" s="113"/>
    </row>
    <row r="7709" spans="14:14">
      <c r="N7709" s="113"/>
    </row>
    <row r="7710" spans="14:14">
      <c r="N7710" s="113"/>
    </row>
    <row r="7711" spans="14:14">
      <c r="N7711" s="113"/>
    </row>
    <row r="7712" spans="14:14">
      <c r="N7712" s="113"/>
    </row>
    <row r="7713" spans="14:14">
      <c r="N7713" s="113"/>
    </row>
    <row r="7714" spans="14:14">
      <c r="N7714" s="113"/>
    </row>
    <row r="7715" spans="14:14">
      <c r="N7715" s="113"/>
    </row>
    <row r="7716" spans="14:14">
      <c r="N7716" s="113"/>
    </row>
    <row r="7717" spans="14:14">
      <c r="N7717" s="113"/>
    </row>
    <row r="7718" spans="14:14">
      <c r="N7718" s="113"/>
    </row>
    <row r="7719" spans="14:14">
      <c r="N7719" s="113"/>
    </row>
    <row r="7720" spans="14:14">
      <c r="N7720" s="113"/>
    </row>
    <row r="7721" spans="14:14">
      <c r="N7721" s="113"/>
    </row>
    <row r="7722" spans="14:14">
      <c r="N7722" s="113"/>
    </row>
    <row r="7723" spans="14:14">
      <c r="N7723" s="113"/>
    </row>
    <row r="7724" spans="14:14">
      <c r="N7724" s="113"/>
    </row>
    <row r="7725" spans="14:14">
      <c r="N7725" s="113"/>
    </row>
    <row r="7726" spans="14:14">
      <c r="N7726" s="113"/>
    </row>
    <row r="7727" spans="14:14">
      <c r="N7727" s="113"/>
    </row>
    <row r="7728" spans="14:14">
      <c r="N7728" s="113"/>
    </row>
    <row r="7729" spans="14:14">
      <c r="N7729" s="113"/>
    </row>
    <row r="7730" spans="14:14">
      <c r="N7730" s="113"/>
    </row>
    <row r="7731" spans="14:14">
      <c r="N7731" s="113"/>
    </row>
    <row r="7732" spans="14:14">
      <c r="N7732" s="113"/>
    </row>
    <row r="7733" spans="14:14">
      <c r="N7733" s="113"/>
    </row>
    <row r="7734" spans="14:14">
      <c r="N7734" s="113"/>
    </row>
    <row r="7735" spans="14:14">
      <c r="N7735" s="113"/>
    </row>
    <row r="7736" spans="14:14">
      <c r="N7736" s="113"/>
    </row>
    <row r="7737" spans="14:14">
      <c r="N7737" s="113"/>
    </row>
    <row r="7738" spans="14:14">
      <c r="N7738" s="113"/>
    </row>
    <row r="7739" spans="14:14">
      <c r="N7739" s="113"/>
    </row>
    <row r="7740" spans="14:14">
      <c r="N7740" s="113"/>
    </row>
    <row r="7741" spans="14:14">
      <c r="N7741" s="113"/>
    </row>
    <row r="7742" spans="14:14">
      <c r="N7742" s="113"/>
    </row>
    <row r="7743" spans="14:14">
      <c r="N7743" s="113"/>
    </row>
    <row r="7744" spans="14:14">
      <c r="N7744" s="113"/>
    </row>
    <row r="7745" spans="14:14">
      <c r="N7745" s="113"/>
    </row>
    <row r="7746" spans="14:14">
      <c r="N7746" s="113"/>
    </row>
    <row r="7747" spans="14:14">
      <c r="N7747" s="113"/>
    </row>
    <row r="7748" spans="14:14">
      <c r="N7748" s="113"/>
    </row>
    <row r="7749" spans="14:14">
      <c r="N7749" s="113"/>
    </row>
    <row r="7750" spans="14:14">
      <c r="N7750" s="113"/>
    </row>
    <row r="7751" spans="14:14">
      <c r="N7751" s="113"/>
    </row>
    <row r="7752" spans="14:14">
      <c r="N7752" s="113"/>
    </row>
    <row r="7753" spans="14:14">
      <c r="N7753" s="113"/>
    </row>
    <row r="7754" spans="14:14">
      <c r="N7754" s="113"/>
    </row>
    <row r="7755" spans="14:14">
      <c r="N7755" s="113"/>
    </row>
    <row r="7756" spans="14:14">
      <c r="N7756" s="113"/>
    </row>
    <row r="7757" spans="14:14">
      <c r="N7757" s="113"/>
    </row>
    <row r="7758" spans="14:14">
      <c r="N7758" s="113"/>
    </row>
    <row r="7759" spans="14:14">
      <c r="N7759" s="113"/>
    </row>
    <row r="7760" spans="14:14">
      <c r="N7760" s="113"/>
    </row>
    <row r="7761" spans="14:14">
      <c r="N7761" s="113"/>
    </row>
    <row r="7762" spans="14:14">
      <c r="N7762" s="113"/>
    </row>
    <row r="7763" spans="14:14">
      <c r="N7763" s="113"/>
    </row>
    <row r="7764" spans="14:14">
      <c r="N7764" s="113"/>
    </row>
    <row r="7765" spans="14:14">
      <c r="N7765" s="113"/>
    </row>
    <row r="7766" spans="14:14">
      <c r="N7766" s="113"/>
    </row>
    <row r="7767" spans="14:14">
      <c r="N7767" s="113"/>
    </row>
    <row r="7768" spans="14:14">
      <c r="N7768" s="113"/>
    </row>
    <row r="7769" spans="14:14">
      <c r="N7769" s="113"/>
    </row>
    <row r="7770" spans="14:14">
      <c r="N7770" s="113"/>
    </row>
    <row r="7771" spans="14:14">
      <c r="N7771" s="113"/>
    </row>
    <row r="7772" spans="14:14">
      <c r="N7772" s="113"/>
    </row>
    <row r="7773" spans="14:14">
      <c r="N7773" s="113"/>
    </row>
    <row r="7774" spans="14:14">
      <c r="N7774" s="113"/>
    </row>
    <row r="7775" spans="14:14">
      <c r="N7775" s="113"/>
    </row>
    <row r="7776" spans="14:14">
      <c r="N7776" s="113"/>
    </row>
    <row r="7777" spans="14:14">
      <c r="N7777" s="113"/>
    </row>
    <row r="7778" spans="14:14">
      <c r="N7778" s="113"/>
    </row>
    <row r="7779" spans="14:14">
      <c r="N7779" s="113"/>
    </row>
    <row r="7780" spans="14:14">
      <c r="N7780" s="113"/>
    </row>
    <row r="7781" spans="14:14">
      <c r="N7781" s="113"/>
    </row>
    <row r="7782" spans="14:14">
      <c r="N7782" s="113"/>
    </row>
    <row r="7783" spans="14:14">
      <c r="N7783" s="113"/>
    </row>
    <row r="7784" spans="14:14">
      <c r="N7784" s="113"/>
    </row>
    <row r="7785" spans="14:14">
      <c r="N7785" s="113"/>
    </row>
    <row r="7786" spans="14:14">
      <c r="N7786" s="113"/>
    </row>
    <row r="7787" spans="14:14">
      <c r="N7787" s="113"/>
    </row>
    <row r="7788" spans="14:14">
      <c r="N7788" s="113"/>
    </row>
    <row r="7789" spans="14:14">
      <c r="N7789" s="113"/>
    </row>
    <row r="7790" spans="14:14">
      <c r="N7790" s="113"/>
    </row>
    <row r="7791" spans="14:14">
      <c r="N7791" s="113"/>
    </row>
    <row r="7792" spans="14:14">
      <c r="N7792" s="113"/>
    </row>
    <row r="7793" spans="14:14">
      <c r="N7793" s="113"/>
    </row>
    <row r="7794" spans="14:14">
      <c r="N7794" s="113"/>
    </row>
    <row r="7795" spans="14:14">
      <c r="N7795" s="113"/>
    </row>
    <row r="7796" spans="14:14">
      <c r="N7796" s="113"/>
    </row>
    <row r="7797" spans="14:14">
      <c r="N7797" s="113"/>
    </row>
    <row r="7798" spans="14:14">
      <c r="N7798" s="113"/>
    </row>
    <row r="7799" spans="14:14">
      <c r="N7799" s="113"/>
    </row>
    <row r="7800" spans="14:14">
      <c r="N7800" s="113"/>
    </row>
    <row r="7801" spans="14:14">
      <c r="N7801" s="113"/>
    </row>
    <row r="7802" spans="14:14">
      <c r="N7802" s="113"/>
    </row>
    <row r="7803" spans="14:14">
      <c r="N7803" s="113"/>
    </row>
    <row r="7804" spans="14:14">
      <c r="N7804" s="113"/>
    </row>
    <row r="7805" spans="14:14">
      <c r="N7805" s="113"/>
    </row>
    <row r="7806" spans="14:14">
      <c r="N7806" s="113"/>
    </row>
    <row r="7807" spans="14:14">
      <c r="N7807" s="113"/>
    </row>
    <row r="7808" spans="14:14">
      <c r="N7808" s="113"/>
    </row>
    <row r="7809" spans="14:14">
      <c r="N7809" s="113"/>
    </row>
    <row r="7810" spans="14:14">
      <c r="N7810" s="113"/>
    </row>
    <row r="7811" spans="14:14">
      <c r="N7811" s="113"/>
    </row>
    <row r="7812" spans="14:14">
      <c r="N7812" s="113"/>
    </row>
    <row r="7813" spans="14:14">
      <c r="N7813" s="113"/>
    </row>
    <row r="7814" spans="14:14">
      <c r="N7814" s="113"/>
    </row>
    <row r="7815" spans="14:14">
      <c r="N7815" s="113"/>
    </row>
    <row r="7816" spans="14:14">
      <c r="N7816" s="113"/>
    </row>
    <row r="7817" spans="14:14">
      <c r="N7817" s="113"/>
    </row>
    <row r="7818" spans="14:14">
      <c r="N7818" s="113"/>
    </row>
    <row r="7819" spans="14:14">
      <c r="N7819" s="113"/>
    </row>
    <row r="7820" spans="14:14">
      <c r="N7820" s="113"/>
    </row>
    <row r="7821" spans="14:14">
      <c r="N7821" s="113"/>
    </row>
    <row r="7822" spans="14:14">
      <c r="N7822" s="113"/>
    </row>
    <row r="7823" spans="14:14">
      <c r="N7823" s="113"/>
    </row>
    <row r="7824" spans="14:14">
      <c r="N7824" s="113"/>
    </row>
    <row r="7825" spans="14:14">
      <c r="N7825" s="113"/>
    </row>
    <row r="7826" spans="14:14">
      <c r="N7826" s="113"/>
    </row>
    <row r="7827" spans="14:14">
      <c r="N7827" s="113"/>
    </row>
    <row r="7828" spans="14:14">
      <c r="N7828" s="113"/>
    </row>
    <row r="7829" spans="14:14">
      <c r="N7829" s="113"/>
    </row>
    <row r="7830" spans="14:14">
      <c r="N7830" s="113"/>
    </row>
    <row r="7831" spans="14:14">
      <c r="N7831" s="113"/>
    </row>
    <row r="7832" spans="14:14">
      <c r="N7832" s="113"/>
    </row>
    <row r="7833" spans="14:14">
      <c r="N7833" s="113"/>
    </row>
    <row r="7834" spans="14:14">
      <c r="N7834" s="113"/>
    </row>
    <row r="7835" spans="14:14">
      <c r="N7835" s="113"/>
    </row>
    <row r="7836" spans="14:14">
      <c r="N7836" s="113"/>
    </row>
    <row r="7837" spans="14:14">
      <c r="N7837" s="113"/>
    </row>
    <row r="7838" spans="14:14">
      <c r="N7838" s="113"/>
    </row>
    <row r="7839" spans="14:14">
      <c r="N7839" s="113"/>
    </row>
    <row r="7840" spans="14:14">
      <c r="N7840" s="113"/>
    </row>
    <row r="7841" spans="14:14">
      <c r="N7841" s="113"/>
    </row>
    <row r="7842" spans="14:14">
      <c r="N7842" s="113"/>
    </row>
    <row r="7843" spans="14:14">
      <c r="N7843" s="113"/>
    </row>
    <row r="7844" spans="14:14">
      <c r="N7844" s="113"/>
    </row>
    <row r="7845" spans="14:14">
      <c r="N7845" s="113"/>
    </row>
    <row r="7846" spans="14:14">
      <c r="N7846" s="113"/>
    </row>
    <row r="7847" spans="14:14">
      <c r="N7847" s="113"/>
    </row>
    <row r="7848" spans="14:14">
      <c r="N7848" s="113"/>
    </row>
    <row r="7849" spans="14:14">
      <c r="N7849" s="113"/>
    </row>
    <row r="7850" spans="14:14">
      <c r="N7850" s="113"/>
    </row>
    <row r="7851" spans="14:14">
      <c r="N7851" s="113"/>
    </row>
    <row r="7852" spans="14:14">
      <c r="N7852" s="113"/>
    </row>
    <row r="7853" spans="14:14">
      <c r="N7853" s="113"/>
    </row>
    <row r="7854" spans="14:14">
      <c r="N7854" s="113"/>
    </row>
    <row r="7855" spans="14:14">
      <c r="N7855" s="113"/>
    </row>
    <row r="7856" spans="14:14">
      <c r="N7856" s="113"/>
    </row>
    <row r="7857" spans="14:14">
      <c r="N7857" s="113"/>
    </row>
    <row r="7858" spans="14:14">
      <c r="N7858" s="113"/>
    </row>
    <row r="7859" spans="14:14">
      <c r="N7859" s="113"/>
    </row>
    <row r="7860" spans="14:14">
      <c r="N7860" s="113"/>
    </row>
    <row r="7861" spans="14:14">
      <c r="N7861" s="113"/>
    </row>
    <row r="7862" spans="14:14">
      <c r="N7862" s="113"/>
    </row>
    <row r="7863" spans="14:14">
      <c r="N7863" s="113"/>
    </row>
    <row r="7864" spans="14:14">
      <c r="N7864" s="113"/>
    </row>
    <row r="7865" spans="14:14">
      <c r="N7865" s="113"/>
    </row>
    <row r="7866" spans="14:14">
      <c r="N7866" s="113"/>
    </row>
    <row r="7867" spans="14:14">
      <c r="N7867" s="113"/>
    </row>
    <row r="7868" spans="14:14">
      <c r="N7868" s="113"/>
    </row>
    <row r="7869" spans="14:14">
      <c r="N7869" s="113"/>
    </row>
    <row r="7870" spans="14:14">
      <c r="N7870" s="113"/>
    </row>
    <row r="7871" spans="14:14">
      <c r="N7871" s="113"/>
    </row>
    <row r="7872" spans="14:14">
      <c r="N7872" s="113"/>
    </row>
    <row r="7873" spans="14:14">
      <c r="N7873" s="113"/>
    </row>
    <row r="7874" spans="14:14">
      <c r="N7874" s="113"/>
    </row>
    <row r="7875" spans="14:14">
      <c r="N7875" s="113"/>
    </row>
    <row r="7876" spans="14:14">
      <c r="N7876" s="113"/>
    </row>
    <row r="7877" spans="14:14">
      <c r="N7877" s="113"/>
    </row>
    <row r="7878" spans="14:14">
      <c r="N7878" s="113"/>
    </row>
    <row r="7879" spans="14:14">
      <c r="N7879" s="113"/>
    </row>
    <row r="7880" spans="14:14">
      <c r="N7880" s="113"/>
    </row>
    <row r="7881" spans="14:14">
      <c r="N7881" s="113"/>
    </row>
    <row r="7882" spans="14:14">
      <c r="N7882" s="113"/>
    </row>
    <row r="7883" spans="14:14">
      <c r="N7883" s="113"/>
    </row>
    <row r="7884" spans="14:14">
      <c r="N7884" s="113"/>
    </row>
    <row r="7885" spans="14:14">
      <c r="N7885" s="113"/>
    </row>
    <row r="7886" spans="14:14">
      <c r="N7886" s="113"/>
    </row>
    <row r="7887" spans="14:14">
      <c r="N7887" s="113"/>
    </row>
    <row r="7888" spans="14:14">
      <c r="N7888" s="113"/>
    </row>
    <row r="7889" spans="14:14">
      <c r="N7889" s="113"/>
    </row>
    <row r="7890" spans="14:14">
      <c r="N7890" s="113"/>
    </row>
    <row r="7891" spans="14:14">
      <c r="N7891" s="113"/>
    </row>
    <row r="7892" spans="14:14">
      <c r="N7892" s="113"/>
    </row>
    <row r="7893" spans="14:14">
      <c r="N7893" s="113"/>
    </row>
    <row r="7894" spans="14:14">
      <c r="N7894" s="113"/>
    </row>
    <row r="7895" spans="14:14">
      <c r="N7895" s="113"/>
    </row>
    <row r="7896" spans="14:14">
      <c r="N7896" s="113"/>
    </row>
    <row r="7897" spans="14:14">
      <c r="N7897" s="113"/>
    </row>
    <row r="7898" spans="14:14">
      <c r="N7898" s="113"/>
    </row>
    <row r="7899" spans="14:14">
      <c r="N7899" s="113"/>
    </row>
    <row r="7900" spans="14:14">
      <c r="N7900" s="113"/>
    </row>
    <row r="7901" spans="14:14">
      <c r="N7901" s="113"/>
    </row>
    <row r="7902" spans="14:14">
      <c r="N7902" s="113"/>
    </row>
    <row r="7903" spans="14:14">
      <c r="N7903" s="113"/>
    </row>
    <row r="7904" spans="14:14">
      <c r="N7904" s="113"/>
    </row>
    <row r="7905" spans="14:14">
      <c r="N7905" s="113"/>
    </row>
    <row r="7906" spans="14:14">
      <c r="N7906" s="113"/>
    </row>
    <row r="7907" spans="14:14">
      <c r="N7907" s="113"/>
    </row>
    <row r="7908" spans="14:14">
      <c r="N7908" s="113"/>
    </row>
    <row r="7909" spans="14:14">
      <c r="N7909" s="113"/>
    </row>
    <row r="7910" spans="14:14">
      <c r="N7910" s="113"/>
    </row>
    <row r="7911" spans="14:14">
      <c r="N7911" s="113"/>
    </row>
    <row r="7912" spans="14:14">
      <c r="N7912" s="113"/>
    </row>
    <row r="7913" spans="14:14">
      <c r="N7913" s="113"/>
    </row>
    <row r="7914" spans="14:14">
      <c r="N7914" s="113"/>
    </row>
    <row r="7915" spans="14:14">
      <c r="N7915" s="113"/>
    </row>
    <row r="7916" spans="14:14">
      <c r="N7916" s="113"/>
    </row>
    <row r="7917" spans="14:14">
      <c r="N7917" s="113"/>
    </row>
    <row r="7918" spans="14:14">
      <c r="N7918" s="113"/>
    </row>
    <row r="7919" spans="14:14">
      <c r="N7919" s="113"/>
    </row>
    <row r="7920" spans="14:14">
      <c r="N7920" s="113"/>
    </row>
    <row r="7921" spans="14:14">
      <c r="N7921" s="113"/>
    </row>
    <row r="7922" spans="14:14">
      <c r="N7922" s="113"/>
    </row>
    <row r="7923" spans="14:14">
      <c r="N7923" s="113"/>
    </row>
    <row r="7924" spans="14:14">
      <c r="N7924" s="113"/>
    </row>
    <row r="7925" spans="14:14">
      <c r="N7925" s="113"/>
    </row>
    <row r="7926" spans="14:14">
      <c r="N7926" s="113"/>
    </row>
    <row r="7927" spans="14:14">
      <c r="N7927" s="113"/>
    </row>
    <row r="7928" spans="14:14">
      <c r="N7928" s="113"/>
    </row>
    <row r="7929" spans="14:14">
      <c r="N7929" s="113"/>
    </row>
    <row r="7930" spans="14:14">
      <c r="N7930" s="113"/>
    </row>
    <row r="7931" spans="14:14">
      <c r="N7931" s="113"/>
    </row>
    <row r="7932" spans="14:14">
      <c r="N7932" s="113"/>
    </row>
    <row r="7933" spans="14:14">
      <c r="N7933" s="113"/>
    </row>
    <row r="7934" spans="14:14">
      <c r="N7934" s="113"/>
    </row>
    <row r="7935" spans="14:14">
      <c r="N7935" s="113"/>
    </row>
    <row r="7936" spans="14:14">
      <c r="N7936" s="113"/>
    </row>
    <row r="7937" spans="14:14">
      <c r="N7937" s="113"/>
    </row>
    <row r="7938" spans="14:14">
      <c r="N7938" s="113"/>
    </row>
    <row r="7939" spans="14:14">
      <c r="N7939" s="113"/>
    </row>
    <row r="7940" spans="14:14">
      <c r="N7940" s="113"/>
    </row>
    <row r="7941" spans="14:14">
      <c r="N7941" s="113"/>
    </row>
    <row r="7942" spans="14:14">
      <c r="N7942" s="113"/>
    </row>
    <row r="7943" spans="14:14">
      <c r="N7943" s="113"/>
    </row>
    <row r="7944" spans="14:14">
      <c r="N7944" s="113"/>
    </row>
    <row r="7945" spans="14:14">
      <c r="N7945" s="113"/>
    </row>
    <row r="7946" spans="14:14">
      <c r="N7946" s="113"/>
    </row>
    <row r="7947" spans="14:14">
      <c r="N7947" s="113"/>
    </row>
    <row r="7948" spans="14:14">
      <c r="N7948" s="113"/>
    </row>
    <row r="7949" spans="14:14">
      <c r="N7949" s="113"/>
    </row>
    <row r="7950" spans="14:14">
      <c r="N7950" s="113"/>
    </row>
    <row r="7951" spans="14:14">
      <c r="N7951" s="113"/>
    </row>
    <row r="7952" spans="14:14">
      <c r="N7952" s="113"/>
    </row>
    <row r="7953" spans="14:14">
      <c r="N7953" s="113"/>
    </row>
    <row r="7954" spans="14:14">
      <c r="N7954" s="113"/>
    </row>
    <row r="7955" spans="14:14">
      <c r="N7955" s="113"/>
    </row>
    <row r="7956" spans="14:14">
      <c r="N7956" s="113"/>
    </row>
    <row r="7957" spans="14:14">
      <c r="N7957" s="113"/>
    </row>
    <row r="7958" spans="14:14">
      <c r="N7958" s="113"/>
    </row>
    <row r="7959" spans="14:14">
      <c r="N7959" s="113"/>
    </row>
    <row r="7960" spans="14:14">
      <c r="N7960" s="113"/>
    </row>
    <row r="7961" spans="14:14">
      <c r="N7961" s="113"/>
    </row>
    <row r="7962" spans="14:14">
      <c r="N7962" s="113"/>
    </row>
    <row r="7963" spans="14:14">
      <c r="N7963" s="113"/>
    </row>
    <row r="7964" spans="14:14">
      <c r="N7964" s="113"/>
    </row>
    <row r="7965" spans="14:14">
      <c r="N7965" s="113"/>
    </row>
    <row r="7966" spans="14:14">
      <c r="N7966" s="113"/>
    </row>
    <row r="7967" spans="14:14">
      <c r="N7967" s="113"/>
    </row>
    <row r="7968" spans="14:14">
      <c r="N7968" s="113"/>
    </row>
    <row r="7969" spans="14:14">
      <c r="N7969" s="113"/>
    </row>
    <row r="7970" spans="14:14">
      <c r="N7970" s="113"/>
    </row>
    <row r="7971" spans="14:14">
      <c r="N7971" s="113"/>
    </row>
    <row r="7972" spans="14:14">
      <c r="N7972" s="113"/>
    </row>
    <row r="7973" spans="14:14">
      <c r="N7973" s="113"/>
    </row>
    <row r="7974" spans="14:14">
      <c r="N7974" s="113"/>
    </row>
    <row r="7975" spans="14:14">
      <c r="N7975" s="113"/>
    </row>
    <row r="7976" spans="14:14">
      <c r="N7976" s="113"/>
    </row>
    <row r="7977" spans="14:14">
      <c r="N7977" s="113"/>
    </row>
    <row r="7978" spans="14:14">
      <c r="N7978" s="113"/>
    </row>
    <row r="7979" spans="14:14">
      <c r="N7979" s="113"/>
    </row>
    <row r="7980" spans="14:14">
      <c r="N7980" s="113"/>
    </row>
    <row r="7981" spans="14:14">
      <c r="N7981" s="113"/>
    </row>
    <row r="7982" spans="14:14">
      <c r="N7982" s="113"/>
    </row>
    <row r="7983" spans="14:14">
      <c r="N7983" s="113"/>
    </row>
    <row r="7984" spans="14:14">
      <c r="N7984" s="113"/>
    </row>
    <row r="7985" spans="14:14">
      <c r="N7985" s="113"/>
    </row>
    <row r="7986" spans="14:14">
      <c r="N7986" s="113"/>
    </row>
    <row r="7987" spans="14:14">
      <c r="N7987" s="113"/>
    </row>
    <row r="7988" spans="14:14">
      <c r="N7988" s="113"/>
    </row>
    <row r="7989" spans="14:14">
      <c r="N7989" s="113"/>
    </row>
    <row r="7990" spans="14:14">
      <c r="N7990" s="113"/>
    </row>
    <row r="7991" spans="14:14">
      <c r="N7991" s="113"/>
    </row>
    <row r="7992" spans="14:14">
      <c r="N7992" s="113"/>
    </row>
    <row r="7993" spans="14:14">
      <c r="N7993" s="113"/>
    </row>
    <row r="7994" spans="14:14">
      <c r="N7994" s="113"/>
    </row>
    <row r="7995" spans="14:14">
      <c r="N7995" s="113"/>
    </row>
    <row r="7996" spans="14:14">
      <c r="N7996" s="113"/>
    </row>
    <row r="7997" spans="14:14">
      <c r="N7997" s="113"/>
    </row>
    <row r="7998" spans="14:14">
      <c r="N7998" s="113"/>
    </row>
    <row r="7999" spans="14:14">
      <c r="N7999" s="113"/>
    </row>
    <row r="8000" spans="14:14">
      <c r="N8000" s="113"/>
    </row>
    <row r="8001" spans="14:14">
      <c r="N8001" s="113"/>
    </row>
    <row r="8002" spans="14:14">
      <c r="N8002" s="113"/>
    </row>
    <row r="8003" spans="14:14">
      <c r="N8003" s="113"/>
    </row>
    <row r="8004" spans="14:14">
      <c r="N8004" s="113"/>
    </row>
    <row r="8005" spans="14:14">
      <c r="N8005" s="113"/>
    </row>
    <row r="8006" spans="14:14">
      <c r="N8006" s="113"/>
    </row>
    <row r="8007" spans="14:14">
      <c r="N8007" s="113"/>
    </row>
    <row r="8008" spans="14:14">
      <c r="N8008" s="113"/>
    </row>
    <row r="8009" spans="14:14">
      <c r="N8009" s="113"/>
    </row>
    <row r="8010" spans="14:14">
      <c r="N8010" s="113"/>
    </row>
    <row r="8011" spans="14:14">
      <c r="N8011" s="113"/>
    </row>
    <row r="8012" spans="14:14">
      <c r="N8012" s="113"/>
    </row>
    <row r="8013" spans="14:14">
      <c r="N8013" s="113"/>
    </row>
    <row r="8014" spans="14:14">
      <c r="N8014" s="113"/>
    </row>
    <row r="8015" spans="14:14">
      <c r="N8015" s="113"/>
    </row>
    <row r="8016" spans="14:14">
      <c r="N8016" s="113"/>
    </row>
    <row r="8017" spans="14:14">
      <c r="N8017" s="113"/>
    </row>
    <row r="8018" spans="14:14">
      <c r="N8018" s="113"/>
    </row>
    <row r="8019" spans="14:14">
      <c r="N8019" s="113"/>
    </row>
    <row r="8020" spans="14:14">
      <c r="N8020" s="113"/>
    </row>
    <row r="8021" spans="14:14">
      <c r="N8021" s="113"/>
    </row>
    <row r="8022" spans="14:14">
      <c r="N8022" s="113"/>
    </row>
    <row r="8023" spans="14:14">
      <c r="N8023" s="113"/>
    </row>
    <row r="8024" spans="14:14">
      <c r="N8024" s="113"/>
    </row>
    <row r="8025" spans="14:14">
      <c r="N8025" s="113"/>
    </row>
    <row r="8026" spans="14:14">
      <c r="N8026" s="113"/>
    </row>
    <row r="8027" spans="14:14">
      <c r="N8027" s="113"/>
    </row>
    <row r="8028" spans="14:14">
      <c r="N8028" s="113"/>
    </row>
    <row r="8029" spans="14:14">
      <c r="N8029" s="113"/>
    </row>
    <row r="8030" spans="14:14">
      <c r="N8030" s="113"/>
    </row>
    <row r="8031" spans="14:14">
      <c r="N8031" s="113"/>
    </row>
    <row r="8032" spans="14:14">
      <c r="N8032" s="113"/>
    </row>
    <row r="8033" spans="14:14">
      <c r="N8033" s="113"/>
    </row>
    <row r="8034" spans="14:14">
      <c r="N8034" s="113"/>
    </row>
    <row r="8035" spans="14:14">
      <c r="N8035" s="113"/>
    </row>
    <row r="8036" spans="14:14">
      <c r="N8036" s="113"/>
    </row>
    <row r="8037" spans="14:14">
      <c r="N8037" s="113"/>
    </row>
    <row r="8038" spans="14:14">
      <c r="N8038" s="113"/>
    </row>
    <row r="8039" spans="14:14">
      <c r="N8039" s="113"/>
    </row>
    <row r="8040" spans="14:14">
      <c r="N8040" s="113"/>
    </row>
    <row r="8041" spans="14:14">
      <c r="N8041" s="113"/>
    </row>
    <row r="8042" spans="14:14">
      <c r="N8042" s="113"/>
    </row>
    <row r="8043" spans="14:14">
      <c r="N8043" s="113"/>
    </row>
    <row r="8044" spans="14:14">
      <c r="N8044" s="113"/>
    </row>
    <row r="8045" spans="14:14">
      <c r="N8045" s="113"/>
    </row>
    <row r="8046" spans="14:14">
      <c r="N8046" s="113"/>
    </row>
    <row r="8047" spans="14:14">
      <c r="N8047" s="113"/>
    </row>
    <row r="8048" spans="14:14">
      <c r="N8048" s="113"/>
    </row>
    <row r="8049" spans="14:14">
      <c r="N8049" s="113"/>
    </row>
    <row r="8050" spans="14:14">
      <c r="N8050" s="113"/>
    </row>
    <row r="8051" spans="14:14">
      <c r="N8051" s="113"/>
    </row>
    <row r="8052" spans="14:14">
      <c r="N8052" s="113"/>
    </row>
    <row r="8053" spans="14:14">
      <c r="N8053" s="113"/>
    </row>
    <row r="8054" spans="14:14">
      <c r="N8054" s="113"/>
    </row>
    <row r="8055" spans="14:14">
      <c r="N8055" s="113"/>
    </row>
    <row r="8056" spans="14:14">
      <c r="N8056" s="113"/>
    </row>
    <row r="8057" spans="14:14">
      <c r="N8057" s="113"/>
    </row>
    <row r="8058" spans="14:14">
      <c r="N8058" s="113"/>
    </row>
    <row r="8059" spans="14:14">
      <c r="N8059" s="113"/>
    </row>
    <row r="8060" spans="14:14">
      <c r="N8060" s="113"/>
    </row>
    <row r="8061" spans="14:14">
      <c r="N8061" s="113"/>
    </row>
    <row r="8062" spans="14:14">
      <c r="N8062" s="113"/>
    </row>
    <row r="8063" spans="14:14">
      <c r="N8063" s="113"/>
    </row>
    <row r="8064" spans="14:14">
      <c r="N8064" s="113"/>
    </row>
    <row r="8065" spans="14:14">
      <c r="N8065" s="113"/>
    </row>
    <row r="8066" spans="14:14">
      <c r="N8066" s="113"/>
    </row>
    <row r="8067" spans="14:14">
      <c r="N8067" s="113"/>
    </row>
    <row r="8068" spans="14:14">
      <c r="N8068" s="113"/>
    </row>
    <row r="8069" spans="14:14">
      <c r="N8069" s="113"/>
    </row>
    <row r="8070" spans="14:14">
      <c r="N8070" s="113"/>
    </row>
    <row r="8071" spans="14:14">
      <c r="N8071" s="113"/>
    </row>
    <row r="8072" spans="14:14">
      <c r="N8072" s="113"/>
    </row>
    <row r="8073" spans="14:14">
      <c r="N8073" s="113"/>
    </row>
    <row r="8074" spans="14:14">
      <c r="N8074" s="113"/>
    </row>
    <row r="8075" spans="14:14">
      <c r="N8075" s="113"/>
    </row>
    <row r="8076" spans="14:14">
      <c r="N8076" s="113"/>
    </row>
    <row r="8077" spans="14:14">
      <c r="N8077" s="113"/>
    </row>
    <row r="8078" spans="14:14">
      <c r="N8078" s="113"/>
    </row>
    <row r="8079" spans="14:14">
      <c r="N8079" s="113"/>
    </row>
    <row r="8080" spans="14:14">
      <c r="N8080" s="113"/>
    </row>
    <row r="8081" spans="14:14">
      <c r="N8081" s="113"/>
    </row>
    <row r="8082" spans="14:14">
      <c r="N8082" s="113"/>
    </row>
    <row r="8083" spans="14:14">
      <c r="N8083" s="113"/>
    </row>
    <row r="8084" spans="14:14">
      <c r="N8084" s="113"/>
    </row>
    <row r="8085" spans="14:14">
      <c r="N8085" s="113"/>
    </row>
    <row r="8086" spans="14:14">
      <c r="N8086" s="113"/>
    </row>
    <row r="8087" spans="14:14">
      <c r="N8087" s="113"/>
    </row>
    <row r="8088" spans="14:14">
      <c r="N8088" s="113"/>
    </row>
    <row r="8089" spans="14:14">
      <c r="N8089" s="113"/>
    </row>
    <row r="8090" spans="14:14">
      <c r="N8090" s="113"/>
    </row>
    <row r="8091" spans="14:14">
      <c r="N8091" s="113"/>
    </row>
    <row r="8092" spans="14:14">
      <c r="N8092" s="113"/>
    </row>
    <row r="8093" spans="14:14">
      <c r="N8093" s="113"/>
    </row>
    <row r="8094" spans="14:14">
      <c r="N8094" s="113"/>
    </row>
    <row r="8095" spans="14:14">
      <c r="N8095" s="113"/>
    </row>
    <row r="8096" spans="14:14">
      <c r="N8096" s="113"/>
    </row>
    <row r="8097" spans="14:14">
      <c r="N8097" s="113"/>
    </row>
    <row r="8098" spans="14:14">
      <c r="N8098" s="113"/>
    </row>
    <row r="8099" spans="14:14">
      <c r="N8099" s="113"/>
    </row>
    <row r="8100" spans="14:14">
      <c r="N8100" s="113"/>
    </row>
    <row r="8101" spans="14:14">
      <c r="N8101" s="113"/>
    </row>
    <row r="8102" spans="14:14">
      <c r="N8102" s="113"/>
    </row>
    <row r="8103" spans="14:14">
      <c r="N8103" s="113"/>
    </row>
    <row r="8104" spans="14:14">
      <c r="N8104" s="113"/>
    </row>
    <row r="8105" spans="14:14">
      <c r="N8105" s="113"/>
    </row>
    <row r="8106" spans="14:14">
      <c r="N8106" s="113"/>
    </row>
    <row r="8107" spans="14:14">
      <c r="N8107" s="113"/>
    </row>
    <row r="8108" spans="14:14">
      <c r="N8108" s="113"/>
    </row>
    <row r="8109" spans="14:14">
      <c r="N8109" s="113"/>
    </row>
    <row r="8110" spans="14:14">
      <c r="N8110" s="113"/>
    </row>
    <row r="8111" spans="14:14">
      <c r="N8111" s="113"/>
    </row>
    <row r="8112" spans="14:14">
      <c r="N8112" s="113"/>
    </row>
    <row r="8113" spans="14:14">
      <c r="N8113" s="113"/>
    </row>
    <row r="8114" spans="14:14">
      <c r="N8114" s="113"/>
    </row>
    <row r="8115" spans="14:14">
      <c r="N8115" s="113"/>
    </row>
    <row r="8116" spans="14:14">
      <c r="N8116" s="113"/>
    </row>
    <row r="8117" spans="14:14">
      <c r="N8117" s="113"/>
    </row>
    <row r="8118" spans="14:14">
      <c r="N8118" s="113"/>
    </row>
    <row r="8119" spans="14:14">
      <c r="N8119" s="113"/>
    </row>
    <row r="8120" spans="14:14">
      <c r="N8120" s="113"/>
    </row>
    <row r="8121" spans="14:14">
      <c r="N8121" s="113"/>
    </row>
    <row r="8122" spans="14:14">
      <c r="N8122" s="113"/>
    </row>
    <row r="8123" spans="14:14">
      <c r="N8123" s="113"/>
    </row>
    <row r="8124" spans="14:14">
      <c r="N8124" s="113"/>
    </row>
    <row r="8125" spans="14:14">
      <c r="N8125" s="113"/>
    </row>
    <row r="8126" spans="14:14">
      <c r="N8126" s="113"/>
    </row>
    <row r="8127" spans="14:14">
      <c r="N8127" s="113"/>
    </row>
    <row r="8128" spans="14:14">
      <c r="N8128" s="113"/>
    </row>
    <row r="8129" spans="14:14">
      <c r="N8129" s="113"/>
    </row>
    <row r="8130" spans="14:14">
      <c r="N8130" s="113"/>
    </row>
    <row r="8131" spans="14:14">
      <c r="N8131" s="113"/>
    </row>
    <row r="8132" spans="14:14">
      <c r="N8132" s="113"/>
    </row>
    <row r="8133" spans="14:14">
      <c r="N8133" s="113"/>
    </row>
    <row r="8134" spans="14:14">
      <c r="N8134" s="113"/>
    </row>
    <row r="8135" spans="14:14">
      <c r="N8135" s="113"/>
    </row>
    <row r="8136" spans="14:14">
      <c r="N8136" s="113"/>
    </row>
    <row r="8137" spans="14:14">
      <c r="N8137" s="113"/>
    </row>
    <row r="8138" spans="14:14">
      <c r="N8138" s="113"/>
    </row>
    <row r="8139" spans="14:14">
      <c r="N8139" s="113"/>
    </row>
    <row r="8140" spans="14:14">
      <c r="N8140" s="113"/>
    </row>
    <row r="8141" spans="14:14">
      <c r="N8141" s="113"/>
    </row>
    <row r="8142" spans="14:14">
      <c r="N8142" s="113"/>
    </row>
    <row r="8143" spans="14:14">
      <c r="N8143" s="113"/>
    </row>
    <row r="8144" spans="14:14">
      <c r="N8144" s="113"/>
    </row>
    <row r="8145" spans="14:14">
      <c r="N8145" s="113"/>
    </row>
    <row r="8146" spans="14:14">
      <c r="N8146" s="113"/>
    </row>
    <row r="8147" spans="14:14">
      <c r="N8147" s="113"/>
    </row>
    <row r="8148" spans="14:14">
      <c r="N8148" s="113"/>
    </row>
    <row r="8149" spans="14:14">
      <c r="N8149" s="113"/>
    </row>
    <row r="8150" spans="14:14">
      <c r="N8150" s="113"/>
    </row>
    <row r="8151" spans="14:14">
      <c r="N8151" s="113"/>
    </row>
    <row r="8152" spans="14:14">
      <c r="N8152" s="113"/>
    </row>
    <row r="8153" spans="14:14">
      <c r="N8153" s="113"/>
    </row>
    <row r="8154" spans="14:14">
      <c r="N8154" s="113"/>
    </row>
    <row r="8155" spans="14:14">
      <c r="N8155" s="113"/>
    </row>
    <row r="8156" spans="14:14">
      <c r="N8156" s="113"/>
    </row>
    <row r="8157" spans="14:14">
      <c r="N8157" s="113"/>
    </row>
    <row r="8158" spans="14:14">
      <c r="N8158" s="113"/>
    </row>
    <row r="8159" spans="14:14">
      <c r="N8159" s="113"/>
    </row>
    <row r="8160" spans="14:14">
      <c r="N8160" s="113"/>
    </row>
    <row r="8161" spans="14:14">
      <c r="N8161" s="113"/>
    </row>
    <row r="8162" spans="14:14">
      <c r="N8162" s="113"/>
    </row>
    <row r="8163" spans="14:14">
      <c r="N8163" s="113"/>
    </row>
    <row r="8164" spans="14:14">
      <c r="N8164" s="113"/>
    </row>
    <row r="8165" spans="14:14">
      <c r="N8165" s="113"/>
    </row>
    <row r="8166" spans="14:14">
      <c r="N8166" s="113"/>
    </row>
    <row r="8167" spans="14:14">
      <c r="N8167" s="113"/>
    </row>
    <row r="8168" spans="14:14">
      <c r="N8168" s="113"/>
    </row>
    <row r="8169" spans="14:14">
      <c r="N8169" s="113"/>
    </row>
    <row r="8170" spans="14:14">
      <c r="N8170" s="113"/>
    </row>
    <row r="8171" spans="14:14">
      <c r="N8171" s="113"/>
    </row>
    <row r="8172" spans="14:14">
      <c r="N8172" s="113"/>
    </row>
    <row r="8173" spans="14:14">
      <c r="N8173" s="113"/>
    </row>
    <row r="8174" spans="14:14">
      <c r="N8174" s="113"/>
    </row>
    <row r="8175" spans="14:14">
      <c r="N8175" s="113"/>
    </row>
    <row r="8176" spans="14:14">
      <c r="N8176" s="113"/>
    </row>
    <row r="8177" spans="14:14">
      <c r="N8177" s="113"/>
    </row>
    <row r="8178" spans="14:14">
      <c r="N8178" s="113"/>
    </row>
    <row r="8179" spans="14:14">
      <c r="N8179" s="113"/>
    </row>
    <row r="8180" spans="14:14">
      <c r="N8180" s="113"/>
    </row>
    <row r="8181" spans="14:14">
      <c r="N8181" s="113"/>
    </row>
    <row r="8182" spans="14:14">
      <c r="N8182" s="113"/>
    </row>
    <row r="8183" spans="14:14">
      <c r="N8183" s="113"/>
    </row>
    <row r="8184" spans="14:14">
      <c r="N8184" s="113"/>
    </row>
    <row r="8185" spans="14:14">
      <c r="N8185" s="113"/>
    </row>
    <row r="8186" spans="14:14">
      <c r="N8186" s="113"/>
    </row>
    <row r="8187" spans="14:14">
      <c r="N8187" s="113"/>
    </row>
    <row r="8188" spans="14:14">
      <c r="N8188" s="113"/>
    </row>
    <row r="8189" spans="14:14">
      <c r="N8189" s="113"/>
    </row>
    <row r="8190" spans="14:14">
      <c r="N8190" s="113"/>
    </row>
    <row r="8191" spans="14:14">
      <c r="N8191" s="113"/>
    </row>
    <row r="8192" spans="14:14">
      <c r="N8192" s="113"/>
    </row>
    <row r="8193" spans="14:14">
      <c r="N8193" s="113"/>
    </row>
    <row r="8194" spans="14:14">
      <c r="N8194" s="113"/>
    </row>
    <row r="8195" spans="14:14">
      <c r="N8195" s="113"/>
    </row>
    <row r="8196" spans="14:14">
      <c r="N8196" s="113"/>
    </row>
    <row r="8197" spans="14:14">
      <c r="N8197" s="113"/>
    </row>
    <row r="8198" spans="14:14">
      <c r="N8198" s="113"/>
    </row>
    <row r="8199" spans="14:14">
      <c r="N8199" s="113"/>
    </row>
    <row r="8200" spans="14:14">
      <c r="N8200" s="113"/>
    </row>
    <row r="8201" spans="14:14">
      <c r="N8201" s="113"/>
    </row>
    <row r="8202" spans="14:14">
      <c r="N8202" s="113"/>
    </row>
    <row r="8203" spans="14:14">
      <c r="N8203" s="113"/>
    </row>
    <row r="8204" spans="14:14">
      <c r="N8204" s="113"/>
    </row>
    <row r="8205" spans="14:14">
      <c r="N8205" s="113"/>
    </row>
    <row r="8206" spans="14:14">
      <c r="N8206" s="113"/>
    </row>
    <row r="8207" spans="14:14">
      <c r="N8207" s="113"/>
    </row>
    <row r="8208" spans="14:14">
      <c r="N8208" s="113"/>
    </row>
    <row r="8209" spans="14:14">
      <c r="N8209" s="113"/>
    </row>
    <row r="8210" spans="14:14">
      <c r="N8210" s="113"/>
    </row>
    <row r="8211" spans="14:14">
      <c r="N8211" s="113"/>
    </row>
    <row r="8212" spans="14:14">
      <c r="N8212" s="113"/>
    </row>
    <row r="8213" spans="14:14">
      <c r="N8213" s="113"/>
    </row>
    <row r="8214" spans="14:14">
      <c r="N8214" s="113"/>
    </row>
    <row r="8215" spans="14:14">
      <c r="N8215" s="113"/>
    </row>
    <row r="8216" spans="14:14">
      <c r="N8216" s="113"/>
    </row>
    <row r="8217" spans="14:14">
      <c r="N8217" s="113"/>
    </row>
    <row r="8218" spans="14:14">
      <c r="N8218" s="113"/>
    </row>
    <row r="8219" spans="14:14">
      <c r="N8219" s="113"/>
    </row>
    <row r="8220" spans="14:14">
      <c r="N8220" s="113"/>
    </row>
    <row r="8221" spans="14:14">
      <c r="N8221" s="113"/>
    </row>
    <row r="8222" spans="14:14">
      <c r="N8222" s="113"/>
    </row>
    <row r="8223" spans="14:14">
      <c r="N8223" s="113"/>
    </row>
    <row r="8224" spans="14:14">
      <c r="N8224" s="113"/>
    </row>
    <row r="8225" spans="14:14">
      <c r="N8225" s="113"/>
    </row>
    <row r="8226" spans="14:14">
      <c r="N8226" s="113"/>
    </row>
    <row r="8227" spans="14:14">
      <c r="N8227" s="113"/>
    </row>
    <row r="8228" spans="14:14">
      <c r="N8228" s="113"/>
    </row>
    <row r="8229" spans="14:14">
      <c r="N8229" s="113"/>
    </row>
    <row r="8230" spans="14:14">
      <c r="N8230" s="113"/>
    </row>
    <row r="8231" spans="14:14">
      <c r="N8231" s="113"/>
    </row>
    <row r="8232" spans="14:14">
      <c r="N8232" s="113"/>
    </row>
    <row r="8233" spans="14:14">
      <c r="N8233" s="113"/>
    </row>
    <row r="8234" spans="14:14">
      <c r="N8234" s="113"/>
    </row>
    <row r="8235" spans="14:14">
      <c r="N8235" s="113"/>
    </row>
    <row r="8236" spans="14:14">
      <c r="N8236" s="113"/>
    </row>
    <row r="8237" spans="14:14">
      <c r="N8237" s="113"/>
    </row>
    <row r="8238" spans="14:14">
      <c r="N8238" s="113"/>
    </row>
    <row r="8239" spans="14:14">
      <c r="N8239" s="113"/>
    </row>
    <row r="8240" spans="14:14">
      <c r="N8240" s="113"/>
    </row>
    <row r="8241" spans="14:14">
      <c r="N8241" s="113"/>
    </row>
    <row r="8242" spans="14:14">
      <c r="N8242" s="113"/>
    </row>
    <row r="8243" spans="14:14">
      <c r="N8243" s="113"/>
    </row>
    <row r="8244" spans="14:14">
      <c r="N8244" s="113"/>
    </row>
    <row r="8245" spans="14:14">
      <c r="N8245" s="113"/>
    </row>
    <row r="8246" spans="14:14">
      <c r="N8246" s="113"/>
    </row>
    <row r="8247" spans="14:14">
      <c r="N8247" s="113"/>
    </row>
    <row r="8248" spans="14:14">
      <c r="N8248" s="113"/>
    </row>
    <row r="8249" spans="14:14">
      <c r="N8249" s="113"/>
    </row>
    <row r="8250" spans="14:14">
      <c r="N8250" s="113"/>
    </row>
    <row r="8251" spans="14:14">
      <c r="N8251" s="113"/>
    </row>
    <row r="8252" spans="14:14">
      <c r="N8252" s="113"/>
    </row>
    <row r="8253" spans="14:14">
      <c r="N8253" s="113"/>
    </row>
    <row r="8254" spans="14:14">
      <c r="N8254" s="113"/>
    </row>
    <row r="8255" spans="14:14">
      <c r="N8255" s="113"/>
    </row>
    <row r="8256" spans="14:14">
      <c r="N8256" s="113"/>
    </row>
    <row r="8257" spans="14:14">
      <c r="N8257" s="113"/>
    </row>
    <row r="8258" spans="14:14">
      <c r="N8258" s="113"/>
    </row>
    <row r="8259" spans="14:14">
      <c r="N8259" s="113"/>
    </row>
    <row r="8260" spans="14:14">
      <c r="N8260" s="113"/>
    </row>
    <row r="8261" spans="14:14">
      <c r="N8261" s="113"/>
    </row>
    <row r="8262" spans="14:14">
      <c r="N8262" s="113"/>
    </row>
    <row r="8263" spans="14:14">
      <c r="N8263" s="113"/>
    </row>
    <row r="8264" spans="14:14">
      <c r="N8264" s="113"/>
    </row>
    <row r="8265" spans="14:14">
      <c r="N8265" s="113"/>
    </row>
    <row r="8266" spans="14:14">
      <c r="N8266" s="113"/>
    </row>
    <row r="8267" spans="14:14">
      <c r="N8267" s="113"/>
    </row>
    <row r="8268" spans="14:14">
      <c r="N8268" s="113"/>
    </row>
    <row r="8269" spans="14:14">
      <c r="N8269" s="113"/>
    </row>
    <row r="8270" spans="14:14">
      <c r="N8270" s="113"/>
    </row>
    <row r="8271" spans="14:14">
      <c r="N8271" s="113"/>
    </row>
    <row r="8272" spans="14:14">
      <c r="N8272" s="113"/>
    </row>
    <row r="8273" spans="14:14">
      <c r="N8273" s="113"/>
    </row>
    <row r="8274" spans="14:14">
      <c r="N8274" s="113"/>
    </row>
    <row r="8275" spans="14:14">
      <c r="N8275" s="113"/>
    </row>
    <row r="8276" spans="14:14">
      <c r="N8276" s="113"/>
    </row>
    <row r="8277" spans="14:14">
      <c r="N8277" s="113"/>
    </row>
    <row r="8278" spans="14:14">
      <c r="N8278" s="113"/>
    </row>
    <row r="8279" spans="14:14">
      <c r="N8279" s="113"/>
    </row>
    <row r="8280" spans="14:14">
      <c r="N8280" s="113"/>
    </row>
    <row r="8281" spans="14:14">
      <c r="N8281" s="113"/>
    </row>
    <row r="8282" spans="14:14">
      <c r="N8282" s="113"/>
    </row>
    <row r="8283" spans="14:14">
      <c r="N8283" s="113"/>
    </row>
    <row r="8284" spans="14:14">
      <c r="N8284" s="113"/>
    </row>
    <row r="8285" spans="14:14">
      <c r="N8285" s="113"/>
    </row>
    <row r="8286" spans="14:14">
      <c r="N8286" s="113"/>
    </row>
    <row r="8287" spans="14:14">
      <c r="N8287" s="113"/>
    </row>
    <row r="8288" spans="14:14">
      <c r="N8288" s="113"/>
    </row>
    <row r="8289" spans="14:14">
      <c r="N8289" s="113"/>
    </row>
    <row r="8290" spans="14:14">
      <c r="N8290" s="113"/>
    </row>
    <row r="8291" spans="14:14">
      <c r="N8291" s="113"/>
    </row>
    <row r="8292" spans="14:14">
      <c r="N8292" s="113"/>
    </row>
    <row r="8293" spans="14:14">
      <c r="N8293" s="113"/>
    </row>
    <row r="8294" spans="14:14">
      <c r="N8294" s="113"/>
    </row>
    <row r="8295" spans="14:14">
      <c r="N8295" s="113"/>
    </row>
    <row r="8296" spans="14:14">
      <c r="N8296" s="113"/>
    </row>
    <row r="8297" spans="14:14">
      <c r="N8297" s="113"/>
    </row>
    <row r="8298" spans="14:14">
      <c r="N8298" s="113"/>
    </row>
    <row r="8299" spans="14:14">
      <c r="N8299" s="113"/>
    </row>
    <row r="8300" spans="14:14">
      <c r="N8300" s="113"/>
    </row>
    <row r="8301" spans="14:14">
      <c r="N8301" s="113"/>
    </row>
    <row r="8302" spans="14:14">
      <c r="N8302" s="113"/>
    </row>
    <row r="8303" spans="14:14">
      <c r="N8303" s="113"/>
    </row>
    <row r="8304" spans="14:14">
      <c r="N8304" s="113"/>
    </row>
    <row r="8305" spans="14:14">
      <c r="N8305" s="113"/>
    </row>
    <row r="8306" spans="14:14">
      <c r="N8306" s="113"/>
    </row>
    <row r="8307" spans="14:14">
      <c r="N8307" s="113"/>
    </row>
    <row r="8308" spans="14:14">
      <c r="N8308" s="113"/>
    </row>
    <row r="8309" spans="14:14">
      <c r="N8309" s="113"/>
    </row>
    <row r="8310" spans="14:14">
      <c r="N8310" s="113"/>
    </row>
    <row r="8311" spans="14:14">
      <c r="N8311" s="113"/>
    </row>
    <row r="8312" spans="14:14">
      <c r="N8312" s="113"/>
    </row>
    <row r="8313" spans="14:14">
      <c r="N8313" s="113"/>
    </row>
    <row r="8314" spans="14:14">
      <c r="N8314" s="113"/>
    </row>
    <row r="8315" spans="14:14">
      <c r="N8315" s="113"/>
    </row>
    <row r="8316" spans="14:14">
      <c r="N8316" s="113"/>
    </row>
    <row r="8317" spans="14:14">
      <c r="N8317" s="113"/>
    </row>
    <row r="8318" spans="14:14">
      <c r="N8318" s="113"/>
    </row>
    <row r="8319" spans="14:14">
      <c r="N8319" s="113"/>
    </row>
    <row r="8320" spans="14:14">
      <c r="N8320" s="113"/>
    </row>
    <row r="8321" spans="14:14">
      <c r="N8321" s="113"/>
    </row>
    <row r="8322" spans="14:14">
      <c r="N8322" s="113"/>
    </row>
    <row r="8323" spans="14:14">
      <c r="N8323" s="113"/>
    </row>
    <row r="8324" spans="14:14">
      <c r="N8324" s="113"/>
    </row>
    <row r="8325" spans="14:14">
      <c r="N8325" s="113"/>
    </row>
    <row r="8326" spans="14:14">
      <c r="N8326" s="113"/>
    </row>
    <row r="8327" spans="14:14">
      <c r="N8327" s="113"/>
    </row>
    <row r="8328" spans="14:14">
      <c r="N8328" s="113"/>
    </row>
    <row r="8329" spans="14:14">
      <c r="N8329" s="113"/>
    </row>
    <row r="8330" spans="14:14">
      <c r="N8330" s="113"/>
    </row>
    <row r="8331" spans="14:14">
      <c r="N8331" s="113"/>
    </row>
    <row r="8332" spans="14:14">
      <c r="N8332" s="113"/>
    </row>
    <row r="8333" spans="14:14">
      <c r="N8333" s="113"/>
    </row>
    <row r="8334" spans="14:14">
      <c r="N8334" s="113"/>
    </row>
    <row r="8335" spans="14:14">
      <c r="N8335" s="113"/>
    </row>
    <row r="8336" spans="14:14">
      <c r="N8336" s="113"/>
    </row>
    <row r="8337" spans="14:14">
      <c r="N8337" s="113"/>
    </row>
    <row r="8338" spans="14:14">
      <c r="N8338" s="113"/>
    </row>
    <row r="8339" spans="14:14">
      <c r="N8339" s="113"/>
    </row>
    <row r="8340" spans="14:14">
      <c r="N8340" s="113"/>
    </row>
    <row r="8341" spans="14:14">
      <c r="N8341" s="113"/>
    </row>
    <row r="8342" spans="14:14">
      <c r="N8342" s="113"/>
    </row>
    <row r="8343" spans="14:14">
      <c r="N8343" s="113"/>
    </row>
    <row r="8344" spans="14:14">
      <c r="N8344" s="113"/>
    </row>
    <row r="8345" spans="14:14">
      <c r="N8345" s="113"/>
    </row>
    <row r="8346" spans="14:14">
      <c r="N8346" s="113"/>
    </row>
    <row r="8347" spans="14:14">
      <c r="N8347" s="113"/>
    </row>
    <row r="8348" spans="14:14">
      <c r="N8348" s="113"/>
    </row>
    <row r="8349" spans="14:14">
      <c r="N8349" s="113"/>
    </row>
    <row r="8350" spans="14:14">
      <c r="N8350" s="113"/>
    </row>
    <row r="8351" spans="14:14">
      <c r="N8351" s="113"/>
    </row>
    <row r="8352" spans="14:14">
      <c r="N8352" s="113"/>
    </row>
    <row r="8353" spans="14:14">
      <c r="N8353" s="113"/>
    </row>
    <row r="8354" spans="14:14">
      <c r="N8354" s="113"/>
    </row>
    <row r="8355" spans="14:14">
      <c r="N8355" s="113"/>
    </row>
    <row r="8356" spans="14:14">
      <c r="N8356" s="113"/>
    </row>
    <row r="8357" spans="14:14">
      <c r="N8357" s="113"/>
    </row>
    <row r="8358" spans="14:14">
      <c r="N8358" s="113"/>
    </row>
    <row r="8359" spans="14:14">
      <c r="N8359" s="113"/>
    </row>
    <row r="8360" spans="14:14">
      <c r="N8360" s="113"/>
    </row>
    <row r="8361" spans="14:14">
      <c r="N8361" s="113"/>
    </row>
    <row r="8362" spans="14:14">
      <c r="N8362" s="113"/>
    </row>
    <row r="8363" spans="14:14">
      <c r="N8363" s="113"/>
    </row>
    <row r="8364" spans="14:14">
      <c r="N8364" s="113"/>
    </row>
    <row r="8365" spans="14:14">
      <c r="N8365" s="113"/>
    </row>
    <row r="8366" spans="14:14">
      <c r="N8366" s="113"/>
    </row>
    <row r="8367" spans="14:14">
      <c r="N8367" s="113"/>
    </row>
    <row r="8368" spans="14:14">
      <c r="N8368" s="113"/>
    </row>
    <row r="8369" spans="14:14">
      <c r="N8369" s="113"/>
    </row>
    <row r="8370" spans="14:14">
      <c r="N8370" s="113"/>
    </row>
    <row r="8371" spans="14:14">
      <c r="N8371" s="113"/>
    </row>
    <row r="8372" spans="14:14">
      <c r="N8372" s="113"/>
    </row>
    <row r="8373" spans="14:14">
      <c r="N8373" s="113"/>
    </row>
    <row r="8374" spans="14:14">
      <c r="N8374" s="113"/>
    </row>
    <row r="8375" spans="14:14">
      <c r="N8375" s="113"/>
    </row>
    <row r="8376" spans="14:14">
      <c r="N8376" s="113"/>
    </row>
    <row r="8377" spans="14:14">
      <c r="N8377" s="113"/>
    </row>
    <row r="8378" spans="14:14">
      <c r="N8378" s="113"/>
    </row>
    <row r="8379" spans="14:14">
      <c r="N8379" s="113"/>
    </row>
    <row r="8380" spans="14:14">
      <c r="N8380" s="113"/>
    </row>
    <row r="8381" spans="14:14">
      <c r="N8381" s="113"/>
    </row>
    <row r="8382" spans="14:14">
      <c r="N8382" s="113"/>
    </row>
    <row r="8383" spans="14:14">
      <c r="N8383" s="113"/>
    </row>
    <row r="8384" spans="14:14">
      <c r="N8384" s="113"/>
    </row>
    <row r="8385" spans="14:14">
      <c r="N8385" s="113"/>
    </row>
    <row r="8386" spans="14:14">
      <c r="N8386" s="113"/>
    </row>
    <row r="8387" spans="14:14">
      <c r="N8387" s="113"/>
    </row>
    <row r="8388" spans="14:14">
      <c r="N8388" s="113"/>
    </row>
    <row r="8389" spans="14:14">
      <c r="N8389" s="113"/>
    </row>
    <row r="8390" spans="14:14">
      <c r="N8390" s="113"/>
    </row>
    <row r="8391" spans="14:14">
      <c r="N8391" s="113"/>
    </row>
    <row r="8392" spans="14:14">
      <c r="N8392" s="113"/>
    </row>
    <row r="8393" spans="14:14">
      <c r="N8393" s="113"/>
    </row>
    <row r="8394" spans="14:14">
      <c r="N8394" s="113"/>
    </row>
    <row r="8395" spans="14:14">
      <c r="N8395" s="113"/>
    </row>
    <row r="8396" spans="14:14">
      <c r="N8396" s="113"/>
    </row>
    <row r="8397" spans="14:14">
      <c r="N8397" s="113"/>
    </row>
    <row r="8398" spans="14:14">
      <c r="N8398" s="113"/>
    </row>
    <row r="8399" spans="14:14">
      <c r="N8399" s="113"/>
    </row>
    <row r="8400" spans="14:14">
      <c r="N8400" s="113"/>
    </row>
    <row r="8401" spans="14:14">
      <c r="N8401" s="113"/>
    </row>
    <row r="8402" spans="14:14">
      <c r="N8402" s="113"/>
    </row>
    <row r="8403" spans="14:14">
      <c r="N8403" s="113"/>
    </row>
    <row r="8404" spans="14:14">
      <c r="N8404" s="113"/>
    </row>
    <row r="8405" spans="14:14">
      <c r="N8405" s="113"/>
    </row>
    <row r="8406" spans="14:14">
      <c r="N8406" s="113"/>
    </row>
    <row r="8407" spans="14:14">
      <c r="N8407" s="113"/>
    </row>
    <row r="8408" spans="14:14">
      <c r="N8408" s="113"/>
    </row>
    <row r="8409" spans="14:14">
      <c r="N8409" s="113"/>
    </row>
    <row r="8410" spans="14:14">
      <c r="N8410" s="113"/>
    </row>
    <row r="8411" spans="14:14">
      <c r="N8411" s="113"/>
    </row>
    <row r="8412" spans="14:14">
      <c r="N8412" s="113"/>
    </row>
    <row r="8413" spans="14:14">
      <c r="N8413" s="113"/>
    </row>
    <row r="8414" spans="14:14">
      <c r="N8414" s="113"/>
    </row>
    <row r="8415" spans="14:14">
      <c r="N8415" s="113"/>
    </row>
    <row r="8416" spans="14:14">
      <c r="N8416" s="113"/>
    </row>
    <row r="8417" spans="14:14">
      <c r="N8417" s="113"/>
    </row>
    <row r="8418" spans="14:14">
      <c r="N8418" s="113"/>
    </row>
    <row r="8419" spans="14:14">
      <c r="N8419" s="113"/>
    </row>
    <row r="8420" spans="14:14">
      <c r="N8420" s="113"/>
    </row>
    <row r="8421" spans="14:14">
      <c r="N8421" s="113"/>
    </row>
    <row r="8422" spans="14:14">
      <c r="N8422" s="113"/>
    </row>
    <row r="8423" spans="14:14">
      <c r="N8423" s="113"/>
    </row>
    <row r="8424" spans="14:14">
      <c r="N8424" s="113"/>
    </row>
    <row r="8425" spans="14:14">
      <c r="N8425" s="113"/>
    </row>
    <row r="8426" spans="14:14">
      <c r="N8426" s="113"/>
    </row>
    <row r="8427" spans="14:14">
      <c r="N8427" s="113"/>
    </row>
    <row r="8428" spans="14:14">
      <c r="N8428" s="113"/>
    </row>
    <row r="8429" spans="14:14">
      <c r="N8429" s="113"/>
    </row>
    <row r="8430" spans="14:14">
      <c r="N8430" s="113"/>
    </row>
    <row r="8431" spans="14:14">
      <c r="N8431" s="113"/>
    </row>
    <row r="8432" spans="14:14">
      <c r="N8432" s="113"/>
    </row>
    <row r="8433" spans="14:14">
      <c r="N8433" s="113"/>
    </row>
    <row r="8434" spans="14:14">
      <c r="N8434" s="113"/>
    </row>
    <row r="8435" spans="14:14">
      <c r="N8435" s="113"/>
    </row>
    <row r="8436" spans="14:14">
      <c r="N8436" s="113"/>
    </row>
    <row r="8437" spans="14:14">
      <c r="N8437" s="113"/>
    </row>
    <row r="8438" spans="14:14">
      <c r="N8438" s="113"/>
    </row>
    <row r="8439" spans="14:14">
      <c r="N8439" s="113"/>
    </row>
    <row r="8440" spans="14:14">
      <c r="N8440" s="113"/>
    </row>
    <row r="8441" spans="14:14">
      <c r="N8441" s="113"/>
    </row>
    <row r="8442" spans="14:14">
      <c r="N8442" s="113"/>
    </row>
    <row r="8443" spans="14:14">
      <c r="N8443" s="113"/>
    </row>
    <row r="8444" spans="14:14">
      <c r="N8444" s="113"/>
    </row>
    <row r="8445" spans="14:14">
      <c r="N8445" s="113"/>
    </row>
    <row r="8446" spans="14:14">
      <c r="N8446" s="113"/>
    </row>
    <row r="8447" spans="14:14">
      <c r="N8447" s="113"/>
    </row>
    <row r="8448" spans="14:14">
      <c r="N8448" s="113"/>
    </row>
    <row r="8449" spans="14:14">
      <c r="N8449" s="113"/>
    </row>
    <row r="8450" spans="14:14">
      <c r="N8450" s="113"/>
    </row>
    <row r="8451" spans="14:14">
      <c r="N8451" s="113"/>
    </row>
    <row r="8452" spans="14:14">
      <c r="N8452" s="113"/>
    </row>
    <row r="8453" spans="14:14">
      <c r="N8453" s="113"/>
    </row>
    <row r="8454" spans="14:14">
      <c r="N8454" s="113"/>
    </row>
    <row r="8455" spans="14:14">
      <c r="N8455" s="113"/>
    </row>
    <row r="8456" spans="14:14">
      <c r="N8456" s="113"/>
    </row>
    <row r="8457" spans="14:14">
      <c r="N8457" s="113"/>
    </row>
    <row r="8458" spans="14:14">
      <c r="N8458" s="113"/>
    </row>
    <row r="8459" spans="14:14">
      <c r="N8459" s="113"/>
    </row>
    <row r="8460" spans="14:14">
      <c r="N8460" s="113"/>
    </row>
    <row r="8461" spans="14:14">
      <c r="N8461" s="113"/>
    </row>
    <row r="8462" spans="14:14">
      <c r="N8462" s="113"/>
    </row>
    <row r="8463" spans="14:14">
      <c r="N8463" s="113"/>
    </row>
    <row r="8464" spans="14:14">
      <c r="N8464" s="113"/>
    </row>
    <row r="8465" spans="14:14">
      <c r="N8465" s="113"/>
    </row>
    <row r="8466" spans="14:14">
      <c r="N8466" s="113"/>
    </row>
    <row r="8467" spans="14:14">
      <c r="N8467" s="113"/>
    </row>
    <row r="8468" spans="14:14">
      <c r="N8468" s="113"/>
    </row>
    <row r="8469" spans="14:14">
      <c r="N8469" s="113"/>
    </row>
    <row r="8470" spans="14:14">
      <c r="N8470" s="113"/>
    </row>
    <row r="8471" spans="14:14">
      <c r="N8471" s="113"/>
    </row>
    <row r="8472" spans="14:14">
      <c r="N8472" s="113"/>
    </row>
    <row r="8473" spans="14:14">
      <c r="N8473" s="113"/>
    </row>
    <row r="8474" spans="14:14">
      <c r="N8474" s="113"/>
    </row>
    <row r="8475" spans="14:14">
      <c r="N8475" s="113"/>
    </row>
    <row r="8476" spans="14:14">
      <c r="N8476" s="113"/>
    </row>
    <row r="8477" spans="14:14">
      <c r="N8477" s="113"/>
    </row>
    <row r="8478" spans="14:14">
      <c r="N8478" s="113"/>
    </row>
    <row r="8479" spans="14:14">
      <c r="N8479" s="113"/>
    </row>
    <row r="8480" spans="14:14">
      <c r="N8480" s="113"/>
    </row>
    <row r="8481" spans="14:14">
      <c r="N8481" s="113"/>
    </row>
    <row r="8482" spans="14:14">
      <c r="N8482" s="113"/>
    </row>
    <row r="8483" spans="14:14">
      <c r="N8483" s="113"/>
    </row>
    <row r="8484" spans="14:14">
      <c r="N8484" s="113"/>
    </row>
    <row r="8485" spans="14:14">
      <c r="N8485" s="113"/>
    </row>
    <row r="8486" spans="14:14">
      <c r="N8486" s="113"/>
    </row>
    <row r="8487" spans="14:14">
      <c r="N8487" s="113"/>
    </row>
    <row r="8488" spans="14:14">
      <c r="N8488" s="113"/>
    </row>
    <row r="8489" spans="14:14">
      <c r="N8489" s="113"/>
    </row>
    <row r="8490" spans="14:14">
      <c r="N8490" s="113"/>
    </row>
    <row r="8491" spans="14:14">
      <c r="N8491" s="113"/>
    </row>
    <row r="8492" spans="14:14">
      <c r="N8492" s="113"/>
    </row>
    <row r="8493" spans="14:14">
      <c r="N8493" s="113"/>
    </row>
    <row r="8494" spans="14:14">
      <c r="N8494" s="113"/>
    </row>
    <row r="8495" spans="14:14">
      <c r="N8495" s="113"/>
    </row>
    <row r="8496" spans="14:14">
      <c r="N8496" s="113"/>
    </row>
    <row r="8497" spans="14:14">
      <c r="N8497" s="113"/>
    </row>
    <row r="8498" spans="14:14">
      <c r="N8498" s="113"/>
    </row>
    <row r="8499" spans="14:14">
      <c r="N8499" s="113"/>
    </row>
    <row r="8500" spans="14:14">
      <c r="N8500" s="113"/>
    </row>
    <row r="8501" spans="14:14">
      <c r="N8501" s="113"/>
    </row>
    <row r="8502" spans="14:14">
      <c r="N8502" s="113"/>
    </row>
    <row r="8503" spans="14:14">
      <c r="N8503" s="113"/>
    </row>
    <row r="8504" spans="14:14">
      <c r="N8504" s="113"/>
    </row>
    <row r="8505" spans="14:14">
      <c r="N8505" s="113"/>
    </row>
    <row r="8506" spans="14:14">
      <c r="N8506" s="113"/>
    </row>
    <row r="8507" spans="14:14">
      <c r="N8507" s="113"/>
    </row>
    <row r="8508" spans="14:14">
      <c r="N8508" s="113"/>
    </row>
    <row r="8509" spans="14:14">
      <c r="N8509" s="113"/>
    </row>
    <row r="8510" spans="14:14">
      <c r="N8510" s="113"/>
    </row>
    <row r="8511" spans="14:14">
      <c r="N8511" s="113"/>
    </row>
    <row r="8512" spans="14:14">
      <c r="N8512" s="113"/>
    </row>
    <row r="8513" spans="14:14">
      <c r="N8513" s="113"/>
    </row>
    <row r="8514" spans="14:14">
      <c r="N8514" s="113"/>
    </row>
    <row r="8515" spans="14:14">
      <c r="N8515" s="113"/>
    </row>
    <row r="8516" spans="14:14">
      <c r="N8516" s="113"/>
    </row>
    <row r="8517" spans="14:14">
      <c r="N8517" s="113"/>
    </row>
    <row r="8518" spans="14:14">
      <c r="N8518" s="113"/>
    </row>
    <row r="8519" spans="14:14">
      <c r="N8519" s="113"/>
    </row>
    <row r="8520" spans="14:14">
      <c r="N8520" s="113"/>
    </row>
    <row r="8521" spans="14:14">
      <c r="N8521" s="113"/>
    </row>
    <row r="8522" spans="14:14">
      <c r="N8522" s="113"/>
    </row>
    <row r="8523" spans="14:14">
      <c r="N8523" s="113"/>
    </row>
    <row r="8524" spans="14:14">
      <c r="N8524" s="113"/>
    </row>
    <row r="8525" spans="14:14">
      <c r="N8525" s="113"/>
    </row>
    <row r="8526" spans="14:14">
      <c r="N8526" s="113"/>
    </row>
    <row r="8527" spans="14:14">
      <c r="N8527" s="113"/>
    </row>
    <row r="8528" spans="14:14">
      <c r="N8528" s="113"/>
    </row>
    <row r="8529" spans="14:14">
      <c r="N8529" s="113"/>
    </row>
    <row r="8530" spans="14:14">
      <c r="N8530" s="113"/>
    </row>
    <row r="8531" spans="14:14">
      <c r="N8531" s="113"/>
    </row>
    <row r="8532" spans="14:14">
      <c r="N8532" s="113"/>
    </row>
    <row r="8533" spans="14:14">
      <c r="N8533" s="113"/>
    </row>
    <row r="8534" spans="14:14">
      <c r="N8534" s="113"/>
    </row>
    <row r="8535" spans="14:14">
      <c r="N8535" s="113"/>
    </row>
    <row r="8536" spans="14:14">
      <c r="N8536" s="113"/>
    </row>
    <row r="8537" spans="14:14">
      <c r="N8537" s="113"/>
    </row>
    <row r="8538" spans="14:14">
      <c r="N8538" s="113"/>
    </row>
    <row r="8539" spans="14:14">
      <c r="N8539" s="113"/>
    </row>
    <row r="8540" spans="14:14">
      <c r="N8540" s="113"/>
    </row>
    <row r="8541" spans="14:14">
      <c r="N8541" s="113"/>
    </row>
    <row r="8542" spans="14:14">
      <c r="N8542" s="113"/>
    </row>
    <row r="8543" spans="14:14">
      <c r="N8543" s="113"/>
    </row>
    <row r="8544" spans="14:14">
      <c r="N8544" s="113"/>
    </row>
    <row r="8545" spans="14:14">
      <c r="N8545" s="113"/>
    </row>
    <row r="8546" spans="14:14">
      <c r="N8546" s="113"/>
    </row>
    <row r="8547" spans="14:14">
      <c r="N8547" s="113"/>
    </row>
    <row r="8548" spans="14:14">
      <c r="N8548" s="113"/>
    </row>
    <row r="8549" spans="14:14">
      <c r="N8549" s="113"/>
    </row>
    <row r="8550" spans="14:14">
      <c r="N8550" s="113"/>
    </row>
    <row r="8551" spans="14:14">
      <c r="N8551" s="113"/>
    </row>
    <row r="8552" spans="14:14">
      <c r="N8552" s="113"/>
    </row>
    <row r="8553" spans="14:14">
      <c r="N8553" s="113"/>
    </row>
    <row r="8554" spans="14:14">
      <c r="N8554" s="113"/>
    </row>
    <row r="8555" spans="14:14">
      <c r="N8555" s="113"/>
    </row>
    <row r="8556" spans="14:14">
      <c r="N8556" s="113"/>
    </row>
    <row r="8557" spans="14:14">
      <c r="N8557" s="113"/>
    </row>
    <row r="8558" spans="14:14">
      <c r="N8558" s="113"/>
    </row>
    <row r="8559" spans="14:14">
      <c r="N8559" s="113"/>
    </row>
    <row r="8560" spans="14:14">
      <c r="N8560" s="113"/>
    </row>
    <row r="8561" spans="14:14">
      <c r="N8561" s="113"/>
    </row>
    <row r="8562" spans="14:14">
      <c r="N8562" s="113"/>
    </row>
    <row r="8563" spans="14:14">
      <c r="N8563" s="113"/>
    </row>
    <row r="8564" spans="14:14">
      <c r="N8564" s="113"/>
    </row>
    <row r="8565" spans="14:14">
      <c r="N8565" s="113"/>
    </row>
    <row r="8566" spans="14:14">
      <c r="N8566" s="113"/>
    </row>
    <row r="8567" spans="14:14">
      <c r="N8567" s="113"/>
    </row>
    <row r="8568" spans="14:14">
      <c r="N8568" s="113"/>
    </row>
    <row r="8569" spans="14:14">
      <c r="N8569" s="113"/>
    </row>
    <row r="8570" spans="14:14">
      <c r="N8570" s="113"/>
    </row>
    <row r="8571" spans="14:14">
      <c r="N8571" s="113"/>
    </row>
    <row r="8572" spans="14:14">
      <c r="N8572" s="113"/>
    </row>
    <row r="8573" spans="14:14">
      <c r="N8573" s="113"/>
    </row>
    <row r="8574" spans="14:14">
      <c r="N8574" s="113"/>
    </row>
    <row r="8575" spans="14:14">
      <c r="N8575" s="113"/>
    </row>
    <row r="8576" spans="14:14">
      <c r="N8576" s="113"/>
    </row>
    <row r="8577" spans="14:14">
      <c r="N8577" s="113"/>
    </row>
    <row r="8578" spans="14:14">
      <c r="N8578" s="113"/>
    </row>
    <row r="8579" spans="14:14">
      <c r="N8579" s="113"/>
    </row>
    <row r="8580" spans="14:14">
      <c r="N8580" s="113"/>
    </row>
    <row r="8581" spans="14:14">
      <c r="N8581" s="113"/>
    </row>
    <row r="8582" spans="14:14">
      <c r="N8582" s="113"/>
    </row>
    <row r="8583" spans="14:14">
      <c r="N8583" s="113"/>
    </row>
    <row r="8584" spans="14:14">
      <c r="N8584" s="113"/>
    </row>
    <row r="8585" spans="14:14">
      <c r="N8585" s="113"/>
    </row>
    <row r="8586" spans="14:14">
      <c r="N8586" s="113"/>
    </row>
    <row r="8587" spans="14:14">
      <c r="N8587" s="113"/>
    </row>
    <row r="8588" spans="14:14">
      <c r="N8588" s="113"/>
    </row>
    <row r="8589" spans="14:14">
      <c r="N8589" s="113"/>
    </row>
    <row r="8590" spans="14:14">
      <c r="N8590" s="113"/>
    </row>
    <row r="8591" spans="14:14">
      <c r="N8591" s="113"/>
    </row>
    <row r="8592" spans="14:14">
      <c r="N8592" s="113"/>
    </row>
    <row r="8593" spans="14:14">
      <c r="N8593" s="113"/>
    </row>
    <row r="8594" spans="14:14">
      <c r="N8594" s="113"/>
    </row>
    <row r="8595" spans="14:14">
      <c r="N8595" s="113"/>
    </row>
    <row r="8596" spans="14:14">
      <c r="N8596" s="113"/>
    </row>
    <row r="8597" spans="14:14">
      <c r="N8597" s="113"/>
    </row>
    <row r="8598" spans="14:14">
      <c r="N8598" s="113"/>
    </row>
    <row r="8599" spans="14:14">
      <c r="N8599" s="113"/>
    </row>
    <row r="8600" spans="14:14">
      <c r="N8600" s="113"/>
    </row>
    <row r="8601" spans="14:14">
      <c r="N8601" s="113"/>
    </row>
    <row r="8602" spans="14:14">
      <c r="N8602" s="113"/>
    </row>
    <row r="8603" spans="14:14">
      <c r="N8603" s="113"/>
    </row>
    <row r="8604" spans="14:14">
      <c r="N8604" s="113"/>
    </row>
    <row r="8605" spans="14:14">
      <c r="N8605" s="113"/>
    </row>
    <row r="8606" spans="14:14">
      <c r="N8606" s="113"/>
    </row>
    <row r="8607" spans="14:14">
      <c r="N8607" s="113"/>
    </row>
    <row r="8608" spans="14:14">
      <c r="N8608" s="113"/>
    </row>
    <row r="8609" spans="14:14">
      <c r="N8609" s="113"/>
    </row>
    <row r="8610" spans="14:14">
      <c r="N8610" s="113"/>
    </row>
    <row r="8611" spans="14:14">
      <c r="N8611" s="113"/>
    </row>
    <row r="8612" spans="14:14">
      <c r="N8612" s="113"/>
    </row>
    <row r="8613" spans="14:14">
      <c r="N8613" s="113"/>
    </row>
    <row r="8614" spans="14:14">
      <c r="N8614" s="113"/>
    </row>
    <row r="8615" spans="14:14">
      <c r="N8615" s="113"/>
    </row>
    <row r="8616" spans="14:14">
      <c r="N8616" s="113"/>
    </row>
    <row r="8617" spans="14:14">
      <c r="N8617" s="113"/>
    </row>
    <row r="8618" spans="14:14">
      <c r="N8618" s="113"/>
    </row>
    <row r="8619" spans="14:14">
      <c r="N8619" s="113"/>
    </row>
    <row r="8620" spans="14:14">
      <c r="N8620" s="113"/>
    </row>
    <row r="8621" spans="14:14">
      <c r="N8621" s="113"/>
    </row>
    <row r="8622" spans="14:14">
      <c r="N8622" s="113"/>
    </row>
    <row r="8623" spans="14:14">
      <c r="N8623" s="113"/>
    </row>
    <row r="8624" spans="14:14">
      <c r="N8624" s="113"/>
    </row>
    <row r="8625" spans="14:14">
      <c r="N8625" s="113"/>
    </row>
    <row r="8626" spans="14:14">
      <c r="N8626" s="113"/>
    </row>
    <row r="8627" spans="14:14">
      <c r="N8627" s="113"/>
    </row>
    <row r="8628" spans="14:14">
      <c r="N8628" s="113"/>
    </row>
    <row r="8629" spans="14:14">
      <c r="N8629" s="113"/>
    </row>
    <row r="8630" spans="14:14">
      <c r="N8630" s="113"/>
    </row>
    <row r="8631" spans="14:14">
      <c r="N8631" s="113"/>
    </row>
    <row r="8632" spans="14:14">
      <c r="N8632" s="113"/>
    </row>
    <row r="8633" spans="14:14">
      <c r="N8633" s="113"/>
    </row>
    <row r="8634" spans="14:14">
      <c r="N8634" s="113"/>
    </row>
    <row r="8635" spans="14:14">
      <c r="N8635" s="113"/>
    </row>
    <row r="8636" spans="14:14">
      <c r="N8636" s="113"/>
    </row>
    <row r="8637" spans="14:14">
      <c r="N8637" s="113"/>
    </row>
    <row r="8638" spans="14:14">
      <c r="N8638" s="113"/>
    </row>
    <row r="8639" spans="14:14">
      <c r="N8639" s="113"/>
    </row>
    <row r="8640" spans="14:14">
      <c r="N8640" s="113"/>
    </row>
    <row r="8641" spans="14:14">
      <c r="N8641" s="113"/>
    </row>
    <row r="8642" spans="14:14">
      <c r="N8642" s="113"/>
    </row>
    <row r="8643" spans="14:14">
      <c r="N8643" s="113"/>
    </row>
    <row r="8644" spans="14:14">
      <c r="N8644" s="113"/>
    </row>
    <row r="8645" spans="14:14">
      <c r="N8645" s="113"/>
    </row>
    <row r="8646" spans="14:14">
      <c r="N8646" s="113"/>
    </row>
    <row r="8647" spans="14:14">
      <c r="N8647" s="113"/>
    </row>
    <row r="8648" spans="14:14">
      <c r="N8648" s="113"/>
    </row>
    <row r="8649" spans="14:14">
      <c r="N8649" s="113"/>
    </row>
    <row r="8650" spans="14:14">
      <c r="N8650" s="113"/>
    </row>
    <row r="8651" spans="14:14">
      <c r="N8651" s="113"/>
    </row>
    <row r="8652" spans="14:14">
      <c r="N8652" s="113"/>
    </row>
    <row r="8653" spans="14:14">
      <c r="N8653" s="113"/>
    </row>
    <row r="8654" spans="14:14">
      <c r="N8654" s="113"/>
    </row>
    <row r="8655" spans="14:14">
      <c r="N8655" s="113"/>
    </row>
    <row r="8656" spans="14:14">
      <c r="N8656" s="113"/>
    </row>
    <row r="8657" spans="14:14">
      <c r="N8657" s="113"/>
    </row>
    <row r="8658" spans="14:14">
      <c r="N8658" s="113"/>
    </row>
    <row r="8659" spans="14:14">
      <c r="N8659" s="113"/>
    </row>
    <row r="8660" spans="14:14">
      <c r="N8660" s="113"/>
    </row>
    <row r="8661" spans="14:14">
      <c r="N8661" s="113"/>
    </row>
    <row r="8662" spans="14:14">
      <c r="N8662" s="113"/>
    </row>
    <row r="8663" spans="14:14">
      <c r="N8663" s="113"/>
    </row>
    <row r="8664" spans="14:14">
      <c r="N8664" s="113"/>
    </row>
    <row r="8665" spans="14:14">
      <c r="N8665" s="113"/>
    </row>
    <row r="8666" spans="14:14">
      <c r="N8666" s="113"/>
    </row>
    <row r="8667" spans="14:14">
      <c r="N8667" s="113"/>
    </row>
    <row r="8668" spans="14:14">
      <c r="N8668" s="113"/>
    </row>
    <row r="8669" spans="14:14">
      <c r="N8669" s="113"/>
    </row>
    <row r="8670" spans="14:14">
      <c r="N8670" s="113"/>
    </row>
    <row r="8671" spans="14:14">
      <c r="N8671" s="113"/>
    </row>
    <row r="8672" spans="14:14">
      <c r="N8672" s="113"/>
    </row>
    <row r="8673" spans="14:14">
      <c r="N8673" s="113"/>
    </row>
    <row r="8674" spans="14:14">
      <c r="N8674" s="113"/>
    </row>
    <row r="8675" spans="14:14">
      <c r="N8675" s="113"/>
    </row>
    <row r="8676" spans="14:14">
      <c r="N8676" s="113"/>
    </row>
    <row r="8677" spans="14:14">
      <c r="N8677" s="113"/>
    </row>
    <row r="8678" spans="14:14">
      <c r="N8678" s="113"/>
    </row>
    <row r="8679" spans="14:14">
      <c r="N8679" s="113"/>
    </row>
    <row r="8680" spans="14:14">
      <c r="N8680" s="113"/>
    </row>
    <row r="8681" spans="14:14">
      <c r="N8681" s="113"/>
    </row>
    <row r="8682" spans="14:14">
      <c r="N8682" s="113"/>
    </row>
    <row r="8683" spans="14:14">
      <c r="N8683" s="113"/>
    </row>
    <row r="8684" spans="14:14">
      <c r="N8684" s="113"/>
    </row>
    <row r="8685" spans="14:14">
      <c r="N8685" s="113"/>
    </row>
    <row r="8686" spans="14:14">
      <c r="N8686" s="113"/>
    </row>
    <row r="8687" spans="14:14">
      <c r="N8687" s="113"/>
    </row>
    <row r="8688" spans="14:14">
      <c r="N8688" s="113"/>
    </row>
    <row r="8689" spans="14:14">
      <c r="N8689" s="113"/>
    </row>
    <row r="8690" spans="14:14">
      <c r="N8690" s="113"/>
    </row>
    <row r="8691" spans="14:14">
      <c r="N8691" s="113"/>
    </row>
    <row r="8692" spans="14:14">
      <c r="N8692" s="113"/>
    </row>
    <row r="8693" spans="14:14">
      <c r="N8693" s="113"/>
    </row>
    <row r="8694" spans="14:14">
      <c r="N8694" s="113"/>
    </row>
    <row r="8695" spans="14:14">
      <c r="N8695" s="113"/>
    </row>
    <row r="8696" spans="14:14">
      <c r="N8696" s="113"/>
    </row>
    <row r="8697" spans="14:14">
      <c r="N8697" s="113"/>
    </row>
    <row r="8698" spans="14:14">
      <c r="N8698" s="113"/>
    </row>
    <row r="8699" spans="14:14">
      <c r="N8699" s="113"/>
    </row>
    <row r="8700" spans="14:14">
      <c r="N8700" s="113"/>
    </row>
    <row r="8701" spans="14:14">
      <c r="N8701" s="113"/>
    </row>
    <row r="8702" spans="14:14">
      <c r="N8702" s="113"/>
    </row>
    <row r="8703" spans="14:14">
      <c r="N8703" s="113"/>
    </row>
    <row r="8704" spans="14:14">
      <c r="N8704" s="113"/>
    </row>
    <row r="8705" spans="14:14">
      <c r="N8705" s="113"/>
    </row>
    <row r="8706" spans="14:14">
      <c r="N8706" s="113"/>
    </row>
    <row r="8707" spans="14:14">
      <c r="N8707" s="113"/>
    </row>
    <row r="8708" spans="14:14">
      <c r="N8708" s="113"/>
    </row>
    <row r="8709" spans="14:14">
      <c r="N8709" s="113"/>
    </row>
    <row r="8710" spans="14:14">
      <c r="N8710" s="113"/>
    </row>
    <row r="8711" spans="14:14">
      <c r="N8711" s="113"/>
    </row>
    <row r="8712" spans="14:14">
      <c r="N8712" s="113"/>
    </row>
    <row r="8713" spans="14:14">
      <c r="N8713" s="113"/>
    </row>
    <row r="8714" spans="14:14">
      <c r="N8714" s="113"/>
    </row>
    <row r="8715" spans="14:14">
      <c r="N8715" s="113"/>
    </row>
    <row r="8716" spans="14:14">
      <c r="N8716" s="113"/>
    </row>
    <row r="8717" spans="14:14">
      <c r="N8717" s="113"/>
    </row>
    <row r="8718" spans="14:14">
      <c r="N8718" s="113"/>
    </row>
    <row r="8719" spans="14:14">
      <c r="N8719" s="113"/>
    </row>
    <row r="8720" spans="14:14">
      <c r="N8720" s="113"/>
    </row>
    <row r="8721" spans="14:14">
      <c r="N8721" s="113"/>
    </row>
    <row r="8722" spans="14:14">
      <c r="N8722" s="113"/>
    </row>
    <row r="8723" spans="14:14">
      <c r="N8723" s="113"/>
    </row>
    <row r="8724" spans="14:14">
      <c r="N8724" s="113"/>
    </row>
    <row r="8725" spans="14:14">
      <c r="N8725" s="113"/>
    </row>
    <row r="8726" spans="14:14">
      <c r="N8726" s="113"/>
    </row>
    <row r="8727" spans="14:14">
      <c r="N8727" s="113"/>
    </row>
    <row r="8728" spans="14:14">
      <c r="N8728" s="113"/>
    </row>
    <row r="8729" spans="14:14">
      <c r="N8729" s="113"/>
    </row>
    <row r="8730" spans="14:14">
      <c r="N8730" s="113"/>
    </row>
    <row r="8731" spans="14:14">
      <c r="N8731" s="113"/>
    </row>
    <row r="8732" spans="14:14">
      <c r="N8732" s="113"/>
    </row>
    <row r="8733" spans="14:14">
      <c r="N8733" s="113"/>
    </row>
    <row r="8734" spans="14:14">
      <c r="N8734" s="113"/>
    </row>
    <row r="8735" spans="14:14">
      <c r="N8735" s="113"/>
    </row>
    <row r="8736" spans="14:14">
      <c r="N8736" s="113"/>
    </row>
    <row r="8737" spans="14:14">
      <c r="N8737" s="113"/>
    </row>
    <row r="8738" spans="14:14">
      <c r="N8738" s="113"/>
    </row>
    <row r="8739" spans="14:14">
      <c r="N8739" s="113"/>
    </row>
    <row r="8740" spans="14:14">
      <c r="N8740" s="113"/>
    </row>
    <row r="8741" spans="14:14">
      <c r="N8741" s="113"/>
    </row>
    <row r="8742" spans="14:14">
      <c r="N8742" s="113"/>
    </row>
    <row r="8743" spans="14:14">
      <c r="N8743" s="113"/>
    </row>
    <row r="8744" spans="14:14">
      <c r="N8744" s="113"/>
    </row>
    <row r="8745" spans="14:14">
      <c r="N8745" s="113"/>
    </row>
    <row r="8746" spans="14:14">
      <c r="N8746" s="113"/>
    </row>
    <row r="8747" spans="14:14">
      <c r="N8747" s="113"/>
    </row>
    <row r="8748" spans="14:14">
      <c r="N8748" s="113"/>
    </row>
    <row r="8749" spans="14:14">
      <c r="N8749" s="113"/>
    </row>
    <row r="8750" spans="14:14">
      <c r="N8750" s="113"/>
    </row>
    <row r="8751" spans="14:14">
      <c r="N8751" s="113"/>
    </row>
    <row r="8752" spans="14:14">
      <c r="N8752" s="113"/>
    </row>
    <row r="8753" spans="14:14">
      <c r="N8753" s="113"/>
    </row>
    <row r="8754" spans="14:14">
      <c r="N8754" s="113"/>
    </row>
    <row r="8755" spans="14:14">
      <c r="N8755" s="113"/>
    </row>
    <row r="8756" spans="14:14">
      <c r="N8756" s="113"/>
    </row>
    <row r="8757" spans="14:14">
      <c r="N8757" s="113"/>
    </row>
    <row r="8758" spans="14:14">
      <c r="N8758" s="113"/>
    </row>
    <row r="8759" spans="14:14">
      <c r="N8759" s="113"/>
    </row>
    <row r="8760" spans="14:14">
      <c r="N8760" s="113"/>
    </row>
    <row r="8761" spans="14:14">
      <c r="N8761" s="113"/>
    </row>
    <row r="8762" spans="14:14">
      <c r="N8762" s="113"/>
    </row>
    <row r="8763" spans="14:14">
      <c r="N8763" s="113"/>
    </row>
    <row r="8764" spans="14:14">
      <c r="N8764" s="113"/>
    </row>
    <row r="8765" spans="14:14">
      <c r="N8765" s="113"/>
    </row>
    <row r="8766" spans="14:14">
      <c r="N8766" s="113"/>
    </row>
    <row r="8767" spans="14:14">
      <c r="N8767" s="113"/>
    </row>
    <row r="8768" spans="14:14">
      <c r="N8768" s="113"/>
    </row>
    <row r="8769" spans="14:14">
      <c r="N8769" s="113"/>
    </row>
    <row r="8770" spans="14:14">
      <c r="N8770" s="113"/>
    </row>
    <row r="8771" spans="14:14">
      <c r="N8771" s="113"/>
    </row>
    <row r="8772" spans="14:14">
      <c r="N8772" s="113"/>
    </row>
    <row r="8773" spans="14:14">
      <c r="N8773" s="113"/>
    </row>
    <row r="8774" spans="14:14">
      <c r="N8774" s="113"/>
    </row>
    <row r="8775" spans="14:14">
      <c r="N8775" s="113"/>
    </row>
    <row r="8776" spans="14:14">
      <c r="N8776" s="113"/>
    </row>
    <row r="8777" spans="14:14">
      <c r="N8777" s="113"/>
    </row>
    <row r="8778" spans="14:14">
      <c r="N8778" s="113"/>
    </row>
    <row r="8779" spans="14:14">
      <c r="N8779" s="113"/>
    </row>
    <row r="8780" spans="14:14">
      <c r="N8780" s="113"/>
    </row>
    <row r="8781" spans="14:14">
      <c r="N8781" s="113"/>
    </row>
    <row r="8782" spans="14:14">
      <c r="N8782" s="113"/>
    </row>
    <row r="8783" spans="14:14">
      <c r="N8783" s="113"/>
    </row>
    <row r="8784" spans="14:14">
      <c r="N8784" s="113"/>
    </row>
    <row r="8785" spans="14:14">
      <c r="N8785" s="113"/>
    </row>
    <row r="8786" spans="14:14">
      <c r="N8786" s="113"/>
    </row>
    <row r="8787" spans="14:14">
      <c r="N8787" s="113"/>
    </row>
    <row r="8788" spans="14:14">
      <c r="N8788" s="113"/>
    </row>
    <row r="8789" spans="14:14">
      <c r="N8789" s="113"/>
    </row>
    <row r="8790" spans="14:14">
      <c r="N8790" s="113"/>
    </row>
    <row r="8791" spans="14:14">
      <c r="N8791" s="113"/>
    </row>
    <row r="8792" spans="14:14">
      <c r="N8792" s="113"/>
    </row>
    <row r="8793" spans="14:14">
      <c r="N8793" s="113"/>
    </row>
    <row r="8794" spans="14:14">
      <c r="N8794" s="113"/>
    </row>
    <row r="8795" spans="14:14">
      <c r="N8795" s="113"/>
    </row>
    <row r="8796" spans="14:14">
      <c r="N8796" s="113"/>
    </row>
    <row r="8797" spans="14:14">
      <c r="N8797" s="113"/>
    </row>
    <row r="8798" spans="14:14">
      <c r="N8798" s="113"/>
    </row>
    <row r="8799" spans="14:14">
      <c r="N8799" s="113"/>
    </row>
    <row r="8800" spans="14:14">
      <c r="N8800" s="113"/>
    </row>
    <row r="8801" spans="14:14">
      <c r="N8801" s="113"/>
    </row>
    <row r="8802" spans="14:14">
      <c r="N8802" s="113"/>
    </row>
    <row r="8803" spans="14:14">
      <c r="N8803" s="113"/>
    </row>
    <row r="8804" spans="14:14">
      <c r="N8804" s="113"/>
    </row>
    <row r="8805" spans="14:14">
      <c r="N8805" s="113"/>
    </row>
    <row r="8806" spans="14:14">
      <c r="N8806" s="113"/>
    </row>
    <row r="8807" spans="14:14">
      <c r="N8807" s="113"/>
    </row>
    <row r="8808" spans="14:14">
      <c r="N8808" s="113"/>
    </row>
    <row r="8809" spans="14:14">
      <c r="N8809" s="113"/>
    </row>
    <row r="8810" spans="14:14">
      <c r="N8810" s="113"/>
    </row>
    <row r="8811" spans="14:14">
      <c r="N8811" s="113"/>
    </row>
    <row r="8812" spans="14:14">
      <c r="N8812" s="113"/>
    </row>
    <row r="8813" spans="14:14">
      <c r="N8813" s="113"/>
    </row>
    <row r="8814" spans="14:14">
      <c r="N8814" s="113"/>
    </row>
    <row r="8815" spans="14:14">
      <c r="N8815" s="113"/>
    </row>
    <row r="8816" spans="14:14">
      <c r="N8816" s="113"/>
    </row>
    <row r="8817" spans="14:14">
      <c r="N8817" s="113"/>
    </row>
    <row r="8818" spans="14:14">
      <c r="N8818" s="113"/>
    </row>
    <row r="8819" spans="14:14">
      <c r="N8819" s="113"/>
    </row>
    <row r="8820" spans="14:14">
      <c r="N8820" s="113"/>
    </row>
    <row r="8821" spans="14:14">
      <c r="N8821" s="113"/>
    </row>
    <row r="8822" spans="14:14">
      <c r="N8822" s="113"/>
    </row>
    <row r="8823" spans="14:14">
      <c r="N8823" s="113"/>
    </row>
    <row r="8824" spans="14:14">
      <c r="N8824" s="113"/>
    </row>
    <row r="8825" spans="14:14">
      <c r="N8825" s="113"/>
    </row>
    <row r="8826" spans="14:14">
      <c r="N8826" s="113"/>
    </row>
    <row r="8827" spans="14:14">
      <c r="N8827" s="113"/>
    </row>
    <row r="8828" spans="14:14">
      <c r="N8828" s="113"/>
    </row>
    <row r="8829" spans="14:14">
      <c r="N8829" s="113"/>
    </row>
    <row r="8830" spans="14:14">
      <c r="N8830" s="113"/>
    </row>
    <row r="8831" spans="14:14">
      <c r="N8831" s="113"/>
    </row>
    <row r="8832" spans="14:14">
      <c r="N8832" s="113"/>
    </row>
    <row r="8833" spans="14:14">
      <c r="N8833" s="113"/>
    </row>
    <row r="8834" spans="14:14">
      <c r="N8834" s="113"/>
    </row>
    <row r="8835" spans="14:14">
      <c r="N8835" s="113"/>
    </row>
    <row r="8836" spans="14:14">
      <c r="N8836" s="113"/>
    </row>
    <row r="8837" spans="14:14">
      <c r="N8837" s="113"/>
    </row>
    <row r="8838" spans="14:14">
      <c r="N8838" s="113"/>
    </row>
    <row r="8839" spans="14:14">
      <c r="N8839" s="113"/>
    </row>
    <row r="8840" spans="14:14">
      <c r="N8840" s="113"/>
    </row>
    <row r="8841" spans="14:14">
      <c r="N8841" s="113"/>
    </row>
    <row r="8842" spans="14:14">
      <c r="N8842" s="113"/>
    </row>
    <row r="8843" spans="14:14">
      <c r="N8843" s="113"/>
    </row>
    <row r="8844" spans="14:14">
      <c r="N8844" s="113"/>
    </row>
    <row r="8845" spans="14:14">
      <c r="N8845" s="113"/>
    </row>
    <row r="8846" spans="14:14">
      <c r="N8846" s="113"/>
    </row>
    <row r="8847" spans="14:14">
      <c r="N8847" s="113"/>
    </row>
    <row r="8848" spans="14:14">
      <c r="N8848" s="113"/>
    </row>
    <row r="8849" spans="14:14">
      <c r="N8849" s="113"/>
    </row>
    <row r="8850" spans="14:14">
      <c r="N8850" s="113"/>
    </row>
    <row r="8851" spans="14:14">
      <c r="N8851" s="113"/>
    </row>
    <row r="8852" spans="14:14">
      <c r="N8852" s="113"/>
    </row>
    <row r="8853" spans="14:14">
      <c r="N8853" s="113"/>
    </row>
    <row r="8854" spans="14:14">
      <c r="N8854" s="113"/>
    </row>
    <row r="8855" spans="14:14">
      <c r="N8855" s="113"/>
    </row>
    <row r="8856" spans="14:14">
      <c r="N8856" s="113"/>
    </row>
    <row r="8857" spans="14:14">
      <c r="N8857" s="113"/>
    </row>
    <row r="8858" spans="14:14">
      <c r="N8858" s="113"/>
    </row>
    <row r="8859" spans="14:14">
      <c r="N8859" s="113"/>
    </row>
    <row r="8860" spans="14:14">
      <c r="N8860" s="113"/>
    </row>
    <row r="8861" spans="14:14">
      <c r="N8861" s="113"/>
    </row>
    <row r="8862" spans="14:14">
      <c r="N8862" s="113"/>
    </row>
    <row r="8863" spans="14:14">
      <c r="N8863" s="113"/>
    </row>
    <row r="8864" spans="14:14">
      <c r="N8864" s="113"/>
    </row>
    <row r="8865" spans="14:14">
      <c r="N8865" s="113"/>
    </row>
    <row r="8866" spans="14:14">
      <c r="N8866" s="113"/>
    </row>
    <row r="8867" spans="14:14">
      <c r="N8867" s="113"/>
    </row>
    <row r="8868" spans="14:14">
      <c r="N8868" s="113"/>
    </row>
    <row r="8869" spans="14:14">
      <c r="N8869" s="113"/>
    </row>
    <row r="8870" spans="14:14">
      <c r="N8870" s="113"/>
    </row>
    <row r="8871" spans="14:14">
      <c r="N8871" s="113"/>
    </row>
    <row r="8872" spans="14:14">
      <c r="N8872" s="113"/>
    </row>
    <row r="8873" spans="14:14">
      <c r="N8873" s="113"/>
    </row>
    <row r="8874" spans="14:14">
      <c r="N8874" s="113"/>
    </row>
    <row r="8875" spans="14:14">
      <c r="N8875" s="113"/>
    </row>
    <row r="8876" spans="14:14">
      <c r="N8876" s="113"/>
    </row>
    <row r="8877" spans="14:14">
      <c r="N8877" s="113"/>
    </row>
    <row r="8878" spans="14:14">
      <c r="N8878" s="113"/>
    </row>
    <row r="8879" spans="14:14">
      <c r="N8879" s="113"/>
    </row>
    <row r="8880" spans="14:14">
      <c r="N8880" s="113"/>
    </row>
    <row r="8881" spans="14:14">
      <c r="N8881" s="113"/>
    </row>
    <row r="8882" spans="14:14">
      <c r="N8882" s="113"/>
    </row>
    <row r="8883" spans="14:14">
      <c r="N8883" s="113"/>
    </row>
    <row r="8884" spans="14:14">
      <c r="N8884" s="113"/>
    </row>
    <row r="8885" spans="14:14">
      <c r="N8885" s="113"/>
    </row>
    <row r="8886" spans="14:14">
      <c r="N8886" s="113"/>
    </row>
    <row r="8887" spans="14:14">
      <c r="N8887" s="113"/>
    </row>
    <row r="8888" spans="14:14">
      <c r="N8888" s="113"/>
    </row>
    <row r="8889" spans="14:14">
      <c r="N8889" s="113"/>
    </row>
    <row r="8890" spans="14:14">
      <c r="N8890" s="113"/>
    </row>
    <row r="8891" spans="14:14">
      <c r="N8891" s="113"/>
    </row>
    <row r="8892" spans="14:14">
      <c r="N8892" s="113"/>
    </row>
    <row r="8893" spans="14:14">
      <c r="N8893" s="113"/>
    </row>
    <row r="8894" spans="14:14">
      <c r="N8894" s="113"/>
    </row>
    <row r="8895" spans="14:14">
      <c r="N8895" s="113"/>
    </row>
    <row r="8896" spans="14:14">
      <c r="N8896" s="113"/>
    </row>
    <row r="8897" spans="14:14">
      <c r="N8897" s="113"/>
    </row>
    <row r="8898" spans="14:14">
      <c r="N8898" s="113"/>
    </row>
    <row r="8899" spans="14:14">
      <c r="N8899" s="113"/>
    </row>
    <row r="8900" spans="14:14">
      <c r="N8900" s="113"/>
    </row>
    <row r="8901" spans="14:14">
      <c r="N8901" s="113"/>
    </row>
    <row r="8902" spans="14:14">
      <c r="N8902" s="113"/>
    </row>
    <row r="8903" spans="14:14">
      <c r="N8903" s="113"/>
    </row>
    <row r="8904" spans="14:14">
      <c r="N8904" s="113"/>
    </row>
    <row r="8905" spans="14:14">
      <c r="N8905" s="113"/>
    </row>
    <row r="8906" spans="14:14">
      <c r="N8906" s="113"/>
    </row>
    <row r="8907" spans="14:14">
      <c r="N8907" s="113"/>
    </row>
    <row r="8908" spans="14:14">
      <c r="N8908" s="113"/>
    </row>
    <row r="8909" spans="14:14">
      <c r="N8909" s="113"/>
    </row>
    <row r="8910" spans="14:14">
      <c r="N8910" s="113"/>
    </row>
    <row r="8911" spans="14:14">
      <c r="N8911" s="113"/>
    </row>
    <row r="8912" spans="14:14">
      <c r="N8912" s="113"/>
    </row>
    <row r="8913" spans="14:14">
      <c r="N8913" s="113"/>
    </row>
    <row r="8914" spans="14:14">
      <c r="N8914" s="113"/>
    </row>
    <row r="8915" spans="14:14">
      <c r="N8915" s="113"/>
    </row>
    <row r="8916" spans="14:14">
      <c r="N8916" s="113"/>
    </row>
    <row r="8917" spans="14:14">
      <c r="N8917" s="113"/>
    </row>
    <row r="8918" spans="14:14">
      <c r="N8918" s="113"/>
    </row>
    <row r="8919" spans="14:14">
      <c r="N8919" s="113"/>
    </row>
    <row r="8920" spans="14:14">
      <c r="N8920" s="113"/>
    </row>
    <row r="8921" spans="14:14">
      <c r="N8921" s="113"/>
    </row>
    <row r="8922" spans="14:14">
      <c r="N8922" s="113"/>
    </row>
    <row r="8923" spans="14:14">
      <c r="N8923" s="113"/>
    </row>
    <row r="8924" spans="14:14">
      <c r="N8924" s="113"/>
    </row>
    <row r="8925" spans="14:14">
      <c r="N8925" s="113"/>
    </row>
    <row r="8926" spans="14:14">
      <c r="N8926" s="113"/>
    </row>
    <row r="8927" spans="14:14">
      <c r="N8927" s="113"/>
    </row>
    <row r="8928" spans="14:14">
      <c r="N8928" s="113"/>
    </row>
    <row r="8929" spans="14:14">
      <c r="N8929" s="113"/>
    </row>
    <row r="8930" spans="14:14">
      <c r="N8930" s="113"/>
    </row>
    <row r="8931" spans="14:14">
      <c r="N8931" s="113"/>
    </row>
    <row r="8932" spans="14:14">
      <c r="N8932" s="113"/>
    </row>
    <row r="8933" spans="14:14">
      <c r="N8933" s="113"/>
    </row>
    <row r="8934" spans="14:14">
      <c r="N8934" s="113"/>
    </row>
    <row r="8935" spans="14:14">
      <c r="N8935" s="113"/>
    </row>
    <row r="8936" spans="14:14">
      <c r="N8936" s="113"/>
    </row>
    <row r="8937" spans="14:14">
      <c r="N8937" s="113"/>
    </row>
    <row r="8938" spans="14:14">
      <c r="N8938" s="113"/>
    </row>
    <row r="8939" spans="14:14">
      <c r="N8939" s="113"/>
    </row>
    <row r="8940" spans="14:14">
      <c r="N8940" s="113"/>
    </row>
    <row r="8941" spans="14:14">
      <c r="N8941" s="113"/>
    </row>
    <row r="8942" spans="14:14">
      <c r="N8942" s="113"/>
    </row>
    <row r="8943" spans="14:14">
      <c r="N8943" s="113"/>
    </row>
    <row r="8944" spans="14:14">
      <c r="N8944" s="113"/>
    </row>
    <row r="8945" spans="14:14">
      <c r="N8945" s="113"/>
    </row>
    <row r="8946" spans="14:14">
      <c r="N8946" s="113"/>
    </row>
    <row r="8947" spans="14:14">
      <c r="N8947" s="113"/>
    </row>
    <row r="8948" spans="14:14">
      <c r="N8948" s="113"/>
    </row>
    <row r="8949" spans="14:14">
      <c r="N8949" s="113"/>
    </row>
    <row r="8950" spans="14:14">
      <c r="N8950" s="113"/>
    </row>
    <row r="8951" spans="14:14">
      <c r="N8951" s="113"/>
    </row>
    <row r="8952" spans="14:14">
      <c r="N8952" s="113"/>
    </row>
    <row r="8953" spans="14:14">
      <c r="N8953" s="113"/>
    </row>
    <row r="8954" spans="14:14">
      <c r="N8954" s="113"/>
    </row>
    <row r="8955" spans="14:14">
      <c r="N8955" s="113"/>
    </row>
    <row r="8956" spans="14:14">
      <c r="N8956" s="113"/>
    </row>
    <row r="8957" spans="14:14">
      <c r="N8957" s="113"/>
    </row>
    <row r="8958" spans="14:14">
      <c r="N8958" s="113"/>
    </row>
    <row r="8959" spans="14:14">
      <c r="N8959" s="113"/>
    </row>
    <row r="8960" spans="14:14">
      <c r="N8960" s="113"/>
    </row>
    <row r="8961" spans="14:14">
      <c r="N8961" s="113"/>
    </row>
    <row r="8962" spans="14:14">
      <c r="N8962" s="113"/>
    </row>
    <row r="8963" spans="14:14">
      <c r="N8963" s="113"/>
    </row>
    <row r="8964" spans="14:14">
      <c r="N8964" s="113"/>
    </row>
    <row r="8965" spans="14:14">
      <c r="N8965" s="113"/>
    </row>
    <row r="8966" spans="14:14">
      <c r="N8966" s="113"/>
    </row>
    <row r="8967" spans="14:14">
      <c r="N8967" s="113"/>
    </row>
    <row r="8968" spans="14:14">
      <c r="N8968" s="113"/>
    </row>
    <row r="8969" spans="14:14">
      <c r="N8969" s="113"/>
    </row>
    <row r="8970" spans="14:14">
      <c r="N8970" s="113"/>
    </row>
    <row r="8971" spans="14:14">
      <c r="N8971" s="113"/>
    </row>
    <row r="8972" spans="14:14">
      <c r="N8972" s="113"/>
    </row>
    <row r="8973" spans="14:14">
      <c r="N8973" s="113"/>
    </row>
    <row r="8974" spans="14:14">
      <c r="N8974" s="113"/>
    </row>
    <row r="8975" spans="14:14">
      <c r="N8975" s="113"/>
    </row>
    <row r="8976" spans="14:14">
      <c r="N8976" s="113"/>
    </row>
    <row r="8977" spans="14:14">
      <c r="N8977" s="113"/>
    </row>
    <row r="8978" spans="14:14">
      <c r="N8978" s="113"/>
    </row>
    <row r="8979" spans="14:14">
      <c r="N8979" s="113"/>
    </row>
    <row r="8980" spans="14:14">
      <c r="N8980" s="113"/>
    </row>
    <row r="8981" spans="14:14">
      <c r="N8981" s="113"/>
    </row>
    <row r="8982" spans="14:14">
      <c r="N8982" s="113"/>
    </row>
    <row r="8983" spans="14:14">
      <c r="N8983" s="113"/>
    </row>
    <row r="8984" spans="14:14">
      <c r="N8984" s="113"/>
    </row>
    <row r="8985" spans="14:14">
      <c r="N8985" s="113"/>
    </row>
    <row r="8986" spans="14:14">
      <c r="N8986" s="113"/>
    </row>
    <row r="8987" spans="14:14">
      <c r="N8987" s="113"/>
    </row>
    <row r="8988" spans="14:14">
      <c r="N8988" s="113"/>
    </row>
    <row r="8989" spans="14:14">
      <c r="N8989" s="113"/>
    </row>
    <row r="8990" spans="14:14">
      <c r="N8990" s="113"/>
    </row>
    <row r="8991" spans="14:14">
      <c r="N8991" s="113"/>
    </row>
    <row r="8992" spans="14:14">
      <c r="N8992" s="113"/>
    </row>
    <row r="8993" spans="14:14">
      <c r="N8993" s="113"/>
    </row>
    <row r="8994" spans="14:14">
      <c r="N8994" s="113"/>
    </row>
    <row r="8995" spans="14:14">
      <c r="N8995" s="113"/>
    </row>
    <row r="8996" spans="14:14">
      <c r="N8996" s="113"/>
    </row>
    <row r="8997" spans="14:14">
      <c r="N8997" s="113"/>
    </row>
    <row r="8998" spans="14:14">
      <c r="N8998" s="113"/>
    </row>
    <row r="8999" spans="14:14">
      <c r="N8999" s="113"/>
    </row>
    <row r="9000" spans="14:14">
      <c r="N9000" s="113"/>
    </row>
    <row r="9001" spans="14:14">
      <c r="N9001" s="113"/>
    </row>
    <row r="9002" spans="14:14">
      <c r="N9002" s="113"/>
    </row>
    <row r="9003" spans="14:14">
      <c r="N9003" s="113"/>
    </row>
    <row r="9004" spans="14:14">
      <c r="N9004" s="113"/>
    </row>
    <row r="9005" spans="14:14">
      <c r="N9005" s="113"/>
    </row>
    <row r="9006" spans="14:14">
      <c r="N9006" s="113"/>
    </row>
    <row r="9007" spans="14:14">
      <c r="N9007" s="113"/>
    </row>
    <row r="9008" spans="14:14">
      <c r="N9008" s="113"/>
    </row>
    <row r="9009" spans="14:14">
      <c r="N9009" s="113"/>
    </row>
    <row r="9010" spans="14:14">
      <c r="N9010" s="113"/>
    </row>
    <row r="9011" spans="14:14">
      <c r="N9011" s="113"/>
    </row>
    <row r="9012" spans="14:14">
      <c r="N9012" s="113"/>
    </row>
    <row r="9013" spans="14:14">
      <c r="N9013" s="113"/>
    </row>
    <row r="9014" spans="14:14">
      <c r="N9014" s="113"/>
    </row>
    <row r="9015" spans="14:14">
      <c r="N9015" s="113"/>
    </row>
    <row r="9016" spans="14:14">
      <c r="N9016" s="113"/>
    </row>
    <row r="9017" spans="14:14">
      <c r="N9017" s="113"/>
    </row>
    <row r="9018" spans="14:14">
      <c r="N9018" s="113"/>
    </row>
    <row r="9019" spans="14:14">
      <c r="N9019" s="113"/>
    </row>
    <row r="9020" spans="14:14">
      <c r="N9020" s="113"/>
    </row>
    <row r="9021" spans="14:14">
      <c r="N9021" s="113"/>
    </row>
    <row r="9022" spans="14:14">
      <c r="N9022" s="113"/>
    </row>
    <row r="9023" spans="14:14">
      <c r="N9023" s="113"/>
    </row>
    <row r="9024" spans="14:14">
      <c r="N9024" s="113"/>
    </row>
    <row r="9025" spans="14:14">
      <c r="N9025" s="113"/>
    </row>
    <row r="9026" spans="14:14">
      <c r="N9026" s="113"/>
    </row>
    <row r="9027" spans="14:14">
      <c r="N9027" s="113"/>
    </row>
    <row r="9028" spans="14:14">
      <c r="N9028" s="113"/>
    </row>
    <row r="9029" spans="14:14">
      <c r="N9029" s="113"/>
    </row>
    <row r="9030" spans="14:14">
      <c r="N9030" s="113"/>
    </row>
    <row r="9031" spans="14:14">
      <c r="N9031" s="113"/>
    </row>
    <row r="9032" spans="14:14">
      <c r="N9032" s="113"/>
    </row>
    <row r="9033" spans="14:14">
      <c r="N9033" s="113"/>
    </row>
    <row r="9034" spans="14:14">
      <c r="N9034" s="113"/>
    </row>
    <row r="9035" spans="14:14">
      <c r="N9035" s="113"/>
    </row>
    <row r="9036" spans="14:14">
      <c r="N9036" s="113"/>
    </row>
    <row r="9037" spans="14:14">
      <c r="N9037" s="113"/>
    </row>
    <row r="9038" spans="14:14">
      <c r="N9038" s="113"/>
    </row>
    <row r="9039" spans="14:14">
      <c r="N9039" s="113"/>
    </row>
    <row r="9040" spans="14:14">
      <c r="N9040" s="113"/>
    </row>
    <row r="9041" spans="14:14">
      <c r="N9041" s="113"/>
    </row>
    <row r="9042" spans="14:14">
      <c r="N9042" s="113"/>
    </row>
    <row r="9043" spans="14:14">
      <c r="N9043" s="113"/>
    </row>
    <row r="9044" spans="14:14">
      <c r="N9044" s="113"/>
    </row>
    <row r="9045" spans="14:14">
      <c r="N9045" s="113"/>
    </row>
    <row r="9046" spans="14:14">
      <c r="N9046" s="113"/>
    </row>
    <row r="9047" spans="14:14">
      <c r="N9047" s="113"/>
    </row>
    <row r="9048" spans="14:14">
      <c r="N9048" s="113"/>
    </row>
    <row r="9049" spans="14:14">
      <c r="N9049" s="113"/>
    </row>
    <row r="9050" spans="14:14">
      <c r="N9050" s="113"/>
    </row>
    <row r="9051" spans="14:14">
      <c r="N9051" s="113"/>
    </row>
    <row r="9052" spans="14:14">
      <c r="N9052" s="113"/>
    </row>
    <row r="9053" spans="14:14">
      <c r="N9053" s="113"/>
    </row>
    <row r="9054" spans="14:14">
      <c r="N9054" s="113"/>
    </row>
    <row r="9055" spans="14:14">
      <c r="N9055" s="113"/>
    </row>
    <row r="9056" spans="14:14">
      <c r="N9056" s="113"/>
    </row>
    <row r="9057" spans="14:14">
      <c r="N9057" s="113"/>
    </row>
    <row r="9058" spans="14:14">
      <c r="N9058" s="113"/>
    </row>
    <row r="9059" spans="14:14">
      <c r="N9059" s="113"/>
    </row>
    <row r="9060" spans="14:14">
      <c r="N9060" s="113"/>
    </row>
    <row r="9061" spans="14:14">
      <c r="N9061" s="113"/>
    </row>
    <row r="9062" spans="14:14">
      <c r="N9062" s="113"/>
    </row>
    <row r="9063" spans="14:14">
      <c r="N9063" s="113"/>
    </row>
    <row r="9064" spans="14:14">
      <c r="N9064" s="113"/>
    </row>
    <row r="9065" spans="14:14">
      <c r="N9065" s="113"/>
    </row>
    <row r="9066" spans="14:14">
      <c r="N9066" s="113"/>
    </row>
    <row r="9067" spans="14:14">
      <c r="N9067" s="113"/>
    </row>
    <row r="9068" spans="14:14">
      <c r="N9068" s="113"/>
    </row>
    <row r="9069" spans="14:14">
      <c r="N9069" s="113"/>
    </row>
    <row r="9070" spans="14:14">
      <c r="N9070" s="113"/>
    </row>
    <row r="9071" spans="14:14">
      <c r="N9071" s="113"/>
    </row>
    <row r="9072" spans="14:14">
      <c r="N9072" s="113"/>
    </row>
    <row r="9073" spans="14:14">
      <c r="N9073" s="113"/>
    </row>
    <row r="9074" spans="14:14">
      <c r="N9074" s="113"/>
    </row>
    <row r="9075" spans="14:14">
      <c r="N9075" s="113"/>
    </row>
    <row r="9076" spans="14:14">
      <c r="N9076" s="113"/>
    </row>
    <row r="9077" spans="14:14">
      <c r="N9077" s="113"/>
    </row>
    <row r="9078" spans="14:14">
      <c r="N9078" s="113"/>
    </row>
    <row r="9079" spans="14:14">
      <c r="N9079" s="113"/>
    </row>
    <row r="9080" spans="14:14">
      <c r="N9080" s="113"/>
    </row>
    <row r="9081" spans="14:14">
      <c r="N9081" s="113"/>
    </row>
    <row r="9082" spans="14:14">
      <c r="N9082" s="113"/>
    </row>
    <row r="9083" spans="14:14">
      <c r="N9083" s="113"/>
    </row>
    <row r="9084" spans="14:14">
      <c r="N9084" s="113"/>
    </row>
    <row r="9085" spans="14:14">
      <c r="N9085" s="113"/>
    </row>
    <row r="9086" spans="14:14">
      <c r="N9086" s="113"/>
    </row>
    <row r="9087" spans="14:14">
      <c r="N9087" s="113"/>
    </row>
    <row r="9088" spans="14:14">
      <c r="N9088" s="113"/>
    </row>
    <row r="9089" spans="14:14">
      <c r="N9089" s="113"/>
    </row>
    <row r="9090" spans="14:14">
      <c r="N9090" s="113"/>
    </row>
    <row r="9091" spans="14:14">
      <c r="N9091" s="113"/>
    </row>
    <row r="9092" spans="14:14">
      <c r="N9092" s="113"/>
    </row>
    <row r="9093" spans="14:14">
      <c r="N9093" s="113"/>
    </row>
    <row r="9094" spans="14:14">
      <c r="N9094" s="113"/>
    </row>
    <row r="9095" spans="14:14">
      <c r="N9095" s="113"/>
    </row>
    <row r="9096" spans="14:14">
      <c r="N9096" s="113"/>
    </row>
    <row r="9097" spans="14:14">
      <c r="N9097" s="113"/>
    </row>
    <row r="9098" spans="14:14">
      <c r="N9098" s="113"/>
    </row>
    <row r="9099" spans="14:14">
      <c r="N9099" s="113"/>
    </row>
    <row r="9100" spans="14:14">
      <c r="N9100" s="113"/>
    </row>
    <row r="9101" spans="14:14">
      <c r="N9101" s="113"/>
    </row>
    <row r="9102" spans="14:14">
      <c r="N9102" s="113"/>
    </row>
    <row r="9103" spans="14:14">
      <c r="N9103" s="113"/>
    </row>
    <row r="9104" spans="14:14">
      <c r="N9104" s="113"/>
    </row>
    <row r="9105" spans="14:14">
      <c r="N9105" s="113"/>
    </row>
    <row r="9106" spans="14:14">
      <c r="N9106" s="113"/>
    </row>
    <row r="9107" spans="14:14">
      <c r="N9107" s="113"/>
    </row>
    <row r="9108" spans="14:14">
      <c r="N9108" s="113"/>
    </row>
    <row r="9109" spans="14:14">
      <c r="N9109" s="113"/>
    </row>
    <row r="9110" spans="14:14">
      <c r="N9110" s="113"/>
    </row>
    <row r="9111" spans="14:14">
      <c r="N9111" s="113"/>
    </row>
    <row r="9112" spans="14:14">
      <c r="N9112" s="113"/>
    </row>
    <row r="9113" spans="14:14">
      <c r="N9113" s="113"/>
    </row>
    <row r="9114" spans="14:14">
      <c r="N9114" s="113"/>
    </row>
    <row r="9115" spans="14:14">
      <c r="N9115" s="113"/>
    </row>
    <row r="9116" spans="14:14">
      <c r="N9116" s="113"/>
    </row>
    <row r="9117" spans="14:14">
      <c r="N9117" s="113"/>
    </row>
    <row r="9118" spans="14:14">
      <c r="N9118" s="113"/>
    </row>
    <row r="9119" spans="14:14">
      <c r="N9119" s="113"/>
    </row>
    <row r="9120" spans="14:14">
      <c r="N9120" s="113"/>
    </row>
    <row r="9121" spans="14:14">
      <c r="N9121" s="113"/>
    </row>
    <row r="9122" spans="14:14">
      <c r="N9122" s="113"/>
    </row>
    <row r="9123" spans="14:14">
      <c r="N9123" s="113"/>
    </row>
    <row r="9124" spans="14:14">
      <c r="N9124" s="113"/>
    </row>
    <row r="9125" spans="14:14">
      <c r="N9125" s="113"/>
    </row>
    <row r="9126" spans="14:14">
      <c r="N9126" s="113"/>
    </row>
    <row r="9127" spans="14:14">
      <c r="N9127" s="113"/>
    </row>
    <row r="9128" spans="14:14">
      <c r="N9128" s="113"/>
    </row>
    <row r="9129" spans="14:14">
      <c r="N9129" s="113"/>
    </row>
    <row r="9130" spans="14:14">
      <c r="N9130" s="113"/>
    </row>
    <row r="9131" spans="14:14">
      <c r="N9131" s="113"/>
    </row>
    <row r="9132" spans="14:14">
      <c r="N9132" s="113"/>
    </row>
    <row r="9133" spans="14:14">
      <c r="N9133" s="113"/>
    </row>
    <row r="9134" spans="14:14">
      <c r="N9134" s="113"/>
    </row>
    <row r="9135" spans="14:14">
      <c r="N9135" s="113"/>
    </row>
    <row r="9136" spans="14:14">
      <c r="N9136" s="113"/>
    </row>
    <row r="9137" spans="14:14">
      <c r="N9137" s="113"/>
    </row>
    <row r="9138" spans="14:14">
      <c r="N9138" s="113"/>
    </row>
    <row r="9139" spans="14:14">
      <c r="N9139" s="113"/>
    </row>
    <row r="9140" spans="14:14">
      <c r="N9140" s="113"/>
    </row>
    <row r="9141" spans="14:14">
      <c r="N9141" s="113"/>
    </row>
    <row r="9142" spans="14:14">
      <c r="N9142" s="113"/>
    </row>
    <row r="9143" spans="14:14">
      <c r="N9143" s="113"/>
    </row>
    <row r="9144" spans="14:14">
      <c r="N9144" s="113"/>
    </row>
    <row r="9145" spans="14:14">
      <c r="N9145" s="113"/>
    </row>
    <row r="9146" spans="14:14">
      <c r="N9146" s="113"/>
    </row>
    <row r="9147" spans="14:14">
      <c r="N9147" s="113"/>
    </row>
    <row r="9148" spans="14:14">
      <c r="N9148" s="113"/>
    </row>
    <row r="9149" spans="14:14">
      <c r="N9149" s="113"/>
    </row>
    <row r="9150" spans="14:14">
      <c r="N9150" s="113"/>
    </row>
    <row r="9151" spans="14:14">
      <c r="N9151" s="113"/>
    </row>
    <row r="9152" spans="14:14">
      <c r="N9152" s="113"/>
    </row>
    <row r="9153" spans="14:14">
      <c r="N9153" s="113"/>
    </row>
    <row r="9154" spans="14:14">
      <c r="N9154" s="113"/>
    </row>
    <row r="9155" spans="14:14">
      <c r="N9155" s="113"/>
    </row>
    <row r="9156" spans="14:14">
      <c r="N9156" s="113"/>
    </row>
    <row r="9157" spans="14:14">
      <c r="N9157" s="113"/>
    </row>
    <row r="9158" spans="14:14">
      <c r="N9158" s="113"/>
    </row>
    <row r="9159" spans="14:14">
      <c r="N9159" s="113"/>
    </row>
    <row r="9160" spans="14:14">
      <c r="N9160" s="113"/>
    </row>
    <row r="9161" spans="14:14">
      <c r="N9161" s="113"/>
    </row>
    <row r="9162" spans="14:14">
      <c r="N9162" s="113"/>
    </row>
    <row r="9163" spans="14:14">
      <c r="N9163" s="113"/>
    </row>
    <row r="9164" spans="14:14">
      <c r="N9164" s="113"/>
    </row>
    <row r="9165" spans="14:14">
      <c r="N9165" s="113"/>
    </row>
    <row r="9166" spans="14:14">
      <c r="N9166" s="113"/>
    </row>
    <row r="9167" spans="14:14">
      <c r="N9167" s="113"/>
    </row>
    <row r="9168" spans="14:14">
      <c r="N9168" s="113"/>
    </row>
    <row r="9169" spans="14:14">
      <c r="N9169" s="113"/>
    </row>
    <row r="9170" spans="14:14">
      <c r="N9170" s="113"/>
    </row>
    <row r="9171" spans="14:14">
      <c r="N9171" s="113"/>
    </row>
    <row r="9172" spans="14:14">
      <c r="N9172" s="113"/>
    </row>
    <row r="9173" spans="14:14">
      <c r="N9173" s="113"/>
    </row>
    <row r="9174" spans="14:14">
      <c r="N9174" s="113"/>
    </row>
    <row r="9175" spans="14:14">
      <c r="N9175" s="113"/>
    </row>
    <row r="9176" spans="14:14">
      <c r="N9176" s="113"/>
    </row>
    <row r="9177" spans="14:14">
      <c r="N9177" s="113"/>
    </row>
    <row r="9178" spans="14:14">
      <c r="N9178" s="113"/>
    </row>
    <row r="9179" spans="14:14">
      <c r="N9179" s="113"/>
    </row>
    <row r="9180" spans="14:14">
      <c r="N9180" s="113"/>
    </row>
    <row r="9181" spans="14:14">
      <c r="N9181" s="113"/>
    </row>
    <row r="9182" spans="14:14">
      <c r="N9182" s="113"/>
    </row>
    <row r="9183" spans="14:14">
      <c r="N9183" s="113"/>
    </row>
    <row r="9184" spans="14:14">
      <c r="N9184" s="113"/>
    </row>
    <row r="9185" spans="14:14">
      <c r="N9185" s="113"/>
    </row>
    <row r="9186" spans="14:14">
      <c r="N9186" s="113"/>
    </row>
    <row r="9187" spans="14:14">
      <c r="N9187" s="113"/>
    </row>
    <row r="9188" spans="14:14">
      <c r="N9188" s="113"/>
    </row>
    <row r="9189" spans="14:14">
      <c r="N9189" s="113"/>
    </row>
    <row r="9190" spans="14:14">
      <c r="N9190" s="113"/>
    </row>
    <row r="9191" spans="14:14">
      <c r="N9191" s="113"/>
    </row>
    <row r="9192" spans="14:14">
      <c r="N9192" s="113"/>
    </row>
    <row r="9193" spans="14:14">
      <c r="N9193" s="113"/>
    </row>
    <row r="9194" spans="14:14">
      <c r="N9194" s="113"/>
    </row>
    <row r="9195" spans="14:14">
      <c r="N9195" s="113"/>
    </row>
    <row r="9196" spans="14:14">
      <c r="N9196" s="113"/>
    </row>
    <row r="9197" spans="14:14">
      <c r="N9197" s="113"/>
    </row>
    <row r="9198" spans="14:14">
      <c r="N9198" s="113"/>
    </row>
    <row r="9199" spans="14:14">
      <c r="N9199" s="113"/>
    </row>
    <row r="9200" spans="14:14">
      <c r="N9200" s="113"/>
    </row>
    <row r="9201" spans="14:14">
      <c r="N9201" s="113"/>
    </row>
    <row r="9202" spans="14:14">
      <c r="N9202" s="113"/>
    </row>
    <row r="9203" spans="14:14">
      <c r="N9203" s="113"/>
    </row>
    <row r="9204" spans="14:14">
      <c r="N9204" s="113"/>
    </row>
    <row r="9205" spans="14:14">
      <c r="N9205" s="113"/>
    </row>
    <row r="9206" spans="14:14">
      <c r="N9206" s="113"/>
    </row>
    <row r="9207" spans="14:14">
      <c r="N9207" s="113"/>
    </row>
    <row r="9208" spans="14:14">
      <c r="N9208" s="113"/>
    </row>
    <row r="9209" spans="14:14">
      <c r="N9209" s="113"/>
    </row>
    <row r="9210" spans="14:14">
      <c r="N9210" s="113"/>
    </row>
    <row r="9211" spans="14:14">
      <c r="N9211" s="113"/>
    </row>
    <row r="9212" spans="14:14">
      <c r="N9212" s="113"/>
    </row>
    <row r="9213" spans="14:14">
      <c r="N9213" s="113"/>
    </row>
    <row r="9214" spans="14:14">
      <c r="N9214" s="113"/>
    </row>
    <row r="9215" spans="14:14">
      <c r="N9215" s="113"/>
    </row>
    <row r="9216" spans="14:14">
      <c r="N9216" s="113"/>
    </row>
    <row r="9217" spans="14:14">
      <c r="N9217" s="113"/>
    </row>
    <row r="9218" spans="14:14">
      <c r="N9218" s="113"/>
    </row>
    <row r="9219" spans="14:14">
      <c r="N9219" s="113"/>
    </row>
    <row r="9220" spans="14:14">
      <c r="N9220" s="113"/>
    </row>
    <row r="9221" spans="14:14">
      <c r="N9221" s="113"/>
    </row>
    <row r="9222" spans="14:14">
      <c r="N9222" s="113"/>
    </row>
    <row r="9223" spans="14:14">
      <c r="N9223" s="113"/>
    </row>
    <row r="9224" spans="14:14">
      <c r="N9224" s="113"/>
    </row>
    <row r="9225" spans="14:14">
      <c r="N9225" s="113"/>
    </row>
    <row r="9226" spans="14:14">
      <c r="N9226" s="113"/>
    </row>
    <row r="9227" spans="14:14">
      <c r="N9227" s="113"/>
    </row>
    <row r="9228" spans="14:14">
      <c r="N9228" s="113"/>
    </row>
    <row r="9229" spans="14:14">
      <c r="N9229" s="113"/>
    </row>
    <row r="9230" spans="14:14">
      <c r="N9230" s="113"/>
    </row>
    <row r="9231" spans="14:14">
      <c r="N9231" s="113"/>
    </row>
    <row r="9232" spans="14:14">
      <c r="N9232" s="113"/>
    </row>
    <row r="9233" spans="14:14">
      <c r="N9233" s="113"/>
    </row>
    <row r="9234" spans="14:14">
      <c r="N9234" s="113"/>
    </row>
    <row r="9235" spans="14:14">
      <c r="N9235" s="113"/>
    </row>
    <row r="9236" spans="14:14">
      <c r="N9236" s="113"/>
    </row>
    <row r="9237" spans="14:14">
      <c r="N9237" s="113"/>
    </row>
    <row r="9238" spans="14:14">
      <c r="N9238" s="113"/>
    </row>
    <row r="9239" spans="14:14">
      <c r="N9239" s="113"/>
    </row>
    <row r="9240" spans="14:14">
      <c r="N9240" s="113"/>
    </row>
    <row r="9241" spans="14:14">
      <c r="N9241" s="113"/>
    </row>
    <row r="9242" spans="14:14">
      <c r="N9242" s="113"/>
    </row>
    <row r="9243" spans="14:14">
      <c r="N9243" s="113"/>
    </row>
    <row r="9244" spans="14:14">
      <c r="N9244" s="113"/>
    </row>
    <row r="9245" spans="14:14">
      <c r="N9245" s="113"/>
    </row>
    <row r="9246" spans="14:14">
      <c r="N9246" s="113"/>
    </row>
    <row r="9247" spans="14:14">
      <c r="N9247" s="113"/>
    </row>
    <row r="9248" spans="14:14">
      <c r="N9248" s="113"/>
    </row>
    <row r="9249" spans="14:14">
      <c r="N9249" s="113"/>
    </row>
    <row r="9250" spans="14:14">
      <c r="N9250" s="113"/>
    </row>
    <row r="9251" spans="14:14">
      <c r="N9251" s="113"/>
    </row>
    <row r="9252" spans="14:14">
      <c r="N9252" s="113"/>
    </row>
    <row r="9253" spans="14:14">
      <c r="N9253" s="113"/>
    </row>
    <row r="9254" spans="14:14">
      <c r="N9254" s="113"/>
    </row>
    <row r="9255" spans="14:14">
      <c r="N9255" s="113"/>
    </row>
    <row r="9256" spans="14:14">
      <c r="N9256" s="113"/>
    </row>
    <row r="9257" spans="14:14">
      <c r="N9257" s="113"/>
    </row>
    <row r="9258" spans="14:14">
      <c r="N9258" s="113"/>
    </row>
    <row r="9259" spans="14:14">
      <c r="N9259" s="113"/>
    </row>
    <row r="9260" spans="14:14">
      <c r="N9260" s="113"/>
    </row>
    <row r="9261" spans="14:14">
      <c r="N9261" s="113"/>
    </row>
    <row r="9262" spans="14:14">
      <c r="N9262" s="113"/>
    </row>
    <row r="9263" spans="14:14">
      <c r="N9263" s="113"/>
    </row>
    <row r="9264" spans="14:14">
      <c r="N9264" s="113"/>
    </row>
    <row r="9265" spans="14:14">
      <c r="N9265" s="113"/>
    </row>
    <row r="9266" spans="14:14">
      <c r="N9266" s="113"/>
    </row>
    <row r="9267" spans="14:14">
      <c r="N9267" s="113"/>
    </row>
    <row r="9268" spans="14:14">
      <c r="N9268" s="113"/>
    </row>
    <row r="9269" spans="14:14">
      <c r="N9269" s="113"/>
    </row>
    <row r="9270" spans="14:14">
      <c r="N9270" s="113"/>
    </row>
    <row r="9271" spans="14:14">
      <c r="N9271" s="113"/>
    </row>
    <row r="9272" spans="14:14">
      <c r="N9272" s="113"/>
    </row>
    <row r="9273" spans="14:14">
      <c r="N9273" s="113"/>
    </row>
    <row r="9274" spans="14:14">
      <c r="N9274" s="113"/>
    </row>
    <row r="9275" spans="14:14">
      <c r="N9275" s="113"/>
    </row>
    <row r="9276" spans="14:14">
      <c r="N9276" s="113"/>
    </row>
    <row r="9277" spans="14:14">
      <c r="N9277" s="113"/>
    </row>
    <row r="9278" spans="14:14">
      <c r="N9278" s="113"/>
    </row>
    <row r="9279" spans="14:14">
      <c r="N9279" s="113"/>
    </row>
    <row r="9280" spans="14:14">
      <c r="N9280" s="113"/>
    </row>
    <row r="9281" spans="14:14">
      <c r="N9281" s="113"/>
    </row>
    <row r="9282" spans="14:14">
      <c r="N9282" s="113"/>
    </row>
    <row r="9283" spans="14:14">
      <c r="N9283" s="113"/>
    </row>
    <row r="9284" spans="14:14">
      <c r="N9284" s="113"/>
    </row>
    <row r="9285" spans="14:14">
      <c r="N9285" s="113"/>
    </row>
    <row r="9286" spans="14:14">
      <c r="N9286" s="113"/>
    </row>
    <row r="9287" spans="14:14">
      <c r="N9287" s="113"/>
    </row>
    <row r="9288" spans="14:14">
      <c r="N9288" s="113"/>
    </row>
    <row r="9289" spans="14:14">
      <c r="N9289" s="113"/>
    </row>
    <row r="9290" spans="14:14">
      <c r="N9290" s="113"/>
    </row>
    <row r="9291" spans="14:14">
      <c r="N9291" s="113"/>
    </row>
    <row r="9292" spans="14:14">
      <c r="N9292" s="113"/>
    </row>
    <row r="9293" spans="14:14">
      <c r="N9293" s="113"/>
    </row>
    <row r="9294" spans="14:14">
      <c r="N9294" s="113"/>
    </row>
    <row r="9295" spans="14:14">
      <c r="N9295" s="113"/>
    </row>
    <row r="9296" spans="14:14">
      <c r="N9296" s="113"/>
    </row>
    <row r="9297" spans="14:14">
      <c r="N9297" s="113"/>
    </row>
    <row r="9298" spans="14:14">
      <c r="N9298" s="113"/>
    </row>
    <row r="9299" spans="14:14">
      <c r="N9299" s="113"/>
    </row>
    <row r="9300" spans="14:14">
      <c r="N9300" s="113"/>
    </row>
    <row r="9301" spans="14:14">
      <c r="N9301" s="113"/>
    </row>
    <row r="9302" spans="14:14">
      <c r="N9302" s="113"/>
    </row>
    <row r="9303" spans="14:14">
      <c r="N9303" s="113"/>
    </row>
    <row r="9304" spans="14:14">
      <c r="N9304" s="113"/>
    </row>
    <row r="9305" spans="14:14">
      <c r="N9305" s="113"/>
    </row>
    <row r="9306" spans="14:14">
      <c r="N9306" s="113"/>
    </row>
    <row r="9307" spans="14:14">
      <c r="N9307" s="113"/>
    </row>
    <row r="9308" spans="14:14">
      <c r="N9308" s="113"/>
    </row>
    <row r="9309" spans="14:14">
      <c r="N9309" s="113"/>
    </row>
    <row r="9310" spans="14:14">
      <c r="N9310" s="113"/>
    </row>
    <row r="9311" spans="14:14">
      <c r="N9311" s="113"/>
    </row>
    <row r="9312" spans="14:14">
      <c r="N9312" s="113"/>
    </row>
    <row r="9313" spans="14:14">
      <c r="N9313" s="113"/>
    </row>
    <row r="9314" spans="14:14">
      <c r="N9314" s="113"/>
    </row>
    <row r="9315" spans="14:14">
      <c r="N9315" s="113"/>
    </row>
    <row r="9316" spans="14:14">
      <c r="N9316" s="113"/>
    </row>
    <row r="9317" spans="14:14">
      <c r="N9317" s="113"/>
    </row>
    <row r="9318" spans="14:14">
      <c r="N9318" s="113"/>
    </row>
    <row r="9319" spans="14:14">
      <c r="N9319" s="113"/>
    </row>
    <row r="9320" spans="14:14">
      <c r="N9320" s="113"/>
    </row>
    <row r="9321" spans="14:14">
      <c r="N9321" s="113"/>
    </row>
    <row r="9322" spans="14:14">
      <c r="N9322" s="113"/>
    </row>
    <row r="9323" spans="14:14">
      <c r="N9323" s="113"/>
    </row>
    <row r="9324" spans="14:14">
      <c r="N9324" s="113"/>
    </row>
    <row r="9325" spans="14:14">
      <c r="N9325" s="113"/>
    </row>
    <row r="9326" spans="14:14">
      <c r="N9326" s="113"/>
    </row>
    <row r="9327" spans="14:14">
      <c r="N9327" s="113"/>
    </row>
    <row r="9328" spans="14:14">
      <c r="N9328" s="113"/>
    </row>
    <row r="9329" spans="14:14">
      <c r="N9329" s="113"/>
    </row>
    <row r="9330" spans="14:14">
      <c r="N9330" s="113"/>
    </row>
    <row r="9331" spans="14:14">
      <c r="N9331" s="113"/>
    </row>
    <row r="9332" spans="14:14">
      <c r="N9332" s="113"/>
    </row>
    <row r="9333" spans="14:14">
      <c r="N9333" s="113"/>
    </row>
    <row r="9334" spans="14:14">
      <c r="N9334" s="113"/>
    </row>
    <row r="9335" spans="14:14">
      <c r="N9335" s="113"/>
    </row>
    <row r="9336" spans="14:14">
      <c r="N9336" s="113"/>
    </row>
    <row r="9337" spans="14:14">
      <c r="N9337" s="113"/>
    </row>
    <row r="9338" spans="14:14">
      <c r="N9338" s="113"/>
    </row>
    <row r="9339" spans="14:14">
      <c r="N9339" s="113"/>
    </row>
    <row r="9340" spans="14:14">
      <c r="N9340" s="113"/>
    </row>
    <row r="9341" spans="14:14">
      <c r="N9341" s="113"/>
    </row>
    <row r="9342" spans="14:14">
      <c r="N9342" s="113"/>
    </row>
    <row r="9343" spans="14:14">
      <c r="N9343" s="113"/>
    </row>
    <row r="9344" spans="14:14">
      <c r="N9344" s="113"/>
    </row>
    <row r="9345" spans="14:14">
      <c r="N9345" s="113"/>
    </row>
    <row r="9346" spans="14:14">
      <c r="N9346" s="113"/>
    </row>
    <row r="9347" spans="14:14">
      <c r="N9347" s="113"/>
    </row>
    <row r="9348" spans="14:14">
      <c r="N9348" s="113"/>
    </row>
    <row r="9349" spans="14:14">
      <c r="N9349" s="113"/>
    </row>
    <row r="9350" spans="14:14">
      <c r="N9350" s="113"/>
    </row>
    <row r="9351" spans="14:14">
      <c r="N9351" s="113"/>
    </row>
    <row r="9352" spans="14:14">
      <c r="N9352" s="113"/>
    </row>
    <row r="9353" spans="14:14">
      <c r="N9353" s="113"/>
    </row>
    <row r="9354" spans="14:14">
      <c r="N9354" s="113"/>
    </row>
    <row r="9355" spans="14:14">
      <c r="N9355" s="113"/>
    </row>
    <row r="9356" spans="14:14">
      <c r="N9356" s="113"/>
    </row>
    <row r="9357" spans="14:14">
      <c r="N9357" s="113"/>
    </row>
    <row r="9358" spans="14:14">
      <c r="N9358" s="113"/>
    </row>
    <row r="9359" spans="14:14">
      <c r="N9359" s="113"/>
    </row>
    <row r="9360" spans="14:14">
      <c r="N9360" s="113"/>
    </row>
    <row r="9361" spans="14:14">
      <c r="N9361" s="113"/>
    </row>
    <row r="9362" spans="14:14">
      <c r="N9362" s="113"/>
    </row>
    <row r="9363" spans="14:14">
      <c r="N9363" s="113"/>
    </row>
    <row r="9364" spans="14:14">
      <c r="N9364" s="113"/>
    </row>
    <row r="9365" spans="14:14">
      <c r="N9365" s="113"/>
    </row>
    <row r="9366" spans="14:14">
      <c r="N9366" s="113"/>
    </row>
    <row r="9367" spans="14:14">
      <c r="N9367" s="113"/>
    </row>
    <row r="9368" spans="14:14">
      <c r="N9368" s="113"/>
    </row>
    <row r="9369" spans="14:14">
      <c r="N9369" s="113"/>
    </row>
    <row r="9370" spans="14:14">
      <c r="N9370" s="113"/>
    </row>
    <row r="9371" spans="14:14">
      <c r="N9371" s="113"/>
    </row>
    <row r="9372" spans="14:14">
      <c r="N9372" s="113"/>
    </row>
    <row r="9373" spans="14:14">
      <c r="N9373" s="113"/>
    </row>
    <row r="9374" spans="14:14">
      <c r="N9374" s="113"/>
    </row>
    <row r="9375" spans="14:14">
      <c r="N9375" s="113"/>
    </row>
    <row r="9376" spans="14:14">
      <c r="N9376" s="113"/>
    </row>
    <row r="9377" spans="14:14">
      <c r="N9377" s="113"/>
    </row>
    <row r="9378" spans="14:14">
      <c r="N9378" s="113"/>
    </row>
    <row r="9379" spans="14:14">
      <c r="N9379" s="113"/>
    </row>
    <row r="9380" spans="14:14">
      <c r="N9380" s="113"/>
    </row>
    <row r="9381" spans="14:14">
      <c r="N9381" s="113"/>
    </row>
    <row r="9382" spans="14:14">
      <c r="N9382" s="113"/>
    </row>
    <row r="9383" spans="14:14">
      <c r="N9383" s="113"/>
    </row>
    <row r="9384" spans="14:14">
      <c r="N9384" s="113"/>
    </row>
    <row r="9385" spans="14:14">
      <c r="N9385" s="113"/>
    </row>
    <row r="9386" spans="14:14">
      <c r="N9386" s="113"/>
    </row>
    <row r="9387" spans="14:14">
      <c r="N9387" s="113"/>
    </row>
    <row r="9388" spans="14:14">
      <c r="N9388" s="113"/>
    </row>
    <row r="9389" spans="14:14">
      <c r="N9389" s="113"/>
    </row>
    <row r="9390" spans="14:14">
      <c r="N9390" s="113"/>
    </row>
    <row r="9391" spans="14:14">
      <c r="N9391" s="113"/>
    </row>
    <row r="9392" spans="14:14">
      <c r="N9392" s="113"/>
    </row>
    <row r="9393" spans="14:14">
      <c r="N9393" s="113"/>
    </row>
    <row r="9394" spans="14:14">
      <c r="N9394" s="113"/>
    </row>
    <row r="9395" spans="14:14">
      <c r="N9395" s="113"/>
    </row>
    <row r="9396" spans="14:14">
      <c r="N9396" s="113"/>
    </row>
    <row r="9397" spans="14:14">
      <c r="N9397" s="113"/>
    </row>
    <row r="9398" spans="14:14">
      <c r="N9398" s="113"/>
    </row>
    <row r="9399" spans="14:14">
      <c r="N9399" s="113"/>
    </row>
    <row r="9400" spans="14:14">
      <c r="N9400" s="113"/>
    </row>
    <row r="9401" spans="14:14">
      <c r="N9401" s="113"/>
    </row>
    <row r="9402" spans="14:14">
      <c r="N9402" s="113"/>
    </row>
    <row r="9403" spans="14:14">
      <c r="N9403" s="113"/>
    </row>
    <row r="9404" spans="14:14">
      <c r="N9404" s="113"/>
    </row>
    <row r="9405" spans="14:14">
      <c r="N9405" s="113"/>
    </row>
    <row r="9406" spans="14:14">
      <c r="N9406" s="113"/>
    </row>
    <row r="9407" spans="14:14">
      <c r="N9407" s="113"/>
    </row>
    <row r="9408" spans="14:14">
      <c r="N9408" s="113"/>
    </row>
    <row r="9409" spans="14:14">
      <c r="N9409" s="113"/>
    </row>
    <row r="9410" spans="14:14">
      <c r="N9410" s="113"/>
    </row>
    <row r="9411" spans="14:14">
      <c r="N9411" s="113"/>
    </row>
    <row r="9412" spans="14:14">
      <c r="N9412" s="113"/>
    </row>
    <row r="9413" spans="14:14">
      <c r="N9413" s="113"/>
    </row>
    <row r="9414" spans="14:14">
      <c r="N9414" s="113"/>
    </row>
    <row r="9415" spans="14:14">
      <c r="N9415" s="113"/>
    </row>
    <row r="9416" spans="14:14">
      <c r="N9416" s="113"/>
    </row>
    <row r="9417" spans="14:14">
      <c r="N9417" s="113"/>
    </row>
    <row r="9418" spans="14:14">
      <c r="N9418" s="113"/>
    </row>
    <row r="9419" spans="14:14">
      <c r="N9419" s="113"/>
    </row>
    <row r="9420" spans="14:14">
      <c r="N9420" s="113"/>
    </row>
    <row r="9421" spans="14:14">
      <c r="N9421" s="113"/>
    </row>
    <row r="9422" spans="14:14">
      <c r="N9422" s="113"/>
    </row>
    <row r="9423" spans="14:14">
      <c r="N9423" s="113"/>
    </row>
    <row r="9424" spans="14:14">
      <c r="N9424" s="113"/>
    </row>
    <row r="9425" spans="14:14">
      <c r="N9425" s="113"/>
    </row>
    <row r="9426" spans="14:14">
      <c r="N9426" s="113"/>
    </row>
    <row r="9427" spans="14:14">
      <c r="N9427" s="113"/>
    </row>
    <row r="9428" spans="14:14">
      <c r="N9428" s="113"/>
    </row>
    <row r="9429" spans="14:14">
      <c r="N9429" s="113"/>
    </row>
    <row r="9430" spans="14:14">
      <c r="N9430" s="113"/>
    </row>
    <row r="9431" spans="14:14">
      <c r="N9431" s="113"/>
    </row>
    <row r="9432" spans="14:14">
      <c r="N9432" s="113"/>
    </row>
    <row r="9433" spans="14:14">
      <c r="N9433" s="113"/>
    </row>
    <row r="9434" spans="14:14">
      <c r="N9434" s="113"/>
    </row>
    <row r="9435" spans="14:14">
      <c r="N9435" s="113"/>
    </row>
    <row r="9436" spans="14:14">
      <c r="N9436" s="113"/>
    </row>
    <row r="9437" spans="14:14">
      <c r="N9437" s="113"/>
    </row>
    <row r="9438" spans="14:14">
      <c r="N9438" s="113"/>
    </row>
    <row r="9439" spans="14:14">
      <c r="N9439" s="113"/>
    </row>
    <row r="9440" spans="14:14">
      <c r="N9440" s="113"/>
    </row>
    <row r="9441" spans="14:14">
      <c r="N9441" s="113"/>
    </row>
    <row r="9442" spans="14:14">
      <c r="N9442" s="113"/>
    </row>
    <row r="9443" spans="14:14">
      <c r="N9443" s="113"/>
    </row>
    <row r="9444" spans="14:14">
      <c r="N9444" s="113"/>
    </row>
    <row r="9445" spans="14:14">
      <c r="N9445" s="113"/>
    </row>
    <row r="9446" spans="14:14">
      <c r="N9446" s="113"/>
    </row>
    <row r="9447" spans="14:14">
      <c r="N9447" s="113"/>
    </row>
    <row r="9448" spans="14:14">
      <c r="N9448" s="113"/>
    </row>
    <row r="9449" spans="14:14">
      <c r="N9449" s="113"/>
    </row>
    <row r="9450" spans="14:14">
      <c r="N9450" s="113"/>
    </row>
    <row r="9451" spans="14:14">
      <c r="N9451" s="113"/>
    </row>
    <row r="9452" spans="14:14">
      <c r="N9452" s="113"/>
    </row>
    <row r="9453" spans="14:14">
      <c r="N9453" s="113"/>
    </row>
    <row r="9454" spans="14:14">
      <c r="N9454" s="113"/>
    </row>
    <row r="9455" spans="14:14">
      <c r="N9455" s="113"/>
    </row>
    <row r="9456" spans="14:14">
      <c r="N9456" s="113"/>
    </row>
    <row r="9457" spans="14:14">
      <c r="N9457" s="113"/>
    </row>
    <row r="9458" spans="14:14">
      <c r="N9458" s="113"/>
    </row>
    <row r="9459" spans="14:14">
      <c r="N9459" s="113"/>
    </row>
    <row r="9460" spans="14:14">
      <c r="N9460" s="113"/>
    </row>
    <row r="9461" spans="14:14">
      <c r="N9461" s="113"/>
    </row>
    <row r="9462" spans="14:14">
      <c r="N9462" s="113"/>
    </row>
    <row r="9463" spans="14:14">
      <c r="N9463" s="113"/>
    </row>
    <row r="9464" spans="14:14">
      <c r="N9464" s="113"/>
    </row>
    <row r="9465" spans="14:14">
      <c r="N9465" s="113"/>
    </row>
    <row r="9466" spans="14:14">
      <c r="N9466" s="113"/>
    </row>
    <row r="9467" spans="14:14">
      <c r="N9467" s="113"/>
    </row>
    <row r="9468" spans="14:14">
      <c r="N9468" s="113"/>
    </row>
    <row r="9469" spans="14:14">
      <c r="N9469" s="113"/>
    </row>
    <row r="9470" spans="14:14">
      <c r="N9470" s="113"/>
    </row>
    <row r="9471" spans="14:14">
      <c r="N9471" s="113"/>
    </row>
    <row r="9472" spans="14:14">
      <c r="N9472" s="113"/>
    </row>
    <row r="9473" spans="14:14">
      <c r="N9473" s="113"/>
    </row>
    <row r="9474" spans="14:14">
      <c r="N9474" s="113"/>
    </row>
    <row r="9475" spans="14:14">
      <c r="N9475" s="113"/>
    </row>
    <row r="9476" spans="14:14">
      <c r="N9476" s="113"/>
    </row>
    <row r="9477" spans="14:14">
      <c r="N9477" s="113"/>
    </row>
    <row r="9478" spans="14:14">
      <c r="N9478" s="113"/>
    </row>
    <row r="9479" spans="14:14">
      <c r="N9479" s="113"/>
    </row>
    <row r="9480" spans="14:14">
      <c r="N9480" s="113"/>
    </row>
    <row r="9481" spans="14:14">
      <c r="N9481" s="113"/>
    </row>
    <row r="9482" spans="14:14">
      <c r="N9482" s="113"/>
    </row>
    <row r="9483" spans="14:14">
      <c r="N9483" s="113"/>
    </row>
    <row r="9484" spans="14:14">
      <c r="N9484" s="113"/>
    </row>
    <row r="9485" spans="14:14">
      <c r="N9485" s="113"/>
    </row>
    <row r="9486" spans="14:14">
      <c r="N9486" s="113"/>
    </row>
    <row r="9487" spans="14:14">
      <c r="N9487" s="113"/>
    </row>
    <row r="9488" spans="14:14">
      <c r="N9488" s="113"/>
    </row>
    <row r="9489" spans="14:14">
      <c r="N9489" s="113"/>
    </row>
    <row r="9490" spans="14:14">
      <c r="N9490" s="113"/>
    </row>
    <row r="9491" spans="14:14">
      <c r="N9491" s="113"/>
    </row>
    <row r="9492" spans="14:14">
      <c r="N9492" s="113"/>
    </row>
    <row r="9493" spans="14:14">
      <c r="N9493" s="113"/>
    </row>
    <row r="9494" spans="14:14">
      <c r="N9494" s="113"/>
    </row>
    <row r="9495" spans="14:14">
      <c r="N9495" s="113"/>
    </row>
    <row r="9496" spans="14:14">
      <c r="N9496" s="113"/>
    </row>
    <row r="9497" spans="14:14">
      <c r="N9497" s="113"/>
    </row>
    <row r="9498" spans="14:14">
      <c r="N9498" s="113"/>
    </row>
    <row r="9499" spans="14:14">
      <c r="N9499" s="113"/>
    </row>
    <row r="9500" spans="14:14">
      <c r="N9500" s="113"/>
    </row>
    <row r="9501" spans="14:14">
      <c r="N9501" s="113"/>
    </row>
    <row r="9502" spans="14:14">
      <c r="N9502" s="113"/>
    </row>
    <row r="9503" spans="14:14">
      <c r="N9503" s="113"/>
    </row>
    <row r="9504" spans="14:14">
      <c r="N9504" s="113"/>
    </row>
    <row r="9505" spans="14:14">
      <c r="N9505" s="113"/>
    </row>
    <row r="9506" spans="14:14">
      <c r="N9506" s="113"/>
    </row>
    <row r="9507" spans="14:14">
      <c r="N9507" s="113"/>
    </row>
    <row r="9508" spans="14:14">
      <c r="N9508" s="113"/>
    </row>
    <row r="9509" spans="14:14">
      <c r="N9509" s="113"/>
    </row>
    <row r="9510" spans="14:14">
      <c r="N9510" s="113"/>
    </row>
    <row r="9511" spans="14:14">
      <c r="N9511" s="113"/>
    </row>
    <row r="9512" spans="14:14">
      <c r="N9512" s="113"/>
    </row>
    <row r="9513" spans="14:14">
      <c r="N9513" s="113"/>
    </row>
    <row r="9514" spans="14:14">
      <c r="N9514" s="113"/>
    </row>
    <row r="9515" spans="14:14">
      <c r="N9515" s="113"/>
    </row>
    <row r="9516" spans="14:14">
      <c r="N9516" s="113"/>
    </row>
    <row r="9517" spans="14:14">
      <c r="N9517" s="113"/>
    </row>
    <row r="9518" spans="14:14">
      <c r="N9518" s="113"/>
    </row>
    <row r="9519" spans="14:14">
      <c r="N9519" s="113"/>
    </row>
    <row r="9520" spans="14:14">
      <c r="N9520" s="113"/>
    </row>
    <row r="9521" spans="14:14">
      <c r="N9521" s="113"/>
    </row>
    <row r="9522" spans="14:14">
      <c r="N9522" s="113"/>
    </row>
    <row r="9523" spans="14:14">
      <c r="N9523" s="113"/>
    </row>
    <row r="9524" spans="14:14">
      <c r="N9524" s="113"/>
    </row>
    <row r="9525" spans="14:14">
      <c r="N9525" s="113"/>
    </row>
    <row r="9526" spans="14:14">
      <c r="N9526" s="113"/>
    </row>
    <row r="9527" spans="14:14">
      <c r="N9527" s="113"/>
    </row>
    <row r="9528" spans="14:14">
      <c r="N9528" s="113"/>
    </row>
    <row r="9529" spans="14:14">
      <c r="N9529" s="113"/>
    </row>
    <row r="9530" spans="14:14">
      <c r="N9530" s="113"/>
    </row>
    <row r="9531" spans="14:14">
      <c r="N9531" s="113"/>
    </row>
    <row r="9532" spans="14:14">
      <c r="N9532" s="113"/>
    </row>
    <row r="9533" spans="14:14">
      <c r="N9533" s="113"/>
    </row>
    <row r="9534" spans="14:14">
      <c r="N9534" s="113"/>
    </row>
    <row r="9535" spans="14:14">
      <c r="N9535" s="113"/>
    </row>
    <row r="9536" spans="14:14">
      <c r="N9536" s="113"/>
    </row>
    <row r="9537" spans="14:14">
      <c r="N9537" s="113"/>
    </row>
    <row r="9538" spans="14:14">
      <c r="N9538" s="113"/>
    </row>
    <row r="9539" spans="14:14">
      <c r="N9539" s="113"/>
    </row>
    <row r="9540" spans="14:14">
      <c r="N9540" s="113"/>
    </row>
    <row r="9541" spans="14:14">
      <c r="N9541" s="113"/>
    </row>
    <row r="9542" spans="14:14">
      <c r="N9542" s="113"/>
    </row>
    <row r="9543" spans="14:14">
      <c r="N9543" s="113"/>
    </row>
    <row r="9544" spans="14:14">
      <c r="N9544" s="113"/>
    </row>
    <row r="9545" spans="14:14">
      <c r="N9545" s="113"/>
    </row>
    <row r="9546" spans="14:14">
      <c r="N9546" s="113"/>
    </row>
    <row r="9547" spans="14:14">
      <c r="N9547" s="113"/>
    </row>
    <row r="9548" spans="14:14">
      <c r="N9548" s="113"/>
    </row>
    <row r="9549" spans="14:14">
      <c r="N9549" s="113"/>
    </row>
    <row r="9550" spans="14:14">
      <c r="N9550" s="113"/>
    </row>
    <row r="9551" spans="14:14">
      <c r="N9551" s="113"/>
    </row>
    <row r="9552" spans="14:14">
      <c r="N9552" s="113"/>
    </row>
    <row r="9553" spans="14:14">
      <c r="N9553" s="113"/>
    </row>
    <row r="9554" spans="14:14">
      <c r="N9554" s="113"/>
    </row>
    <row r="9555" spans="14:14">
      <c r="N9555" s="113"/>
    </row>
    <row r="9556" spans="14:14">
      <c r="N9556" s="113"/>
    </row>
    <row r="9557" spans="14:14">
      <c r="N9557" s="113"/>
    </row>
    <row r="9558" spans="14:14">
      <c r="N9558" s="113"/>
    </row>
    <row r="9559" spans="14:14">
      <c r="N9559" s="113"/>
    </row>
    <row r="9560" spans="14:14">
      <c r="N9560" s="113"/>
    </row>
    <row r="9561" spans="14:14">
      <c r="N9561" s="113"/>
    </row>
    <row r="9562" spans="14:14">
      <c r="N9562" s="113"/>
    </row>
    <row r="9563" spans="14:14">
      <c r="N9563" s="113"/>
    </row>
    <row r="9564" spans="14:14">
      <c r="N9564" s="113"/>
    </row>
    <row r="9565" spans="14:14">
      <c r="N9565" s="113"/>
    </row>
    <row r="9566" spans="14:14">
      <c r="N9566" s="113"/>
    </row>
    <row r="9567" spans="14:14">
      <c r="N9567" s="113"/>
    </row>
    <row r="9568" spans="14:14">
      <c r="N9568" s="113"/>
    </row>
    <row r="9569" spans="14:14">
      <c r="N9569" s="113"/>
    </row>
    <row r="9570" spans="14:14">
      <c r="N9570" s="113"/>
    </row>
    <row r="9571" spans="14:14">
      <c r="N9571" s="113"/>
    </row>
    <row r="9572" spans="14:14">
      <c r="N9572" s="113"/>
    </row>
    <row r="9573" spans="14:14">
      <c r="N9573" s="113"/>
    </row>
    <row r="9574" spans="14:14">
      <c r="N9574" s="113"/>
    </row>
    <row r="9575" spans="14:14">
      <c r="N9575" s="113"/>
    </row>
    <row r="9576" spans="14:14">
      <c r="N9576" s="113"/>
    </row>
    <row r="9577" spans="14:14">
      <c r="N9577" s="113"/>
    </row>
    <row r="9578" spans="14:14">
      <c r="N9578" s="113"/>
    </row>
    <row r="9579" spans="14:14">
      <c r="N9579" s="113"/>
    </row>
    <row r="9580" spans="14:14">
      <c r="N9580" s="113"/>
    </row>
    <row r="9581" spans="14:14">
      <c r="N9581" s="113"/>
    </row>
    <row r="9582" spans="14:14">
      <c r="N9582" s="113"/>
    </row>
    <row r="9583" spans="14:14">
      <c r="N9583" s="113"/>
    </row>
    <row r="9584" spans="14:14">
      <c r="N9584" s="113"/>
    </row>
    <row r="9585" spans="14:14">
      <c r="N9585" s="113"/>
    </row>
    <row r="9586" spans="14:14">
      <c r="N9586" s="113"/>
    </row>
    <row r="9587" spans="14:14">
      <c r="N9587" s="113"/>
    </row>
    <row r="9588" spans="14:14">
      <c r="N9588" s="113"/>
    </row>
    <row r="9589" spans="14:14">
      <c r="N9589" s="113"/>
    </row>
    <row r="9590" spans="14:14">
      <c r="N9590" s="113"/>
    </row>
    <row r="9591" spans="14:14">
      <c r="N9591" s="113"/>
    </row>
    <row r="9592" spans="14:14">
      <c r="N9592" s="113"/>
    </row>
    <row r="9593" spans="14:14">
      <c r="N9593" s="113"/>
    </row>
    <row r="9594" spans="14:14">
      <c r="N9594" s="113"/>
    </row>
    <row r="9595" spans="14:14">
      <c r="N9595" s="113"/>
    </row>
    <row r="9596" spans="14:14">
      <c r="N9596" s="113"/>
    </row>
    <row r="9597" spans="14:14">
      <c r="N9597" s="113"/>
    </row>
    <row r="9598" spans="14:14">
      <c r="N9598" s="113"/>
    </row>
    <row r="9599" spans="14:14">
      <c r="N9599" s="113"/>
    </row>
    <row r="9600" spans="14:14">
      <c r="N9600" s="113"/>
    </row>
    <row r="9601" spans="14:14">
      <c r="N9601" s="113"/>
    </row>
    <row r="9602" spans="14:14">
      <c r="N9602" s="113"/>
    </row>
    <row r="9603" spans="14:14">
      <c r="N9603" s="113"/>
    </row>
    <row r="9604" spans="14:14">
      <c r="N9604" s="113"/>
    </row>
    <row r="9605" spans="14:14">
      <c r="N9605" s="113"/>
    </row>
    <row r="9606" spans="14:14">
      <c r="N9606" s="113"/>
    </row>
    <row r="9607" spans="14:14">
      <c r="N9607" s="113"/>
    </row>
    <row r="9608" spans="14:14">
      <c r="N9608" s="113"/>
    </row>
    <row r="9609" spans="14:14">
      <c r="N9609" s="113"/>
    </row>
    <row r="9610" spans="14:14">
      <c r="N9610" s="113"/>
    </row>
    <row r="9611" spans="14:14">
      <c r="N9611" s="113"/>
    </row>
    <row r="9612" spans="14:14">
      <c r="N9612" s="113"/>
    </row>
    <row r="9613" spans="14:14">
      <c r="N9613" s="113"/>
    </row>
    <row r="9614" spans="14:14">
      <c r="N9614" s="113"/>
    </row>
    <row r="9615" spans="14:14">
      <c r="N9615" s="113"/>
    </row>
    <row r="9616" spans="14:14">
      <c r="N9616" s="113"/>
    </row>
    <row r="9617" spans="14:14">
      <c r="N9617" s="113"/>
    </row>
    <row r="9618" spans="14:14">
      <c r="N9618" s="113"/>
    </row>
    <row r="9619" spans="14:14">
      <c r="N9619" s="113"/>
    </row>
    <row r="9620" spans="14:14">
      <c r="N9620" s="113"/>
    </row>
    <row r="9621" spans="14:14">
      <c r="N9621" s="113"/>
    </row>
    <row r="9622" spans="14:14">
      <c r="N9622" s="113"/>
    </row>
    <row r="9623" spans="14:14">
      <c r="N9623" s="113"/>
    </row>
    <row r="9624" spans="14:14">
      <c r="N9624" s="113"/>
    </row>
    <row r="9625" spans="14:14">
      <c r="N9625" s="113"/>
    </row>
    <row r="9626" spans="14:14">
      <c r="N9626" s="113"/>
    </row>
    <row r="9627" spans="14:14">
      <c r="N9627" s="113"/>
    </row>
    <row r="9628" spans="14:14">
      <c r="N9628" s="113"/>
    </row>
    <row r="9629" spans="14:14">
      <c r="N9629" s="113"/>
    </row>
    <row r="9630" spans="14:14">
      <c r="N9630" s="113"/>
    </row>
    <row r="9631" spans="14:14">
      <c r="N9631" s="113"/>
    </row>
    <row r="9632" spans="14:14">
      <c r="N9632" s="113"/>
    </row>
    <row r="9633" spans="14:14">
      <c r="N9633" s="113"/>
    </row>
    <row r="9634" spans="14:14">
      <c r="N9634" s="113"/>
    </row>
    <row r="9635" spans="14:14">
      <c r="N9635" s="113"/>
    </row>
    <row r="9636" spans="14:14">
      <c r="N9636" s="113"/>
    </row>
    <row r="9637" spans="14:14">
      <c r="N9637" s="113"/>
    </row>
    <row r="9638" spans="14:14">
      <c r="N9638" s="113"/>
    </row>
    <row r="9639" spans="14:14">
      <c r="N9639" s="113"/>
    </row>
    <row r="9640" spans="14:14">
      <c r="N9640" s="113"/>
    </row>
    <row r="9641" spans="14:14">
      <c r="N9641" s="113"/>
    </row>
    <row r="9642" spans="14:14">
      <c r="N9642" s="113"/>
    </row>
    <row r="9643" spans="14:14">
      <c r="N9643" s="113"/>
    </row>
    <row r="9644" spans="14:14">
      <c r="N9644" s="113"/>
    </row>
    <row r="9645" spans="14:14">
      <c r="N9645" s="113"/>
    </row>
    <row r="9646" spans="14:14">
      <c r="N9646" s="113"/>
    </row>
    <row r="9647" spans="14:14">
      <c r="N9647" s="113"/>
    </row>
    <row r="9648" spans="14:14">
      <c r="N9648" s="113"/>
    </row>
    <row r="9649" spans="14:14">
      <c r="N9649" s="113"/>
    </row>
    <row r="9650" spans="14:14">
      <c r="N9650" s="113"/>
    </row>
    <row r="9651" spans="14:14">
      <c r="N9651" s="113"/>
    </row>
    <row r="9652" spans="14:14">
      <c r="N9652" s="113"/>
    </row>
    <row r="9653" spans="14:14">
      <c r="N9653" s="113"/>
    </row>
    <row r="9654" spans="14:14">
      <c r="N9654" s="113"/>
    </row>
    <row r="9655" spans="14:14">
      <c r="N9655" s="113"/>
    </row>
    <row r="9656" spans="14:14">
      <c r="N9656" s="113"/>
    </row>
    <row r="9657" spans="14:14">
      <c r="N9657" s="113"/>
    </row>
    <row r="9658" spans="14:14">
      <c r="N9658" s="113"/>
    </row>
    <row r="9659" spans="14:14">
      <c r="N9659" s="113"/>
    </row>
    <row r="9660" spans="14:14">
      <c r="N9660" s="113"/>
    </row>
    <row r="9661" spans="14:14">
      <c r="N9661" s="113"/>
    </row>
    <row r="9662" spans="14:14">
      <c r="N9662" s="113"/>
    </row>
    <row r="9663" spans="14:14">
      <c r="N9663" s="113"/>
    </row>
    <row r="9664" spans="14:14">
      <c r="N9664" s="113"/>
    </row>
    <row r="9665" spans="14:14">
      <c r="N9665" s="113"/>
    </row>
    <row r="9666" spans="14:14">
      <c r="N9666" s="113"/>
    </row>
    <row r="9667" spans="14:14">
      <c r="N9667" s="113"/>
    </row>
    <row r="9668" spans="14:14">
      <c r="N9668" s="113"/>
    </row>
    <row r="9669" spans="14:14">
      <c r="N9669" s="113"/>
    </row>
    <row r="9670" spans="14:14">
      <c r="N9670" s="113"/>
    </row>
    <row r="9671" spans="14:14">
      <c r="N9671" s="113"/>
    </row>
    <row r="9672" spans="14:14">
      <c r="N9672" s="113"/>
    </row>
    <row r="9673" spans="14:14">
      <c r="N9673" s="113"/>
    </row>
    <row r="9674" spans="14:14">
      <c r="N9674" s="113"/>
    </row>
    <row r="9675" spans="14:14">
      <c r="N9675" s="113"/>
    </row>
    <row r="9676" spans="14:14">
      <c r="N9676" s="113"/>
    </row>
    <row r="9677" spans="14:14">
      <c r="N9677" s="113"/>
    </row>
    <row r="9678" spans="14:14">
      <c r="N9678" s="113"/>
    </row>
    <row r="9679" spans="14:14">
      <c r="N9679" s="113"/>
    </row>
    <row r="9680" spans="14:14">
      <c r="N9680" s="113"/>
    </row>
    <row r="9681" spans="14:14">
      <c r="N9681" s="113"/>
    </row>
    <row r="9682" spans="14:14">
      <c r="N9682" s="113"/>
    </row>
    <row r="9683" spans="14:14">
      <c r="N9683" s="113"/>
    </row>
    <row r="9684" spans="14:14">
      <c r="N9684" s="113"/>
    </row>
    <row r="9685" spans="14:14">
      <c r="N9685" s="113"/>
    </row>
    <row r="9686" spans="14:14">
      <c r="N9686" s="113"/>
    </row>
    <row r="9687" spans="14:14">
      <c r="N9687" s="113"/>
    </row>
    <row r="9688" spans="14:14">
      <c r="N9688" s="113"/>
    </row>
    <row r="9689" spans="14:14">
      <c r="N9689" s="113"/>
    </row>
    <row r="9690" spans="14:14">
      <c r="N9690" s="113"/>
    </row>
    <row r="9691" spans="14:14">
      <c r="N9691" s="113"/>
    </row>
    <row r="9692" spans="14:14">
      <c r="N9692" s="113"/>
    </row>
    <row r="9693" spans="14:14">
      <c r="N9693" s="113"/>
    </row>
    <row r="9694" spans="14:14">
      <c r="N9694" s="113"/>
    </row>
    <row r="9695" spans="14:14">
      <c r="N9695" s="113"/>
    </row>
    <row r="9696" spans="14:14">
      <c r="N9696" s="113"/>
    </row>
    <row r="9697" spans="14:14">
      <c r="N9697" s="113"/>
    </row>
    <row r="9698" spans="14:14">
      <c r="N9698" s="113"/>
    </row>
    <row r="9699" spans="14:14">
      <c r="N9699" s="113"/>
    </row>
    <row r="9700" spans="14:14">
      <c r="N9700" s="113"/>
    </row>
    <row r="9701" spans="14:14">
      <c r="N9701" s="113"/>
    </row>
    <row r="9702" spans="14:14">
      <c r="N9702" s="113"/>
    </row>
    <row r="9703" spans="14:14">
      <c r="N9703" s="113"/>
    </row>
    <row r="9704" spans="14:14">
      <c r="N9704" s="113"/>
    </row>
    <row r="9705" spans="14:14">
      <c r="N9705" s="113"/>
    </row>
    <row r="9706" spans="14:14">
      <c r="N9706" s="113"/>
    </row>
    <row r="9707" spans="14:14">
      <c r="N9707" s="113"/>
    </row>
    <row r="9708" spans="14:14">
      <c r="N9708" s="113"/>
    </row>
    <row r="9709" spans="14:14">
      <c r="N9709" s="113"/>
    </row>
    <row r="9710" spans="14:14">
      <c r="N9710" s="113"/>
    </row>
    <row r="9711" spans="14:14">
      <c r="N9711" s="113"/>
    </row>
    <row r="9712" spans="14:14">
      <c r="N9712" s="113"/>
    </row>
    <row r="9713" spans="14:14">
      <c r="N9713" s="113"/>
    </row>
    <row r="9714" spans="14:14">
      <c r="N9714" s="113"/>
    </row>
    <row r="9715" spans="14:14">
      <c r="N9715" s="113"/>
    </row>
    <row r="9716" spans="14:14">
      <c r="N9716" s="113"/>
    </row>
    <row r="9717" spans="14:14">
      <c r="N9717" s="113"/>
    </row>
    <row r="9718" spans="14:14">
      <c r="N9718" s="113"/>
    </row>
    <row r="9719" spans="14:14">
      <c r="N9719" s="113"/>
    </row>
    <row r="9720" spans="14:14">
      <c r="N9720" s="113"/>
    </row>
    <row r="9721" spans="14:14">
      <c r="N9721" s="113"/>
    </row>
    <row r="9722" spans="14:14">
      <c r="N9722" s="113"/>
    </row>
    <row r="9723" spans="14:14">
      <c r="N9723" s="113"/>
    </row>
    <row r="9724" spans="14:14">
      <c r="N9724" s="113"/>
    </row>
    <row r="9725" spans="14:14">
      <c r="N9725" s="113"/>
    </row>
    <row r="9726" spans="14:14">
      <c r="N9726" s="113"/>
    </row>
    <row r="9727" spans="14:14">
      <c r="N9727" s="113"/>
    </row>
    <row r="9728" spans="14:14">
      <c r="N9728" s="113"/>
    </row>
    <row r="9729" spans="14:14">
      <c r="N9729" s="113"/>
    </row>
    <row r="9730" spans="14:14">
      <c r="N9730" s="113"/>
    </row>
    <row r="9731" spans="14:14">
      <c r="N9731" s="113"/>
    </row>
    <row r="9732" spans="14:14">
      <c r="N9732" s="113"/>
    </row>
    <row r="9733" spans="14:14">
      <c r="N9733" s="113"/>
    </row>
    <row r="9734" spans="14:14">
      <c r="N9734" s="113"/>
    </row>
    <row r="9735" spans="14:14">
      <c r="N9735" s="113"/>
    </row>
    <row r="9736" spans="14:14">
      <c r="N9736" s="113"/>
    </row>
    <row r="9737" spans="14:14">
      <c r="N9737" s="113"/>
    </row>
    <row r="9738" spans="14:14">
      <c r="N9738" s="113"/>
    </row>
    <row r="9739" spans="14:14">
      <c r="N9739" s="113"/>
    </row>
    <row r="9740" spans="14:14">
      <c r="N9740" s="113"/>
    </row>
    <row r="9741" spans="14:14">
      <c r="N9741" s="113"/>
    </row>
    <row r="9742" spans="14:14">
      <c r="N9742" s="113"/>
    </row>
    <row r="9743" spans="14:14">
      <c r="N9743" s="113"/>
    </row>
    <row r="9744" spans="14:14">
      <c r="N9744" s="113"/>
    </row>
    <row r="9745" spans="14:14">
      <c r="N9745" s="113"/>
    </row>
    <row r="9746" spans="14:14">
      <c r="N9746" s="113"/>
    </row>
    <row r="9747" spans="14:14">
      <c r="N9747" s="113"/>
    </row>
    <row r="9748" spans="14:14">
      <c r="N9748" s="113"/>
    </row>
    <row r="9749" spans="14:14">
      <c r="N9749" s="113"/>
    </row>
    <row r="9750" spans="14:14">
      <c r="N9750" s="113"/>
    </row>
    <row r="9751" spans="14:14">
      <c r="N9751" s="113"/>
    </row>
    <row r="9752" spans="14:14">
      <c r="N9752" s="113"/>
    </row>
    <row r="9753" spans="14:14">
      <c r="N9753" s="113"/>
    </row>
    <row r="9754" spans="14:14">
      <c r="N9754" s="113"/>
    </row>
    <row r="9755" spans="14:14">
      <c r="N9755" s="113"/>
    </row>
    <row r="9756" spans="14:14">
      <c r="N9756" s="113"/>
    </row>
    <row r="9757" spans="14:14">
      <c r="N9757" s="113"/>
    </row>
    <row r="9758" spans="14:14">
      <c r="N9758" s="113"/>
    </row>
    <row r="9759" spans="14:14">
      <c r="N9759" s="113"/>
    </row>
    <row r="9760" spans="14:14">
      <c r="N9760" s="113"/>
    </row>
    <row r="9761" spans="14:14">
      <c r="N9761" s="113"/>
    </row>
    <row r="9762" spans="14:14">
      <c r="N9762" s="113"/>
    </row>
    <row r="9763" spans="14:14">
      <c r="N9763" s="113"/>
    </row>
    <row r="9764" spans="14:14">
      <c r="N9764" s="113"/>
    </row>
    <row r="9765" spans="14:14">
      <c r="N9765" s="113"/>
    </row>
    <row r="9766" spans="14:14">
      <c r="N9766" s="113"/>
    </row>
    <row r="9767" spans="14:14">
      <c r="N9767" s="113"/>
    </row>
    <row r="9768" spans="14:14">
      <c r="N9768" s="113"/>
    </row>
    <row r="9769" spans="14:14">
      <c r="N9769" s="113"/>
    </row>
    <row r="9770" spans="14:14">
      <c r="N9770" s="113"/>
    </row>
    <row r="9771" spans="14:14">
      <c r="N9771" s="113"/>
    </row>
    <row r="9772" spans="14:14">
      <c r="N9772" s="113"/>
    </row>
    <row r="9773" spans="14:14">
      <c r="N9773" s="113"/>
    </row>
    <row r="9774" spans="14:14">
      <c r="N9774" s="113"/>
    </row>
    <row r="9775" spans="14:14">
      <c r="N9775" s="113"/>
    </row>
    <row r="9776" spans="14:14">
      <c r="N9776" s="113"/>
    </row>
    <row r="9777" spans="14:14">
      <c r="N9777" s="113"/>
    </row>
    <row r="9778" spans="14:14">
      <c r="N9778" s="113"/>
    </row>
    <row r="9779" spans="14:14">
      <c r="N9779" s="113"/>
    </row>
    <row r="9780" spans="14:14">
      <c r="N9780" s="113"/>
    </row>
    <row r="9781" spans="14:14">
      <c r="N9781" s="113"/>
    </row>
    <row r="9782" spans="14:14">
      <c r="N9782" s="113"/>
    </row>
    <row r="9783" spans="14:14">
      <c r="N9783" s="113"/>
    </row>
    <row r="9784" spans="14:14">
      <c r="N9784" s="113"/>
    </row>
    <row r="9785" spans="14:14">
      <c r="N9785" s="113"/>
    </row>
    <row r="9786" spans="14:14">
      <c r="N9786" s="113"/>
    </row>
    <row r="9787" spans="14:14">
      <c r="N9787" s="113"/>
    </row>
    <row r="9788" spans="14:14">
      <c r="N9788" s="113"/>
    </row>
    <row r="9789" spans="14:14">
      <c r="N9789" s="113"/>
    </row>
    <row r="9790" spans="14:14">
      <c r="N9790" s="113"/>
    </row>
    <row r="9791" spans="14:14">
      <c r="N9791" s="113"/>
    </row>
    <row r="9792" spans="14:14">
      <c r="N9792" s="113"/>
    </row>
    <row r="9793" spans="14:14">
      <c r="N9793" s="113"/>
    </row>
    <row r="9794" spans="14:14">
      <c r="N9794" s="113"/>
    </row>
    <row r="9795" spans="14:14">
      <c r="N9795" s="113"/>
    </row>
    <row r="9796" spans="14:14">
      <c r="N9796" s="113"/>
    </row>
    <row r="9797" spans="14:14">
      <c r="N9797" s="113"/>
    </row>
    <row r="9798" spans="14:14">
      <c r="N9798" s="113"/>
    </row>
    <row r="9799" spans="14:14">
      <c r="N9799" s="113"/>
    </row>
    <row r="9800" spans="14:14">
      <c r="N9800" s="113"/>
    </row>
    <row r="9801" spans="14:14">
      <c r="N9801" s="113"/>
    </row>
    <row r="9802" spans="14:14">
      <c r="N9802" s="113"/>
    </row>
    <row r="9803" spans="14:14">
      <c r="N9803" s="113"/>
    </row>
    <row r="9804" spans="14:14">
      <c r="N9804" s="113"/>
    </row>
    <row r="9805" spans="14:14">
      <c r="N9805" s="113"/>
    </row>
    <row r="9806" spans="14:14">
      <c r="N9806" s="113"/>
    </row>
    <row r="9807" spans="14:14">
      <c r="N9807" s="113"/>
    </row>
    <row r="9808" spans="14:14">
      <c r="N9808" s="113"/>
    </row>
    <row r="9809" spans="14:14">
      <c r="N9809" s="113"/>
    </row>
    <row r="9810" spans="14:14">
      <c r="N9810" s="113"/>
    </row>
    <row r="9811" spans="14:14">
      <c r="N9811" s="113"/>
    </row>
    <row r="9812" spans="14:14">
      <c r="N9812" s="113"/>
    </row>
    <row r="9813" spans="14:14">
      <c r="N9813" s="113"/>
    </row>
    <row r="9814" spans="14:14">
      <c r="N9814" s="113"/>
    </row>
    <row r="9815" spans="14:14">
      <c r="N9815" s="113"/>
    </row>
    <row r="9816" spans="14:14">
      <c r="N9816" s="113"/>
    </row>
    <row r="9817" spans="14:14">
      <c r="N9817" s="113"/>
    </row>
    <row r="9818" spans="14:14">
      <c r="N9818" s="113"/>
    </row>
    <row r="9819" spans="14:14">
      <c r="N9819" s="113"/>
    </row>
    <row r="9820" spans="14:14">
      <c r="N9820" s="113"/>
    </row>
    <row r="9821" spans="14:14">
      <c r="N9821" s="113"/>
    </row>
    <row r="9822" spans="14:14">
      <c r="N9822" s="113"/>
    </row>
    <row r="9823" spans="14:14">
      <c r="N9823" s="113"/>
    </row>
    <row r="9824" spans="14:14">
      <c r="N9824" s="113"/>
    </row>
    <row r="9825" spans="14:14">
      <c r="N9825" s="113"/>
    </row>
    <row r="9826" spans="14:14">
      <c r="N9826" s="113"/>
    </row>
    <row r="9827" spans="14:14">
      <c r="N9827" s="113"/>
    </row>
    <row r="9828" spans="14:14">
      <c r="N9828" s="113"/>
    </row>
    <row r="9829" spans="14:14">
      <c r="N9829" s="113"/>
    </row>
    <row r="9830" spans="14:14">
      <c r="N9830" s="113"/>
    </row>
    <row r="9831" spans="14:14">
      <c r="N9831" s="113"/>
    </row>
    <row r="9832" spans="14:14">
      <c r="N9832" s="113"/>
    </row>
    <row r="9833" spans="14:14">
      <c r="N9833" s="113"/>
    </row>
    <row r="9834" spans="14:14">
      <c r="N9834" s="113"/>
    </row>
    <row r="9835" spans="14:14">
      <c r="N9835" s="113"/>
    </row>
    <row r="9836" spans="14:14">
      <c r="N9836" s="113"/>
    </row>
    <row r="9837" spans="14:14">
      <c r="N9837" s="113"/>
    </row>
    <row r="9838" spans="14:14">
      <c r="N9838" s="113"/>
    </row>
    <row r="9839" spans="14:14">
      <c r="N9839" s="113"/>
    </row>
    <row r="9840" spans="14:14">
      <c r="N9840" s="113"/>
    </row>
    <row r="9841" spans="14:14">
      <c r="N9841" s="113"/>
    </row>
    <row r="9842" spans="14:14">
      <c r="N9842" s="113"/>
    </row>
    <row r="9843" spans="14:14">
      <c r="N9843" s="113"/>
    </row>
    <row r="9844" spans="14:14">
      <c r="N9844" s="113"/>
    </row>
    <row r="9845" spans="14:14">
      <c r="N9845" s="113"/>
    </row>
    <row r="9846" spans="14:14">
      <c r="N9846" s="113"/>
    </row>
    <row r="9847" spans="14:14">
      <c r="N9847" s="113"/>
    </row>
    <row r="9848" spans="14:14">
      <c r="N9848" s="113"/>
    </row>
    <row r="9849" spans="14:14">
      <c r="N9849" s="113"/>
    </row>
    <row r="9850" spans="14:14">
      <c r="N9850" s="113"/>
    </row>
    <row r="9851" spans="14:14">
      <c r="N9851" s="113"/>
    </row>
    <row r="9852" spans="14:14">
      <c r="N9852" s="113"/>
    </row>
    <row r="9853" spans="14:14">
      <c r="N9853" s="113"/>
    </row>
    <row r="9854" spans="14:14">
      <c r="N9854" s="113"/>
    </row>
    <row r="9855" spans="14:14">
      <c r="N9855" s="113"/>
    </row>
    <row r="9856" spans="14:14">
      <c r="N9856" s="113"/>
    </row>
    <row r="9857" spans="14:14">
      <c r="N9857" s="113"/>
    </row>
    <row r="9858" spans="14:14">
      <c r="N9858" s="113"/>
    </row>
    <row r="9859" spans="14:14">
      <c r="N9859" s="113"/>
    </row>
    <row r="9860" spans="14:14">
      <c r="N9860" s="113"/>
    </row>
    <row r="9861" spans="14:14">
      <c r="N9861" s="113"/>
    </row>
    <row r="9862" spans="14:14">
      <c r="N9862" s="113"/>
    </row>
    <row r="9863" spans="14:14">
      <c r="N9863" s="113"/>
    </row>
    <row r="9864" spans="14:14">
      <c r="N9864" s="113"/>
    </row>
    <row r="9865" spans="14:14">
      <c r="N9865" s="113"/>
    </row>
    <row r="9866" spans="14:14">
      <c r="N9866" s="113"/>
    </row>
    <row r="9867" spans="14:14">
      <c r="N9867" s="113"/>
    </row>
    <row r="9868" spans="14:14">
      <c r="N9868" s="113"/>
    </row>
    <row r="9869" spans="14:14">
      <c r="N9869" s="113"/>
    </row>
    <row r="9870" spans="14:14">
      <c r="N9870" s="113"/>
    </row>
    <row r="9871" spans="14:14">
      <c r="N9871" s="113"/>
    </row>
    <row r="9872" spans="14:14">
      <c r="N9872" s="113"/>
    </row>
    <row r="9873" spans="14:14">
      <c r="N9873" s="113"/>
    </row>
    <row r="9874" spans="14:14">
      <c r="N9874" s="113"/>
    </row>
    <row r="9875" spans="14:14">
      <c r="N9875" s="113"/>
    </row>
    <row r="9876" spans="14:14">
      <c r="N9876" s="113"/>
    </row>
    <row r="9877" spans="14:14">
      <c r="N9877" s="113"/>
    </row>
    <row r="9878" spans="14:14">
      <c r="N9878" s="113"/>
    </row>
    <row r="9879" spans="14:14">
      <c r="N9879" s="113"/>
    </row>
    <row r="9880" spans="14:14">
      <c r="N9880" s="113"/>
    </row>
    <row r="9881" spans="14:14">
      <c r="N9881" s="113"/>
    </row>
    <row r="9882" spans="14:14">
      <c r="N9882" s="113"/>
    </row>
    <row r="9883" spans="14:14">
      <c r="N9883" s="113"/>
    </row>
    <row r="9884" spans="14:14">
      <c r="N9884" s="113"/>
    </row>
    <row r="9885" spans="14:14">
      <c r="N9885" s="113"/>
    </row>
    <row r="9886" spans="14:14">
      <c r="N9886" s="113"/>
    </row>
    <row r="9887" spans="14:14">
      <c r="N9887" s="113"/>
    </row>
    <row r="9888" spans="14:14">
      <c r="N9888" s="113"/>
    </row>
    <row r="9889" spans="14:14">
      <c r="N9889" s="113"/>
    </row>
    <row r="9890" spans="14:14">
      <c r="N9890" s="113"/>
    </row>
    <row r="9891" spans="14:14">
      <c r="N9891" s="113"/>
    </row>
    <row r="9892" spans="14:14">
      <c r="N9892" s="113"/>
    </row>
    <row r="9893" spans="14:14">
      <c r="N9893" s="113"/>
    </row>
    <row r="9894" spans="14:14">
      <c r="N9894" s="113"/>
    </row>
    <row r="9895" spans="14:14">
      <c r="N9895" s="113"/>
    </row>
    <row r="9896" spans="14:14">
      <c r="N9896" s="113"/>
    </row>
    <row r="9897" spans="14:14">
      <c r="N9897" s="113"/>
    </row>
    <row r="9898" spans="14:14">
      <c r="N9898" s="113"/>
    </row>
    <row r="9899" spans="14:14">
      <c r="N9899" s="113"/>
    </row>
    <row r="9900" spans="14:14">
      <c r="N9900" s="113"/>
    </row>
    <row r="9901" spans="14:14">
      <c r="N9901" s="113"/>
    </row>
    <row r="9902" spans="14:14">
      <c r="N9902" s="113"/>
    </row>
    <row r="9903" spans="14:14">
      <c r="N9903" s="113"/>
    </row>
    <row r="9904" spans="14:14">
      <c r="N9904" s="113"/>
    </row>
    <row r="9905" spans="14:14">
      <c r="N9905" s="113"/>
    </row>
    <row r="9906" spans="14:14">
      <c r="N9906" s="113"/>
    </row>
    <row r="9907" spans="14:14">
      <c r="N9907" s="113"/>
    </row>
    <row r="9908" spans="14:14">
      <c r="N9908" s="113"/>
    </row>
    <row r="9909" spans="14:14">
      <c r="N9909" s="113"/>
    </row>
    <row r="9910" spans="14:14">
      <c r="N9910" s="113"/>
    </row>
    <row r="9911" spans="14:14">
      <c r="N9911" s="113"/>
    </row>
    <row r="9912" spans="14:14">
      <c r="N9912" s="113"/>
    </row>
    <row r="9913" spans="14:14">
      <c r="N9913" s="113"/>
    </row>
    <row r="9914" spans="14:14">
      <c r="N9914" s="113"/>
    </row>
    <row r="9915" spans="14:14">
      <c r="N9915" s="113"/>
    </row>
    <row r="9916" spans="14:14">
      <c r="N9916" s="113"/>
    </row>
    <row r="9917" spans="14:14">
      <c r="N9917" s="113"/>
    </row>
    <row r="9918" spans="14:14">
      <c r="N9918" s="113"/>
    </row>
    <row r="9919" spans="14:14">
      <c r="N9919" s="113"/>
    </row>
    <row r="9920" spans="14:14">
      <c r="N9920" s="113"/>
    </row>
    <row r="9921" spans="14:14">
      <c r="N9921" s="113"/>
    </row>
    <row r="9922" spans="14:14">
      <c r="N9922" s="113"/>
    </row>
    <row r="9923" spans="14:14">
      <c r="N9923" s="113"/>
    </row>
    <row r="9924" spans="14:14">
      <c r="N9924" s="113"/>
    </row>
    <row r="9925" spans="14:14">
      <c r="N9925" s="113"/>
    </row>
    <row r="9926" spans="14:14">
      <c r="N9926" s="113"/>
    </row>
    <row r="9927" spans="14:14">
      <c r="N9927" s="113"/>
    </row>
    <row r="9928" spans="14:14">
      <c r="N9928" s="113"/>
    </row>
    <row r="9929" spans="14:14">
      <c r="N9929" s="113"/>
    </row>
    <row r="9930" spans="14:14">
      <c r="N9930" s="113"/>
    </row>
    <row r="9931" spans="14:14">
      <c r="N9931" s="113"/>
    </row>
    <row r="9932" spans="14:14">
      <c r="N9932" s="113"/>
    </row>
    <row r="9933" spans="14:14">
      <c r="N9933" s="113"/>
    </row>
    <row r="9934" spans="14:14">
      <c r="N9934" s="113"/>
    </row>
    <row r="9935" spans="14:14">
      <c r="N9935" s="113"/>
    </row>
    <row r="9936" spans="14:14">
      <c r="N9936" s="113"/>
    </row>
    <row r="9937" spans="14:14">
      <c r="N9937" s="113"/>
    </row>
    <row r="9938" spans="14:14">
      <c r="N9938" s="113"/>
    </row>
    <row r="9939" spans="14:14">
      <c r="N9939" s="113"/>
    </row>
    <row r="9940" spans="14:14">
      <c r="N9940" s="113"/>
    </row>
    <row r="9941" spans="14:14">
      <c r="N9941" s="113"/>
    </row>
    <row r="9942" spans="14:14">
      <c r="N9942" s="113"/>
    </row>
    <row r="9943" spans="14:14">
      <c r="N9943" s="113"/>
    </row>
    <row r="9944" spans="14:14">
      <c r="N9944" s="113"/>
    </row>
    <row r="9945" spans="14:14">
      <c r="N9945" s="113"/>
    </row>
    <row r="9946" spans="14:14">
      <c r="N9946" s="113"/>
    </row>
    <row r="9947" spans="14:14">
      <c r="N9947" s="113"/>
    </row>
    <row r="9948" spans="14:14">
      <c r="N9948" s="113"/>
    </row>
    <row r="9949" spans="14:14">
      <c r="N9949" s="113"/>
    </row>
    <row r="9950" spans="14:14">
      <c r="N9950" s="113"/>
    </row>
    <row r="9951" spans="14:14">
      <c r="N9951" s="113"/>
    </row>
    <row r="9952" spans="14:14">
      <c r="N9952" s="113"/>
    </row>
    <row r="9953" spans="14:14">
      <c r="N9953" s="113"/>
    </row>
    <row r="9954" spans="14:14">
      <c r="N9954" s="113"/>
    </row>
    <row r="9955" spans="14:14">
      <c r="N9955" s="113"/>
    </row>
    <row r="9956" spans="14:14">
      <c r="N9956" s="113"/>
    </row>
    <row r="9957" spans="14:14">
      <c r="N9957" s="113"/>
    </row>
    <row r="9958" spans="14:14">
      <c r="N9958" s="113"/>
    </row>
    <row r="9959" spans="14:14">
      <c r="N9959" s="113"/>
    </row>
    <row r="9960" spans="14:14">
      <c r="N9960" s="113"/>
    </row>
    <row r="9961" spans="14:14">
      <c r="N9961" s="113"/>
    </row>
    <row r="9962" spans="14:14">
      <c r="N9962" s="113"/>
    </row>
    <row r="9963" spans="14:14">
      <c r="N9963" s="113"/>
    </row>
    <row r="9964" spans="14:14">
      <c r="N9964" s="113"/>
    </row>
    <row r="9965" spans="14:14">
      <c r="N9965" s="113"/>
    </row>
    <row r="9966" spans="14:14">
      <c r="N9966" s="113"/>
    </row>
    <row r="9967" spans="14:14">
      <c r="N9967" s="113"/>
    </row>
    <row r="9968" spans="14:14">
      <c r="N9968" s="113"/>
    </row>
    <row r="9969" spans="14:14">
      <c r="N9969" s="113"/>
    </row>
    <row r="9970" spans="14:14">
      <c r="N9970" s="113"/>
    </row>
    <row r="9971" spans="14:14">
      <c r="N9971" s="113"/>
    </row>
    <row r="9972" spans="14:14">
      <c r="N9972" s="113"/>
    </row>
    <row r="9973" spans="14:14">
      <c r="N9973" s="113"/>
    </row>
    <row r="9974" spans="14:14">
      <c r="N9974" s="113"/>
    </row>
    <row r="9975" spans="14:14">
      <c r="N9975" s="113"/>
    </row>
    <row r="9976" spans="14:14">
      <c r="N9976" s="113"/>
    </row>
    <row r="9977" spans="14:14">
      <c r="N9977" s="113"/>
    </row>
    <row r="9978" spans="14:14">
      <c r="N9978" s="113"/>
    </row>
    <row r="9979" spans="14:14">
      <c r="N9979" s="113"/>
    </row>
    <row r="9980" spans="14:14">
      <c r="N9980" s="113"/>
    </row>
    <row r="9981" spans="14:14">
      <c r="N9981" s="113"/>
    </row>
    <row r="9982" spans="14:14">
      <c r="N9982" s="113"/>
    </row>
    <row r="9983" spans="14:14">
      <c r="N9983" s="113"/>
    </row>
    <row r="9984" spans="14:14">
      <c r="N9984" s="113"/>
    </row>
    <row r="9985" spans="14:14">
      <c r="N9985" s="113"/>
    </row>
    <row r="9986" spans="14:14">
      <c r="N9986" s="113"/>
    </row>
    <row r="9987" spans="14:14">
      <c r="N9987" s="113"/>
    </row>
    <row r="9988" spans="14:14">
      <c r="N9988" s="113"/>
    </row>
    <row r="9989" spans="14:14">
      <c r="N9989" s="113"/>
    </row>
    <row r="9990" spans="14:14">
      <c r="N9990" s="113"/>
    </row>
    <row r="9991" spans="14:14">
      <c r="N9991" s="113"/>
    </row>
    <row r="9992" spans="14:14">
      <c r="N9992" s="113"/>
    </row>
    <row r="9993" spans="14:14">
      <c r="N9993" s="113"/>
    </row>
    <row r="9994" spans="14:14">
      <c r="N9994" s="113"/>
    </row>
    <row r="9995" spans="14:14">
      <c r="N9995" s="113"/>
    </row>
    <row r="9996" spans="14:14">
      <c r="N9996" s="113"/>
    </row>
    <row r="9997" spans="14:14">
      <c r="N9997" s="113"/>
    </row>
    <row r="9998" spans="14:14">
      <c r="N9998" s="113"/>
    </row>
    <row r="9999" spans="14:14">
      <c r="N9999" s="113"/>
    </row>
    <row r="10000" spans="14:14">
      <c r="N10000" s="113"/>
    </row>
    <row r="10001" spans="14:14">
      <c r="N10001" s="113"/>
    </row>
    <row r="10002" spans="14:14">
      <c r="N10002" s="113"/>
    </row>
    <row r="10003" spans="14:14">
      <c r="N10003" s="113"/>
    </row>
    <row r="10004" spans="14:14">
      <c r="N10004" s="113"/>
    </row>
    <row r="10005" spans="14:14">
      <c r="N10005" s="113"/>
    </row>
    <row r="10006" spans="14:14">
      <c r="N10006" s="113"/>
    </row>
    <row r="10007" spans="14:14">
      <c r="N10007" s="113"/>
    </row>
    <row r="10008" spans="14:14">
      <c r="N10008" s="113"/>
    </row>
    <row r="10009" spans="14:14">
      <c r="N10009" s="113"/>
    </row>
    <row r="10010" spans="14:14">
      <c r="N10010" s="113"/>
    </row>
    <row r="10011" spans="14:14">
      <c r="N10011" s="113"/>
    </row>
    <row r="10012" spans="14:14">
      <c r="N10012" s="113"/>
    </row>
    <row r="10013" spans="14:14">
      <c r="N10013" s="113"/>
    </row>
    <row r="10014" spans="14:14">
      <c r="N10014" s="113"/>
    </row>
    <row r="10015" spans="14:14">
      <c r="N10015" s="113"/>
    </row>
    <row r="10016" spans="14:14">
      <c r="N10016" s="113"/>
    </row>
    <row r="10017" spans="14:14">
      <c r="N10017" s="113"/>
    </row>
    <row r="10018" spans="14:14">
      <c r="N10018" s="113"/>
    </row>
    <row r="10019" spans="14:14">
      <c r="N10019" s="113"/>
    </row>
    <row r="10020" spans="14:14">
      <c r="N10020" s="113"/>
    </row>
    <row r="10021" spans="14:14">
      <c r="N10021" s="113"/>
    </row>
    <row r="10022" spans="14:14">
      <c r="N10022" s="113"/>
    </row>
    <row r="10023" spans="14:14">
      <c r="N10023" s="113"/>
    </row>
    <row r="10024" spans="14:14">
      <c r="N10024" s="113"/>
    </row>
    <row r="10025" spans="14:14">
      <c r="N10025" s="113"/>
    </row>
    <row r="10026" spans="14:14">
      <c r="N10026" s="113"/>
    </row>
    <row r="10027" spans="14:14">
      <c r="N10027" s="113"/>
    </row>
    <row r="10028" spans="14:14">
      <c r="N10028" s="113"/>
    </row>
    <row r="10029" spans="14:14">
      <c r="N10029" s="113"/>
    </row>
    <row r="10030" spans="14:14">
      <c r="N10030" s="113"/>
    </row>
    <row r="10031" spans="14:14">
      <c r="N10031" s="113"/>
    </row>
    <row r="10032" spans="14:14">
      <c r="N10032" s="113"/>
    </row>
    <row r="10033" spans="14:14">
      <c r="N10033" s="113"/>
    </row>
    <row r="10034" spans="14:14">
      <c r="N10034" s="113"/>
    </row>
    <row r="10035" spans="14:14">
      <c r="N10035" s="113"/>
    </row>
    <row r="10036" spans="14:14">
      <c r="N10036" s="113"/>
    </row>
    <row r="10037" spans="14:14">
      <c r="N10037" s="113"/>
    </row>
    <row r="10038" spans="14:14">
      <c r="N10038" s="113"/>
    </row>
    <row r="10039" spans="14:14">
      <c r="N10039" s="113"/>
    </row>
    <row r="10040" spans="14:14">
      <c r="N10040" s="113"/>
    </row>
    <row r="10041" spans="14:14">
      <c r="N10041" s="113"/>
    </row>
    <row r="10042" spans="14:14">
      <c r="N10042" s="113"/>
    </row>
    <row r="10043" spans="14:14">
      <c r="N10043" s="113"/>
    </row>
    <row r="10044" spans="14:14">
      <c r="N10044" s="113"/>
    </row>
    <row r="10045" spans="14:14">
      <c r="N10045" s="113"/>
    </row>
    <row r="10046" spans="14:14">
      <c r="N10046" s="113"/>
    </row>
    <row r="10047" spans="14:14">
      <c r="N10047" s="113"/>
    </row>
    <row r="10048" spans="14:14">
      <c r="N10048" s="113"/>
    </row>
    <row r="10049" spans="14:14">
      <c r="N10049" s="113"/>
    </row>
    <row r="10050" spans="14:14">
      <c r="N10050" s="113"/>
    </row>
    <row r="10051" spans="14:14">
      <c r="N10051" s="113"/>
    </row>
    <row r="10052" spans="14:14">
      <c r="N10052" s="113"/>
    </row>
    <row r="10053" spans="14:14">
      <c r="N10053" s="113"/>
    </row>
    <row r="10054" spans="14:14">
      <c r="N10054" s="113"/>
    </row>
    <row r="10055" spans="14:14">
      <c r="N10055" s="113"/>
    </row>
    <row r="10056" spans="14:14">
      <c r="N10056" s="113"/>
    </row>
    <row r="10057" spans="14:14">
      <c r="N10057" s="113"/>
    </row>
    <row r="10058" spans="14:14">
      <c r="N10058" s="113"/>
    </row>
    <row r="10059" spans="14:14">
      <c r="N10059" s="113"/>
    </row>
    <row r="10060" spans="14:14">
      <c r="N10060" s="113"/>
    </row>
    <row r="10061" spans="14:14">
      <c r="N10061" s="113"/>
    </row>
    <row r="10062" spans="14:14">
      <c r="N10062" s="113"/>
    </row>
    <row r="10063" spans="14:14">
      <c r="N10063" s="113"/>
    </row>
    <row r="10064" spans="14:14">
      <c r="N10064" s="113"/>
    </row>
    <row r="10065" spans="14:14">
      <c r="N10065" s="113"/>
    </row>
    <row r="10066" spans="14:14">
      <c r="N10066" s="113"/>
    </row>
    <row r="10067" spans="14:14">
      <c r="N10067" s="113"/>
    </row>
    <row r="10068" spans="14:14">
      <c r="N10068" s="113"/>
    </row>
    <row r="10069" spans="14:14">
      <c r="N10069" s="113"/>
    </row>
    <row r="10070" spans="14:14">
      <c r="N10070" s="113"/>
    </row>
    <row r="10071" spans="14:14">
      <c r="N10071" s="113"/>
    </row>
    <row r="10072" spans="14:14">
      <c r="N10072" s="113"/>
    </row>
    <row r="10073" spans="14:14">
      <c r="N10073" s="113"/>
    </row>
    <row r="10074" spans="14:14">
      <c r="N10074" s="113"/>
    </row>
    <row r="10075" spans="14:14">
      <c r="N10075" s="113"/>
    </row>
    <row r="10076" spans="14:14">
      <c r="N10076" s="113"/>
    </row>
    <row r="10077" spans="14:14">
      <c r="N10077" s="113"/>
    </row>
    <row r="10078" spans="14:14">
      <c r="N10078" s="113"/>
    </row>
    <row r="10079" spans="14:14">
      <c r="N10079" s="113"/>
    </row>
    <row r="10080" spans="14:14">
      <c r="N10080" s="113"/>
    </row>
    <row r="10081" spans="14:14">
      <c r="N10081" s="113"/>
    </row>
    <row r="10082" spans="14:14">
      <c r="N10082" s="113"/>
    </row>
    <row r="10083" spans="14:14">
      <c r="N10083" s="113"/>
    </row>
    <row r="10084" spans="14:14">
      <c r="N10084" s="113"/>
    </row>
    <row r="10085" spans="14:14">
      <c r="N10085" s="113"/>
    </row>
    <row r="10086" spans="14:14">
      <c r="N10086" s="113"/>
    </row>
    <row r="10087" spans="14:14">
      <c r="N10087" s="113"/>
    </row>
    <row r="10088" spans="14:14">
      <c r="N10088" s="113"/>
    </row>
    <row r="10089" spans="14:14">
      <c r="N10089" s="113"/>
    </row>
    <row r="10090" spans="14:14">
      <c r="N10090" s="113"/>
    </row>
    <row r="10091" spans="14:14">
      <c r="N10091" s="113"/>
    </row>
    <row r="10092" spans="14:14">
      <c r="N10092" s="113"/>
    </row>
    <row r="10093" spans="14:14">
      <c r="N10093" s="113"/>
    </row>
    <row r="10094" spans="14:14">
      <c r="N10094" s="113"/>
    </row>
    <row r="10095" spans="14:14">
      <c r="N10095" s="113"/>
    </row>
    <row r="10096" spans="14:14">
      <c r="N10096" s="113"/>
    </row>
    <row r="10097" spans="14:14">
      <c r="N10097" s="113"/>
    </row>
    <row r="10098" spans="14:14">
      <c r="N10098" s="113"/>
    </row>
    <row r="10099" spans="14:14">
      <c r="N10099" s="113"/>
    </row>
    <row r="10100" spans="14:14">
      <c r="N10100" s="113"/>
    </row>
    <row r="10101" spans="14:14">
      <c r="N10101" s="113"/>
    </row>
    <row r="10102" spans="14:14">
      <c r="N10102" s="113"/>
    </row>
    <row r="10103" spans="14:14">
      <c r="N10103" s="113"/>
    </row>
    <row r="10104" spans="14:14">
      <c r="N10104" s="113"/>
    </row>
    <row r="10105" spans="14:14">
      <c r="N10105" s="113"/>
    </row>
    <row r="10106" spans="14:14">
      <c r="N10106" s="113"/>
    </row>
    <row r="10107" spans="14:14">
      <c r="N10107" s="113"/>
    </row>
    <row r="10108" spans="14:14">
      <c r="N10108" s="113"/>
    </row>
    <row r="10109" spans="14:14">
      <c r="N10109" s="113"/>
    </row>
    <row r="10110" spans="14:14">
      <c r="N10110" s="113"/>
    </row>
    <row r="10111" spans="14:14">
      <c r="N10111" s="113"/>
    </row>
    <row r="10112" spans="14:14">
      <c r="N10112" s="113"/>
    </row>
    <row r="10113" spans="14:14">
      <c r="N10113" s="113"/>
    </row>
    <row r="10114" spans="14:14">
      <c r="N10114" s="113"/>
    </row>
    <row r="10115" spans="14:14">
      <c r="N10115" s="113"/>
    </row>
    <row r="10116" spans="14:14">
      <c r="N10116" s="113"/>
    </row>
    <row r="10117" spans="14:14">
      <c r="N10117" s="113"/>
    </row>
    <row r="10118" spans="14:14">
      <c r="N10118" s="113"/>
    </row>
    <row r="10119" spans="14:14">
      <c r="N10119" s="113"/>
    </row>
    <row r="10120" spans="14:14">
      <c r="N10120" s="113"/>
    </row>
    <row r="10121" spans="14:14">
      <c r="N10121" s="113"/>
    </row>
    <row r="10122" spans="14:14">
      <c r="N10122" s="113"/>
    </row>
    <row r="10123" spans="14:14">
      <c r="N10123" s="113"/>
    </row>
    <row r="10124" spans="14:14">
      <c r="N10124" s="113"/>
    </row>
    <row r="10125" spans="14:14">
      <c r="N10125" s="113"/>
    </row>
    <row r="10126" spans="14:14">
      <c r="N10126" s="113"/>
    </row>
    <row r="10127" spans="14:14">
      <c r="N10127" s="113"/>
    </row>
    <row r="10128" spans="14:14">
      <c r="N10128" s="113"/>
    </row>
    <row r="10129" spans="14:14">
      <c r="N10129" s="113"/>
    </row>
    <row r="10130" spans="14:14">
      <c r="N10130" s="113"/>
    </row>
    <row r="10131" spans="14:14">
      <c r="N10131" s="113"/>
    </row>
    <row r="10132" spans="14:14">
      <c r="N10132" s="113"/>
    </row>
    <row r="10133" spans="14:14">
      <c r="N10133" s="113"/>
    </row>
    <row r="10134" spans="14:14">
      <c r="N10134" s="113"/>
    </row>
    <row r="10135" spans="14:14">
      <c r="N10135" s="113"/>
    </row>
    <row r="10136" spans="14:14">
      <c r="N10136" s="113"/>
    </row>
    <row r="10137" spans="14:14">
      <c r="N10137" s="113"/>
    </row>
    <row r="10138" spans="14:14">
      <c r="N10138" s="113"/>
    </row>
    <row r="10139" spans="14:14">
      <c r="N10139" s="113"/>
    </row>
    <row r="10140" spans="14:14">
      <c r="N10140" s="113"/>
    </row>
    <row r="10141" spans="14:14">
      <c r="N10141" s="113"/>
    </row>
    <row r="10142" spans="14:14">
      <c r="N10142" s="113"/>
    </row>
    <row r="10143" spans="14:14">
      <c r="N10143" s="113"/>
    </row>
    <row r="10144" spans="14:14">
      <c r="N10144" s="113"/>
    </row>
    <row r="10145" spans="14:14">
      <c r="N10145" s="113"/>
    </row>
    <row r="10146" spans="14:14">
      <c r="N10146" s="113"/>
    </row>
    <row r="10147" spans="14:14">
      <c r="N10147" s="113"/>
    </row>
    <row r="10148" spans="14:14">
      <c r="N10148" s="113"/>
    </row>
    <row r="10149" spans="14:14">
      <c r="N10149" s="113"/>
    </row>
    <row r="10150" spans="14:14">
      <c r="N10150" s="113"/>
    </row>
    <row r="10151" spans="14:14">
      <c r="N10151" s="113"/>
    </row>
    <row r="10152" spans="14:14">
      <c r="N10152" s="113"/>
    </row>
    <row r="10153" spans="14:14">
      <c r="N10153" s="113"/>
    </row>
    <row r="10154" spans="14:14">
      <c r="N10154" s="113"/>
    </row>
    <row r="10155" spans="14:14">
      <c r="N10155" s="113"/>
    </row>
    <row r="10156" spans="14:14">
      <c r="N10156" s="113"/>
    </row>
    <row r="10157" spans="14:14">
      <c r="N10157" s="113"/>
    </row>
    <row r="10158" spans="14:14">
      <c r="N10158" s="113"/>
    </row>
    <row r="10159" spans="14:14">
      <c r="N10159" s="113"/>
    </row>
    <row r="10160" spans="14:14">
      <c r="N10160" s="113"/>
    </row>
    <row r="10161" spans="14:14">
      <c r="N10161" s="113"/>
    </row>
    <row r="10162" spans="14:14">
      <c r="N10162" s="113"/>
    </row>
    <row r="10163" spans="14:14">
      <c r="N10163" s="113"/>
    </row>
    <row r="10164" spans="14:14">
      <c r="N10164" s="113"/>
    </row>
    <row r="10165" spans="14:14">
      <c r="N10165" s="113"/>
    </row>
    <row r="10166" spans="14:14">
      <c r="N10166" s="113"/>
    </row>
    <row r="10167" spans="14:14">
      <c r="N10167" s="113"/>
    </row>
    <row r="10168" spans="14:14">
      <c r="N10168" s="113"/>
    </row>
    <row r="10169" spans="14:14">
      <c r="N10169" s="113"/>
    </row>
    <row r="10170" spans="14:14">
      <c r="N10170" s="113"/>
    </row>
    <row r="10171" spans="14:14">
      <c r="N10171" s="113"/>
    </row>
    <row r="10172" spans="14:14">
      <c r="N10172" s="113"/>
    </row>
    <row r="10173" spans="14:14">
      <c r="N10173" s="113"/>
    </row>
    <row r="10174" spans="14:14">
      <c r="N10174" s="113"/>
    </row>
    <row r="10175" spans="14:14">
      <c r="N10175" s="113"/>
    </row>
    <row r="10176" spans="14:14">
      <c r="N10176" s="113"/>
    </row>
    <row r="10177" spans="14:14">
      <c r="N10177" s="113"/>
    </row>
    <row r="10178" spans="14:14">
      <c r="N10178" s="113"/>
    </row>
    <row r="10179" spans="14:14">
      <c r="N10179" s="113"/>
    </row>
    <row r="10180" spans="14:14">
      <c r="N10180" s="113"/>
    </row>
    <row r="10181" spans="14:14">
      <c r="N10181" s="113"/>
    </row>
    <row r="10182" spans="14:14">
      <c r="N10182" s="113"/>
    </row>
    <row r="10183" spans="14:14">
      <c r="N10183" s="113"/>
    </row>
    <row r="10184" spans="14:14">
      <c r="N10184" s="113"/>
    </row>
    <row r="10185" spans="14:14">
      <c r="N10185" s="113"/>
    </row>
    <row r="10186" spans="14:14">
      <c r="N10186" s="113"/>
    </row>
    <row r="10187" spans="14:14">
      <c r="N10187" s="113"/>
    </row>
    <row r="10188" spans="14:14">
      <c r="N10188" s="113"/>
    </row>
    <row r="10189" spans="14:14">
      <c r="N10189" s="113"/>
    </row>
    <row r="10190" spans="14:14">
      <c r="N10190" s="113"/>
    </row>
    <row r="10191" spans="14:14">
      <c r="N10191" s="113"/>
    </row>
    <row r="10192" spans="14:14">
      <c r="N10192" s="113"/>
    </row>
    <row r="10193" spans="14:14">
      <c r="N10193" s="113"/>
    </row>
    <row r="10194" spans="14:14">
      <c r="N10194" s="113"/>
    </row>
    <row r="10195" spans="14:14">
      <c r="N10195" s="113"/>
    </row>
    <row r="10196" spans="14:14">
      <c r="N10196" s="113"/>
    </row>
    <row r="10197" spans="14:14">
      <c r="N10197" s="113"/>
    </row>
    <row r="10198" spans="14:14">
      <c r="N10198" s="113"/>
    </row>
    <row r="10199" spans="14:14">
      <c r="N10199" s="113"/>
    </row>
    <row r="10200" spans="14:14">
      <c r="N10200" s="113"/>
    </row>
    <row r="10201" spans="14:14">
      <c r="N10201" s="113"/>
    </row>
    <row r="10202" spans="14:14">
      <c r="N10202" s="113"/>
    </row>
    <row r="10203" spans="14:14">
      <c r="N10203" s="113"/>
    </row>
    <row r="10204" spans="14:14">
      <c r="N10204" s="113"/>
    </row>
    <row r="10205" spans="14:14">
      <c r="N10205" s="113"/>
    </row>
    <row r="10206" spans="14:14">
      <c r="N10206" s="113"/>
    </row>
    <row r="10207" spans="14:14">
      <c r="N10207" s="113"/>
    </row>
    <row r="10208" spans="14:14">
      <c r="N10208" s="113"/>
    </row>
    <row r="10209" spans="14:14">
      <c r="N10209" s="113"/>
    </row>
    <row r="10210" spans="14:14">
      <c r="N10210" s="113"/>
    </row>
    <row r="10211" spans="14:14">
      <c r="N10211" s="113"/>
    </row>
    <row r="10212" spans="14:14">
      <c r="N10212" s="113"/>
    </row>
    <row r="10213" spans="14:14">
      <c r="N10213" s="113"/>
    </row>
    <row r="10214" spans="14:14">
      <c r="N10214" s="113"/>
    </row>
    <row r="10215" spans="14:14">
      <c r="N10215" s="113"/>
    </row>
    <row r="10216" spans="14:14">
      <c r="N10216" s="113"/>
    </row>
    <row r="10217" spans="14:14">
      <c r="N10217" s="113"/>
    </row>
    <row r="10218" spans="14:14">
      <c r="N10218" s="113"/>
    </row>
    <row r="10219" spans="14:14">
      <c r="N10219" s="113"/>
    </row>
    <row r="10220" spans="14:14">
      <c r="N10220" s="113"/>
    </row>
    <row r="10221" spans="14:14">
      <c r="N10221" s="113"/>
    </row>
    <row r="10222" spans="14:14">
      <c r="N10222" s="113"/>
    </row>
    <row r="10223" spans="14:14">
      <c r="N10223" s="113"/>
    </row>
    <row r="10224" spans="14:14">
      <c r="N10224" s="113"/>
    </row>
    <row r="10225" spans="14:14">
      <c r="N10225" s="113"/>
    </row>
    <row r="10226" spans="14:14">
      <c r="N10226" s="113"/>
    </row>
    <row r="10227" spans="14:14">
      <c r="N10227" s="113"/>
    </row>
    <row r="10228" spans="14:14">
      <c r="N10228" s="113"/>
    </row>
    <row r="10229" spans="14:14">
      <c r="N10229" s="113"/>
    </row>
    <row r="10230" spans="14:14">
      <c r="N10230" s="113"/>
    </row>
    <row r="10231" spans="14:14">
      <c r="N10231" s="113"/>
    </row>
    <row r="10232" spans="14:14">
      <c r="N10232" s="113"/>
    </row>
    <row r="10233" spans="14:14">
      <c r="N10233" s="113"/>
    </row>
    <row r="10234" spans="14:14">
      <c r="N10234" s="113"/>
    </row>
    <row r="10235" spans="14:14">
      <c r="N10235" s="113"/>
    </row>
    <row r="10236" spans="14:14">
      <c r="N10236" s="113"/>
    </row>
    <row r="10237" spans="14:14">
      <c r="N10237" s="113"/>
    </row>
    <row r="10238" spans="14:14">
      <c r="N10238" s="113"/>
    </row>
    <row r="10239" spans="14:14">
      <c r="N10239" s="113"/>
    </row>
    <row r="10240" spans="14:14">
      <c r="N10240" s="113"/>
    </row>
    <row r="10241" spans="14:14">
      <c r="N10241" s="113"/>
    </row>
    <row r="10242" spans="14:14">
      <c r="N10242" s="113"/>
    </row>
    <row r="10243" spans="14:14">
      <c r="N10243" s="113"/>
    </row>
    <row r="10244" spans="14:14">
      <c r="N10244" s="113"/>
    </row>
    <row r="10245" spans="14:14">
      <c r="N10245" s="113"/>
    </row>
    <row r="10246" spans="14:14">
      <c r="N10246" s="113"/>
    </row>
    <row r="10247" spans="14:14">
      <c r="N10247" s="113"/>
    </row>
    <row r="10248" spans="14:14">
      <c r="N10248" s="113"/>
    </row>
    <row r="10249" spans="14:14">
      <c r="N10249" s="113"/>
    </row>
    <row r="10250" spans="14:14">
      <c r="N10250" s="113"/>
    </row>
    <row r="10251" spans="14:14">
      <c r="N10251" s="113"/>
    </row>
    <row r="10252" spans="14:14">
      <c r="N10252" s="113"/>
    </row>
    <row r="10253" spans="14:14">
      <c r="N10253" s="113"/>
    </row>
    <row r="10254" spans="14:14">
      <c r="N10254" s="113"/>
    </row>
    <row r="10255" spans="14:14">
      <c r="N10255" s="113"/>
    </row>
    <row r="10256" spans="14:14">
      <c r="N10256" s="113"/>
    </row>
    <row r="10257" spans="14:14">
      <c r="N10257" s="113"/>
    </row>
    <row r="10258" spans="14:14">
      <c r="N10258" s="113"/>
    </row>
    <row r="10259" spans="14:14">
      <c r="N10259" s="113"/>
    </row>
    <row r="10260" spans="14:14">
      <c r="N10260" s="113"/>
    </row>
    <row r="10261" spans="14:14">
      <c r="N10261" s="113"/>
    </row>
    <row r="10262" spans="14:14">
      <c r="N10262" s="113"/>
    </row>
    <row r="10263" spans="14:14">
      <c r="N10263" s="113"/>
    </row>
    <row r="10264" spans="14:14">
      <c r="N10264" s="113"/>
    </row>
    <row r="10265" spans="14:14">
      <c r="N10265" s="113"/>
    </row>
    <row r="10266" spans="14:14">
      <c r="N10266" s="113"/>
    </row>
    <row r="10267" spans="14:14">
      <c r="N10267" s="113"/>
    </row>
    <row r="10268" spans="14:14">
      <c r="N10268" s="113"/>
    </row>
    <row r="10269" spans="14:14">
      <c r="N10269" s="113"/>
    </row>
    <row r="10270" spans="14:14">
      <c r="N10270" s="113"/>
    </row>
    <row r="10271" spans="14:14">
      <c r="N10271" s="113"/>
    </row>
    <row r="10272" spans="14:14">
      <c r="N10272" s="113"/>
    </row>
    <row r="10273" spans="14:14">
      <c r="N10273" s="113"/>
    </row>
    <row r="10274" spans="14:14">
      <c r="N10274" s="113"/>
    </row>
    <row r="10275" spans="14:14">
      <c r="N10275" s="113"/>
    </row>
    <row r="10276" spans="14:14">
      <c r="N10276" s="113"/>
    </row>
    <row r="10277" spans="14:14">
      <c r="N10277" s="113"/>
    </row>
    <row r="10278" spans="14:14">
      <c r="N10278" s="113"/>
    </row>
    <row r="10279" spans="14:14">
      <c r="N10279" s="113"/>
    </row>
    <row r="10280" spans="14:14">
      <c r="N10280" s="113"/>
    </row>
    <row r="10281" spans="14:14">
      <c r="N10281" s="113"/>
    </row>
    <row r="10282" spans="14:14">
      <c r="N10282" s="113"/>
    </row>
    <row r="10283" spans="14:14">
      <c r="N10283" s="113"/>
    </row>
    <row r="10284" spans="14:14">
      <c r="N10284" s="113"/>
    </row>
    <row r="10285" spans="14:14">
      <c r="N10285" s="113"/>
    </row>
    <row r="10286" spans="14:14">
      <c r="N10286" s="113"/>
    </row>
    <row r="10287" spans="14:14">
      <c r="N10287" s="113"/>
    </row>
    <row r="10288" spans="14:14">
      <c r="N10288" s="113"/>
    </row>
    <row r="10289" spans="14:14">
      <c r="N10289" s="113"/>
    </row>
    <row r="10290" spans="14:14">
      <c r="N10290" s="113"/>
    </row>
    <row r="10291" spans="14:14">
      <c r="N10291" s="113"/>
    </row>
    <row r="10292" spans="14:14">
      <c r="N10292" s="113"/>
    </row>
    <row r="10293" spans="14:14">
      <c r="N10293" s="113"/>
    </row>
    <row r="10294" spans="14:14">
      <c r="N10294" s="113"/>
    </row>
    <row r="10295" spans="14:14">
      <c r="N10295" s="113"/>
    </row>
    <row r="10296" spans="14:14">
      <c r="N10296" s="113"/>
    </row>
    <row r="10297" spans="14:14">
      <c r="N10297" s="113"/>
    </row>
    <row r="10298" spans="14:14">
      <c r="N10298" s="113"/>
    </row>
    <row r="10299" spans="14:14">
      <c r="N10299" s="113"/>
    </row>
    <row r="10300" spans="14:14">
      <c r="N10300" s="113"/>
    </row>
    <row r="10301" spans="14:14">
      <c r="N10301" s="113"/>
    </row>
    <row r="10302" spans="14:14">
      <c r="N10302" s="113"/>
    </row>
    <row r="10303" spans="14:14">
      <c r="N10303" s="113"/>
    </row>
    <row r="10304" spans="14:14">
      <c r="N10304" s="113"/>
    </row>
    <row r="10305" spans="14:14">
      <c r="N10305" s="113"/>
    </row>
    <row r="10306" spans="14:14">
      <c r="N10306" s="113"/>
    </row>
    <row r="10307" spans="14:14">
      <c r="N10307" s="113"/>
    </row>
    <row r="10308" spans="14:14">
      <c r="N10308" s="113"/>
    </row>
    <row r="10309" spans="14:14">
      <c r="N10309" s="113"/>
    </row>
    <row r="10310" spans="14:14">
      <c r="N10310" s="113"/>
    </row>
    <row r="10311" spans="14:14">
      <c r="N10311" s="113"/>
    </row>
    <row r="10312" spans="14:14">
      <c r="N10312" s="113"/>
    </row>
    <row r="10313" spans="14:14">
      <c r="N10313" s="113"/>
    </row>
    <row r="10314" spans="14:14">
      <c r="N10314" s="113"/>
    </row>
    <row r="10315" spans="14:14">
      <c r="N10315" s="113"/>
    </row>
    <row r="10316" spans="14:14">
      <c r="N10316" s="113"/>
    </row>
    <row r="10317" spans="14:14">
      <c r="N10317" s="113"/>
    </row>
    <row r="10318" spans="14:14">
      <c r="N10318" s="113"/>
    </row>
    <row r="10319" spans="14:14">
      <c r="N10319" s="113"/>
    </row>
    <row r="10320" spans="14:14">
      <c r="N10320" s="113"/>
    </row>
    <row r="10321" spans="14:14">
      <c r="N10321" s="113"/>
    </row>
    <row r="10322" spans="14:14">
      <c r="N10322" s="113"/>
    </row>
    <row r="10323" spans="14:14">
      <c r="N10323" s="113"/>
    </row>
    <row r="10324" spans="14:14">
      <c r="N10324" s="113"/>
    </row>
    <row r="10325" spans="14:14">
      <c r="N10325" s="113"/>
    </row>
    <row r="10326" spans="14:14">
      <c r="N10326" s="113"/>
    </row>
    <row r="10327" spans="14:14">
      <c r="N10327" s="113"/>
    </row>
    <row r="10328" spans="14:14">
      <c r="N10328" s="113"/>
    </row>
    <row r="10329" spans="14:14">
      <c r="N10329" s="113"/>
    </row>
    <row r="10330" spans="14:14">
      <c r="N10330" s="113"/>
    </row>
    <row r="10331" spans="14:14">
      <c r="N10331" s="113"/>
    </row>
    <row r="10332" spans="14:14">
      <c r="N10332" s="113"/>
    </row>
    <row r="10333" spans="14:14">
      <c r="N10333" s="113"/>
    </row>
    <row r="10334" spans="14:14">
      <c r="N10334" s="113"/>
    </row>
    <row r="10335" spans="14:14">
      <c r="N10335" s="113"/>
    </row>
    <row r="10336" spans="14:14">
      <c r="N10336" s="113"/>
    </row>
    <row r="10337" spans="14:14">
      <c r="N10337" s="113"/>
    </row>
    <row r="10338" spans="14:14">
      <c r="N10338" s="113"/>
    </row>
    <row r="10339" spans="14:14">
      <c r="N10339" s="113"/>
    </row>
    <row r="10340" spans="14:14">
      <c r="N10340" s="113"/>
    </row>
    <row r="10341" spans="14:14">
      <c r="N10341" s="113"/>
    </row>
    <row r="10342" spans="14:14">
      <c r="N10342" s="113"/>
    </row>
    <row r="10343" spans="14:14">
      <c r="N10343" s="113"/>
    </row>
    <row r="10344" spans="14:14">
      <c r="N10344" s="113"/>
    </row>
    <row r="10345" spans="14:14">
      <c r="N10345" s="113"/>
    </row>
    <row r="10346" spans="14:14">
      <c r="N10346" s="113"/>
    </row>
    <row r="10347" spans="14:14">
      <c r="N10347" s="113"/>
    </row>
    <row r="10348" spans="14:14">
      <c r="N10348" s="113"/>
    </row>
    <row r="10349" spans="14:14">
      <c r="N10349" s="113"/>
    </row>
    <row r="10350" spans="14:14">
      <c r="N10350" s="113"/>
    </row>
    <row r="10351" spans="14:14">
      <c r="N10351" s="113"/>
    </row>
    <row r="10352" spans="14:14">
      <c r="N10352" s="113"/>
    </row>
    <row r="10353" spans="14:14">
      <c r="N10353" s="113"/>
    </row>
    <row r="10354" spans="14:14">
      <c r="N10354" s="113"/>
    </row>
    <row r="10355" spans="14:14">
      <c r="N10355" s="113"/>
    </row>
    <row r="10356" spans="14:14">
      <c r="N10356" s="113"/>
    </row>
    <row r="10357" spans="14:14">
      <c r="N10357" s="113"/>
    </row>
    <row r="10358" spans="14:14">
      <c r="N10358" s="113"/>
    </row>
    <row r="10359" spans="14:14">
      <c r="N10359" s="113"/>
    </row>
    <row r="10360" spans="14:14">
      <c r="N10360" s="113"/>
    </row>
    <row r="10361" spans="14:14">
      <c r="N10361" s="113"/>
    </row>
    <row r="10362" spans="14:14">
      <c r="N10362" s="113"/>
    </row>
    <row r="10363" spans="14:14">
      <c r="N10363" s="113"/>
    </row>
    <row r="10364" spans="14:14">
      <c r="N10364" s="113"/>
    </row>
    <row r="10365" spans="14:14">
      <c r="N10365" s="113"/>
    </row>
    <row r="10366" spans="14:14">
      <c r="N10366" s="113"/>
    </row>
    <row r="10367" spans="14:14">
      <c r="N10367" s="113"/>
    </row>
    <row r="10368" spans="14:14">
      <c r="N10368" s="113"/>
    </row>
    <row r="10369" spans="14:14">
      <c r="N10369" s="113"/>
    </row>
    <row r="10370" spans="14:14">
      <c r="N10370" s="113"/>
    </row>
    <row r="10371" spans="14:14">
      <c r="N10371" s="113"/>
    </row>
    <row r="10372" spans="14:14">
      <c r="N10372" s="113"/>
    </row>
    <row r="10373" spans="14:14">
      <c r="N10373" s="113"/>
    </row>
    <row r="10374" spans="14:14">
      <c r="N10374" s="113"/>
    </row>
    <row r="10375" spans="14:14">
      <c r="N10375" s="113"/>
    </row>
    <row r="10376" spans="14:14">
      <c r="N10376" s="113"/>
    </row>
    <row r="10377" spans="14:14">
      <c r="N10377" s="113"/>
    </row>
    <row r="10378" spans="14:14">
      <c r="N10378" s="113"/>
    </row>
    <row r="10379" spans="14:14">
      <c r="N10379" s="113"/>
    </row>
    <row r="10380" spans="14:14">
      <c r="N10380" s="113"/>
    </row>
    <row r="10381" spans="14:14">
      <c r="N10381" s="113"/>
    </row>
    <row r="10382" spans="14:14">
      <c r="N10382" s="113"/>
    </row>
    <row r="10383" spans="14:14">
      <c r="N10383" s="113"/>
    </row>
    <row r="10384" spans="14:14">
      <c r="N10384" s="113"/>
    </row>
    <row r="10385" spans="14:14">
      <c r="N10385" s="113"/>
    </row>
    <row r="10386" spans="14:14">
      <c r="N10386" s="113"/>
    </row>
    <row r="10387" spans="14:14">
      <c r="N10387" s="113"/>
    </row>
    <row r="10388" spans="14:14">
      <c r="N10388" s="113"/>
    </row>
    <row r="10389" spans="14:14">
      <c r="N10389" s="113"/>
    </row>
    <row r="10390" spans="14:14">
      <c r="N10390" s="113"/>
    </row>
    <row r="10391" spans="14:14">
      <c r="N10391" s="113"/>
    </row>
    <row r="10392" spans="14:14">
      <c r="N10392" s="113"/>
    </row>
    <row r="10393" spans="14:14">
      <c r="N10393" s="113"/>
    </row>
    <row r="10394" spans="14:14">
      <c r="N10394" s="113"/>
    </row>
    <row r="10395" spans="14:14">
      <c r="N10395" s="113"/>
    </row>
    <row r="10396" spans="14:14">
      <c r="N10396" s="113"/>
    </row>
    <row r="10397" spans="14:14">
      <c r="N10397" s="113"/>
    </row>
    <row r="10398" spans="14:14">
      <c r="N10398" s="113"/>
    </row>
    <row r="10399" spans="14:14">
      <c r="N10399" s="113"/>
    </row>
    <row r="10400" spans="14:14">
      <c r="N10400" s="113"/>
    </row>
    <row r="10401" spans="14:14">
      <c r="N10401" s="113"/>
    </row>
    <row r="10402" spans="14:14">
      <c r="N10402" s="113"/>
    </row>
    <row r="10403" spans="14:14">
      <c r="N10403" s="113"/>
    </row>
    <row r="10404" spans="14:14">
      <c r="N10404" s="113"/>
    </row>
    <row r="10405" spans="14:14">
      <c r="N10405" s="113"/>
    </row>
    <row r="10406" spans="14:14">
      <c r="N10406" s="113"/>
    </row>
    <row r="10407" spans="14:14">
      <c r="N10407" s="113"/>
    </row>
    <row r="10408" spans="14:14">
      <c r="N10408" s="113"/>
    </row>
    <row r="10409" spans="14:14">
      <c r="N10409" s="113"/>
    </row>
    <row r="10410" spans="14:14">
      <c r="N10410" s="113"/>
    </row>
    <row r="10411" spans="14:14">
      <c r="N10411" s="113"/>
    </row>
    <row r="10412" spans="14:14">
      <c r="N10412" s="113"/>
    </row>
    <row r="10413" spans="14:14">
      <c r="N10413" s="113"/>
    </row>
    <row r="10414" spans="14:14">
      <c r="N10414" s="113"/>
    </row>
    <row r="10415" spans="14:14">
      <c r="N10415" s="113"/>
    </row>
    <row r="10416" spans="14:14">
      <c r="N10416" s="113"/>
    </row>
    <row r="10417" spans="14:14">
      <c r="N10417" s="113"/>
    </row>
    <row r="10418" spans="14:14">
      <c r="N10418" s="113"/>
    </row>
    <row r="10419" spans="14:14">
      <c r="N10419" s="113"/>
    </row>
    <row r="10420" spans="14:14">
      <c r="N10420" s="113"/>
    </row>
    <row r="10421" spans="14:14">
      <c r="N10421" s="113"/>
    </row>
    <row r="10422" spans="14:14">
      <c r="N10422" s="113"/>
    </row>
    <row r="10423" spans="14:14">
      <c r="N10423" s="113"/>
    </row>
    <row r="10424" spans="14:14">
      <c r="N10424" s="113"/>
    </row>
    <row r="10425" spans="14:14">
      <c r="N10425" s="113"/>
    </row>
    <row r="10426" spans="14:14">
      <c r="N10426" s="113"/>
    </row>
    <row r="10427" spans="14:14">
      <c r="N10427" s="113"/>
    </row>
    <row r="10428" spans="14:14">
      <c r="N10428" s="113"/>
    </row>
    <row r="10429" spans="14:14">
      <c r="N10429" s="113"/>
    </row>
    <row r="10430" spans="14:14">
      <c r="N10430" s="113"/>
    </row>
    <row r="10431" spans="14:14">
      <c r="N10431" s="113"/>
    </row>
    <row r="10432" spans="14:14">
      <c r="N10432" s="113"/>
    </row>
    <row r="10433" spans="14:14">
      <c r="N10433" s="113"/>
    </row>
    <row r="10434" spans="14:14">
      <c r="N10434" s="113"/>
    </row>
    <row r="10435" spans="14:14">
      <c r="N10435" s="113"/>
    </row>
    <row r="10436" spans="14:14">
      <c r="N10436" s="113"/>
    </row>
    <row r="10437" spans="14:14">
      <c r="N10437" s="113"/>
    </row>
    <row r="10438" spans="14:14">
      <c r="N10438" s="113"/>
    </row>
    <row r="10439" spans="14:14">
      <c r="N10439" s="113"/>
    </row>
    <row r="10440" spans="14:14">
      <c r="N10440" s="113"/>
    </row>
    <row r="10441" spans="14:14">
      <c r="N10441" s="113"/>
    </row>
    <row r="10442" spans="14:14">
      <c r="N10442" s="113"/>
    </row>
    <row r="10443" spans="14:14">
      <c r="N10443" s="113"/>
    </row>
    <row r="10444" spans="14:14">
      <c r="N10444" s="113"/>
    </row>
    <row r="10445" spans="14:14">
      <c r="N10445" s="113"/>
    </row>
    <row r="10446" spans="14:14">
      <c r="N10446" s="113"/>
    </row>
    <row r="10447" spans="14:14">
      <c r="N10447" s="113"/>
    </row>
    <row r="10448" spans="14:14">
      <c r="N10448" s="113"/>
    </row>
    <row r="10449" spans="14:14">
      <c r="N10449" s="113"/>
    </row>
    <row r="10450" spans="14:14">
      <c r="N10450" s="113"/>
    </row>
    <row r="10451" spans="14:14">
      <c r="N10451" s="113"/>
    </row>
    <row r="10452" spans="14:14">
      <c r="N10452" s="113"/>
    </row>
    <row r="10453" spans="14:14">
      <c r="N10453" s="113"/>
    </row>
    <row r="10454" spans="14:14">
      <c r="N10454" s="113"/>
    </row>
    <row r="10455" spans="14:14">
      <c r="N10455" s="113"/>
    </row>
    <row r="10456" spans="14:14">
      <c r="N10456" s="113"/>
    </row>
    <row r="10457" spans="14:14">
      <c r="N10457" s="113"/>
    </row>
    <row r="10458" spans="14:14">
      <c r="N10458" s="113"/>
    </row>
    <row r="10459" spans="14:14">
      <c r="N10459" s="113"/>
    </row>
    <row r="10460" spans="14:14">
      <c r="N10460" s="113"/>
    </row>
    <row r="10461" spans="14:14">
      <c r="N10461" s="113"/>
    </row>
    <row r="10462" spans="14:14">
      <c r="N10462" s="113"/>
    </row>
    <row r="10463" spans="14:14">
      <c r="N10463" s="113"/>
    </row>
    <row r="10464" spans="14:14">
      <c r="N10464" s="113"/>
    </row>
    <row r="10465" spans="14:14">
      <c r="N10465" s="113"/>
    </row>
    <row r="10466" spans="14:14">
      <c r="N10466" s="113"/>
    </row>
    <row r="10467" spans="14:14">
      <c r="N10467" s="113"/>
    </row>
    <row r="10468" spans="14:14">
      <c r="N10468" s="113"/>
    </row>
    <row r="10469" spans="14:14">
      <c r="N10469" s="113"/>
    </row>
    <row r="10470" spans="14:14">
      <c r="N10470" s="113"/>
    </row>
    <row r="10471" spans="14:14">
      <c r="N10471" s="113"/>
    </row>
    <row r="10472" spans="14:14">
      <c r="N10472" s="113"/>
    </row>
    <row r="10473" spans="14:14">
      <c r="N10473" s="113"/>
    </row>
    <row r="10474" spans="14:14">
      <c r="N10474" s="113"/>
    </row>
    <row r="10475" spans="14:14">
      <c r="N10475" s="113"/>
    </row>
    <row r="10476" spans="14:14">
      <c r="N10476" s="113"/>
    </row>
    <row r="10477" spans="14:14">
      <c r="N10477" s="113"/>
    </row>
    <row r="10478" spans="14:14">
      <c r="N10478" s="113"/>
    </row>
    <row r="10479" spans="14:14">
      <c r="N10479" s="113"/>
    </row>
    <row r="10480" spans="14:14">
      <c r="N10480" s="113"/>
    </row>
    <row r="10481" spans="14:14">
      <c r="N10481" s="113"/>
    </row>
    <row r="10482" spans="14:14">
      <c r="N10482" s="113"/>
    </row>
    <row r="10483" spans="14:14">
      <c r="N10483" s="113"/>
    </row>
    <row r="10484" spans="14:14">
      <c r="N10484" s="113"/>
    </row>
    <row r="10485" spans="14:14">
      <c r="N10485" s="113"/>
    </row>
    <row r="10486" spans="14:14">
      <c r="N10486" s="113"/>
    </row>
    <row r="10487" spans="14:14">
      <c r="N10487" s="113"/>
    </row>
    <row r="10488" spans="14:14">
      <c r="N10488" s="113"/>
    </row>
    <row r="10489" spans="14:14">
      <c r="N10489" s="113"/>
    </row>
    <row r="10490" spans="14:14">
      <c r="N10490" s="113"/>
    </row>
    <row r="10491" spans="14:14">
      <c r="N10491" s="113"/>
    </row>
    <row r="10492" spans="14:14">
      <c r="N10492" s="113"/>
    </row>
    <row r="10493" spans="14:14">
      <c r="N10493" s="113"/>
    </row>
    <row r="10494" spans="14:14">
      <c r="N10494" s="113"/>
    </row>
    <row r="10495" spans="14:14">
      <c r="N10495" s="113"/>
    </row>
    <row r="10496" spans="14:14">
      <c r="N10496" s="113"/>
    </row>
    <row r="10497" spans="14:14">
      <c r="N10497" s="113"/>
    </row>
    <row r="10498" spans="14:14">
      <c r="N10498" s="113"/>
    </row>
    <row r="10499" spans="14:14">
      <c r="N10499" s="113"/>
    </row>
    <row r="10500" spans="14:14">
      <c r="N10500" s="113"/>
    </row>
    <row r="10501" spans="14:14">
      <c r="N10501" s="113"/>
    </row>
    <row r="10502" spans="14:14">
      <c r="N10502" s="113"/>
    </row>
    <row r="10503" spans="14:14">
      <c r="N10503" s="113"/>
    </row>
    <row r="10504" spans="14:14">
      <c r="N10504" s="113"/>
    </row>
    <row r="10505" spans="14:14">
      <c r="N10505" s="113"/>
    </row>
    <row r="10506" spans="14:14">
      <c r="N10506" s="113"/>
    </row>
    <row r="10507" spans="14:14">
      <c r="N10507" s="113"/>
    </row>
    <row r="10508" spans="14:14">
      <c r="N10508" s="113"/>
    </row>
    <row r="10509" spans="14:14">
      <c r="N10509" s="113"/>
    </row>
    <row r="10510" spans="14:14">
      <c r="N10510" s="113"/>
    </row>
    <row r="10511" spans="14:14">
      <c r="N10511" s="113"/>
    </row>
    <row r="10512" spans="14:14">
      <c r="N10512" s="113"/>
    </row>
    <row r="10513" spans="14:14">
      <c r="N10513" s="113"/>
    </row>
    <row r="10514" spans="14:14">
      <c r="N10514" s="113"/>
    </row>
    <row r="10515" spans="14:14">
      <c r="N10515" s="113"/>
    </row>
    <row r="10516" spans="14:14">
      <c r="N10516" s="113"/>
    </row>
    <row r="10517" spans="14:14">
      <c r="N10517" s="113"/>
    </row>
    <row r="10518" spans="14:14">
      <c r="N10518" s="113"/>
    </row>
    <row r="10519" spans="14:14">
      <c r="N10519" s="113"/>
    </row>
    <row r="10520" spans="14:14">
      <c r="N10520" s="113"/>
    </row>
    <row r="10521" spans="14:14">
      <c r="N10521" s="113"/>
    </row>
    <row r="10522" spans="14:14">
      <c r="N10522" s="113"/>
    </row>
    <row r="10523" spans="14:14">
      <c r="N10523" s="113"/>
    </row>
    <row r="10524" spans="14:14">
      <c r="N10524" s="113"/>
    </row>
    <row r="10525" spans="14:14">
      <c r="N10525" s="113"/>
    </row>
    <row r="10526" spans="14:14">
      <c r="N10526" s="113"/>
    </row>
    <row r="10527" spans="14:14">
      <c r="N10527" s="113"/>
    </row>
    <row r="10528" spans="14:14">
      <c r="N10528" s="113"/>
    </row>
    <row r="10529" spans="14:14">
      <c r="N10529" s="113"/>
    </row>
    <row r="10530" spans="14:14">
      <c r="N10530" s="113"/>
    </row>
    <row r="10531" spans="14:14">
      <c r="N10531" s="113"/>
    </row>
    <row r="10532" spans="14:14">
      <c r="N10532" s="113"/>
    </row>
    <row r="10533" spans="14:14">
      <c r="N10533" s="113"/>
    </row>
    <row r="10534" spans="14:14">
      <c r="N10534" s="113"/>
    </row>
    <row r="10535" spans="14:14">
      <c r="N10535" s="113"/>
    </row>
    <row r="10536" spans="14:14">
      <c r="N10536" s="113"/>
    </row>
    <row r="10537" spans="14:14">
      <c r="N10537" s="113"/>
    </row>
    <row r="10538" spans="14:14">
      <c r="N10538" s="113"/>
    </row>
    <row r="10539" spans="14:14">
      <c r="N10539" s="113"/>
    </row>
    <row r="10540" spans="14:14">
      <c r="N10540" s="113"/>
    </row>
    <row r="10541" spans="14:14">
      <c r="N10541" s="113"/>
    </row>
    <row r="10542" spans="14:14">
      <c r="N10542" s="113"/>
    </row>
    <row r="10543" spans="14:14">
      <c r="N10543" s="113"/>
    </row>
    <row r="10544" spans="14:14">
      <c r="N10544" s="113"/>
    </row>
    <row r="10545" spans="14:14">
      <c r="N10545" s="113"/>
    </row>
    <row r="10546" spans="14:14">
      <c r="N10546" s="113"/>
    </row>
    <row r="10547" spans="14:14">
      <c r="N10547" s="113"/>
    </row>
    <row r="10548" spans="14:14">
      <c r="N10548" s="113"/>
    </row>
    <row r="10549" spans="14:14">
      <c r="N10549" s="113"/>
    </row>
    <row r="10550" spans="14:14">
      <c r="N10550" s="113"/>
    </row>
    <row r="10551" spans="14:14">
      <c r="N10551" s="113"/>
    </row>
    <row r="10552" spans="14:14">
      <c r="N10552" s="113"/>
    </row>
    <row r="10553" spans="14:14">
      <c r="N10553" s="113"/>
    </row>
    <row r="10554" spans="14:14">
      <c r="N10554" s="113"/>
    </row>
    <row r="10555" spans="14:14">
      <c r="N10555" s="113"/>
    </row>
    <row r="10556" spans="14:14">
      <c r="N10556" s="113"/>
    </row>
    <row r="10557" spans="14:14">
      <c r="N10557" s="113"/>
    </row>
    <row r="10558" spans="14:14">
      <c r="N10558" s="113"/>
    </row>
    <row r="10559" spans="14:14">
      <c r="N10559" s="113"/>
    </row>
    <row r="10560" spans="14:14">
      <c r="N10560" s="113"/>
    </row>
    <row r="10561" spans="14:14">
      <c r="N10561" s="113"/>
    </row>
    <row r="10562" spans="14:14">
      <c r="N10562" s="113"/>
    </row>
    <row r="10563" spans="14:14">
      <c r="N10563" s="113"/>
    </row>
    <row r="10564" spans="14:14">
      <c r="N10564" s="113"/>
    </row>
    <row r="10565" spans="14:14">
      <c r="N10565" s="113"/>
    </row>
    <row r="10566" spans="14:14">
      <c r="N10566" s="113"/>
    </row>
    <row r="10567" spans="14:14">
      <c r="N10567" s="113"/>
    </row>
    <row r="10568" spans="14:14">
      <c r="N10568" s="113"/>
    </row>
    <row r="10569" spans="14:14">
      <c r="N10569" s="113"/>
    </row>
    <row r="10570" spans="14:14">
      <c r="N10570" s="113"/>
    </row>
    <row r="10571" spans="14:14">
      <c r="N10571" s="113"/>
    </row>
    <row r="10572" spans="14:14">
      <c r="N10572" s="113"/>
    </row>
    <row r="10573" spans="14:14">
      <c r="N10573" s="113"/>
    </row>
    <row r="10574" spans="14:14">
      <c r="N10574" s="113"/>
    </row>
    <row r="10575" spans="14:14">
      <c r="N10575" s="113"/>
    </row>
    <row r="10576" spans="14:14">
      <c r="N10576" s="113"/>
    </row>
    <row r="10577" spans="14:14">
      <c r="N10577" s="113"/>
    </row>
    <row r="10578" spans="14:14">
      <c r="N10578" s="113"/>
    </row>
    <row r="10579" spans="14:14">
      <c r="N10579" s="113"/>
    </row>
    <row r="10580" spans="14:14">
      <c r="N10580" s="113"/>
    </row>
    <row r="10581" spans="14:14">
      <c r="N10581" s="113"/>
    </row>
    <row r="10582" spans="14:14">
      <c r="N10582" s="113"/>
    </row>
    <row r="10583" spans="14:14">
      <c r="N10583" s="113"/>
    </row>
    <row r="10584" spans="14:14">
      <c r="N10584" s="113"/>
    </row>
    <row r="10585" spans="14:14">
      <c r="N10585" s="113"/>
    </row>
    <row r="10586" spans="14:14">
      <c r="N10586" s="113"/>
    </row>
    <row r="10587" spans="14:14">
      <c r="N10587" s="113"/>
    </row>
    <row r="10588" spans="14:14">
      <c r="N10588" s="113"/>
    </row>
    <row r="10589" spans="14:14">
      <c r="N10589" s="113"/>
    </row>
    <row r="10590" spans="14:14">
      <c r="N10590" s="113"/>
    </row>
    <row r="10591" spans="14:14">
      <c r="N10591" s="113"/>
    </row>
    <row r="10592" spans="14:14">
      <c r="N10592" s="113"/>
    </row>
    <row r="10593" spans="14:14">
      <c r="N10593" s="113"/>
    </row>
    <row r="10594" spans="14:14">
      <c r="N10594" s="113"/>
    </row>
    <row r="10595" spans="14:14">
      <c r="N10595" s="113"/>
    </row>
    <row r="10596" spans="14:14">
      <c r="N10596" s="113"/>
    </row>
    <row r="10597" spans="14:14">
      <c r="N10597" s="113"/>
    </row>
    <row r="10598" spans="14:14">
      <c r="N10598" s="113"/>
    </row>
    <row r="10599" spans="14:14">
      <c r="N10599" s="113"/>
    </row>
    <row r="10600" spans="14:14">
      <c r="N10600" s="113"/>
    </row>
    <row r="10601" spans="14:14">
      <c r="N10601" s="113"/>
    </row>
    <row r="10602" spans="14:14">
      <c r="N10602" s="113"/>
    </row>
    <row r="10603" spans="14:14">
      <c r="N10603" s="113"/>
    </row>
    <row r="10604" spans="14:14">
      <c r="N10604" s="113"/>
    </row>
    <row r="10605" spans="14:14">
      <c r="N10605" s="113"/>
    </row>
    <row r="10606" spans="14:14">
      <c r="N10606" s="113"/>
    </row>
    <row r="10607" spans="14:14">
      <c r="N10607" s="113"/>
    </row>
    <row r="10608" spans="14:14">
      <c r="N10608" s="113"/>
    </row>
    <row r="10609" spans="14:14">
      <c r="N10609" s="113"/>
    </row>
    <row r="10610" spans="14:14">
      <c r="N10610" s="113"/>
    </row>
    <row r="10611" spans="14:14">
      <c r="N10611" s="113"/>
    </row>
    <row r="10612" spans="14:14">
      <c r="N10612" s="113"/>
    </row>
    <row r="10613" spans="14:14">
      <c r="N10613" s="113"/>
    </row>
    <row r="10614" spans="14:14">
      <c r="N10614" s="113"/>
    </row>
    <row r="10615" spans="14:14">
      <c r="N10615" s="113"/>
    </row>
    <row r="10616" spans="14:14">
      <c r="N10616" s="113"/>
    </row>
    <row r="10617" spans="14:14">
      <c r="N10617" s="113"/>
    </row>
    <row r="10618" spans="14:14">
      <c r="N10618" s="113"/>
    </row>
    <row r="10619" spans="14:14">
      <c r="N10619" s="113"/>
    </row>
    <row r="10620" spans="14:14">
      <c r="N10620" s="113"/>
    </row>
    <row r="10621" spans="14:14">
      <c r="N10621" s="113"/>
    </row>
    <row r="10622" spans="14:14">
      <c r="N10622" s="113"/>
    </row>
    <row r="10623" spans="14:14">
      <c r="N10623" s="113"/>
    </row>
    <row r="10624" spans="14:14">
      <c r="N10624" s="113"/>
    </row>
    <row r="10625" spans="14:14">
      <c r="N10625" s="113"/>
    </row>
    <row r="10626" spans="14:14">
      <c r="N10626" s="113"/>
    </row>
    <row r="10627" spans="14:14">
      <c r="N10627" s="113"/>
    </row>
    <row r="10628" spans="14:14">
      <c r="N10628" s="113"/>
    </row>
    <row r="10629" spans="14:14">
      <c r="N10629" s="113"/>
    </row>
    <row r="10630" spans="14:14">
      <c r="N10630" s="113"/>
    </row>
    <row r="10631" spans="14:14">
      <c r="N10631" s="113"/>
    </row>
    <row r="10632" spans="14:14">
      <c r="N10632" s="113"/>
    </row>
    <row r="10633" spans="14:14">
      <c r="N10633" s="113"/>
    </row>
    <row r="10634" spans="14:14">
      <c r="N10634" s="113"/>
    </row>
    <row r="10635" spans="14:14">
      <c r="N10635" s="113"/>
    </row>
    <row r="10636" spans="14:14">
      <c r="N10636" s="113"/>
    </row>
    <row r="10637" spans="14:14">
      <c r="N10637" s="113"/>
    </row>
    <row r="10638" spans="14:14">
      <c r="N10638" s="113"/>
    </row>
    <row r="10639" spans="14:14">
      <c r="N10639" s="113"/>
    </row>
    <row r="10640" spans="14:14">
      <c r="N10640" s="113"/>
    </row>
    <row r="10641" spans="14:14">
      <c r="N10641" s="113"/>
    </row>
    <row r="10642" spans="14:14">
      <c r="N10642" s="113"/>
    </row>
    <row r="10643" spans="14:14">
      <c r="N10643" s="113"/>
    </row>
    <row r="10644" spans="14:14">
      <c r="N10644" s="113"/>
    </row>
    <row r="10645" spans="14:14">
      <c r="N10645" s="113"/>
    </row>
    <row r="10646" spans="14:14">
      <c r="N10646" s="113"/>
    </row>
    <row r="10647" spans="14:14">
      <c r="N10647" s="113"/>
    </row>
    <row r="10648" spans="14:14">
      <c r="N10648" s="113"/>
    </row>
    <row r="10649" spans="14:14">
      <c r="N10649" s="113"/>
    </row>
    <row r="10650" spans="14:14">
      <c r="N10650" s="113"/>
    </row>
    <row r="10651" spans="14:14">
      <c r="N10651" s="113"/>
    </row>
    <row r="10652" spans="14:14">
      <c r="N10652" s="113"/>
    </row>
    <row r="10653" spans="14:14">
      <c r="N10653" s="113"/>
    </row>
    <row r="10654" spans="14:14">
      <c r="N10654" s="113"/>
    </row>
    <row r="10655" spans="14:14">
      <c r="N10655" s="113"/>
    </row>
    <row r="10656" spans="14:14">
      <c r="N10656" s="113"/>
    </row>
    <row r="10657" spans="14:14">
      <c r="N10657" s="113"/>
    </row>
    <row r="10658" spans="14:14">
      <c r="N10658" s="113"/>
    </row>
    <row r="10659" spans="14:14">
      <c r="N10659" s="113"/>
    </row>
    <row r="10660" spans="14:14">
      <c r="N10660" s="113"/>
    </row>
    <row r="10661" spans="14:14">
      <c r="N10661" s="113"/>
    </row>
    <row r="10662" spans="14:14">
      <c r="N10662" s="113"/>
    </row>
    <row r="10663" spans="14:14">
      <c r="N10663" s="113"/>
    </row>
    <row r="10664" spans="14:14">
      <c r="N10664" s="113"/>
    </row>
    <row r="10665" spans="14:14">
      <c r="N10665" s="113"/>
    </row>
    <row r="10666" spans="14:14">
      <c r="N10666" s="113"/>
    </row>
    <row r="10667" spans="14:14">
      <c r="N10667" s="113"/>
    </row>
    <row r="10668" spans="14:14">
      <c r="N10668" s="113"/>
    </row>
    <row r="10669" spans="14:14">
      <c r="N10669" s="113"/>
    </row>
    <row r="10670" spans="14:14">
      <c r="N10670" s="113"/>
    </row>
    <row r="10671" spans="14:14">
      <c r="N10671" s="113"/>
    </row>
    <row r="10672" spans="14:14">
      <c r="N10672" s="113"/>
    </row>
    <row r="10673" spans="14:14">
      <c r="N10673" s="113"/>
    </row>
    <row r="10674" spans="14:14">
      <c r="N10674" s="113"/>
    </row>
    <row r="10675" spans="14:14">
      <c r="N10675" s="113"/>
    </row>
    <row r="10676" spans="14:14">
      <c r="N10676" s="113"/>
    </row>
    <row r="10677" spans="14:14">
      <c r="N10677" s="113"/>
    </row>
    <row r="10678" spans="14:14">
      <c r="N10678" s="113"/>
    </row>
    <row r="10679" spans="14:14">
      <c r="N10679" s="113"/>
    </row>
    <row r="10680" spans="14:14">
      <c r="N10680" s="113"/>
    </row>
    <row r="10681" spans="14:14">
      <c r="N10681" s="113"/>
    </row>
    <row r="10682" spans="14:14">
      <c r="N10682" s="113"/>
    </row>
    <row r="10683" spans="14:14">
      <c r="N10683" s="113"/>
    </row>
    <row r="10684" spans="14:14">
      <c r="N10684" s="113"/>
    </row>
    <row r="10685" spans="14:14">
      <c r="N10685" s="113"/>
    </row>
    <row r="10686" spans="14:14">
      <c r="N10686" s="113"/>
    </row>
    <row r="10687" spans="14:14">
      <c r="N10687" s="113"/>
    </row>
    <row r="10688" spans="14:14">
      <c r="N10688" s="113"/>
    </row>
    <row r="10689" spans="14:14">
      <c r="N10689" s="113"/>
    </row>
    <row r="10690" spans="14:14">
      <c r="N10690" s="113"/>
    </row>
    <row r="10691" spans="14:14">
      <c r="N10691" s="113"/>
    </row>
    <row r="10692" spans="14:14">
      <c r="N10692" s="113"/>
    </row>
    <row r="10693" spans="14:14">
      <c r="N10693" s="113"/>
    </row>
    <row r="10694" spans="14:14">
      <c r="N10694" s="113"/>
    </row>
    <row r="10695" spans="14:14">
      <c r="N10695" s="113"/>
    </row>
    <row r="10696" spans="14:14">
      <c r="N10696" s="113"/>
    </row>
    <row r="10697" spans="14:14">
      <c r="N10697" s="113"/>
    </row>
    <row r="10698" spans="14:14">
      <c r="N10698" s="113"/>
    </row>
    <row r="10699" spans="14:14">
      <c r="N10699" s="113"/>
    </row>
    <row r="10700" spans="14:14">
      <c r="N10700" s="113"/>
    </row>
    <row r="10701" spans="14:14">
      <c r="N10701" s="113"/>
    </row>
    <row r="10702" spans="14:14">
      <c r="N10702" s="113"/>
    </row>
    <row r="10703" spans="14:14">
      <c r="N10703" s="113"/>
    </row>
    <row r="10704" spans="14:14">
      <c r="N10704" s="113"/>
    </row>
    <row r="10705" spans="14:14">
      <c r="N10705" s="113"/>
    </row>
    <row r="10706" spans="14:14">
      <c r="N10706" s="113"/>
    </row>
    <row r="10707" spans="14:14">
      <c r="N10707" s="113"/>
    </row>
    <row r="10708" spans="14:14">
      <c r="N10708" s="113"/>
    </row>
    <row r="10709" spans="14:14">
      <c r="N10709" s="113"/>
    </row>
    <row r="10710" spans="14:14">
      <c r="N10710" s="113"/>
    </row>
    <row r="10711" spans="14:14">
      <c r="N10711" s="113"/>
    </row>
    <row r="10712" spans="14:14">
      <c r="N10712" s="113"/>
    </row>
    <row r="10713" spans="14:14">
      <c r="N10713" s="113"/>
    </row>
    <row r="10714" spans="14:14">
      <c r="N10714" s="113"/>
    </row>
    <row r="10715" spans="14:14">
      <c r="N10715" s="113"/>
    </row>
    <row r="10716" spans="14:14">
      <c r="N10716" s="113"/>
    </row>
    <row r="10717" spans="14:14">
      <c r="N10717" s="113"/>
    </row>
    <row r="10718" spans="14:14">
      <c r="N10718" s="113"/>
    </row>
    <row r="10719" spans="14:14">
      <c r="N10719" s="113"/>
    </row>
    <row r="10720" spans="14:14">
      <c r="N10720" s="113"/>
    </row>
    <row r="10721" spans="14:14">
      <c r="N10721" s="113"/>
    </row>
    <row r="10722" spans="14:14">
      <c r="N10722" s="113"/>
    </row>
    <row r="10723" spans="14:14">
      <c r="N10723" s="113"/>
    </row>
    <row r="10724" spans="14:14">
      <c r="N10724" s="113"/>
    </row>
    <row r="10725" spans="14:14">
      <c r="N10725" s="113"/>
    </row>
    <row r="10726" spans="14:14">
      <c r="N10726" s="113"/>
    </row>
    <row r="10727" spans="14:14">
      <c r="N10727" s="113"/>
    </row>
    <row r="10728" spans="14:14">
      <c r="N10728" s="113"/>
    </row>
    <row r="10729" spans="14:14">
      <c r="N10729" s="113"/>
    </row>
    <row r="10730" spans="14:14">
      <c r="N10730" s="113"/>
    </row>
    <row r="10731" spans="14:14">
      <c r="N10731" s="113"/>
    </row>
    <row r="10732" spans="14:14">
      <c r="N10732" s="113"/>
    </row>
    <row r="10733" spans="14:14">
      <c r="N10733" s="113"/>
    </row>
    <row r="10734" spans="14:14">
      <c r="N10734" s="113"/>
    </row>
    <row r="10735" spans="14:14">
      <c r="N10735" s="113"/>
    </row>
    <row r="10736" spans="14:14">
      <c r="N10736" s="113"/>
    </row>
    <row r="10737" spans="14:14">
      <c r="N10737" s="113"/>
    </row>
    <row r="10738" spans="14:14">
      <c r="N10738" s="113"/>
    </row>
    <row r="10739" spans="14:14">
      <c r="N10739" s="113"/>
    </row>
    <row r="10740" spans="14:14">
      <c r="N10740" s="113"/>
    </row>
    <row r="10741" spans="14:14">
      <c r="N10741" s="113"/>
    </row>
    <row r="10742" spans="14:14">
      <c r="N10742" s="113"/>
    </row>
    <row r="10743" spans="14:14">
      <c r="N10743" s="113"/>
    </row>
    <row r="10744" spans="14:14">
      <c r="N10744" s="113"/>
    </row>
    <row r="10745" spans="14:14">
      <c r="N10745" s="113"/>
    </row>
    <row r="10746" spans="14:14">
      <c r="N10746" s="113"/>
    </row>
    <row r="10747" spans="14:14">
      <c r="N10747" s="113"/>
    </row>
    <row r="10748" spans="14:14">
      <c r="N10748" s="113"/>
    </row>
    <row r="10749" spans="14:14">
      <c r="N10749" s="113"/>
    </row>
    <row r="10750" spans="14:14">
      <c r="N10750" s="113"/>
    </row>
    <row r="10751" spans="14:14">
      <c r="N10751" s="113"/>
    </row>
    <row r="10752" spans="14:14">
      <c r="N10752" s="113"/>
    </row>
    <row r="10753" spans="14:14">
      <c r="N10753" s="113"/>
    </row>
    <row r="10754" spans="14:14">
      <c r="N10754" s="113"/>
    </row>
    <row r="10755" spans="14:14">
      <c r="N10755" s="113"/>
    </row>
    <row r="10756" spans="14:14">
      <c r="N10756" s="113"/>
    </row>
    <row r="10757" spans="14:14">
      <c r="N10757" s="113"/>
    </row>
    <row r="10758" spans="14:14">
      <c r="N10758" s="113"/>
    </row>
    <row r="10759" spans="14:14">
      <c r="N10759" s="113"/>
    </row>
    <row r="10760" spans="14:14">
      <c r="N10760" s="113"/>
    </row>
    <row r="10761" spans="14:14">
      <c r="N10761" s="113"/>
    </row>
    <row r="10762" spans="14:14">
      <c r="N10762" s="113"/>
    </row>
    <row r="10763" spans="14:14">
      <c r="N10763" s="113"/>
    </row>
    <row r="10764" spans="14:14">
      <c r="N10764" s="113"/>
    </row>
    <row r="10765" spans="14:14">
      <c r="N10765" s="113"/>
    </row>
    <row r="10766" spans="14:14">
      <c r="N10766" s="113"/>
    </row>
    <row r="10767" spans="14:14">
      <c r="N10767" s="113"/>
    </row>
    <row r="10768" spans="14:14">
      <c r="N10768" s="113"/>
    </row>
    <row r="10769" spans="14:14">
      <c r="N10769" s="113"/>
    </row>
    <row r="10770" spans="14:14">
      <c r="N10770" s="113"/>
    </row>
    <row r="10771" spans="14:14">
      <c r="N10771" s="113"/>
    </row>
    <row r="10772" spans="14:14">
      <c r="N10772" s="113"/>
    </row>
    <row r="10773" spans="14:14">
      <c r="N10773" s="113"/>
    </row>
    <row r="10774" spans="14:14">
      <c r="N10774" s="113"/>
    </row>
    <row r="10775" spans="14:14">
      <c r="N10775" s="113"/>
    </row>
    <row r="10776" spans="14:14">
      <c r="N10776" s="113"/>
    </row>
    <row r="10777" spans="14:14">
      <c r="N10777" s="113"/>
    </row>
    <row r="10778" spans="14:14">
      <c r="N10778" s="113"/>
    </row>
    <row r="10779" spans="14:14">
      <c r="N10779" s="113"/>
    </row>
    <row r="10780" spans="14:14">
      <c r="N10780" s="113"/>
    </row>
    <row r="10781" spans="14:14">
      <c r="N10781" s="113"/>
    </row>
    <row r="10782" spans="14:14">
      <c r="N10782" s="113"/>
    </row>
    <row r="10783" spans="14:14">
      <c r="N10783" s="113"/>
    </row>
    <row r="10784" spans="14:14">
      <c r="N10784" s="113"/>
    </row>
    <row r="10785" spans="14:14">
      <c r="N10785" s="113"/>
    </row>
    <row r="10786" spans="14:14">
      <c r="N10786" s="113"/>
    </row>
    <row r="10787" spans="14:14">
      <c r="N10787" s="113"/>
    </row>
    <row r="10788" spans="14:14">
      <c r="N10788" s="113"/>
    </row>
    <row r="10789" spans="14:14">
      <c r="N10789" s="113"/>
    </row>
    <row r="10790" spans="14:14">
      <c r="N10790" s="113"/>
    </row>
    <row r="10791" spans="14:14">
      <c r="N10791" s="113"/>
    </row>
    <row r="10792" spans="14:14">
      <c r="N10792" s="113"/>
    </row>
    <row r="10793" spans="14:14">
      <c r="N10793" s="113"/>
    </row>
    <row r="10794" spans="14:14">
      <c r="N10794" s="113"/>
    </row>
    <row r="10795" spans="14:14">
      <c r="N10795" s="113"/>
    </row>
    <row r="10796" spans="14:14">
      <c r="N10796" s="113"/>
    </row>
    <row r="10797" spans="14:14">
      <c r="N10797" s="113"/>
    </row>
    <row r="10798" spans="14:14">
      <c r="N10798" s="113"/>
    </row>
    <row r="10799" spans="14:14">
      <c r="N10799" s="113"/>
    </row>
    <row r="10800" spans="14:14">
      <c r="N10800" s="113"/>
    </row>
    <row r="10801" spans="14:14">
      <c r="N10801" s="113"/>
    </row>
    <row r="10802" spans="14:14">
      <c r="N10802" s="113"/>
    </row>
    <row r="10803" spans="14:14">
      <c r="N10803" s="113"/>
    </row>
    <row r="10804" spans="14:14">
      <c r="N10804" s="113"/>
    </row>
    <row r="10805" spans="14:14">
      <c r="N10805" s="113"/>
    </row>
    <row r="10806" spans="14:14">
      <c r="N10806" s="113"/>
    </row>
    <row r="10807" spans="14:14">
      <c r="N10807" s="113"/>
    </row>
    <row r="10808" spans="14:14">
      <c r="N10808" s="113"/>
    </row>
    <row r="10809" spans="14:14">
      <c r="N10809" s="113"/>
    </row>
    <row r="10810" spans="14:14">
      <c r="N10810" s="113"/>
    </row>
    <row r="10811" spans="14:14">
      <c r="N10811" s="113"/>
    </row>
    <row r="10812" spans="14:14">
      <c r="N10812" s="113"/>
    </row>
    <row r="10813" spans="14:14">
      <c r="N10813" s="113"/>
    </row>
    <row r="10814" spans="14:14">
      <c r="N10814" s="113"/>
    </row>
    <row r="10815" spans="14:14">
      <c r="N10815" s="113"/>
    </row>
    <row r="10816" spans="14:14">
      <c r="N10816" s="113"/>
    </row>
    <row r="10817" spans="14:14">
      <c r="N10817" s="113"/>
    </row>
    <row r="10818" spans="14:14">
      <c r="N10818" s="113"/>
    </row>
    <row r="10819" spans="14:14">
      <c r="N10819" s="113"/>
    </row>
    <row r="10820" spans="14:14">
      <c r="N10820" s="113"/>
    </row>
    <row r="10821" spans="14:14">
      <c r="N10821" s="113"/>
    </row>
    <row r="10822" spans="14:14">
      <c r="N10822" s="113"/>
    </row>
    <row r="10823" spans="14:14">
      <c r="N10823" s="113"/>
    </row>
    <row r="10824" spans="14:14">
      <c r="N10824" s="113"/>
    </row>
    <row r="10825" spans="14:14">
      <c r="N10825" s="113"/>
    </row>
    <row r="10826" spans="14:14">
      <c r="N10826" s="113"/>
    </row>
    <row r="10827" spans="14:14">
      <c r="N10827" s="113"/>
    </row>
    <row r="10828" spans="14:14">
      <c r="N10828" s="113"/>
    </row>
    <row r="10829" spans="14:14">
      <c r="N10829" s="113"/>
    </row>
    <row r="10830" spans="14:14">
      <c r="N10830" s="113"/>
    </row>
    <row r="10831" spans="14:14">
      <c r="N10831" s="113"/>
    </row>
    <row r="10832" spans="14:14">
      <c r="N10832" s="113"/>
    </row>
    <row r="10833" spans="14:14">
      <c r="N10833" s="113"/>
    </row>
    <row r="10834" spans="14:14">
      <c r="N10834" s="113"/>
    </row>
    <row r="10835" spans="14:14">
      <c r="N10835" s="113"/>
    </row>
    <row r="10836" spans="14:14">
      <c r="N10836" s="113"/>
    </row>
    <row r="10837" spans="14:14">
      <c r="N10837" s="113"/>
    </row>
    <row r="10838" spans="14:14">
      <c r="N10838" s="113"/>
    </row>
    <row r="10839" spans="14:14">
      <c r="N10839" s="113"/>
    </row>
    <row r="10840" spans="14:14">
      <c r="N10840" s="113"/>
    </row>
    <row r="10841" spans="14:14">
      <c r="N10841" s="113"/>
    </row>
    <row r="10842" spans="14:14">
      <c r="N10842" s="113"/>
    </row>
    <row r="10843" spans="14:14">
      <c r="N10843" s="113"/>
    </row>
    <row r="10844" spans="14:14">
      <c r="N10844" s="113"/>
    </row>
    <row r="10845" spans="14:14">
      <c r="N10845" s="113"/>
    </row>
    <row r="10846" spans="14:14">
      <c r="N10846" s="113"/>
    </row>
    <row r="10847" spans="14:14">
      <c r="N10847" s="113"/>
    </row>
    <row r="10848" spans="14:14">
      <c r="N10848" s="113"/>
    </row>
    <row r="10849" spans="14:14">
      <c r="N10849" s="113"/>
    </row>
    <row r="10850" spans="14:14">
      <c r="N10850" s="113"/>
    </row>
    <row r="10851" spans="14:14">
      <c r="N10851" s="113"/>
    </row>
    <row r="10852" spans="14:14">
      <c r="N10852" s="113"/>
    </row>
    <row r="10853" spans="14:14">
      <c r="N10853" s="113"/>
    </row>
    <row r="10854" spans="14:14">
      <c r="N10854" s="113"/>
    </row>
    <row r="10855" spans="14:14">
      <c r="N10855" s="113"/>
    </row>
    <row r="10856" spans="14:14">
      <c r="N10856" s="113"/>
    </row>
    <row r="10857" spans="14:14">
      <c r="N10857" s="113"/>
    </row>
    <row r="10858" spans="14:14">
      <c r="N10858" s="113"/>
    </row>
    <row r="10859" spans="14:14">
      <c r="N10859" s="113"/>
    </row>
    <row r="10860" spans="14:14">
      <c r="N10860" s="113"/>
    </row>
    <row r="10861" spans="14:14">
      <c r="N10861" s="113"/>
    </row>
    <row r="10862" spans="14:14">
      <c r="N10862" s="113"/>
    </row>
    <row r="10863" spans="14:14">
      <c r="N10863" s="113"/>
    </row>
    <row r="10864" spans="14:14">
      <c r="N10864" s="113"/>
    </row>
    <row r="10865" spans="14:14">
      <c r="N10865" s="113"/>
    </row>
    <row r="10866" spans="14:14">
      <c r="N10866" s="113"/>
    </row>
    <row r="10867" spans="14:14">
      <c r="N10867" s="113"/>
    </row>
    <row r="10868" spans="14:14">
      <c r="N10868" s="113"/>
    </row>
    <row r="10869" spans="14:14">
      <c r="N10869" s="113"/>
    </row>
    <row r="10870" spans="14:14">
      <c r="N10870" s="113"/>
    </row>
    <row r="10871" spans="14:14">
      <c r="N10871" s="113"/>
    </row>
    <row r="10872" spans="14:14">
      <c r="N10872" s="113"/>
    </row>
    <row r="10873" spans="14:14">
      <c r="N10873" s="113"/>
    </row>
    <row r="10874" spans="14:14">
      <c r="N10874" s="113"/>
    </row>
    <row r="10875" spans="14:14">
      <c r="N10875" s="113"/>
    </row>
    <row r="10876" spans="14:14">
      <c r="N10876" s="113"/>
    </row>
    <row r="10877" spans="14:14">
      <c r="N10877" s="113"/>
    </row>
    <row r="10878" spans="14:14">
      <c r="N10878" s="113"/>
    </row>
    <row r="10879" spans="14:14">
      <c r="N10879" s="113"/>
    </row>
    <row r="10880" spans="14:14">
      <c r="N10880" s="113"/>
    </row>
    <row r="10881" spans="14:14">
      <c r="N10881" s="113"/>
    </row>
    <row r="10882" spans="14:14">
      <c r="N10882" s="113"/>
    </row>
    <row r="10883" spans="14:14">
      <c r="N10883" s="113"/>
    </row>
    <row r="10884" spans="14:14">
      <c r="N10884" s="113"/>
    </row>
    <row r="10885" spans="14:14">
      <c r="N10885" s="113"/>
    </row>
    <row r="10886" spans="14:14">
      <c r="N10886" s="113"/>
    </row>
    <row r="10887" spans="14:14">
      <c r="N10887" s="113"/>
    </row>
    <row r="10888" spans="14:14">
      <c r="N10888" s="113"/>
    </row>
    <row r="10889" spans="14:14">
      <c r="N10889" s="113"/>
    </row>
    <row r="10890" spans="14:14">
      <c r="N10890" s="113"/>
    </row>
    <row r="10891" spans="14:14">
      <c r="N10891" s="113"/>
    </row>
    <row r="10892" spans="14:14">
      <c r="N10892" s="113"/>
    </row>
    <row r="10893" spans="14:14">
      <c r="N10893" s="113"/>
    </row>
    <row r="10894" spans="14:14">
      <c r="N10894" s="113"/>
    </row>
    <row r="10895" spans="14:14">
      <c r="N10895" s="113"/>
    </row>
    <row r="10896" spans="14:14">
      <c r="N10896" s="113"/>
    </row>
    <row r="10897" spans="14:14">
      <c r="N10897" s="113"/>
    </row>
    <row r="10898" spans="14:14">
      <c r="N10898" s="113"/>
    </row>
    <row r="10899" spans="14:14">
      <c r="N10899" s="113"/>
    </row>
    <row r="10900" spans="14:14">
      <c r="N10900" s="113"/>
    </row>
    <row r="10901" spans="14:14">
      <c r="N10901" s="113"/>
    </row>
    <row r="10902" spans="14:14">
      <c r="N10902" s="113"/>
    </row>
    <row r="10903" spans="14:14">
      <c r="N10903" s="113"/>
    </row>
    <row r="10904" spans="14:14">
      <c r="N10904" s="113"/>
    </row>
    <row r="10905" spans="14:14">
      <c r="N10905" s="113"/>
    </row>
    <row r="10906" spans="14:14">
      <c r="N10906" s="113"/>
    </row>
    <row r="10907" spans="14:14">
      <c r="N10907" s="113"/>
    </row>
    <row r="10908" spans="14:14">
      <c r="N10908" s="113"/>
    </row>
    <row r="10909" spans="14:14">
      <c r="N10909" s="113"/>
    </row>
    <row r="10910" spans="14:14">
      <c r="N10910" s="113"/>
    </row>
    <row r="10911" spans="14:14">
      <c r="N10911" s="113"/>
    </row>
    <row r="10912" spans="14:14">
      <c r="N10912" s="113"/>
    </row>
    <row r="10913" spans="14:14">
      <c r="N10913" s="113"/>
    </row>
    <row r="10914" spans="14:14">
      <c r="N10914" s="113"/>
    </row>
    <row r="10915" spans="14:14">
      <c r="N10915" s="113"/>
    </row>
    <row r="10916" spans="14:14">
      <c r="N10916" s="113"/>
    </row>
    <row r="10917" spans="14:14">
      <c r="N10917" s="113"/>
    </row>
    <row r="10918" spans="14:14">
      <c r="N10918" s="113"/>
    </row>
    <row r="10919" spans="14:14">
      <c r="N10919" s="113"/>
    </row>
    <row r="10920" spans="14:14">
      <c r="N10920" s="113"/>
    </row>
    <row r="10921" spans="14:14">
      <c r="N10921" s="113"/>
    </row>
    <row r="10922" spans="14:14">
      <c r="N10922" s="113"/>
    </row>
    <row r="10923" spans="14:14">
      <c r="N10923" s="113"/>
    </row>
    <row r="10924" spans="14:14">
      <c r="N10924" s="113"/>
    </row>
    <row r="10925" spans="14:14">
      <c r="N10925" s="113"/>
    </row>
    <row r="10926" spans="14:14">
      <c r="N10926" s="113"/>
    </row>
    <row r="10927" spans="14:14">
      <c r="N10927" s="113"/>
    </row>
    <row r="10928" spans="14:14">
      <c r="N10928" s="113"/>
    </row>
    <row r="10929" spans="14:14">
      <c r="N10929" s="113"/>
    </row>
    <row r="10930" spans="14:14">
      <c r="N10930" s="113"/>
    </row>
    <row r="10931" spans="14:14">
      <c r="N10931" s="113"/>
    </row>
    <row r="10932" spans="14:14">
      <c r="N10932" s="113"/>
    </row>
    <row r="10933" spans="14:14">
      <c r="N10933" s="113"/>
    </row>
    <row r="10934" spans="14:14">
      <c r="N10934" s="113"/>
    </row>
    <row r="10935" spans="14:14">
      <c r="N10935" s="113"/>
    </row>
    <row r="10936" spans="14:14">
      <c r="N10936" s="113"/>
    </row>
    <row r="10937" spans="14:14">
      <c r="N10937" s="113"/>
    </row>
    <row r="10938" spans="14:14">
      <c r="N10938" s="113"/>
    </row>
    <row r="10939" spans="14:14">
      <c r="N10939" s="113"/>
    </row>
    <row r="10940" spans="14:14">
      <c r="N10940" s="113"/>
    </row>
    <row r="10941" spans="14:14">
      <c r="N10941" s="113"/>
    </row>
    <row r="10942" spans="14:14">
      <c r="N10942" s="113"/>
    </row>
    <row r="10943" spans="14:14">
      <c r="N10943" s="113"/>
    </row>
    <row r="10944" spans="14:14">
      <c r="N10944" s="113"/>
    </row>
    <row r="10945" spans="14:14">
      <c r="N10945" s="113"/>
    </row>
    <row r="10946" spans="14:14">
      <c r="N10946" s="113"/>
    </row>
    <row r="10947" spans="14:14">
      <c r="N10947" s="113"/>
    </row>
    <row r="10948" spans="14:14">
      <c r="N10948" s="113"/>
    </row>
    <row r="10949" spans="14:14">
      <c r="N10949" s="113"/>
    </row>
    <row r="10950" spans="14:14">
      <c r="N10950" s="113"/>
    </row>
    <row r="10951" spans="14:14">
      <c r="N10951" s="113"/>
    </row>
    <row r="10952" spans="14:14">
      <c r="N10952" s="113"/>
    </row>
    <row r="10953" spans="14:14">
      <c r="N10953" s="113"/>
    </row>
    <row r="10954" spans="14:14">
      <c r="N10954" s="113"/>
    </row>
    <row r="10955" spans="14:14">
      <c r="N10955" s="113"/>
    </row>
    <row r="10956" spans="14:14">
      <c r="N10956" s="113"/>
    </row>
    <row r="10957" spans="14:14">
      <c r="N10957" s="113"/>
    </row>
    <row r="10958" spans="14:14">
      <c r="N10958" s="113"/>
    </row>
    <row r="10959" spans="14:14">
      <c r="N10959" s="113"/>
    </row>
    <row r="10960" spans="14:14">
      <c r="N10960" s="113"/>
    </row>
    <row r="10961" spans="14:14">
      <c r="N10961" s="113"/>
    </row>
    <row r="10962" spans="14:14">
      <c r="N10962" s="113"/>
    </row>
    <row r="10963" spans="14:14">
      <c r="N10963" s="113"/>
    </row>
    <row r="10964" spans="14:14">
      <c r="N10964" s="113"/>
    </row>
    <row r="10965" spans="14:14">
      <c r="N10965" s="113"/>
    </row>
    <row r="10966" spans="14:14">
      <c r="N10966" s="113"/>
    </row>
    <row r="10967" spans="14:14">
      <c r="N10967" s="113"/>
    </row>
    <row r="10968" spans="14:14">
      <c r="N10968" s="113"/>
    </row>
    <row r="10969" spans="14:14">
      <c r="N10969" s="113"/>
    </row>
    <row r="10970" spans="14:14">
      <c r="N10970" s="113"/>
    </row>
    <row r="10971" spans="14:14">
      <c r="N10971" s="113"/>
    </row>
    <row r="10972" spans="14:14">
      <c r="N10972" s="113"/>
    </row>
    <row r="10973" spans="14:14">
      <c r="N10973" s="113"/>
    </row>
    <row r="10974" spans="14:14">
      <c r="N10974" s="113"/>
    </row>
    <row r="10975" spans="14:14">
      <c r="N10975" s="113"/>
    </row>
    <row r="10976" spans="14:14">
      <c r="N10976" s="113"/>
    </row>
    <row r="10977" spans="14:14">
      <c r="N10977" s="113"/>
    </row>
    <row r="10978" spans="14:14">
      <c r="N10978" s="113"/>
    </row>
    <row r="10979" spans="14:14">
      <c r="N10979" s="113"/>
    </row>
    <row r="10980" spans="14:14">
      <c r="N10980" s="113"/>
    </row>
    <row r="10981" spans="14:14">
      <c r="N10981" s="113"/>
    </row>
    <row r="10982" spans="14:14">
      <c r="N10982" s="113"/>
    </row>
    <row r="10983" spans="14:14">
      <c r="N10983" s="113"/>
    </row>
    <row r="10984" spans="14:14">
      <c r="N10984" s="113"/>
    </row>
    <row r="10985" spans="14:14">
      <c r="N10985" s="113"/>
    </row>
    <row r="10986" spans="14:14">
      <c r="N10986" s="113"/>
    </row>
    <row r="10987" spans="14:14">
      <c r="N10987" s="113"/>
    </row>
    <row r="10988" spans="14:14">
      <c r="N10988" s="113"/>
    </row>
    <row r="10989" spans="14:14">
      <c r="N10989" s="113"/>
    </row>
    <row r="10990" spans="14:14">
      <c r="N10990" s="113"/>
    </row>
    <row r="10991" spans="14:14">
      <c r="N10991" s="113"/>
    </row>
    <row r="10992" spans="14:14">
      <c r="N10992" s="113"/>
    </row>
    <row r="10993" spans="14:14">
      <c r="N10993" s="113"/>
    </row>
    <row r="10994" spans="14:14">
      <c r="N10994" s="113"/>
    </row>
    <row r="10995" spans="14:14">
      <c r="N10995" s="113"/>
    </row>
    <row r="10996" spans="14:14">
      <c r="N10996" s="113"/>
    </row>
    <row r="10997" spans="14:14">
      <c r="N10997" s="113"/>
    </row>
    <row r="10998" spans="14:14">
      <c r="N10998" s="113"/>
    </row>
    <row r="10999" spans="14:14">
      <c r="N10999" s="113"/>
    </row>
    <row r="11000" spans="14:14">
      <c r="N11000" s="113"/>
    </row>
    <row r="11001" spans="14:14">
      <c r="N11001" s="113"/>
    </row>
    <row r="11002" spans="14:14">
      <c r="N11002" s="113"/>
    </row>
    <row r="11003" spans="14:14">
      <c r="N11003" s="113"/>
    </row>
    <row r="11004" spans="14:14">
      <c r="N11004" s="113"/>
    </row>
    <row r="11005" spans="14:14">
      <c r="N11005" s="113"/>
    </row>
    <row r="11006" spans="14:14">
      <c r="N11006" s="113"/>
    </row>
    <row r="11007" spans="14:14">
      <c r="N11007" s="113"/>
    </row>
    <row r="11008" spans="14:14">
      <c r="N11008" s="113"/>
    </row>
    <row r="11009" spans="14:14">
      <c r="N11009" s="113"/>
    </row>
    <row r="11010" spans="14:14">
      <c r="N11010" s="113"/>
    </row>
    <row r="11011" spans="14:14">
      <c r="N11011" s="113"/>
    </row>
    <row r="11012" spans="14:14">
      <c r="N11012" s="113"/>
    </row>
    <row r="11013" spans="14:14">
      <c r="N11013" s="113"/>
    </row>
    <row r="11014" spans="14:14">
      <c r="N11014" s="113"/>
    </row>
    <row r="11015" spans="14:14">
      <c r="N11015" s="113"/>
    </row>
    <row r="11016" spans="14:14">
      <c r="N11016" s="113"/>
    </row>
    <row r="11017" spans="14:14">
      <c r="N11017" s="113"/>
    </row>
    <row r="11018" spans="14:14">
      <c r="N11018" s="113"/>
    </row>
    <row r="11019" spans="14:14">
      <c r="N11019" s="113"/>
    </row>
    <row r="11020" spans="14:14">
      <c r="N11020" s="113"/>
    </row>
    <row r="11021" spans="14:14">
      <c r="N11021" s="113"/>
    </row>
    <row r="11022" spans="14:14">
      <c r="N11022" s="113"/>
    </row>
    <row r="11023" spans="14:14">
      <c r="N11023" s="113"/>
    </row>
    <row r="11024" spans="14:14">
      <c r="N11024" s="113"/>
    </row>
    <row r="11025" spans="14:14">
      <c r="N11025" s="113"/>
    </row>
    <row r="11026" spans="14:14">
      <c r="N11026" s="113"/>
    </row>
    <row r="11027" spans="14:14">
      <c r="N11027" s="113"/>
    </row>
    <row r="11028" spans="14:14">
      <c r="N11028" s="113"/>
    </row>
    <row r="11029" spans="14:14">
      <c r="N11029" s="113"/>
    </row>
    <row r="11030" spans="14:14">
      <c r="N11030" s="113"/>
    </row>
    <row r="11031" spans="14:14">
      <c r="N11031" s="113"/>
    </row>
    <row r="11032" spans="14:14">
      <c r="N11032" s="113"/>
    </row>
    <row r="11033" spans="14:14">
      <c r="N11033" s="113"/>
    </row>
    <row r="11034" spans="14:14">
      <c r="N11034" s="113"/>
    </row>
    <row r="11035" spans="14:14">
      <c r="N11035" s="113"/>
    </row>
    <row r="11036" spans="14:14">
      <c r="N11036" s="113"/>
    </row>
    <row r="11037" spans="14:14">
      <c r="N11037" s="113"/>
    </row>
    <row r="11038" spans="14:14">
      <c r="N11038" s="113"/>
    </row>
    <row r="11039" spans="14:14">
      <c r="N11039" s="113"/>
    </row>
    <row r="11040" spans="14:14">
      <c r="N11040" s="113"/>
    </row>
    <row r="11041" spans="14:14">
      <c r="N11041" s="113"/>
    </row>
    <row r="11042" spans="14:14">
      <c r="N11042" s="113"/>
    </row>
    <row r="11043" spans="14:14">
      <c r="N11043" s="113"/>
    </row>
    <row r="11044" spans="14:14">
      <c r="N11044" s="113"/>
    </row>
    <row r="11045" spans="14:14">
      <c r="N11045" s="113"/>
    </row>
    <row r="11046" spans="14:14">
      <c r="N11046" s="113"/>
    </row>
    <row r="11047" spans="14:14">
      <c r="N11047" s="113"/>
    </row>
    <row r="11048" spans="14:14">
      <c r="N11048" s="113"/>
    </row>
    <row r="11049" spans="14:14">
      <c r="N11049" s="113"/>
    </row>
    <row r="11050" spans="14:14">
      <c r="N11050" s="113"/>
    </row>
    <row r="11051" spans="14:14">
      <c r="N11051" s="113"/>
    </row>
    <row r="11052" spans="14:14">
      <c r="N11052" s="113"/>
    </row>
    <row r="11053" spans="14:14">
      <c r="N11053" s="113"/>
    </row>
    <row r="11054" spans="14:14">
      <c r="N11054" s="113"/>
    </row>
    <row r="11055" spans="14:14">
      <c r="N11055" s="113"/>
    </row>
    <row r="11056" spans="14:14">
      <c r="N11056" s="113"/>
    </row>
    <row r="11057" spans="14:14">
      <c r="N11057" s="113"/>
    </row>
    <row r="11058" spans="14:14">
      <c r="N11058" s="113"/>
    </row>
    <row r="11059" spans="14:14">
      <c r="N11059" s="113"/>
    </row>
    <row r="11060" spans="14:14">
      <c r="N11060" s="113"/>
    </row>
    <row r="11061" spans="14:14">
      <c r="N11061" s="113"/>
    </row>
    <row r="11062" spans="14:14">
      <c r="N11062" s="113"/>
    </row>
    <row r="11063" spans="14:14">
      <c r="N11063" s="113"/>
    </row>
    <row r="11064" spans="14:14">
      <c r="N11064" s="113"/>
    </row>
    <row r="11065" spans="14:14">
      <c r="N11065" s="113"/>
    </row>
    <row r="11066" spans="14:14">
      <c r="N11066" s="113"/>
    </row>
    <row r="11067" spans="14:14">
      <c r="N11067" s="113"/>
    </row>
    <row r="11068" spans="14:14">
      <c r="N11068" s="113"/>
    </row>
    <row r="11069" spans="14:14">
      <c r="N11069" s="113"/>
    </row>
    <row r="11070" spans="14:14">
      <c r="N11070" s="113"/>
    </row>
    <row r="11071" spans="14:14">
      <c r="N11071" s="113"/>
    </row>
    <row r="11072" spans="14:14">
      <c r="N11072" s="113"/>
    </row>
    <row r="11073" spans="14:14">
      <c r="N11073" s="113"/>
    </row>
    <row r="11074" spans="14:14">
      <c r="N11074" s="113"/>
    </row>
    <row r="11075" spans="14:14">
      <c r="N11075" s="113"/>
    </row>
    <row r="11076" spans="14:14">
      <c r="N11076" s="113"/>
    </row>
    <row r="11077" spans="14:14">
      <c r="N11077" s="113"/>
    </row>
    <row r="11078" spans="14:14">
      <c r="N11078" s="113"/>
    </row>
    <row r="11079" spans="14:14">
      <c r="N11079" s="113"/>
    </row>
    <row r="11080" spans="14:14">
      <c r="N11080" s="113"/>
    </row>
    <row r="11081" spans="14:14">
      <c r="N11081" s="113"/>
    </row>
    <row r="11082" spans="14:14">
      <c r="N11082" s="113"/>
    </row>
    <row r="11083" spans="14:14">
      <c r="N11083" s="113"/>
    </row>
    <row r="11084" spans="14:14">
      <c r="N11084" s="113"/>
    </row>
    <row r="11085" spans="14:14">
      <c r="N11085" s="113"/>
    </row>
    <row r="11086" spans="14:14">
      <c r="N11086" s="113"/>
    </row>
    <row r="11087" spans="14:14">
      <c r="N11087" s="113"/>
    </row>
    <row r="11088" spans="14:14">
      <c r="N11088" s="113"/>
    </row>
    <row r="11089" spans="14:14">
      <c r="N11089" s="113"/>
    </row>
    <row r="11090" spans="14:14">
      <c r="N11090" s="113"/>
    </row>
    <row r="11091" spans="14:14">
      <c r="N11091" s="113"/>
    </row>
    <row r="11092" spans="14:14">
      <c r="N11092" s="113"/>
    </row>
    <row r="11093" spans="14:14">
      <c r="N11093" s="113"/>
    </row>
    <row r="11094" spans="14:14">
      <c r="N11094" s="113"/>
    </row>
    <row r="11095" spans="14:14">
      <c r="N11095" s="113"/>
    </row>
    <row r="11096" spans="14:14">
      <c r="N11096" s="113"/>
    </row>
    <row r="11097" spans="14:14">
      <c r="N11097" s="113"/>
    </row>
    <row r="11098" spans="14:14">
      <c r="N11098" s="113"/>
    </row>
    <row r="11099" spans="14:14">
      <c r="N11099" s="113"/>
    </row>
    <row r="11100" spans="14:14">
      <c r="N11100" s="113"/>
    </row>
    <row r="11101" spans="14:14">
      <c r="N11101" s="113"/>
    </row>
    <row r="11102" spans="14:14">
      <c r="N11102" s="113"/>
    </row>
    <row r="11103" spans="14:14">
      <c r="N11103" s="113"/>
    </row>
    <row r="11104" spans="14:14">
      <c r="N11104" s="113"/>
    </row>
    <row r="11105" spans="14:14">
      <c r="N11105" s="113"/>
    </row>
    <row r="11106" spans="14:14">
      <c r="N11106" s="113"/>
    </row>
    <row r="11107" spans="14:14">
      <c r="N11107" s="113"/>
    </row>
    <row r="11108" spans="14:14">
      <c r="N11108" s="113"/>
    </row>
    <row r="11109" spans="14:14">
      <c r="N11109" s="113"/>
    </row>
    <row r="11110" spans="14:14">
      <c r="N11110" s="113"/>
    </row>
    <row r="11111" spans="14:14">
      <c r="N11111" s="113"/>
    </row>
    <row r="11112" spans="14:14">
      <c r="N11112" s="113"/>
    </row>
    <row r="11113" spans="14:14">
      <c r="N11113" s="113"/>
    </row>
    <row r="11114" spans="14:14">
      <c r="N11114" s="113"/>
    </row>
    <row r="11115" spans="14:14">
      <c r="N11115" s="113"/>
    </row>
    <row r="11116" spans="14:14">
      <c r="N11116" s="113"/>
    </row>
    <row r="11117" spans="14:14">
      <c r="N11117" s="113"/>
    </row>
    <row r="11118" spans="14:14">
      <c r="N11118" s="113"/>
    </row>
    <row r="11119" spans="14:14">
      <c r="N11119" s="113"/>
    </row>
    <row r="11120" spans="14:14">
      <c r="N11120" s="113"/>
    </row>
    <row r="11121" spans="14:14">
      <c r="N11121" s="113"/>
    </row>
    <row r="11122" spans="14:14">
      <c r="N11122" s="113"/>
    </row>
    <row r="11123" spans="14:14">
      <c r="N11123" s="113"/>
    </row>
    <row r="11124" spans="14:14">
      <c r="N11124" s="113"/>
    </row>
    <row r="11125" spans="14:14">
      <c r="N11125" s="113"/>
    </row>
    <row r="11126" spans="14:14">
      <c r="N11126" s="113"/>
    </row>
    <row r="11127" spans="14:14">
      <c r="N11127" s="113"/>
    </row>
    <row r="11128" spans="14:14">
      <c r="N11128" s="113"/>
    </row>
    <row r="11129" spans="14:14">
      <c r="N11129" s="113"/>
    </row>
    <row r="11130" spans="14:14">
      <c r="N11130" s="113"/>
    </row>
    <row r="11131" spans="14:14">
      <c r="N11131" s="113"/>
    </row>
    <row r="11132" spans="14:14">
      <c r="N11132" s="113"/>
    </row>
    <row r="11133" spans="14:14">
      <c r="N11133" s="113"/>
    </row>
    <row r="11134" spans="14:14">
      <c r="N11134" s="113"/>
    </row>
    <row r="11135" spans="14:14">
      <c r="N11135" s="113"/>
    </row>
    <row r="11136" spans="14:14">
      <c r="N11136" s="113"/>
    </row>
    <row r="11137" spans="14:14">
      <c r="N11137" s="113"/>
    </row>
    <row r="11138" spans="14:14">
      <c r="N11138" s="113"/>
    </row>
    <row r="11139" spans="14:14">
      <c r="N11139" s="113"/>
    </row>
    <row r="11140" spans="14:14">
      <c r="N11140" s="113"/>
    </row>
    <row r="11141" spans="14:14">
      <c r="N11141" s="113"/>
    </row>
    <row r="11142" spans="14:14">
      <c r="N11142" s="113"/>
    </row>
    <row r="11143" spans="14:14">
      <c r="N11143" s="113"/>
    </row>
    <row r="11144" spans="14:14">
      <c r="N11144" s="113"/>
    </row>
    <row r="11145" spans="14:14">
      <c r="N11145" s="113"/>
    </row>
    <row r="11146" spans="14:14">
      <c r="N11146" s="113"/>
    </row>
    <row r="11147" spans="14:14">
      <c r="N11147" s="113"/>
    </row>
    <row r="11148" spans="14:14">
      <c r="N11148" s="113"/>
    </row>
    <row r="11149" spans="14:14">
      <c r="N11149" s="113"/>
    </row>
    <row r="11150" spans="14:14">
      <c r="N11150" s="113"/>
    </row>
    <row r="11151" spans="14:14">
      <c r="N11151" s="113"/>
    </row>
    <row r="11152" spans="14:14">
      <c r="N11152" s="113"/>
    </row>
    <row r="11153" spans="14:14">
      <c r="N11153" s="113"/>
    </row>
    <row r="11154" spans="14:14">
      <c r="N11154" s="113"/>
    </row>
    <row r="11155" spans="14:14">
      <c r="N11155" s="113"/>
    </row>
    <row r="11156" spans="14:14">
      <c r="N11156" s="113"/>
    </row>
    <row r="11157" spans="14:14">
      <c r="N11157" s="113"/>
    </row>
    <row r="11158" spans="14:14">
      <c r="N11158" s="113"/>
    </row>
    <row r="11159" spans="14:14">
      <c r="N11159" s="113"/>
    </row>
    <row r="11160" spans="14:14">
      <c r="N11160" s="113"/>
    </row>
    <row r="11161" spans="14:14">
      <c r="N11161" s="113"/>
    </row>
    <row r="11162" spans="14:14">
      <c r="N11162" s="113"/>
    </row>
    <row r="11163" spans="14:14">
      <c r="N11163" s="113"/>
    </row>
    <row r="11164" spans="14:14">
      <c r="N11164" s="113"/>
    </row>
    <row r="11165" spans="14:14">
      <c r="N11165" s="113"/>
    </row>
    <row r="11166" spans="14:14">
      <c r="N11166" s="113"/>
    </row>
    <row r="11167" spans="14:14">
      <c r="N11167" s="113"/>
    </row>
    <row r="11168" spans="14:14">
      <c r="N11168" s="113"/>
    </row>
    <row r="11169" spans="14:14">
      <c r="N11169" s="113"/>
    </row>
    <row r="11170" spans="14:14">
      <c r="N11170" s="113"/>
    </row>
    <row r="11171" spans="14:14">
      <c r="N11171" s="113"/>
    </row>
    <row r="11172" spans="14:14">
      <c r="N11172" s="113"/>
    </row>
    <row r="11173" spans="14:14">
      <c r="N11173" s="113"/>
    </row>
    <row r="11174" spans="14:14">
      <c r="N11174" s="113"/>
    </row>
    <row r="11175" spans="14:14">
      <c r="N11175" s="113"/>
    </row>
    <row r="11176" spans="14:14">
      <c r="N11176" s="113"/>
    </row>
    <row r="11177" spans="14:14">
      <c r="N11177" s="113"/>
    </row>
    <row r="11178" spans="14:14">
      <c r="N11178" s="113"/>
    </row>
    <row r="11179" spans="14:14">
      <c r="N11179" s="113"/>
    </row>
    <row r="11180" spans="14:14">
      <c r="N11180" s="113"/>
    </row>
    <row r="11181" spans="14:14">
      <c r="N11181" s="113"/>
    </row>
    <row r="11182" spans="14:14">
      <c r="N11182" s="113"/>
    </row>
    <row r="11183" spans="14:14">
      <c r="N11183" s="113"/>
    </row>
    <row r="11184" spans="14:14">
      <c r="N11184" s="113"/>
    </row>
    <row r="11185" spans="14:14">
      <c r="N11185" s="113"/>
    </row>
    <row r="11186" spans="14:14">
      <c r="N11186" s="113"/>
    </row>
    <row r="11187" spans="14:14">
      <c r="N11187" s="113"/>
    </row>
    <row r="11188" spans="14:14">
      <c r="N11188" s="113"/>
    </row>
    <row r="11189" spans="14:14">
      <c r="N11189" s="113"/>
    </row>
    <row r="11190" spans="14:14">
      <c r="N11190" s="113"/>
    </row>
    <row r="11191" spans="14:14">
      <c r="N11191" s="113"/>
    </row>
    <row r="11192" spans="14:14">
      <c r="N11192" s="113"/>
    </row>
    <row r="11193" spans="14:14">
      <c r="N11193" s="113"/>
    </row>
    <row r="11194" spans="14:14">
      <c r="N11194" s="113"/>
    </row>
    <row r="11195" spans="14:14">
      <c r="N11195" s="113"/>
    </row>
    <row r="11196" spans="14:14">
      <c r="N11196" s="113"/>
    </row>
    <row r="11197" spans="14:14">
      <c r="N11197" s="113"/>
    </row>
    <row r="11198" spans="14:14">
      <c r="N11198" s="113"/>
    </row>
    <row r="11199" spans="14:14">
      <c r="N11199" s="113"/>
    </row>
    <row r="11200" spans="14:14">
      <c r="N11200" s="113"/>
    </row>
    <row r="11201" spans="14:14">
      <c r="N11201" s="113"/>
    </row>
    <row r="11202" spans="14:14">
      <c r="N11202" s="113"/>
    </row>
    <row r="11203" spans="14:14">
      <c r="N11203" s="113"/>
    </row>
    <row r="11204" spans="14:14">
      <c r="N11204" s="113"/>
    </row>
    <row r="11205" spans="14:14">
      <c r="N11205" s="113"/>
    </row>
    <row r="11206" spans="14:14">
      <c r="N11206" s="113"/>
    </row>
    <row r="11207" spans="14:14">
      <c r="N11207" s="113"/>
    </row>
    <row r="11208" spans="14:14">
      <c r="N11208" s="113"/>
    </row>
    <row r="11209" spans="14:14">
      <c r="N11209" s="113"/>
    </row>
    <row r="11210" spans="14:14">
      <c r="N11210" s="113"/>
    </row>
    <row r="11211" spans="14:14">
      <c r="N11211" s="113"/>
    </row>
    <row r="11212" spans="14:14">
      <c r="N11212" s="113"/>
    </row>
    <row r="11213" spans="14:14">
      <c r="N11213" s="113"/>
    </row>
    <row r="11214" spans="14:14">
      <c r="N11214" s="113"/>
    </row>
    <row r="11215" spans="14:14">
      <c r="N11215" s="113"/>
    </row>
    <row r="11216" spans="14:14">
      <c r="N11216" s="113"/>
    </row>
    <row r="11217" spans="14:14">
      <c r="N11217" s="113"/>
    </row>
    <row r="11218" spans="14:14">
      <c r="N11218" s="113"/>
    </row>
    <row r="11219" spans="14:14">
      <c r="N11219" s="113"/>
    </row>
    <row r="11220" spans="14:14">
      <c r="N11220" s="113"/>
    </row>
    <row r="11221" spans="14:14">
      <c r="N11221" s="113"/>
    </row>
    <row r="11222" spans="14:14">
      <c r="N11222" s="113"/>
    </row>
    <row r="11223" spans="14:14">
      <c r="N11223" s="113"/>
    </row>
    <row r="11224" spans="14:14">
      <c r="N11224" s="113"/>
    </row>
    <row r="11225" spans="14:14">
      <c r="N11225" s="113"/>
    </row>
    <row r="11226" spans="14:14">
      <c r="N11226" s="113"/>
    </row>
    <row r="11227" spans="14:14">
      <c r="N11227" s="113"/>
    </row>
    <row r="11228" spans="14:14">
      <c r="N11228" s="113"/>
    </row>
    <row r="11229" spans="14:14">
      <c r="N11229" s="113"/>
    </row>
    <row r="11230" spans="14:14">
      <c r="N11230" s="113"/>
    </row>
    <row r="11231" spans="14:14">
      <c r="N11231" s="113"/>
    </row>
    <row r="11232" spans="14:14">
      <c r="N11232" s="113"/>
    </row>
    <row r="11233" spans="14:14">
      <c r="N11233" s="113"/>
    </row>
    <row r="11234" spans="14:14">
      <c r="N11234" s="113"/>
    </row>
    <row r="11235" spans="14:14">
      <c r="N11235" s="113"/>
    </row>
    <row r="11236" spans="14:14">
      <c r="N11236" s="113"/>
    </row>
    <row r="11237" spans="14:14">
      <c r="N11237" s="113"/>
    </row>
    <row r="11238" spans="14:14">
      <c r="N11238" s="113"/>
    </row>
    <row r="11239" spans="14:14">
      <c r="N11239" s="113"/>
    </row>
    <row r="11240" spans="14:14">
      <c r="N11240" s="113"/>
    </row>
    <row r="11241" spans="14:14">
      <c r="N11241" s="113"/>
    </row>
    <row r="11242" spans="14:14">
      <c r="N11242" s="113"/>
    </row>
    <row r="11243" spans="14:14">
      <c r="N11243" s="113"/>
    </row>
    <row r="11244" spans="14:14">
      <c r="N11244" s="113"/>
    </row>
    <row r="11245" spans="14:14">
      <c r="N11245" s="113"/>
    </row>
    <row r="11246" spans="14:14">
      <c r="N11246" s="113"/>
    </row>
    <row r="11247" spans="14:14">
      <c r="N11247" s="113"/>
    </row>
    <row r="11248" spans="14:14">
      <c r="N11248" s="113"/>
    </row>
    <row r="11249" spans="14:14">
      <c r="N11249" s="113"/>
    </row>
    <row r="11250" spans="14:14">
      <c r="N11250" s="113"/>
    </row>
    <row r="11251" spans="14:14">
      <c r="N11251" s="113"/>
    </row>
    <row r="11252" spans="14:14">
      <c r="N11252" s="113"/>
    </row>
    <row r="11253" spans="14:14">
      <c r="N11253" s="113"/>
    </row>
    <row r="11254" spans="14:14">
      <c r="N11254" s="113"/>
    </row>
    <row r="11255" spans="14:14">
      <c r="N11255" s="113"/>
    </row>
    <row r="11256" spans="14:14">
      <c r="N11256" s="113"/>
    </row>
    <row r="11257" spans="14:14">
      <c r="N11257" s="113"/>
    </row>
    <row r="11258" spans="14:14">
      <c r="N11258" s="113"/>
    </row>
    <row r="11259" spans="14:14">
      <c r="N11259" s="113"/>
    </row>
    <row r="11260" spans="14:14">
      <c r="N11260" s="113"/>
    </row>
    <row r="11261" spans="14:14">
      <c r="N11261" s="113"/>
    </row>
    <row r="11262" spans="14:14">
      <c r="N11262" s="113"/>
    </row>
    <row r="11263" spans="14:14">
      <c r="N11263" s="113"/>
    </row>
    <row r="11264" spans="14:14">
      <c r="N11264" s="113"/>
    </row>
    <row r="11265" spans="14:14">
      <c r="N11265" s="113"/>
    </row>
    <row r="11266" spans="14:14">
      <c r="N11266" s="113"/>
    </row>
    <row r="11267" spans="14:14">
      <c r="N11267" s="113"/>
    </row>
    <row r="11268" spans="14:14">
      <c r="N11268" s="113"/>
    </row>
    <row r="11269" spans="14:14">
      <c r="N11269" s="113"/>
    </row>
    <row r="11270" spans="14:14">
      <c r="N11270" s="113"/>
    </row>
    <row r="11271" spans="14:14">
      <c r="N11271" s="113"/>
    </row>
    <row r="11272" spans="14:14">
      <c r="N11272" s="113"/>
    </row>
    <row r="11273" spans="14:14">
      <c r="N11273" s="113"/>
    </row>
    <row r="11274" spans="14:14">
      <c r="N11274" s="113"/>
    </row>
    <row r="11275" spans="14:14">
      <c r="N11275" s="113"/>
    </row>
    <row r="11276" spans="14:14">
      <c r="N11276" s="113"/>
    </row>
    <row r="11277" spans="14:14">
      <c r="N11277" s="113"/>
    </row>
    <row r="11278" spans="14:14">
      <c r="N11278" s="113"/>
    </row>
    <row r="11279" spans="14:14">
      <c r="N11279" s="113"/>
    </row>
    <row r="11280" spans="14:14">
      <c r="N11280" s="113"/>
    </row>
    <row r="11281" spans="14:14">
      <c r="N11281" s="113"/>
    </row>
    <row r="11282" spans="14:14">
      <c r="N11282" s="113"/>
    </row>
    <row r="11283" spans="14:14">
      <c r="N11283" s="113"/>
    </row>
    <row r="11284" spans="14:14">
      <c r="N11284" s="113"/>
    </row>
    <row r="11285" spans="14:14">
      <c r="N11285" s="113"/>
    </row>
    <row r="11286" spans="14:14">
      <c r="N11286" s="113"/>
    </row>
    <row r="11287" spans="14:14">
      <c r="N11287" s="113"/>
    </row>
    <row r="11288" spans="14:14">
      <c r="N11288" s="113"/>
    </row>
    <row r="11289" spans="14:14">
      <c r="N11289" s="113"/>
    </row>
    <row r="11290" spans="14:14">
      <c r="N11290" s="113"/>
    </row>
    <row r="11291" spans="14:14">
      <c r="N11291" s="113"/>
    </row>
    <row r="11292" spans="14:14">
      <c r="N11292" s="113"/>
    </row>
    <row r="11293" spans="14:14">
      <c r="N11293" s="113"/>
    </row>
    <row r="11294" spans="14:14">
      <c r="N11294" s="113"/>
    </row>
    <row r="11295" spans="14:14">
      <c r="N11295" s="113"/>
    </row>
    <row r="11296" spans="14:14">
      <c r="N11296" s="113"/>
    </row>
    <row r="11297" spans="14:14">
      <c r="N11297" s="113"/>
    </row>
    <row r="11298" spans="14:14">
      <c r="N11298" s="113"/>
    </row>
    <row r="11299" spans="14:14">
      <c r="N11299" s="113"/>
    </row>
    <row r="11300" spans="14:14">
      <c r="N11300" s="113"/>
    </row>
    <row r="11301" spans="14:14">
      <c r="N11301" s="113"/>
    </row>
    <row r="11302" spans="14:14">
      <c r="N11302" s="113"/>
    </row>
    <row r="11303" spans="14:14">
      <c r="N11303" s="113"/>
    </row>
    <row r="11304" spans="14:14">
      <c r="N11304" s="113"/>
    </row>
    <row r="11305" spans="14:14">
      <c r="N11305" s="113"/>
    </row>
    <row r="11306" spans="14:14">
      <c r="N11306" s="113"/>
    </row>
    <row r="11307" spans="14:14">
      <c r="N11307" s="113"/>
    </row>
    <row r="11308" spans="14:14">
      <c r="N11308" s="113"/>
    </row>
    <row r="11309" spans="14:14">
      <c r="N11309" s="113"/>
    </row>
    <row r="11310" spans="14:14">
      <c r="N11310" s="113"/>
    </row>
    <row r="11311" spans="14:14">
      <c r="N11311" s="113"/>
    </row>
    <row r="11312" spans="14:14">
      <c r="N11312" s="113"/>
    </row>
    <row r="11313" spans="14:14">
      <c r="N11313" s="113"/>
    </row>
    <row r="11314" spans="14:14">
      <c r="N11314" s="113"/>
    </row>
    <row r="11315" spans="14:14">
      <c r="N11315" s="113"/>
    </row>
    <row r="11316" spans="14:14">
      <c r="N11316" s="113"/>
    </row>
    <row r="11317" spans="14:14">
      <c r="N11317" s="113"/>
    </row>
    <row r="11318" spans="14:14">
      <c r="N11318" s="113"/>
    </row>
    <row r="11319" spans="14:14">
      <c r="N11319" s="113"/>
    </row>
    <row r="11320" spans="14:14">
      <c r="N11320" s="113"/>
    </row>
    <row r="11321" spans="14:14">
      <c r="N11321" s="113"/>
    </row>
    <row r="11322" spans="14:14">
      <c r="N11322" s="113"/>
    </row>
    <row r="11323" spans="14:14">
      <c r="N11323" s="113"/>
    </row>
    <row r="11324" spans="14:14">
      <c r="N11324" s="113"/>
    </row>
    <row r="11325" spans="14:14">
      <c r="N11325" s="113"/>
    </row>
    <row r="11326" spans="14:14">
      <c r="N11326" s="113"/>
    </row>
    <row r="11327" spans="14:14">
      <c r="N11327" s="113"/>
    </row>
    <row r="11328" spans="14:14">
      <c r="N11328" s="113"/>
    </row>
    <row r="11329" spans="14:14">
      <c r="N11329" s="113"/>
    </row>
    <row r="11330" spans="14:14">
      <c r="N11330" s="113"/>
    </row>
    <row r="11331" spans="14:14">
      <c r="N11331" s="113"/>
    </row>
    <row r="11332" spans="14:14">
      <c r="N11332" s="113"/>
    </row>
    <row r="11333" spans="14:14">
      <c r="N11333" s="113"/>
    </row>
    <row r="11334" spans="14:14">
      <c r="N11334" s="113"/>
    </row>
    <row r="11335" spans="14:14">
      <c r="N11335" s="113"/>
    </row>
    <row r="11336" spans="14:14">
      <c r="N11336" s="113"/>
    </row>
    <row r="11337" spans="14:14">
      <c r="N11337" s="113"/>
    </row>
    <row r="11338" spans="14:14">
      <c r="N11338" s="113"/>
    </row>
    <row r="11339" spans="14:14">
      <c r="N11339" s="113"/>
    </row>
    <row r="11340" spans="14:14">
      <c r="N11340" s="113"/>
    </row>
    <row r="11341" spans="14:14">
      <c r="N11341" s="113"/>
    </row>
    <row r="11342" spans="14:14">
      <c r="N11342" s="113"/>
    </row>
    <row r="11343" spans="14:14">
      <c r="N11343" s="113"/>
    </row>
    <row r="11344" spans="14:14">
      <c r="N11344" s="113"/>
    </row>
    <row r="11345" spans="14:14">
      <c r="N11345" s="113"/>
    </row>
    <row r="11346" spans="14:14">
      <c r="N11346" s="113"/>
    </row>
    <row r="11347" spans="14:14">
      <c r="N11347" s="113"/>
    </row>
    <row r="11348" spans="14:14">
      <c r="N11348" s="113"/>
    </row>
    <row r="11349" spans="14:14">
      <c r="N11349" s="113"/>
    </row>
    <row r="11350" spans="14:14">
      <c r="N11350" s="113"/>
    </row>
    <row r="11351" spans="14:14">
      <c r="N11351" s="113"/>
    </row>
    <row r="11352" spans="14:14">
      <c r="N11352" s="113"/>
    </row>
    <row r="11353" spans="14:14">
      <c r="N11353" s="113"/>
    </row>
    <row r="11354" spans="14:14">
      <c r="N11354" s="113"/>
    </row>
    <row r="11355" spans="14:14">
      <c r="N11355" s="113"/>
    </row>
    <row r="11356" spans="14:14">
      <c r="N11356" s="113"/>
    </row>
    <row r="11357" spans="14:14">
      <c r="N11357" s="113"/>
    </row>
    <row r="11358" spans="14:14">
      <c r="N11358" s="113"/>
    </row>
    <row r="11359" spans="14:14">
      <c r="N11359" s="113"/>
    </row>
    <row r="11360" spans="14:14">
      <c r="N11360" s="113"/>
    </row>
    <row r="11361" spans="14:14">
      <c r="N11361" s="113"/>
    </row>
    <row r="11362" spans="14:14">
      <c r="N11362" s="113"/>
    </row>
    <row r="11363" spans="14:14">
      <c r="N11363" s="113"/>
    </row>
    <row r="11364" spans="14:14">
      <c r="N11364" s="113"/>
    </row>
    <row r="11365" spans="14:14">
      <c r="N11365" s="113"/>
    </row>
    <row r="11366" spans="14:14">
      <c r="N11366" s="113"/>
    </row>
    <row r="11367" spans="14:14">
      <c r="N11367" s="113"/>
    </row>
    <row r="11368" spans="14:14">
      <c r="N11368" s="113"/>
    </row>
    <row r="11369" spans="14:14">
      <c r="N11369" s="113"/>
    </row>
    <row r="11370" spans="14:14">
      <c r="N11370" s="113"/>
    </row>
    <row r="11371" spans="14:14">
      <c r="N11371" s="113"/>
    </row>
    <row r="11372" spans="14:14">
      <c r="N11372" s="113"/>
    </row>
    <row r="11373" spans="14:14">
      <c r="N11373" s="113"/>
    </row>
    <row r="11374" spans="14:14">
      <c r="N11374" s="113"/>
    </row>
    <row r="11375" spans="14:14">
      <c r="N11375" s="113"/>
    </row>
    <row r="11376" spans="14:14">
      <c r="N11376" s="113"/>
    </row>
    <row r="11377" spans="14:14">
      <c r="N11377" s="113"/>
    </row>
    <row r="11378" spans="14:14">
      <c r="N11378" s="113"/>
    </row>
    <row r="11379" spans="14:14">
      <c r="N11379" s="113"/>
    </row>
    <row r="11380" spans="14:14">
      <c r="N11380" s="113"/>
    </row>
    <row r="11381" spans="14:14">
      <c r="N11381" s="113"/>
    </row>
    <row r="11382" spans="14:14">
      <c r="N11382" s="113"/>
    </row>
    <row r="11383" spans="14:14">
      <c r="N11383" s="113"/>
    </row>
    <row r="11384" spans="14:14">
      <c r="N11384" s="113"/>
    </row>
    <row r="11385" spans="14:14">
      <c r="N11385" s="113"/>
    </row>
    <row r="11386" spans="14:14">
      <c r="N11386" s="113"/>
    </row>
    <row r="11387" spans="14:14">
      <c r="N11387" s="113"/>
    </row>
    <row r="11388" spans="14:14">
      <c r="N11388" s="113"/>
    </row>
    <row r="11389" spans="14:14">
      <c r="N11389" s="113"/>
    </row>
    <row r="11390" spans="14:14">
      <c r="N11390" s="113"/>
    </row>
    <row r="11391" spans="14:14">
      <c r="N11391" s="113"/>
    </row>
    <row r="11392" spans="14:14">
      <c r="N11392" s="113"/>
    </row>
    <row r="11393" spans="14:14">
      <c r="N11393" s="113"/>
    </row>
    <row r="11394" spans="14:14">
      <c r="N11394" s="113"/>
    </row>
    <row r="11395" spans="14:14">
      <c r="N11395" s="113"/>
    </row>
    <row r="11396" spans="14:14">
      <c r="N11396" s="113"/>
    </row>
    <row r="11397" spans="14:14">
      <c r="N11397" s="113"/>
    </row>
    <row r="11398" spans="14:14">
      <c r="N11398" s="113"/>
    </row>
    <row r="11399" spans="14:14">
      <c r="N11399" s="113"/>
    </row>
    <row r="11400" spans="14:14">
      <c r="N11400" s="113"/>
    </row>
    <row r="11401" spans="14:14">
      <c r="N11401" s="113"/>
    </row>
    <row r="11402" spans="14:14">
      <c r="N11402" s="113"/>
    </row>
    <row r="11403" spans="14:14">
      <c r="N11403" s="113"/>
    </row>
    <row r="11404" spans="14:14">
      <c r="N11404" s="113"/>
    </row>
    <row r="11405" spans="14:14">
      <c r="N11405" s="113"/>
    </row>
    <row r="11406" spans="14:14">
      <c r="N11406" s="113"/>
    </row>
    <row r="11407" spans="14:14">
      <c r="N11407" s="113"/>
    </row>
    <row r="11408" spans="14:14">
      <c r="N11408" s="113"/>
    </row>
    <row r="11409" spans="14:14">
      <c r="N11409" s="113"/>
    </row>
    <row r="11410" spans="14:14">
      <c r="N11410" s="113"/>
    </row>
    <row r="11411" spans="14:14">
      <c r="N11411" s="113"/>
    </row>
    <row r="11412" spans="14:14">
      <c r="N11412" s="113"/>
    </row>
    <row r="11413" spans="14:14">
      <c r="N11413" s="113"/>
    </row>
    <row r="11414" spans="14:14">
      <c r="N11414" s="113"/>
    </row>
    <row r="11415" spans="14:14">
      <c r="N11415" s="113"/>
    </row>
    <row r="11416" spans="14:14">
      <c r="N11416" s="113"/>
    </row>
    <row r="11417" spans="14:14">
      <c r="N11417" s="113"/>
    </row>
    <row r="11418" spans="14:14">
      <c r="N11418" s="113"/>
    </row>
    <row r="11419" spans="14:14">
      <c r="N11419" s="113"/>
    </row>
    <row r="11420" spans="14:14">
      <c r="N11420" s="113"/>
    </row>
    <row r="11421" spans="14:14">
      <c r="N11421" s="113"/>
    </row>
    <row r="11422" spans="14:14">
      <c r="N11422" s="113"/>
    </row>
    <row r="11423" spans="14:14">
      <c r="N11423" s="113"/>
    </row>
    <row r="11424" spans="14:14">
      <c r="N11424" s="113"/>
    </row>
    <row r="11425" spans="14:14">
      <c r="N11425" s="113"/>
    </row>
    <row r="11426" spans="14:14">
      <c r="N11426" s="113"/>
    </row>
    <row r="11427" spans="14:14">
      <c r="N11427" s="113"/>
    </row>
    <row r="11428" spans="14:14">
      <c r="N11428" s="113"/>
    </row>
    <row r="11429" spans="14:14">
      <c r="N11429" s="113"/>
    </row>
    <row r="11430" spans="14:14">
      <c r="N11430" s="113"/>
    </row>
    <row r="11431" spans="14:14">
      <c r="N11431" s="113"/>
    </row>
    <row r="11432" spans="14:14">
      <c r="N11432" s="113"/>
    </row>
    <row r="11433" spans="14:14">
      <c r="N11433" s="113"/>
    </row>
    <row r="11434" spans="14:14">
      <c r="N11434" s="113"/>
    </row>
    <row r="11435" spans="14:14">
      <c r="N11435" s="113"/>
    </row>
    <row r="11436" spans="14:14">
      <c r="N11436" s="113"/>
    </row>
    <row r="11437" spans="14:14">
      <c r="N11437" s="113"/>
    </row>
    <row r="11438" spans="14:14">
      <c r="N11438" s="113"/>
    </row>
    <row r="11439" spans="14:14">
      <c r="N11439" s="113"/>
    </row>
    <row r="11440" spans="14:14">
      <c r="N11440" s="113"/>
    </row>
    <row r="11441" spans="14:14">
      <c r="N11441" s="113"/>
    </row>
    <row r="11442" spans="14:14">
      <c r="N11442" s="113"/>
    </row>
    <row r="11443" spans="14:14">
      <c r="N11443" s="113"/>
    </row>
    <row r="11444" spans="14:14">
      <c r="N11444" s="113"/>
    </row>
    <row r="11445" spans="14:14">
      <c r="N11445" s="113"/>
    </row>
    <row r="11446" spans="14:14">
      <c r="N11446" s="113"/>
    </row>
    <row r="11447" spans="14:14">
      <c r="N11447" s="113"/>
    </row>
    <row r="11448" spans="14:14">
      <c r="N11448" s="113"/>
    </row>
    <row r="11449" spans="14:14">
      <c r="N11449" s="113"/>
    </row>
    <row r="11450" spans="14:14">
      <c r="N11450" s="113"/>
    </row>
    <row r="11451" spans="14:14">
      <c r="N11451" s="113"/>
    </row>
    <row r="11452" spans="14:14">
      <c r="N11452" s="113"/>
    </row>
    <row r="11453" spans="14:14">
      <c r="N11453" s="113"/>
    </row>
    <row r="11454" spans="14:14">
      <c r="N11454" s="113"/>
    </row>
    <row r="11455" spans="14:14">
      <c r="N11455" s="113"/>
    </row>
    <row r="11456" spans="14:14">
      <c r="N11456" s="113"/>
    </row>
    <row r="11457" spans="14:14">
      <c r="N11457" s="113"/>
    </row>
    <row r="11458" spans="14:14">
      <c r="N11458" s="113"/>
    </row>
    <row r="11459" spans="14:14">
      <c r="N11459" s="113"/>
    </row>
    <row r="11460" spans="14:14">
      <c r="N11460" s="113"/>
    </row>
    <row r="11461" spans="14:14">
      <c r="N11461" s="113"/>
    </row>
    <row r="11462" spans="14:14">
      <c r="N11462" s="113"/>
    </row>
    <row r="11463" spans="14:14">
      <c r="N11463" s="113"/>
    </row>
    <row r="11464" spans="14:14">
      <c r="N11464" s="113"/>
    </row>
    <row r="11465" spans="14:14">
      <c r="N11465" s="113"/>
    </row>
    <row r="11466" spans="14:14">
      <c r="N11466" s="113"/>
    </row>
    <row r="11467" spans="14:14">
      <c r="N11467" s="113"/>
    </row>
    <row r="11468" spans="14:14">
      <c r="N11468" s="113"/>
    </row>
    <row r="11469" spans="14:14">
      <c r="N11469" s="113"/>
    </row>
    <row r="11470" spans="14:14">
      <c r="N11470" s="113"/>
    </row>
    <row r="11471" spans="14:14">
      <c r="N11471" s="113"/>
    </row>
    <row r="11472" spans="14:14">
      <c r="N11472" s="113"/>
    </row>
    <row r="11473" spans="14:14">
      <c r="N11473" s="113"/>
    </row>
    <row r="11474" spans="14:14">
      <c r="N11474" s="113"/>
    </row>
    <row r="11475" spans="14:14">
      <c r="N11475" s="113"/>
    </row>
    <row r="11476" spans="14:14">
      <c r="N11476" s="113"/>
    </row>
    <row r="11477" spans="14:14">
      <c r="N11477" s="113"/>
    </row>
    <row r="11478" spans="14:14">
      <c r="N11478" s="113"/>
    </row>
    <row r="11479" spans="14:14">
      <c r="N11479" s="113"/>
    </row>
    <row r="11480" spans="14:14">
      <c r="N11480" s="113"/>
    </row>
    <row r="11481" spans="14:14">
      <c r="N11481" s="113"/>
    </row>
    <row r="11482" spans="14:14">
      <c r="N11482" s="113"/>
    </row>
    <row r="11483" spans="14:14">
      <c r="N11483" s="113"/>
    </row>
    <row r="11484" spans="14:14">
      <c r="N11484" s="113"/>
    </row>
    <row r="11485" spans="14:14">
      <c r="N11485" s="113"/>
    </row>
    <row r="11486" spans="14:14">
      <c r="N11486" s="113"/>
    </row>
    <row r="11487" spans="14:14">
      <c r="N11487" s="113"/>
    </row>
    <row r="11488" spans="14:14">
      <c r="N11488" s="113"/>
    </row>
    <row r="11489" spans="14:14">
      <c r="N11489" s="113"/>
    </row>
    <row r="11490" spans="14:14">
      <c r="N11490" s="113"/>
    </row>
    <row r="11491" spans="14:14">
      <c r="N11491" s="113"/>
    </row>
    <row r="11492" spans="14:14">
      <c r="N11492" s="113"/>
    </row>
    <row r="11493" spans="14:14">
      <c r="N11493" s="113"/>
    </row>
    <row r="11494" spans="14:14">
      <c r="N11494" s="113"/>
    </row>
    <row r="11495" spans="14:14">
      <c r="N11495" s="113"/>
    </row>
    <row r="11496" spans="14:14">
      <c r="N11496" s="113"/>
    </row>
    <row r="11497" spans="14:14">
      <c r="N11497" s="113"/>
    </row>
    <row r="11498" spans="14:14">
      <c r="N11498" s="113"/>
    </row>
    <row r="11499" spans="14:14">
      <c r="N11499" s="113"/>
    </row>
    <row r="11500" spans="14:14">
      <c r="N11500" s="113"/>
    </row>
    <row r="11501" spans="14:14">
      <c r="N11501" s="113"/>
    </row>
    <row r="11502" spans="14:14">
      <c r="N11502" s="113"/>
    </row>
    <row r="11503" spans="14:14">
      <c r="N11503" s="113"/>
    </row>
    <row r="11504" spans="14:14">
      <c r="N11504" s="113"/>
    </row>
    <row r="11505" spans="14:14">
      <c r="N11505" s="113"/>
    </row>
    <row r="11506" spans="14:14">
      <c r="N11506" s="113"/>
    </row>
    <row r="11507" spans="14:14">
      <c r="N11507" s="113"/>
    </row>
    <row r="11508" spans="14:14">
      <c r="N11508" s="113"/>
    </row>
    <row r="11509" spans="14:14">
      <c r="N11509" s="113"/>
    </row>
    <row r="11510" spans="14:14">
      <c r="N11510" s="113"/>
    </row>
    <row r="11511" spans="14:14">
      <c r="N11511" s="113"/>
    </row>
    <row r="11512" spans="14:14">
      <c r="N11512" s="113"/>
    </row>
    <row r="11513" spans="14:14">
      <c r="N11513" s="113"/>
    </row>
    <row r="11514" spans="14:14">
      <c r="N11514" s="113"/>
    </row>
    <row r="11515" spans="14:14">
      <c r="N11515" s="113"/>
    </row>
    <row r="11516" spans="14:14">
      <c r="N11516" s="113"/>
    </row>
    <row r="11517" spans="14:14">
      <c r="N11517" s="113"/>
    </row>
    <row r="11518" spans="14:14">
      <c r="N11518" s="113"/>
    </row>
    <row r="11519" spans="14:14">
      <c r="N11519" s="113"/>
    </row>
    <row r="11520" spans="14:14">
      <c r="N11520" s="113"/>
    </row>
    <row r="11521" spans="14:14">
      <c r="N11521" s="113"/>
    </row>
    <row r="11522" spans="14:14">
      <c r="N11522" s="113"/>
    </row>
    <row r="11523" spans="14:14">
      <c r="N11523" s="113"/>
    </row>
    <row r="11524" spans="14:14">
      <c r="N11524" s="113"/>
    </row>
    <row r="11525" spans="14:14">
      <c r="N11525" s="113"/>
    </row>
    <row r="11526" spans="14:14">
      <c r="N11526" s="113"/>
    </row>
    <row r="11527" spans="14:14">
      <c r="N11527" s="113"/>
    </row>
    <row r="11528" spans="14:14">
      <c r="N11528" s="113"/>
    </row>
    <row r="11529" spans="14:14">
      <c r="N11529" s="113"/>
    </row>
    <row r="11530" spans="14:14">
      <c r="N11530" s="113"/>
    </row>
    <row r="11531" spans="14:14">
      <c r="N11531" s="113"/>
    </row>
    <row r="11532" spans="14:14">
      <c r="N11532" s="113"/>
    </row>
    <row r="11533" spans="14:14">
      <c r="N11533" s="113"/>
    </row>
    <row r="11534" spans="14:14">
      <c r="N11534" s="113"/>
    </row>
    <row r="11535" spans="14:14">
      <c r="N11535" s="113"/>
    </row>
    <row r="11536" spans="14:14">
      <c r="N11536" s="113"/>
    </row>
    <row r="11537" spans="14:14">
      <c r="N11537" s="113"/>
    </row>
    <row r="11538" spans="14:14">
      <c r="N11538" s="113"/>
    </row>
    <row r="11539" spans="14:14">
      <c r="N11539" s="113"/>
    </row>
    <row r="11540" spans="14:14">
      <c r="N11540" s="113"/>
    </row>
    <row r="11541" spans="14:14">
      <c r="N11541" s="113"/>
    </row>
    <row r="11542" spans="14:14">
      <c r="N11542" s="113"/>
    </row>
    <row r="11543" spans="14:14">
      <c r="N11543" s="113"/>
    </row>
    <row r="11544" spans="14:14">
      <c r="N11544" s="113"/>
    </row>
    <row r="11545" spans="14:14">
      <c r="N11545" s="113"/>
    </row>
    <row r="11546" spans="14:14">
      <c r="N11546" s="113"/>
    </row>
    <row r="11547" spans="14:14">
      <c r="N11547" s="113"/>
    </row>
    <row r="11548" spans="14:14">
      <c r="N11548" s="113"/>
    </row>
    <row r="11549" spans="14:14">
      <c r="N11549" s="113"/>
    </row>
    <row r="11550" spans="14:14">
      <c r="N11550" s="113"/>
    </row>
    <row r="11551" spans="14:14">
      <c r="N11551" s="113"/>
    </row>
    <row r="11552" spans="14:14">
      <c r="N11552" s="113"/>
    </row>
    <row r="11553" spans="14:14">
      <c r="N11553" s="113"/>
    </row>
    <row r="11554" spans="14:14">
      <c r="N11554" s="113"/>
    </row>
    <row r="11555" spans="14:14">
      <c r="N11555" s="113"/>
    </row>
    <row r="11556" spans="14:14">
      <c r="N11556" s="113"/>
    </row>
    <row r="11557" spans="14:14">
      <c r="N11557" s="113"/>
    </row>
    <row r="11558" spans="14:14">
      <c r="N11558" s="113"/>
    </row>
    <row r="11559" spans="14:14">
      <c r="N11559" s="113"/>
    </row>
    <row r="11560" spans="14:14">
      <c r="N11560" s="113"/>
    </row>
    <row r="11561" spans="14:14">
      <c r="N11561" s="113"/>
    </row>
    <row r="11562" spans="14:14">
      <c r="N11562" s="113"/>
    </row>
    <row r="11563" spans="14:14">
      <c r="N11563" s="113"/>
    </row>
    <row r="11564" spans="14:14">
      <c r="N11564" s="113"/>
    </row>
    <row r="11565" spans="14:14">
      <c r="N11565" s="113"/>
    </row>
    <row r="11566" spans="14:14">
      <c r="N11566" s="113"/>
    </row>
    <row r="11567" spans="14:14">
      <c r="N11567" s="113"/>
    </row>
    <row r="11568" spans="14:14">
      <c r="N11568" s="113"/>
    </row>
    <row r="11569" spans="14:14">
      <c r="N11569" s="113"/>
    </row>
    <row r="11570" spans="14:14">
      <c r="N11570" s="113"/>
    </row>
    <row r="11571" spans="14:14">
      <c r="N11571" s="113"/>
    </row>
    <row r="11572" spans="14:14">
      <c r="N11572" s="113"/>
    </row>
    <row r="11573" spans="14:14">
      <c r="N11573" s="113"/>
    </row>
    <row r="11574" spans="14:14">
      <c r="N11574" s="113"/>
    </row>
    <row r="11575" spans="14:14">
      <c r="N11575" s="113"/>
    </row>
    <row r="11576" spans="14:14">
      <c r="N11576" s="113"/>
    </row>
    <row r="11577" spans="14:14">
      <c r="N11577" s="113"/>
    </row>
    <row r="11578" spans="14:14">
      <c r="N11578" s="113"/>
    </row>
    <row r="11579" spans="14:14">
      <c r="N11579" s="113"/>
    </row>
    <row r="11580" spans="14:14">
      <c r="N11580" s="113"/>
    </row>
    <row r="11581" spans="14:14">
      <c r="N11581" s="113"/>
    </row>
    <row r="11582" spans="14:14">
      <c r="N11582" s="113"/>
    </row>
    <row r="11583" spans="14:14">
      <c r="N11583" s="113"/>
    </row>
    <row r="11584" spans="14:14">
      <c r="N11584" s="113"/>
    </row>
    <row r="11585" spans="14:14">
      <c r="N11585" s="113"/>
    </row>
    <row r="11586" spans="14:14">
      <c r="N11586" s="113"/>
    </row>
    <row r="11587" spans="14:14">
      <c r="N11587" s="113"/>
    </row>
    <row r="11588" spans="14:14">
      <c r="N11588" s="113"/>
    </row>
    <row r="11589" spans="14:14">
      <c r="N11589" s="113"/>
    </row>
    <row r="11590" spans="14:14">
      <c r="N11590" s="113"/>
    </row>
    <row r="11591" spans="14:14">
      <c r="N11591" s="113"/>
    </row>
    <row r="11592" spans="14:14">
      <c r="N11592" s="113"/>
    </row>
    <row r="11593" spans="14:14">
      <c r="N11593" s="113"/>
    </row>
    <row r="11594" spans="14:14">
      <c r="N11594" s="113"/>
    </row>
    <row r="11595" spans="14:14">
      <c r="N11595" s="113"/>
    </row>
    <row r="11596" spans="14:14">
      <c r="N11596" s="113"/>
    </row>
    <row r="11597" spans="14:14">
      <c r="N11597" s="113"/>
    </row>
    <row r="11598" spans="14:14">
      <c r="N11598" s="113"/>
    </row>
    <row r="11599" spans="14:14">
      <c r="N11599" s="113"/>
    </row>
    <row r="11600" spans="14:14">
      <c r="N11600" s="113"/>
    </row>
    <row r="11601" spans="14:14">
      <c r="N11601" s="113"/>
    </row>
    <row r="11602" spans="14:14">
      <c r="N11602" s="113"/>
    </row>
    <row r="11603" spans="14:14">
      <c r="N11603" s="113"/>
    </row>
    <row r="11604" spans="14:14">
      <c r="N11604" s="113"/>
    </row>
    <row r="11605" spans="14:14">
      <c r="N11605" s="113"/>
    </row>
    <row r="11606" spans="14:14">
      <c r="N11606" s="113"/>
    </row>
    <row r="11607" spans="14:14">
      <c r="N11607" s="113"/>
    </row>
    <row r="11608" spans="14:14">
      <c r="N11608" s="113"/>
    </row>
    <row r="11609" spans="14:14">
      <c r="N11609" s="113"/>
    </row>
    <row r="11610" spans="14:14">
      <c r="N11610" s="113"/>
    </row>
    <row r="11611" spans="14:14">
      <c r="N11611" s="113"/>
    </row>
    <row r="11612" spans="14:14">
      <c r="N11612" s="113"/>
    </row>
    <row r="11613" spans="14:14">
      <c r="N11613" s="113"/>
    </row>
    <row r="11614" spans="14:14">
      <c r="N11614" s="113"/>
    </row>
    <row r="11615" spans="14:14">
      <c r="N11615" s="113"/>
    </row>
    <row r="11616" spans="14:14">
      <c r="N11616" s="113"/>
    </row>
    <row r="11617" spans="14:14">
      <c r="N11617" s="113"/>
    </row>
    <row r="11618" spans="14:14">
      <c r="N11618" s="113"/>
    </row>
    <row r="11619" spans="14:14">
      <c r="N11619" s="113"/>
    </row>
    <row r="11620" spans="14:14">
      <c r="N11620" s="113"/>
    </row>
    <row r="11621" spans="14:14">
      <c r="N11621" s="113"/>
    </row>
    <row r="11622" spans="14:14">
      <c r="N11622" s="113"/>
    </row>
    <row r="11623" spans="14:14">
      <c r="N11623" s="113"/>
    </row>
    <row r="11624" spans="14:14">
      <c r="N11624" s="113"/>
    </row>
    <row r="11625" spans="14:14">
      <c r="N11625" s="113"/>
    </row>
    <row r="11626" spans="14:14">
      <c r="N11626" s="113"/>
    </row>
    <row r="11627" spans="14:14">
      <c r="N11627" s="113"/>
    </row>
    <row r="11628" spans="14:14">
      <c r="N11628" s="113"/>
    </row>
    <row r="11629" spans="14:14">
      <c r="N11629" s="113"/>
    </row>
    <row r="11630" spans="14:14">
      <c r="N11630" s="113"/>
    </row>
    <row r="11631" spans="14:14">
      <c r="N11631" s="113"/>
    </row>
    <row r="11632" spans="14:14">
      <c r="N11632" s="113"/>
    </row>
    <row r="11633" spans="14:14">
      <c r="N11633" s="113"/>
    </row>
    <row r="11634" spans="14:14">
      <c r="N11634" s="113"/>
    </row>
    <row r="11635" spans="14:14">
      <c r="N11635" s="113"/>
    </row>
    <row r="11636" spans="14:14">
      <c r="N11636" s="113"/>
    </row>
    <row r="11637" spans="14:14">
      <c r="N11637" s="113"/>
    </row>
    <row r="11638" spans="14:14">
      <c r="N11638" s="113"/>
    </row>
    <row r="11639" spans="14:14">
      <c r="N11639" s="113"/>
    </row>
    <row r="11640" spans="14:14">
      <c r="N11640" s="113"/>
    </row>
    <row r="11641" spans="14:14">
      <c r="N11641" s="113"/>
    </row>
    <row r="11642" spans="14:14">
      <c r="N11642" s="113"/>
    </row>
    <row r="11643" spans="14:14">
      <c r="N11643" s="113"/>
    </row>
    <row r="11644" spans="14:14">
      <c r="N11644" s="113"/>
    </row>
    <row r="11645" spans="14:14">
      <c r="N11645" s="113"/>
    </row>
    <row r="11646" spans="14:14">
      <c r="N11646" s="113"/>
    </row>
    <row r="11647" spans="14:14">
      <c r="N11647" s="113"/>
    </row>
    <row r="11648" spans="14:14">
      <c r="N11648" s="113"/>
    </row>
    <row r="11649" spans="14:14">
      <c r="N11649" s="113"/>
    </row>
    <row r="11650" spans="14:14">
      <c r="N11650" s="113"/>
    </row>
    <row r="11651" spans="14:14">
      <c r="N11651" s="113"/>
    </row>
    <row r="11652" spans="14:14">
      <c r="N11652" s="113"/>
    </row>
    <row r="11653" spans="14:14">
      <c r="N11653" s="113"/>
    </row>
    <row r="11654" spans="14:14">
      <c r="N11654" s="113"/>
    </row>
    <row r="11655" spans="14:14">
      <c r="N11655" s="113"/>
    </row>
    <row r="11656" spans="14:14">
      <c r="N11656" s="113"/>
    </row>
    <row r="11657" spans="14:14">
      <c r="N11657" s="113"/>
    </row>
    <row r="11658" spans="14:14">
      <c r="N11658" s="113"/>
    </row>
    <row r="11659" spans="14:14">
      <c r="N11659" s="113"/>
    </row>
    <row r="11660" spans="14:14">
      <c r="N11660" s="113"/>
    </row>
    <row r="11661" spans="14:14">
      <c r="N11661" s="113"/>
    </row>
    <row r="11662" spans="14:14">
      <c r="N11662" s="113"/>
    </row>
    <row r="11663" spans="14:14">
      <c r="N11663" s="113"/>
    </row>
    <row r="11664" spans="14:14">
      <c r="N11664" s="113"/>
    </row>
    <row r="11665" spans="14:14">
      <c r="N11665" s="113"/>
    </row>
    <row r="11666" spans="14:14">
      <c r="N11666" s="113"/>
    </row>
    <row r="11667" spans="14:14">
      <c r="N11667" s="113"/>
    </row>
    <row r="11668" spans="14:14">
      <c r="N11668" s="113"/>
    </row>
    <row r="11669" spans="14:14">
      <c r="N11669" s="113"/>
    </row>
    <row r="11670" spans="14:14">
      <c r="N11670" s="113"/>
    </row>
    <row r="11671" spans="14:14">
      <c r="N11671" s="113"/>
    </row>
    <row r="11672" spans="14:14">
      <c r="N11672" s="113"/>
    </row>
    <row r="11673" spans="14:14">
      <c r="N11673" s="113"/>
    </row>
    <row r="11674" spans="14:14">
      <c r="N11674" s="113"/>
    </row>
    <row r="11675" spans="14:14">
      <c r="N11675" s="113"/>
    </row>
    <row r="11676" spans="14:14">
      <c r="N11676" s="113"/>
    </row>
    <row r="11677" spans="14:14">
      <c r="N11677" s="113"/>
    </row>
    <row r="11678" spans="14:14">
      <c r="N11678" s="113"/>
    </row>
    <row r="11679" spans="14:14">
      <c r="N11679" s="113"/>
    </row>
    <row r="11680" spans="14:14">
      <c r="N11680" s="113"/>
    </row>
    <row r="11681" spans="14:14">
      <c r="N11681" s="113"/>
    </row>
    <row r="11682" spans="14:14">
      <c r="N11682" s="113"/>
    </row>
    <row r="11683" spans="14:14">
      <c r="N11683" s="113"/>
    </row>
    <row r="11684" spans="14:14">
      <c r="N11684" s="113"/>
    </row>
    <row r="11685" spans="14:14">
      <c r="N11685" s="113"/>
    </row>
    <row r="11686" spans="14:14">
      <c r="N11686" s="113"/>
    </row>
    <row r="11687" spans="14:14">
      <c r="N11687" s="113"/>
    </row>
    <row r="11688" spans="14:14">
      <c r="N11688" s="113"/>
    </row>
    <row r="11689" spans="14:14">
      <c r="N11689" s="113"/>
    </row>
    <row r="11690" spans="14:14">
      <c r="N11690" s="113"/>
    </row>
    <row r="11691" spans="14:14">
      <c r="N11691" s="113"/>
    </row>
    <row r="11692" spans="14:14">
      <c r="N11692" s="113"/>
    </row>
    <row r="11693" spans="14:14">
      <c r="N11693" s="113"/>
    </row>
    <row r="11694" spans="14:14">
      <c r="N11694" s="113"/>
    </row>
    <row r="11695" spans="14:14">
      <c r="N11695" s="113"/>
    </row>
    <row r="11696" spans="14:14">
      <c r="N11696" s="113"/>
    </row>
    <row r="11697" spans="14:14">
      <c r="N11697" s="113"/>
    </row>
    <row r="11698" spans="14:14">
      <c r="N11698" s="113"/>
    </row>
    <row r="11699" spans="14:14">
      <c r="N11699" s="113"/>
    </row>
    <row r="11700" spans="14:14">
      <c r="N11700" s="113"/>
    </row>
    <row r="11701" spans="14:14">
      <c r="N11701" s="113"/>
    </row>
    <row r="11702" spans="14:14">
      <c r="N11702" s="113"/>
    </row>
    <row r="11703" spans="14:14">
      <c r="N11703" s="113"/>
    </row>
    <row r="11704" spans="14:14">
      <c r="N11704" s="113"/>
    </row>
    <row r="11705" spans="14:14">
      <c r="N11705" s="113"/>
    </row>
    <row r="11706" spans="14:14">
      <c r="N11706" s="113"/>
    </row>
    <row r="11707" spans="14:14">
      <c r="N11707" s="113"/>
    </row>
    <row r="11708" spans="14:14">
      <c r="N11708" s="113"/>
    </row>
    <row r="11709" spans="14:14">
      <c r="N11709" s="113"/>
    </row>
    <row r="11710" spans="14:14">
      <c r="N11710" s="113"/>
    </row>
    <row r="11711" spans="14:14">
      <c r="N11711" s="113"/>
    </row>
    <row r="11712" spans="14:14">
      <c r="N11712" s="113"/>
    </row>
    <row r="11713" spans="14:14">
      <c r="N11713" s="113"/>
    </row>
    <row r="11714" spans="14:14">
      <c r="N11714" s="113"/>
    </row>
    <row r="11715" spans="14:14">
      <c r="N11715" s="113"/>
    </row>
    <row r="11716" spans="14:14">
      <c r="N11716" s="113"/>
    </row>
    <row r="11717" spans="14:14">
      <c r="N11717" s="113"/>
    </row>
    <row r="11718" spans="14:14">
      <c r="N11718" s="113"/>
    </row>
    <row r="11719" spans="14:14">
      <c r="N11719" s="113"/>
    </row>
    <row r="11720" spans="14:14">
      <c r="N11720" s="113"/>
    </row>
    <row r="11721" spans="14:14">
      <c r="N11721" s="113"/>
    </row>
    <row r="11722" spans="14:14">
      <c r="N11722" s="113"/>
    </row>
    <row r="11723" spans="14:14">
      <c r="N11723" s="113"/>
    </row>
    <row r="11724" spans="14:14">
      <c r="N11724" s="113"/>
    </row>
    <row r="11725" spans="14:14">
      <c r="N11725" s="113"/>
    </row>
    <row r="11726" spans="14:14">
      <c r="N11726" s="113"/>
    </row>
    <row r="11727" spans="14:14">
      <c r="N11727" s="113"/>
    </row>
    <row r="11728" spans="14:14">
      <c r="N11728" s="113"/>
    </row>
    <row r="11729" spans="14:14">
      <c r="N11729" s="113"/>
    </row>
    <row r="11730" spans="14:14">
      <c r="N11730" s="113"/>
    </row>
    <row r="11731" spans="14:14">
      <c r="N11731" s="113"/>
    </row>
    <row r="11732" spans="14:14">
      <c r="N11732" s="113"/>
    </row>
    <row r="11733" spans="14:14">
      <c r="N11733" s="113"/>
    </row>
    <row r="11734" spans="14:14">
      <c r="N11734" s="113"/>
    </row>
    <row r="11735" spans="14:14">
      <c r="N11735" s="113"/>
    </row>
    <row r="11736" spans="14:14">
      <c r="N11736" s="113"/>
    </row>
    <row r="11737" spans="14:14">
      <c r="N11737" s="113"/>
    </row>
    <row r="11738" spans="14:14">
      <c r="N11738" s="113"/>
    </row>
    <row r="11739" spans="14:14">
      <c r="N11739" s="113"/>
    </row>
    <row r="11740" spans="14:14">
      <c r="N11740" s="113"/>
    </row>
    <row r="11741" spans="14:14">
      <c r="N11741" s="113"/>
    </row>
    <row r="11742" spans="14:14">
      <c r="N11742" s="113"/>
    </row>
    <row r="11743" spans="14:14">
      <c r="N11743" s="113"/>
    </row>
    <row r="11744" spans="14:14">
      <c r="N11744" s="113"/>
    </row>
    <row r="11745" spans="14:14">
      <c r="N11745" s="113"/>
    </row>
    <row r="11746" spans="14:14">
      <c r="N11746" s="113"/>
    </row>
    <row r="11747" spans="14:14">
      <c r="N11747" s="113"/>
    </row>
    <row r="11748" spans="14:14">
      <c r="N11748" s="113"/>
    </row>
    <row r="11749" spans="14:14">
      <c r="N11749" s="113"/>
    </row>
    <row r="11750" spans="14:14">
      <c r="N11750" s="113"/>
    </row>
    <row r="11751" spans="14:14">
      <c r="N11751" s="113"/>
    </row>
    <row r="11752" spans="14:14">
      <c r="N11752" s="113"/>
    </row>
    <row r="11753" spans="14:14">
      <c r="N11753" s="113"/>
    </row>
    <row r="11754" spans="14:14">
      <c r="N11754" s="113"/>
    </row>
    <row r="11755" spans="14:14">
      <c r="N11755" s="113"/>
    </row>
    <row r="11756" spans="14:14">
      <c r="N11756" s="113"/>
    </row>
    <row r="11757" spans="14:14">
      <c r="N11757" s="113"/>
    </row>
    <row r="11758" spans="14:14">
      <c r="N11758" s="113"/>
    </row>
    <row r="11759" spans="14:14">
      <c r="N11759" s="113"/>
    </row>
    <row r="11760" spans="14:14">
      <c r="N11760" s="113"/>
    </row>
    <row r="11761" spans="14:14">
      <c r="N11761" s="113"/>
    </row>
    <row r="11762" spans="14:14">
      <c r="N11762" s="113"/>
    </row>
    <row r="11763" spans="14:14">
      <c r="N11763" s="113"/>
    </row>
    <row r="11764" spans="14:14">
      <c r="N11764" s="113"/>
    </row>
    <row r="11765" spans="14:14">
      <c r="N11765" s="113"/>
    </row>
    <row r="11766" spans="14:14">
      <c r="N11766" s="113"/>
    </row>
    <row r="11767" spans="14:14">
      <c r="N11767" s="113"/>
    </row>
    <row r="11768" spans="14:14">
      <c r="N11768" s="113"/>
    </row>
    <row r="11769" spans="14:14">
      <c r="N11769" s="113"/>
    </row>
    <row r="11770" spans="14:14">
      <c r="N11770" s="113"/>
    </row>
    <row r="11771" spans="14:14">
      <c r="N11771" s="113"/>
    </row>
    <row r="11772" spans="14:14">
      <c r="N11772" s="113"/>
    </row>
    <row r="11773" spans="14:14">
      <c r="N11773" s="113"/>
    </row>
    <row r="11774" spans="14:14">
      <c r="N11774" s="113"/>
    </row>
    <row r="11775" spans="14:14">
      <c r="N11775" s="113"/>
    </row>
    <row r="11776" spans="14:14">
      <c r="N11776" s="113"/>
    </row>
    <row r="11777" spans="14:14">
      <c r="N11777" s="113"/>
    </row>
    <row r="11778" spans="14:14">
      <c r="N11778" s="113"/>
    </row>
    <row r="11779" spans="14:14">
      <c r="N11779" s="113"/>
    </row>
    <row r="11780" spans="14:14">
      <c r="N11780" s="113"/>
    </row>
    <row r="11781" spans="14:14">
      <c r="N11781" s="113"/>
    </row>
    <row r="11782" spans="14:14">
      <c r="N11782" s="113"/>
    </row>
    <row r="11783" spans="14:14">
      <c r="N11783" s="113"/>
    </row>
    <row r="11784" spans="14:14">
      <c r="N11784" s="113"/>
    </row>
    <row r="11785" spans="14:14">
      <c r="N11785" s="113"/>
    </row>
    <row r="11786" spans="14:14">
      <c r="N11786" s="113"/>
    </row>
    <row r="11787" spans="14:14">
      <c r="N11787" s="113"/>
    </row>
    <row r="11788" spans="14:14">
      <c r="N11788" s="113"/>
    </row>
    <row r="11789" spans="14:14">
      <c r="N11789" s="113"/>
    </row>
    <row r="11790" spans="14:14">
      <c r="N11790" s="113"/>
    </row>
    <row r="11791" spans="14:14">
      <c r="N11791" s="113"/>
    </row>
    <row r="11792" spans="14:14">
      <c r="N11792" s="113"/>
    </row>
    <row r="11793" spans="14:14">
      <c r="N11793" s="113"/>
    </row>
    <row r="11794" spans="14:14">
      <c r="N11794" s="113"/>
    </row>
    <row r="11795" spans="14:14">
      <c r="N11795" s="113"/>
    </row>
    <row r="11796" spans="14:14">
      <c r="N11796" s="113"/>
    </row>
    <row r="11797" spans="14:14">
      <c r="N11797" s="113"/>
    </row>
    <row r="11798" spans="14:14">
      <c r="N11798" s="113"/>
    </row>
    <row r="11799" spans="14:14">
      <c r="N11799" s="113"/>
    </row>
    <row r="11800" spans="14:14">
      <c r="N11800" s="113"/>
    </row>
    <row r="11801" spans="14:14">
      <c r="N11801" s="113"/>
    </row>
    <row r="11802" spans="14:14">
      <c r="N11802" s="113"/>
    </row>
    <row r="11803" spans="14:14">
      <c r="N11803" s="113"/>
    </row>
    <row r="11804" spans="14:14">
      <c r="N11804" s="113"/>
    </row>
    <row r="11805" spans="14:14">
      <c r="N11805" s="113"/>
    </row>
    <row r="11806" spans="14:14">
      <c r="N11806" s="113"/>
    </row>
    <row r="11807" spans="14:14">
      <c r="N11807" s="113"/>
    </row>
    <row r="11808" spans="14:14">
      <c r="N11808" s="113"/>
    </row>
    <row r="11809" spans="14:14">
      <c r="N11809" s="113"/>
    </row>
    <row r="11810" spans="14:14">
      <c r="N11810" s="113"/>
    </row>
    <row r="11811" spans="14:14">
      <c r="N11811" s="113"/>
    </row>
    <row r="11812" spans="14:14">
      <c r="N11812" s="113"/>
    </row>
    <row r="11813" spans="14:14">
      <c r="N11813" s="113"/>
    </row>
    <row r="11814" spans="14:14">
      <c r="N11814" s="113"/>
    </row>
    <row r="11815" spans="14:14">
      <c r="N11815" s="113"/>
    </row>
    <row r="11816" spans="14:14">
      <c r="N11816" s="113"/>
    </row>
    <row r="11817" spans="14:14">
      <c r="N11817" s="113"/>
    </row>
    <row r="11818" spans="14:14">
      <c r="N11818" s="113"/>
    </row>
    <row r="11819" spans="14:14">
      <c r="N11819" s="113"/>
    </row>
    <row r="11820" spans="14:14">
      <c r="N11820" s="113"/>
    </row>
    <row r="11821" spans="14:14">
      <c r="N11821" s="113"/>
    </row>
    <row r="11822" spans="14:14">
      <c r="N11822" s="113"/>
    </row>
    <row r="11823" spans="14:14">
      <c r="N11823" s="113"/>
    </row>
    <row r="11824" spans="14:14">
      <c r="N11824" s="113"/>
    </row>
    <row r="11825" spans="14:14">
      <c r="N11825" s="113"/>
    </row>
    <row r="11826" spans="14:14">
      <c r="N11826" s="113"/>
    </row>
    <row r="11827" spans="14:14">
      <c r="N11827" s="113"/>
    </row>
    <row r="11828" spans="14:14">
      <c r="N11828" s="113"/>
    </row>
    <row r="11829" spans="14:14">
      <c r="N11829" s="113"/>
    </row>
    <row r="11830" spans="14:14">
      <c r="N11830" s="113"/>
    </row>
    <row r="11831" spans="14:14">
      <c r="N11831" s="113"/>
    </row>
    <row r="11832" spans="14:14">
      <c r="N11832" s="113"/>
    </row>
    <row r="11833" spans="14:14">
      <c r="N11833" s="113"/>
    </row>
    <row r="11834" spans="14:14">
      <c r="N11834" s="113"/>
    </row>
    <row r="11835" spans="14:14">
      <c r="N11835" s="113"/>
    </row>
    <row r="11836" spans="14:14">
      <c r="N11836" s="113"/>
    </row>
    <row r="11837" spans="14:14">
      <c r="N11837" s="113"/>
    </row>
    <row r="11838" spans="14:14">
      <c r="N11838" s="113"/>
    </row>
    <row r="11839" spans="14:14">
      <c r="N11839" s="113"/>
    </row>
    <row r="11840" spans="14:14">
      <c r="N11840" s="113"/>
    </row>
    <row r="11841" spans="14:14">
      <c r="N11841" s="113"/>
    </row>
    <row r="11842" spans="14:14">
      <c r="N11842" s="113"/>
    </row>
    <row r="11843" spans="14:14">
      <c r="N11843" s="113"/>
    </row>
    <row r="11844" spans="14:14">
      <c r="N11844" s="113"/>
    </row>
    <row r="11845" spans="14:14">
      <c r="N11845" s="113"/>
    </row>
    <row r="11846" spans="14:14">
      <c r="N11846" s="113"/>
    </row>
    <row r="11847" spans="14:14">
      <c r="N11847" s="113"/>
    </row>
    <row r="11848" spans="14:14">
      <c r="N11848" s="113"/>
    </row>
    <row r="11849" spans="14:14">
      <c r="N11849" s="113"/>
    </row>
    <row r="11850" spans="14:14">
      <c r="N11850" s="113"/>
    </row>
    <row r="11851" spans="14:14">
      <c r="N11851" s="113"/>
    </row>
    <row r="11852" spans="14:14">
      <c r="N11852" s="113"/>
    </row>
    <row r="11853" spans="14:14">
      <c r="N11853" s="113"/>
    </row>
    <row r="11854" spans="14:14">
      <c r="N11854" s="113"/>
    </row>
    <row r="11855" spans="14:14">
      <c r="N11855" s="113"/>
    </row>
    <row r="11856" spans="14:14">
      <c r="N11856" s="113"/>
    </row>
    <row r="11857" spans="14:14">
      <c r="N11857" s="113"/>
    </row>
    <row r="11858" spans="14:14">
      <c r="N11858" s="113"/>
    </row>
    <row r="11859" spans="14:14">
      <c r="N11859" s="113"/>
    </row>
    <row r="11860" spans="14:14">
      <c r="N11860" s="113"/>
    </row>
    <row r="11861" spans="14:14">
      <c r="N11861" s="113"/>
    </row>
    <row r="11862" spans="14:14">
      <c r="N11862" s="113"/>
    </row>
    <row r="11863" spans="14:14">
      <c r="N11863" s="113"/>
    </row>
    <row r="11864" spans="14:14">
      <c r="N11864" s="113"/>
    </row>
    <row r="11865" spans="14:14">
      <c r="N11865" s="113"/>
    </row>
    <row r="11866" spans="14:14">
      <c r="N11866" s="113"/>
    </row>
    <row r="11867" spans="14:14">
      <c r="N11867" s="113"/>
    </row>
    <row r="11868" spans="14:14">
      <c r="N11868" s="113"/>
    </row>
    <row r="11869" spans="14:14">
      <c r="N11869" s="113"/>
    </row>
    <row r="11870" spans="14:14">
      <c r="N11870" s="113"/>
    </row>
    <row r="11871" spans="14:14">
      <c r="N11871" s="113"/>
    </row>
    <row r="11872" spans="14:14">
      <c r="N11872" s="113"/>
    </row>
    <row r="11873" spans="14:14">
      <c r="N11873" s="113"/>
    </row>
    <row r="11874" spans="14:14">
      <c r="N11874" s="113"/>
    </row>
    <row r="11875" spans="14:14">
      <c r="N11875" s="113"/>
    </row>
    <row r="11876" spans="14:14">
      <c r="N11876" s="113"/>
    </row>
    <row r="11877" spans="14:14">
      <c r="N11877" s="113"/>
    </row>
    <row r="11878" spans="14:14">
      <c r="N11878" s="113"/>
    </row>
    <row r="11879" spans="14:14">
      <c r="N11879" s="113"/>
    </row>
    <row r="11880" spans="14:14">
      <c r="N11880" s="113"/>
    </row>
    <row r="11881" spans="14:14">
      <c r="N11881" s="113"/>
    </row>
    <row r="11882" spans="14:14">
      <c r="N11882" s="113"/>
    </row>
    <row r="11883" spans="14:14">
      <c r="N11883" s="113"/>
    </row>
    <row r="11884" spans="14:14">
      <c r="N11884" s="113"/>
    </row>
    <row r="11885" spans="14:14">
      <c r="N11885" s="113"/>
    </row>
    <row r="11886" spans="14:14">
      <c r="N11886" s="113"/>
    </row>
    <row r="11887" spans="14:14">
      <c r="N11887" s="113"/>
    </row>
    <row r="11888" spans="14:14">
      <c r="N11888" s="113"/>
    </row>
    <row r="11889" spans="14:14">
      <c r="N11889" s="113"/>
    </row>
    <row r="11890" spans="14:14">
      <c r="N11890" s="113"/>
    </row>
    <row r="11891" spans="14:14">
      <c r="N11891" s="113"/>
    </row>
    <row r="11892" spans="14:14">
      <c r="N11892" s="113"/>
    </row>
    <row r="11893" spans="14:14">
      <c r="N11893" s="113"/>
    </row>
    <row r="11894" spans="14:14">
      <c r="N11894" s="113"/>
    </row>
    <row r="11895" spans="14:14">
      <c r="N11895" s="113"/>
    </row>
    <row r="11896" spans="14:14">
      <c r="N11896" s="113"/>
    </row>
    <row r="11897" spans="14:14">
      <c r="N11897" s="113"/>
    </row>
    <row r="11898" spans="14:14">
      <c r="N11898" s="113"/>
    </row>
    <row r="11899" spans="14:14">
      <c r="N11899" s="113"/>
    </row>
    <row r="11900" spans="14:14">
      <c r="N11900" s="113"/>
    </row>
    <row r="11901" spans="14:14">
      <c r="N11901" s="113"/>
    </row>
    <row r="11902" spans="14:14">
      <c r="N11902" s="113"/>
    </row>
    <row r="11903" spans="14:14">
      <c r="N11903" s="113"/>
    </row>
    <row r="11904" spans="14:14">
      <c r="N11904" s="113"/>
    </row>
    <row r="11905" spans="14:14">
      <c r="N11905" s="113"/>
    </row>
    <row r="11906" spans="14:14">
      <c r="N11906" s="113"/>
    </row>
    <row r="11907" spans="14:14">
      <c r="N11907" s="113"/>
    </row>
    <row r="11908" spans="14:14">
      <c r="N11908" s="113"/>
    </row>
    <row r="11909" spans="14:14">
      <c r="N11909" s="113"/>
    </row>
    <row r="11910" spans="14:14">
      <c r="N11910" s="113"/>
    </row>
    <row r="11911" spans="14:14">
      <c r="N11911" s="113"/>
    </row>
    <row r="11912" spans="14:14">
      <c r="N11912" s="113"/>
    </row>
    <row r="11913" spans="14:14">
      <c r="N11913" s="113"/>
    </row>
    <row r="11914" spans="14:14">
      <c r="N11914" s="113"/>
    </row>
    <row r="11915" spans="14:14">
      <c r="N11915" s="113"/>
    </row>
    <row r="11916" spans="14:14">
      <c r="N11916" s="113"/>
    </row>
    <row r="11917" spans="14:14">
      <c r="N11917" s="113"/>
    </row>
    <row r="11918" spans="14:14">
      <c r="N11918" s="113"/>
    </row>
    <row r="11919" spans="14:14">
      <c r="N11919" s="113"/>
    </row>
    <row r="11920" spans="14:14">
      <c r="N11920" s="113"/>
    </row>
    <row r="11921" spans="14:14">
      <c r="N11921" s="113"/>
    </row>
    <row r="11922" spans="14:14">
      <c r="N11922" s="113"/>
    </row>
    <row r="11923" spans="14:14">
      <c r="N11923" s="113"/>
    </row>
    <row r="11924" spans="14:14">
      <c r="N11924" s="113"/>
    </row>
    <row r="11925" spans="14:14">
      <c r="N11925" s="113"/>
    </row>
    <row r="11926" spans="14:14">
      <c r="N11926" s="113"/>
    </row>
    <row r="11927" spans="14:14">
      <c r="N11927" s="113"/>
    </row>
    <row r="11928" spans="14:14">
      <c r="N11928" s="113"/>
    </row>
    <row r="11929" spans="14:14">
      <c r="N11929" s="113"/>
    </row>
    <row r="11930" spans="14:14">
      <c r="N11930" s="113"/>
    </row>
    <row r="11931" spans="14:14">
      <c r="N11931" s="113"/>
    </row>
    <row r="11932" spans="14:14">
      <c r="N11932" s="113"/>
    </row>
    <row r="11933" spans="14:14">
      <c r="N11933" s="113"/>
    </row>
    <row r="11934" spans="14:14">
      <c r="N11934" s="113"/>
    </row>
    <row r="11935" spans="14:14">
      <c r="N11935" s="113"/>
    </row>
    <row r="11936" spans="14:14">
      <c r="N11936" s="113"/>
    </row>
    <row r="11937" spans="14:14">
      <c r="N11937" s="113"/>
    </row>
    <row r="11938" spans="14:14">
      <c r="N11938" s="113"/>
    </row>
    <row r="11939" spans="14:14">
      <c r="N11939" s="113"/>
    </row>
    <row r="11940" spans="14:14">
      <c r="N11940" s="113"/>
    </row>
    <row r="11941" spans="14:14">
      <c r="N11941" s="113"/>
    </row>
    <row r="11942" spans="14:14">
      <c r="N11942" s="113"/>
    </row>
    <row r="11943" spans="14:14">
      <c r="N11943" s="113"/>
    </row>
    <row r="11944" spans="14:14">
      <c r="N11944" s="113"/>
    </row>
    <row r="11945" spans="14:14">
      <c r="N11945" s="113"/>
    </row>
    <row r="11946" spans="14:14">
      <c r="N11946" s="113"/>
    </row>
    <row r="11947" spans="14:14">
      <c r="N11947" s="113"/>
    </row>
    <row r="11948" spans="14:14">
      <c r="N11948" s="113"/>
    </row>
    <row r="11949" spans="14:14">
      <c r="N11949" s="113"/>
    </row>
    <row r="11950" spans="14:14">
      <c r="N11950" s="113"/>
    </row>
    <row r="11951" spans="14:14">
      <c r="N11951" s="113"/>
    </row>
    <row r="11952" spans="14:14">
      <c r="N11952" s="113"/>
    </row>
    <row r="11953" spans="14:14">
      <c r="N11953" s="113"/>
    </row>
    <row r="11954" spans="14:14">
      <c r="N11954" s="113"/>
    </row>
    <row r="11955" spans="14:14">
      <c r="N11955" s="113"/>
    </row>
    <row r="11956" spans="14:14">
      <c r="N11956" s="113"/>
    </row>
    <row r="11957" spans="14:14">
      <c r="N11957" s="113"/>
    </row>
    <row r="11958" spans="14:14">
      <c r="N11958" s="113"/>
    </row>
    <row r="11959" spans="14:14">
      <c r="N11959" s="113"/>
    </row>
    <row r="11960" spans="14:14">
      <c r="N11960" s="113"/>
    </row>
    <row r="11961" spans="14:14">
      <c r="N11961" s="113"/>
    </row>
    <row r="11962" spans="14:14">
      <c r="N11962" s="113"/>
    </row>
    <row r="11963" spans="14:14">
      <c r="N11963" s="113"/>
    </row>
    <row r="11964" spans="14:14">
      <c r="N11964" s="113"/>
    </row>
    <row r="11965" spans="14:14">
      <c r="N11965" s="113"/>
    </row>
    <row r="11966" spans="14:14">
      <c r="N11966" s="113"/>
    </row>
    <row r="11967" spans="14:14">
      <c r="N11967" s="113"/>
    </row>
    <row r="11968" spans="14:14">
      <c r="N11968" s="113"/>
    </row>
    <row r="11969" spans="14:14">
      <c r="N11969" s="113"/>
    </row>
    <row r="11970" spans="14:14">
      <c r="N11970" s="113"/>
    </row>
    <row r="11971" spans="14:14">
      <c r="N11971" s="113"/>
    </row>
    <row r="11972" spans="14:14">
      <c r="N11972" s="113"/>
    </row>
    <row r="11973" spans="14:14">
      <c r="N11973" s="113"/>
    </row>
    <row r="11974" spans="14:14">
      <c r="N11974" s="113"/>
    </row>
    <row r="11975" spans="14:14">
      <c r="N11975" s="113"/>
    </row>
    <row r="11976" spans="14:14">
      <c r="N11976" s="113"/>
    </row>
    <row r="11977" spans="14:14">
      <c r="N11977" s="113"/>
    </row>
    <row r="11978" spans="14:14">
      <c r="N11978" s="113"/>
    </row>
    <row r="11979" spans="14:14">
      <c r="N11979" s="113"/>
    </row>
    <row r="11980" spans="14:14">
      <c r="N11980" s="113"/>
    </row>
    <row r="11981" spans="14:14">
      <c r="N11981" s="113"/>
    </row>
    <row r="11982" spans="14:14">
      <c r="N11982" s="113"/>
    </row>
    <row r="11983" spans="14:14">
      <c r="N11983" s="113"/>
    </row>
    <row r="11984" spans="14:14">
      <c r="N11984" s="113"/>
    </row>
    <row r="11985" spans="14:14">
      <c r="N11985" s="113"/>
    </row>
    <row r="11986" spans="14:14">
      <c r="N11986" s="113"/>
    </row>
    <row r="11987" spans="14:14">
      <c r="N11987" s="113"/>
    </row>
    <row r="11988" spans="14:14">
      <c r="N11988" s="113"/>
    </row>
    <row r="11989" spans="14:14">
      <c r="N11989" s="113"/>
    </row>
    <row r="11990" spans="14:14">
      <c r="N11990" s="113"/>
    </row>
    <row r="11991" spans="14:14">
      <c r="N11991" s="113"/>
    </row>
    <row r="11992" spans="14:14">
      <c r="N11992" s="113"/>
    </row>
    <row r="11993" spans="14:14">
      <c r="N11993" s="113"/>
    </row>
    <row r="11994" spans="14:14">
      <c r="N11994" s="113"/>
    </row>
    <row r="11995" spans="14:14">
      <c r="N11995" s="113"/>
    </row>
    <row r="11996" spans="14:14">
      <c r="N11996" s="113"/>
    </row>
    <row r="11997" spans="14:14">
      <c r="N11997" s="113"/>
    </row>
    <row r="11998" spans="14:14">
      <c r="N11998" s="113"/>
    </row>
    <row r="11999" spans="14:14">
      <c r="N11999" s="113"/>
    </row>
    <row r="12000" spans="14:14">
      <c r="N12000" s="113"/>
    </row>
    <row r="12001" spans="14:14">
      <c r="N12001" s="113"/>
    </row>
    <row r="12002" spans="14:14">
      <c r="N12002" s="113"/>
    </row>
    <row r="12003" spans="14:14">
      <c r="N12003" s="113"/>
    </row>
    <row r="12004" spans="14:14">
      <c r="N12004" s="113"/>
    </row>
    <row r="12005" spans="14:14">
      <c r="N12005" s="113"/>
    </row>
    <row r="12006" spans="14:14">
      <c r="N12006" s="113"/>
    </row>
    <row r="12007" spans="14:14">
      <c r="N12007" s="113"/>
    </row>
    <row r="12008" spans="14:14">
      <c r="N12008" s="113"/>
    </row>
    <row r="12009" spans="14:14">
      <c r="N12009" s="113"/>
    </row>
    <row r="12010" spans="14:14">
      <c r="N12010" s="113"/>
    </row>
    <row r="12011" spans="14:14">
      <c r="N12011" s="113"/>
    </row>
    <row r="12012" spans="14:14">
      <c r="N12012" s="113"/>
    </row>
    <row r="12013" spans="14:14">
      <c r="N12013" s="113"/>
    </row>
    <row r="12014" spans="14:14">
      <c r="N12014" s="113"/>
    </row>
    <row r="12015" spans="14:14">
      <c r="N12015" s="113"/>
    </row>
    <row r="12016" spans="14:14">
      <c r="N12016" s="113"/>
    </row>
    <row r="12017" spans="14:14">
      <c r="N12017" s="113"/>
    </row>
    <row r="12018" spans="14:14">
      <c r="N12018" s="113"/>
    </row>
    <row r="12019" spans="14:14">
      <c r="N12019" s="113"/>
    </row>
    <row r="12020" spans="14:14">
      <c r="N12020" s="113"/>
    </row>
    <row r="12021" spans="14:14">
      <c r="N12021" s="113"/>
    </row>
    <row r="12022" spans="14:14">
      <c r="N12022" s="113"/>
    </row>
    <row r="12023" spans="14:14">
      <c r="N12023" s="113"/>
    </row>
    <row r="12024" spans="14:14">
      <c r="N12024" s="113"/>
    </row>
    <row r="12025" spans="14:14">
      <c r="N12025" s="113"/>
    </row>
    <row r="12026" spans="14:14">
      <c r="N12026" s="113"/>
    </row>
    <row r="12027" spans="14:14">
      <c r="N12027" s="113"/>
    </row>
    <row r="12028" spans="14:14">
      <c r="N12028" s="113"/>
    </row>
    <row r="12029" spans="14:14">
      <c r="N12029" s="113"/>
    </row>
    <row r="12030" spans="14:14">
      <c r="N12030" s="113"/>
    </row>
    <row r="12031" spans="14:14">
      <c r="N12031" s="113"/>
    </row>
    <row r="12032" spans="14:14">
      <c r="N12032" s="113"/>
    </row>
    <row r="12033" spans="14:14">
      <c r="N12033" s="113"/>
    </row>
    <row r="12034" spans="14:14">
      <c r="N12034" s="113"/>
    </row>
    <row r="12035" spans="14:14">
      <c r="N12035" s="113"/>
    </row>
    <row r="12036" spans="14:14">
      <c r="N12036" s="113"/>
    </row>
    <row r="12037" spans="14:14">
      <c r="N12037" s="113"/>
    </row>
    <row r="12038" spans="14:14">
      <c r="N12038" s="113"/>
    </row>
    <row r="12039" spans="14:14">
      <c r="N12039" s="113"/>
    </row>
    <row r="12040" spans="14:14">
      <c r="N12040" s="113"/>
    </row>
    <row r="12041" spans="14:14">
      <c r="N12041" s="113"/>
    </row>
    <row r="12042" spans="14:14">
      <c r="N12042" s="113"/>
    </row>
    <row r="12043" spans="14:14">
      <c r="N12043" s="113"/>
    </row>
    <row r="12044" spans="14:14">
      <c r="N12044" s="113"/>
    </row>
    <row r="12045" spans="14:14">
      <c r="N12045" s="113"/>
    </row>
    <row r="12046" spans="14:14">
      <c r="N12046" s="113"/>
    </row>
    <row r="12047" spans="14:14">
      <c r="N12047" s="113"/>
    </row>
    <row r="12048" spans="14:14">
      <c r="N12048" s="113"/>
    </row>
    <row r="12049" spans="14:14">
      <c r="N12049" s="113"/>
    </row>
    <row r="12050" spans="14:14">
      <c r="N12050" s="113"/>
    </row>
    <row r="12051" spans="14:14">
      <c r="N12051" s="113"/>
    </row>
    <row r="12052" spans="14:14">
      <c r="N12052" s="113"/>
    </row>
    <row r="12053" spans="14:14">
      <c r="N12053" s="113"/>
    </row>
    <row r="12054" spans="14:14">
      <c r="N12054" s="113"/>
    </row>
    <row r="12055" spans="14:14">
      <c r="N12055" s="113"/>
    </row>
    <row r="12056" spans="14:14">
      <c r="N12056" s="113"/>
    </row>
    <row r="12057" spans="14:14">
      <c r="N12057" s="113"/>
    </row>
    <row r="12058" spans="14:14">
      <c r="N12058" s="113"/>
    </row>
    <row r="12059" spans="14:14">
      <c r="N12059" s="113"/>
    </row>
    <row r="12060" spans="14:14">
      <c r="N12060" s="113"/>
    </row>
    <row r="12061" spans="14:14">
      <c r="N12061" s="113"/>
    </row>
    <row r="12062" spans="14:14">
      <c r="N12062" s="113"/>
    </row>
    <row r="12063" spans="14:14">
      <c r="N12063" s="113"/>
    </row>
    <row r="12064" spans="14:14">
      <c r="N12064" s="113"/>
    </row>
    <row r="12065" spans="14:14">
      <c r="N12065" s="113"/>
    </row>
    <row r="12066" spans="14:14">
      <c r="N12066" s="113"/>
    </row>
    <row r="12067" spans="14:14">
      <c r="N12067" s="113"/>
    </row>
    <row r="12068" spans="14:14">
      <c r="N12068" s="113"/>
    </row>
    <row r="12069" spans="14:14">
      <c r="N12069" s="113"/>
    </row>
    <row r="12070" spans="14:14">
      <c r="N12070" s="113"/>
    </row>
    <row r="12071" spans="14:14">
      <c r="N12071" s="113"/>
    </row>
    <row r="12072" spans="14:14">
      <c r="N12072" s="113"/>
    </row>
    <row r="12073" spans="14:14">
      <c r="N12073" s="113"/>
    </row>
    <row r="12074" spans="14:14">
      <c r="N12074" s="113"/>
    </row>
    <row r="12075" spans="14:14">
      <c r="N12075" s="113"/>
    </row>
    <row r="12076" spans="14:14">
      <c r="N12076" s="113"/>
    </row>
    <row r="12077" spans="14:14">
      <c r="N12077" s="113"/>
    </row>
    <row r="12078" spans="14:14">
      <c r="N12078" s="113"/>
    </row>
    <row r="12079" spans="14:14">
      <c r="N12079" s="113"/>
    </row>
    <row r="12080" spans="14:14">
      <c r="N12080" s="113"/>
    </row>
    <row r="12081" spans="14:14">
      <c r="N12081" s="113"/>
    </row>
    <row r="12082" spans="14:14">
      <c r="N12082" s="113"/>
    </row>
    <row r="12083" spans="14:14">
      <c r="N12083" s="113"/>
    </row>
    <row r="12084" spans="14:14">
      <c r="N12084" s="113"/>
    </row>
    <row r="12085" spans="14:14">
      <c r="N12085" s="113"/>
    </row>
    <row r="12086" spans="14:14">
      <c r="N12086" s="113"/>
    </row>
    <row r="12087" spans="14:14">
      <c r="N12087" s="113"/>
    </row>
    <row r="12088" spans="14:14">
      <c r="N12088" s="113"/>
    </row>
    <row r="12089" spans="14:14">
      <c r="N12089" s="113"/>
    </row>
    <row r="12090" spans="14:14">
      <c r="N12090" s="113"/>
    </row>
    <row r="12091" spans="14:14">
      <c r="N12091" s="113"/>
    </row>
    <row r="12092" spans="14:14">
      <c r="N12092" s="113"/>
    </row>
    <row r="12093" spans="14:14">
      <c r="N12093" s="113"/>
    </row>
    <row r="12094" spans="14:14">
      <c r="N12094" s="113"/>
    </row>
    <row r="12095" spans="14:14">
      <c r="N12095" s="113"/>
    </row>
    <row r="12096" spans="14:14">
      <c r="N12096" s="113"/>
    </row>
    <row r="12097" spans="14:14">
      <c r="N12097" s="113"/>
    </row>
    <row r="12098" spans="14:14">
      <c r="N12098" s="113"/>
    </row>
    <row r="12099" spans="14:14">
      <c r="N12099" s="113"/>
    </row>
    <row r="12100" spans="14:14">
      <c r="N12100" s="113"/>
    </row>
    <row r="12101" spans="14:14">
      <c r="N12101" s="113"/>
    </row>
    <row r="12102" spans="14:14">
      <c r="N12102" s="113"/>
    </row>
    <row r="12103" spans="14:14">
      <c r="N12103" s="113"/>
    </row>
    <row r="12104" spans="14:14">
      <c r="N12104" s="113"/>
    </row>
    <row r="12105" spans="14:14">
      <c r="N12105" s="113"/>
    </row>
    <row r="12106" spans="14:14">
      <c r="N12106" s="113"/>
    </row>
    <row r="12107" spans="14:14">
      <c r="N12107" s="113"/>
    </row>
    <row r="12108" spans="14:14">
      <c r="N12108" s="113"/>
    </row>
    <row r="12109" spans="14:14">
      <c r="N12109" s="113"/>
    </row>
    <row r="12110" spans="14:14">
      <c r="N12110" s="113"/>
    </row>
    <row r="12111" spans="14:14">
      <c r="N12111" s="113"/>
    </row>
    <row r="12112" spans="14:14">
      <c r="N12112" s="113"/>
    </row>
    <row r="12113" spans="14:14">
      <c r="N12113" s="113"/>
    </row>
    <row r="12114" spans="14:14">
      <c r="N12114" s="113"/>
    </row>
    <row r="12115" spans="14:14">
      <c r="N12115" s="113"/>
    </row>
    <row r="12116" spans="14:14">
      <c r="N12116" s="113"/>
    </row>
    <row r="12117" spans="14:14">
      <c r="N12117" s="113"/>
    </row>
    <row r="12118" spans="14:14">
      <c r="N12118" s="113"/>
    </row>
    <row r="12119" spans="14:14">
      <c r="N12119" s="113"/>
    </row>
    <row r="12120" spans="14:14">
      <c r="N12120" s="113"/>
    </row>
    <row r="12121" spans="14:14">
      <c r="N12121" s="113"/>
    </row>
    <row r="12122" spans="14:14">
      <c r="N12122" s="113"/>
    </row>
    <row r="12123" spans="14:14">
      <c r="N12123" s="113"/>
    </row>
    <row r="12124" spans="14:14">
      <c r="N12124" s="113"/>
    </row>
    <row r="12125" spans="14:14">
      <c r="N12125" s="113"/>
    </row>
    <row r="12126" spans="14:14">
      <c r="N12126" s="113"/>
    </row>
    <row r="12127" spans="14:14">
      <c r="N12127" s="113"/>
    </row>
    <row r="12128" spans="14:14">
      <c r="N12128" s="113"/>
    </row>
    <row r="12129" spans="14:14">
      <c r="N12129" s="113"/>
    </row>
    <row r="12130" spans="14:14">
      <c r="N12130" s="113"/>
    </row>
    <row r="12131" spans="14:14">
      <c r="N12131" s="113"/>
    </row>
    <row r="12132" spans="14:14">
      <c r="N12132" s="113"/>
    </row>
    <row r="12133" spans="14:14">
      <c r="N12133" s="113"/>
    </row>
    <row r="12134" spans="14:14">
      <c r="N12134" s="113"/>
    </row>
    <row r="12135" spans="14:14">
      <c r="N12135" s="113"/>
    </row>
    <row r="12136" spans="14:14">
      <c r="N12136" s="113"/>
    </row>
    <row r="12137" spans="14:14">
      <c r="N12137" s="113"/>
    </row>
    <row r="12138" spans="14:14">
      <c r="N12138" s="113"/>
    </row>
    <row r="12139" spans="14:14">
      <c r="N12139" s="113"/>
    </row>
    <row r="12140" spans="14:14">
      <c r="N12140" s="113"/>
    </row>
    <row r="12141" spans="14:14">
      <c r="N12141" s="113"/>
    </row>
    <row r="12142" spans="14:14">
      <c r="N12142" s="113"/>
    </row>
    <row r="12143" spans="14:14">
      <c r="N12143" s="113"/>
    </row>
    <row r="12144" spans="14:14">
      <c r="N12144" s="113"/>
    </row>
    <row r="12145" spans="14:14">
      <c r="N12145" s="113"/>
    </row>
    <row r="12146" spans="14:14">
      <c r="N12146" s="113"/>
    </row>
    <row r="12147" spans="14:14">
      <c r="N12147" s="113"/>
    </row>
    <row r="12148" spans="14:14">
      <c r="N12148" s="113"/>
    </row>
    <row r="12149" spans="14:14">
      <c r="N12149" s="113"/>
    </row>
    <row r="12150" spans="14:14">
      <c r="N12150" s="113"/>
    </row>
    <row r="12151" spans="14:14">
      <c r="N12151" s="113"/>
    </row>
    <row r="12152" spans="14:14">
      <c r="N12152" s="113"/>
    </row>
    <row r="12153" spans="14:14">
      <c r="N12153" s="113"/>
    </row>
    <row r="12154" spans="14:14">
      <c r="N12154" s="113"/>
    </row>
    <row r="12155" spans="14:14">
      <c r="N12155" s="113"/>
    </row>
    <row r="12156" spans="14:14">
      <c r="N12156" s="113"/>
    </row>
    <row r="12157" spans="14:14">
      <c r="N12157" s="113"/>
    </row>
    <row r="12158" spans="14:14">
      <c r="N12158" s="113"/>
    </row>
    <row r="12159" spans="14:14">
      <c r="N12159" s="113"/>
    </row>
    <row r="12160" spans="14:14">
      <c r="N12160" s="113"/>
    </row>
    <row r="12161" spans="14:14">
      <c r="N12161" s="113"/>
    </row>
    <row r="12162" spans="14:14">
      <c r="N12162" s="113"/>
    </row>
    <row r="12163" spans="14:14">
      <c r="N12163" s="113"/>
    </row>
    <row r="12164" spans="14:14">
      <c r="N12164" s="113"/>
    </row>
    <row r="12165" spans="14:14">
      <c r="N12165" s="113"/>
    </row>
    <row r="12166" spans="14:14">
      <c r="N12166" s="113"/>
    </row>
    <row r="12167" spans="14:14">
      <c r="N12167" s="113"/>
    </row>
    <row r="12168" spans="14:14">
      <c r="N12168" s="113"/>
    </row>
    <row r="12169" spans="14:14">
      <c r="N12169" s="113"/>
    </row>
    <row r="12170" spans="14:14">
      <c r="N12170" s="113"/>
    </row>
    <row r="12171" spans="14:14">
      <c r="N12171" s="113"/>
    </row>
    <row r="12172" spans="14:14">
      <c r="N12172" s="113"/>
    </row>
    <row r="12173" spans="14:14">
      <c r="N12173" s="113"/>
    </row>
    <row r="12174" spans="14:14">
      <c r="N12174" s="113"/>
    </row>
    <row r="12175" spans="14:14">
      <c r="N12175" s="113"/>
    </row>
    <row r="12176" spans="14:14">
      <c r="N12176" s="113"/>
    </row>
    <row r="12177" spans="14:14">
      <c r="N12177" s="113"/>
    </row>
    <row r="12178" spans="14:14">
      <c r="N12178" s="113"/>
    </row>
    <row r="12179" spans="14:14">
      <c r="N12179" s="113"/>
    </row>
    <row r="12180" spans="14:14">
      <c r="N12180" s="113"/>
    </row>
    <row r="12181" spans="14:14">
      <c r="N12181" s="113"/>
    </row>
    <row r="12182" spans="14:14">
      <c r="N12182" s="113"/>
    </row>
    <row r="12183" spans="14:14">
      <c r="N12183" s="113"/>
    </row>
    <row r="12184" spans="14:14">
      <c r="N12184" s="113"/>
    </row>
    <row r="12185" spans="14:14">
      <c r="N12185" s="113"/>
    </row>
    <row r="12186" spans="14:14">
      <c r="N12186" s="113"/>
    </row>
    <row r="12187" spans="14:14">
      <c r="N12187" s="113"/>
    </row>
    <row r="12188" spans="14:14">
      <c r="N12188" s="113"/>
    </row>
    <row r="12189" spans="14:14">
      <c r="N12189" s="113"/>
    </row>
    <row r="12190" spans="14:14">
      <c r="N12190" s="113"/>
    </row>
    <row r="12191" spans="14:14">
      <c r="N12191" s="113"/>
    </row>
    <row r="12192" spans="14:14">
      <c r="N12192" s="113"/>
    </row>
    <row r="12193" spans="14:14">
      <c r="N12193" s="113"/>
    </row>
    <row r="12194" spans="14:14">
      <c r="N12194" s="113"/>
    </row>
    <row r="12195" spans="14:14">
      <c r="N12195" s="113"/>
    </row>
    <row r="12196" spans="14:14">
      <c r="N12196" s="113"/>
    </row>
    <row r="12197" spans="14:14">
      <c r="N12197" s="113"/>
    </row>
    <row r="12198" spans="14:14">
      <c r="N12198" s="113"/>
    </row>
    <row r="12199" spans="14:14">
      <c r="N12199" s="113"/>
    </row>
    <row r="12200" spans="14:14">
      <c r="N12200" s="113"/>
    </row>
    <row r="12201" spans="14:14">
      <c r="N12201" s="113"/>
    </row>
    <row r="12202" spans="14:14">
      <c r="N12202" s="113"/>
    </row>
    <row r="12203" spans="14:14">
      <c r="N12203" s="113"/>
    </row>
    <row r="12204" spans="14:14">
      <c r="N12204" s="113"/>
    </row>
    <row r="12205" spans="14:14">
      <c r="N12205" s="113"/>
    </row>
    <row r="12206" spans="14:14">
      <c r="N12206" s="113"/>
    </row>
    <row r="12207" spans="14:14">
      <c r="N12207" s="113"/>
    </row>
    <row r="12208" spans="14:14">
      <c r="N12208" s="113"/>
    </row>
    <row r="12209" spans="14:14">
      <c r="N12209" s="113"/>
    </row>
    <row r="12210" spans="14:14">
      <c r="N12210" s="113"/>
    </row>
    <row r="12211" spans="14:14">
      <c r="N12211" s="113"/>
    </row>
    <row r="12212" spans="14:14">
      <c r="N12212" s="113"/>
    </row>
    <row r="12213" spans="14:14">
      <c r="N12213" s="113"/>
    </row>
    <row r="12214" spans="14:14">
      <c r="N12214" s="113"/>
    </row>
    <row r="12215" spans="14:14">
      <c r="N12215" s="113"/>
    </row>
    <row r="12216" spans="14:14">
      <c r="N12216" s="113"/>
    </row>
    <row r="12217" spans="14:14">
      <c r="N12217" s="113"/>
    </row>
    <row r="12218" spans="14:14">
      <c r="N12218" s="113"/>
    </row>
    <row r="12219" spans="14:14">
      <c r="N12219" s="113"/>
    </row>
    <row r="12220" spans="14:14">
      <c r="N12220" s="113"/>
    </row>
    <row r="12221" spans="14:14">
      <c r="N12221" s="113"/>
    </row>
    <row r="12222" spans="14:14">
      <c r="N12222" s="113"/>
    </row>
    <row r="12223" spans="14:14">
      <c r="N12223" s="113"/>
    </row>
    <row r="12224" spans="14:14">
      <c r="N12224" s="113"/>
    </row>
    <row r="12225" spans="14:14">
      <c r="N12225" s="113"/>
    </row>
    <row r="12226" spans="14:14">
      <c r="N12226" s="113"/>
    </row>
    <row r="12227" spans="14:14">
      <c r="N12227" s="113"/>
    </row>
    <row r="12228" spans="14:14">
      <c r="N12228" s="113"/>
    </row>
    <row r="12229" spans="14:14">
      <c r="N12229" s="113"/>
    </row>
    <row r="12230" spans="14:14">
      <c r="N12230" s="113"/>
    </row>
    <row r="12231" spans="14:14">
      <c r="N12231" s="113"/>
    </row>
    <row r="12232" spans="14:14">
      <c r="N12232" s="113"/>
    </row>
    <row r="12233" spans="14:14">
      <c r="N12233" s="113"/>
    </row>
    <row r="12234" spans="14:14">
      <c r="N12234" s="113"/>
    </row>
    <row r="12235" spans="14:14">
      <c r="N12235" s="113"/>
    </row>
    <row r="12236" spans="14:14">
      <c r="N12236" s="113"/>
    </row>
    <row r="12237" spans="14:14">
      <c r="N12237" s="113"/>
    </row>
    <row r="12238" spans="14:14">
      <c r="N12238" s="113"/>
    </row>
    <row r="12239" spans="14:14">
      <c r="N12239" s="113"/>
    </row>
    <row r="12240" spans="14:14">
      <c r="N12240" s="113"/>
    </row>
    <row r="12241" spans="14:14">
      <c r="N12241" s="113"/>
    </row>
    <row r="12242" spans="14:14">
      <c r="N12242" s="113"/>
    </row>
    <row r="12243" spans="14:14">
      <c r="N12243" s="113"/>
    </row>
    <row r="12244" spans="14:14">
      <c r="N12244" s="113"/>
    </row>
    <row r="12245" spans="14:14">
      <c r="N12245" s="113"/>
    </row>
    <row r="12246" spans="14:14">
      <c r="N12246" s="113"/>
    </row>
    <row r="12247" spans="14:14">
      <c r="N12247" s="113"/>
    </row>
    <row r="12248" spans="14:14">
      <c r="N12248" s="113"/>
    </row>
    <row r="12249" spans="14:14">
      <c r="N12249" s="113"/>
    </row>
    <row r="12250" spans="14:14">
      <c r="N12250" s="113"/>
    </row>
    <row r="12251" spans="14:14">
      <c r="N12251" s="113"/>
    </row>
    <row r="12252" spans="14:14">
      <c r="N12252" s="113"/>
    </row>
    <row r="12253" spans="14:14">
      <c r="N12253" s="113"/>
    </row>
    <row r="12254" spans="14:14">
      <c r="N12254" s="113"/>
    </row>
    <row r="12255" spans="14:14">
      <c r="N12255" s="113"/>
    </row>
    <row r="12256" spans="14:14">
      <c r="N12256" s="113"/>
    </row>
    <row r="12257" spans="14:14">
      <c r="N12257" s="113"/>
    </row>
    <row r="12258" spans="14:14">
      <c r="N12258" s="113"/>
    </row>
    <row r="12259" spans="14:14">
      <c r="N12259" s="113"/>
    </row>
    <row r="12260" spans="14:14">
      <c r="N12260" s="113"/>
    </row>
    <row r="12261" spans="14:14">
      <c r="N12261" s="113"/>
    </row>
    <row r="12262" spans="14:14">
      <c r="N12262" s="113"/>
    </row>
    <row r="12263" spans="14:14">
      <c r="N12263" s="113"/>
    </row>
    <row r="12264" spans="14:14">
      <c r="N12264" s="113"/>
    </row>
    <row r="12265" spans="14:14">
      <c r="N12265" s="113"/>
    </row>
    <row r="12266" spans="14:14">
      <c r="N12266" s="113"/>
    </row>
    <row r="12267" spans="14:14">
      <c r="N12267" s="113"/>
    </row>
    <row r="12268" spans="14:14">
      <c r="N12268" s="113"/>
    </row>
    <row r="12269" spans="14:14">
      <c r="N12269" s="113"/>
    </row>
    <row r="12270" spans="14:14">
      <c r="N12270" s="113"/>
    </row>
    <row r="12271" spans="14:14">
      <c r="N12271" s="113"/>
    </row>
    <row r="12272" spans="14:14">
      <c r="N12272" s="113"/>
    </row>
    <row r="12273" spans="14:14">
      <c r="N12273" s="113"/>
    </row>
    <row r="12274" spans="14:14">
      <c r="N12274" s="113"/>
    </row>
    <row r="12275" spans="14:14">
      <c r="N12275" s="113"/>
    </row>
    <row r="12276" spans="14:14">
      <c r="N12276" s="113"/>
    </row>
    <row r="12277" spans="14:14">
      <c r="N12277" s="113"/>
    </row>
    <row r="12278" spans="14:14">
      <c r="N12278" s="113"/>
    </row>
    <row r="12279" spans="14:14">
      <c r="N12279" s="113"/>
    </row>
    <row r="12280" spans="14:14">
      <c r="N12280" s="113"/>
    </row>
    <row r="12281" spans="14:14">
      <c r="N12281" s="113"/>
    </row>
    <row r="12282" spans="14:14">
      <c r="N12282" s="113"/>
    </row>
    <row r="12283" spans="14:14">
      <c r="N12283" s="113"/>
    </row>
    <row r="12284" spans="14:14">
      <c r="N12284" s="113"/>
    </row>
    <row r="12285" spans="14:14">
      <c r="N12285" s="113"/>
    </row>
    <row r="12286" spans="14:14">
      <c r="N12286" s="113"/>
    </row>
    <row r="12287" spans="14:14">
      <c r="N12287" s="113"/>
    </row>
    <row r="12288" spans="14:14">
      <c r="N12288" s="113"/>
    </row>
    <row r="12289" spans="14:14">
      <c r="N12289" s="113"/>
    </row>
    <row r="12290" spans="14:14">
      <c r="N12290" s="113"/>
    </row>
    <row r="12291" spans="14:14">
      <c r="N12291" s="113"/>
    </row>
    <row r="12292" spans="14:14">
      <c r="N12292" s="113"/>
    </row>
    <row r="12293" spans="14:14">
      <c r="N12293" s="113"/>
    </row>
    <row r="12294" spans="14:14">
      <c r="N12294" s="113"/>
    </row>
    <row r="12295" spans="14:14">
      <c r="N12295" s="113"/>
    </row>
    <row r="12296" spans="14:14">
      <c r="N12296" s="113"/>
    </row>
    <row r="12297" spans="14:14">
      <c r="N12297" s="113"/>
    </row>
    <row r="12298" spans="14:14">
      <c r="N12298" s="113"/>
    </row>
    <row r="12299" spans="14:14">
      <c r="N12299" s="113"/>
    </row>
    <row r="12300" spans="14:14">
      <c r="N12300" s="113"/>
    </row>
    <row r="12301" spans="14:14">
      <c r="N12301" s="113"/>
    </row>
    <row r="12302" spans="14:14">
      <c r="N12302" s="113"/>
    </row>
    <row r="12303" spans="14:14">
      <c r="N12303" s="113"/>
    </row>
    <row r="12304" spans="14:14">
      <c r="N12304" s="113"/>
    </row>
    <row r="12305" spans="14:14">
      <c r="N12305" s="113"/>
    </row>
    <row r="12306" spans="14:14">
      <c r="N12306" s="113"/>
    </row>
    <row r="12307" spans="14:14">
      <c r="N12307" s="113"/>
    </row>
    <row r="12308" spans="14:14">
      <c r="N12308" s="113"/>
    </row>
    <row r="12309" spans="14:14">
      <c r="N12309" s="113"/>
    </row>
    <row r="12310" spans="14:14">
      <c r="N12310" s="113"/>
    </row>
    <row r="12311" spans="14:14">
      <c r="N12311" s="113"/>
    </row>
    <row r="12312" spans="14:14">
      <c r="N12312" s="113"/>
    </row>
    <row r="12313" spans="14:14">
      <c r="N12313" s="113"/>
    </row>
    <row r="12314" spans="14:14">
      <c r="N12314" s="113"/>
    </row>
    <row r="12315" spans="14:14">
      <c r="N12315" s="113"/>
    </row>
    <row r="12316" spans="14:14">
      <c r="N12316" s="113"/>
    </row>
    <row r="12317" spans="14:14">
      <c r="N12317" s="113"/>
    </row>
    <row r="12318" spans="14:14">
      <c r="N12318" s="113"/>
    </row>
    <row r="12319" spans="14:14">
      <c r="N12319" s="113"/>
    </row>
    <row r="12320" spans="14:14">
      <c r="N12320" s="113"/>
    </row>
    <row r="12321" spans="14:14">
      <c r="N12321" s="113"/>
    </row>
    <row r="12322" spans="14:14">
      <c r="N12322" s="113"/>
    </row>
    <row r="12323" spans="14:14">
      <c r="N12323" s="113"/>
    </row>
    <row r="12324" spans="14:14">
      <c r="N12324" s="113"/>
    </row>
    <row r="12325" spans="14:14">
      <c r="N12325" s="113"/>
    </row>
    <row r="12326" spans="14:14">
      <c r="N12326" s="113"/>
    </row>
    <row r="12327" spans="14:14">
      <c r="N12327" s="113"/>
    </row>
    <row r="12328" spans="14:14">
      <c r="N12328" s="113"/>
    </row>
    <row r="12329" spans="14:14">
      <c r="N12329" s="113"/>
    </row>
    <row r="12330" spans="14:14">
      <c r="N12330" s="113"/>
    </row>
    <row r="12331" spans="14:14">
      <c r="N12331" s="113"/>
    </row>
    <row r="12332" spans="14:14">
      <c r="N12332" s="113"/>
    </row>
    <row r="12333" spans="14:14">
      <c r="N12333" s="113"/>
    </row>
    <row r="12334" spans="14:14">
      <c r="N12334" s="113"/>
    </row>
    <row r="12335" spans="14:14">
      <c r="N12335" s="113"/>
    </row>
    <row r="12336" spans="14:14">
      <c r="N12336" s="113"/>
    </row>
    <row r="12337" spans="14:14">
      <c r="N12337" s="113"/>
    </row>
    <row r="12338" spans="14:14">
      <c r="N12338" s="113"/>
    </row>
    <row r="12339" spans="14:14">
      <c r="N12339" s="113"/>
    </row>
    <row r="12340" spans="14:14">
      <c r="N12340" s="113"/>
    </row>
    <row r="12341" spans="14:14">
      <c r="N12341" s="113"/>
    </row>
    <row r="12342" spans="14:14">
      <c r="N12342" s="113"/>
    </row>
    <row r="12343" spans="14:14">
      <c r="N12343" s="113"/>
    </row>
    <row r="12344" spans="14:14">
      <c r="N12344" s="113"/>
    </row>
    <row r="12345" spans="14:14">
      <c r="N12345" s="113"/>
    </row>
    <row r="12346" spans="14:14">
      <c r="N12346" s="113"/>
    </row>
    <row r="12347" spans="14:14">
      <c r="N12347" s="113"/>
    </row>
    <row r="12348" spans="14:14">
      <c r="N12348" s="113"/>
    </row>
    <row r="12349" spans="14:14">
      <c r="N12349" s="113"/>
    </row>
    <row r="12350" spans="14:14">
      <c r="N12350" s="113"/>
    </row>
    <row r="12351" spans="14:14">
      <c r="N12351" s="113"/>
    </row>
    <row r="12352" spans="14:14">
      <c r="N12352" s="113"/>
    </row>
    <row r="12353" spans="14:14">
      <c r="N12353" s="113"/>
    </row>
    <row r="12354" spans="14:14">
      <c r="N12354" s="113"/>
    </row>
    <row r="12355" spans="14:14">
      <c r="N12355" s="113"/>
    </row>
    <row r="12356" spans="14:14">
      <c r="N12356" s="113"/>
    </row>
    <row r="12357" spans="14:14">
      <c r="N12357" s="113"/>
    </row>
    <row r="12358" spans="14:14">
      <c r="N12358" s="113"/>
    </row>
    <row r="12359" spans="14:14">
      <c r="N12359" s="113"/>
    </row>
    <row r="12360" spans="14:14">
      <c r="N12360" s="113"/>
    </row>
    <row r="12361" spans="14:14">
      <c r="N12361" s="113"/>
    </row>
    <row r="12362" spans="14:14">
      <c r="N12362" s="113"/>
    </row>
    <row r="12363" spans="14:14">
      <c r="N12363" s="113"/>
    </row>
    <row r="12364" spans="14:14">
      <c r="N12364" s="113"/>
    </row>
    <row r="12365" spans="14:14">
      <c r="N12365" s="113"/>
    </row>
    <row r="12366" spans="14:14">
      <c r="N12366" s="113"/>
    </row>
    <row r="12367" spans="14:14">
      <c r="N12367" s="113"/>
    </row>
    <row r="12368" spans="14:14">
      <c r="N12368" s="113"/>
    </row>
    <row r="12369" spans="14:14">
      <c r="N12369" s="113"/>
    </row>
    <row r="12370" spans="14:14">
      <c r="N12370" s="113"/>
    </row>
    <row r="12371" spans="14:14">
      <c r="N12371" s="113"/>
    </row>
    <row r="12372" spans="14:14">
      <c r="N12372" s="113"/>
    </row>
    <row r="12373" spans="14:14">
      <c r="N12373" s="113"/>
    </row>
    <row r="12374" spans="14:14">
      <c r="N12374" s="113"/>
    </row>
    <row r="12375" spans="14:14">
      <c r="N12375" s="113"/>
    </row>
    <row r="12376" spans="14:14">
      <c r="N12376" s="113"/>
    </row>
    <row r="12377" spans="14:14">
      <c r="N12377" s="113"/>
    </row>
    <row r="12378" spans="14:14">
      <c r="N12378" s="113"/>
    </row>
    <row r="12379" spans="14:14">
      <c r="N12379" s="113"/>
    </row>
    <row r="12380" spans="14:14">
      <c r="N12380" s="113"/>
    </row>
    <row r="12381" spans="14:14">
      <c r="N12381" s="113"/>
    </row>
    <row r="12382" spans="14:14">
      <c r="N12382" s="113"/>
    </row>
    <row r="12383" spans="14:14">
      <c r="N12383" s="113"/>
    </row>
    <row r="12384" spans="14:14">
      <c r="N12384" s="113"/>
    </row>
    <row r="12385" spans="14:14">
      <c r="N12385" s="113"/>
    </row>
    <row r="12386" spans="14:14">
      <c r="N12386" s="113"/>
    </row>
    <row r="12387" spans="14:14">
      <c r="N12387" s="113"/>
    </row>
    <row r="12388" spans="14:14">
      <c r="N12388" s="113"/>
    </row>
    <row r="12389" spans="14:14">
      <c r="N12389" s="113"/>
    </row>
    <row r="12390" spans="14:14">
      <c r="N12390" s="113"/>
    </row>
    <row r="12391" spans="14:14">
      <c r="N12391" s="113"/>
    </row>
    <row r="12392" spans="14:14">
      <c r="N12392" s="113"/>
    </row>
    <row r="12393" spans="14:14">
      <c r="N12393" s="113"/>
    </row>
    <row r="12394" spans="14:14">
      <c r="N12394" s="113"/>
    </row>
    <row r="12395" spans="14:14">
      <c r="N12395" s="113"/>
    </row>
    <row r="12396" spans="14:14">
      <c r="N12396" s="113"/>
    </row>
    <row r="12397" spans="14:14">
      <c r="N12397" s="113"/>
    </row>
    <row r="12398" spans="14:14">
      <c r="N12398" s="113"/>
    </row>
    <row r="12399" spans="14:14">
      <c r="N12399" s="113"/>
    </row>
    <row r="12400" spans="14:14">
      <c r="N12400" s="113"/>
    </row>
    <row r="12401" spans="14:14">
      <c r="N12401" s="113"/>
    </row>
    <row r="12402" spans="14:14">
      <c r="N12402" s="113"/>
    </row>
    <row r="12403" spans="14:14">
      <c r="N12403" s="113"/>
    </row>
    <row r="12404" spans="14:14">
      <c r="N12404" s="113"/>
    </row>
    <row r="12405" spans="14:14">
      <c r="N12405" s="113"/>
    </row>
    <row r="12406" spans="14:14">
      <c r="N12406" s="113"/>
    </row>
    <row r="12407" spans="14:14">
      <c r="N12407" s="113"/>
    </row>
    <row r="12408" spans="14:14">
      <c r="N12408" s="113"/>
    </row>
    <row r="12409" spans="14:14">
      <c r="N12409" s="113"/>
    </row>
    <row r="12410" spans="14:14">
      <c r="N12410" s="113"/>
    </row>
    <row r="12411" spans="14:14">
      <c r="N12411" s="113"/>
    </row>
    <row r="12412" spans="14:14">
      <c r="N12412" s="113"/>
    </row>
    <row r="12413" spans="14:14">
      <c r="N12413" s="113"/>
    </row>
    <row r="12414" spans="14:14">
      <c r="N12414" s="113"/>
    </row>
    <row r="12415" spans="14:14">
      <c r="N12415" s="113"/>
    </row>
    <row r="12416" spans="14:14">
      <c r="N12416" s="113"/>
    </row>
    <row r="12417" spans="14:14">
      <c r="N12417" s="113"/>
    </row>
    <row r="12418" spans="14:14">
      <c r="N12418" s="113"/>
    </row>
    <row r="12419" spans="14:14">
      <c r="N12419" s="113"/>
    </row>
    <row r="12420" spans="14:14">
      <c r="N12420" s="113"/>
    </row>
    <row r="12421" spans="14:14">
      <c r="N12421" s="113"/>
    </row>
    <row r="12422" spans="14:14">
      <c r="N12422" s="113"/>
    </row>
    <row r="12423" spans="14:14">
      <c r="N12423" s="113"/>
    </row>
    <row r="12424" spans="14:14">
      <c r="N12424" s="113"/>
    </row>
    <row r="12425" spans="14:14">
      <c r="N12425" s="113"/>
    </row>
    <row r="12426" spans="14:14">
      <c r="N12426" s="113"/>
    </row>
    <row r="12427" spans="14:14">
      <c r="N12427" s="113"/>
    </row>
    <row r="12428" spans="14:14">
      <c r="N12428" s="113"/>
    </row>
    <row r="12429" spans="14:14">
      <c r="N12429" s="113"/>
    </row>
    <row r="12430" spans="14:14">
      <c r="N12430" s="113"/>
    </row>
    <row r="12431" spans="14:14">
      <c r="N12431" s="113"/>
    </row>
    <row r="12432" spans="14:14">
      <c r="N12432" s="113"/>
    </row>
    <row r="12433" spans="14:14">
      <c r="N12433" s="113"/>
    </row>
    <row r="12434" spans="14:14">
      <c r="N12434" s="113"/>
    </row>
    <row r="12435" spans="14:14">
      <c r="N12435" s="113"/>
    </row>
    <row r="12436" spans="14:14">
      <c r="N12436" s="113"/>
    </row>
    <row r="12437" spans="14:14">
      <c r="N12437" s="113"/>
    </row>
    <row r="12438" spans="14:14">
      <c r="N12438" s="113"/>
    </row>
    <row r="12439" spans="14:14">
      <c r="N12439" s="113"/>
    </row>
    <row r="12440" spans="14:14">
      <c r="N12440" s="113"/>
    </row>
    <row r="12441" spans="14:14">
      <c r="N12441" s="113"/>
    </row>
    <row r="12442" spans="14:14">
      <c r="N12442" s="113"/>
    </row>
    <row r="12443" spans="14:14">
      <c r="N12443" s="113"/>
    </row>
    <row r="12444" spans="14:14">
      <c r="N12444" s="113"/>
    </row>
    <row r="12445" spans="14:14">
      <c r="N12445" s="113"/>
    </row>
    <row r="12446" spans="14:14">
      <c r="N12446" s="113"/>
    </row>
    <row r="12447" spans="14:14">
      <c r="N12447" s="113"/>
    </row>
    <row r="12448" spans="14:14">
      <c r="N12448" s="113"/>
    </row>
    <row r="12449" spans="14:14">
      <c r="N12449" s="113"/>
    </row>
    <row r="12450" spans="14:14">
      <c r="N12450" s="113"/>
    </row>
    <row r="12451" spans="14:14">
      <c r="N12451" s="113"/>
    </row>
    <row r="12452" spans="14:14">
      <c r="N12452" s="113"/>
    </row>
    <row r="12453" spans="14:14">
      <c r="N12453" s="113"/>
    </row>
    <row r="12454" spans="14:14">
      <c r="N12454" s="113"/>
    </row>
    <row r="12455" spans="14:14">
      <c r="N12455" s="113"/>
    </row>
    <row r="12456" spans="14:14">
      <c r="N12456" s="113"/>
    </row>
    <row r="12457" spans="14:14">
      <c r="N12457" s="113"/>
    </row>
    <row r="12458" spans="14:14">
      <c r="N12458" s="113"/>
    </row>
    <row r="12459" spans="14:14">
      <c r="N12459" s="113"/>
    </row>
    <row r="12460" spans="14:14">
      <c r="N12460" s="113"/>
    </row>
    <row r="12461" spans="14:14">
      <c r="N12461" s="113"/>
    </row>
    <row r="12462" spans="14:14">
      <c r="N12462" s="113"/>
    </row>
    <row r="12463" spans="14:14">
      <c r="N12463" s="113"/>
    </row>
    <row r="12464" spans="14:14">
      <c r="N12464" s="113"/>
    </row>
    <row r="12465" spans="14:14">
      <c r="N12465" s="113"/>
    </row>
    <row r="12466" spans="14:14">
      <c r="N12466" s="113"/>
    </row>
    <row r="12467" spans="14:14">
      <c r="N12467" s="113"/>
    </row>
    <row r="12468" spans="14:14">
      <c r="N12468" s="113"/>
    </row>
    <row r="12469" spans="14:14">
      <c r="N12469" s="113"/>
    </row>
    <row r="12470" spans="14:14">
      <c r="N12470" s="113"/>
    </row>
    <row r="12471" spans="14:14">
      <c r="N12471" s="113"/>
    </row>
    <row r="12472" spans="14:14">
      <c r="N12472" s="113"/>
    </row>
    <row r="12473" spans="14:14">
      <c r="N12473" s="113"/>
    </row>
    <row r="12474" spans="14:14">
      <c r="N12474" s="113"/>
    </row>
    <row r="12475" spans="14:14">
      <c r="N12475" s="113"/>
    </row>
    <row r="12476" spans="14:14">
      <c r="N12476" s="113"/>
    </row>
    <row r="12477" spans="14:14">
      <c r="N12477" s="113"/>
    </row>
    <row r="12478" spans="14:14">
      <c r="N12478" s="113"/>
    </row>
    <row r="12479" spans="14:14">
      <c r="N12479" s="113"/>
    </row>
    <row r="12480" spans="14:14">
      <c r="N12480" s="113"/>
    </row>
    <row r="12481" spans="14:14">
      <c r="N12481" s="113"/>
    </row>
    <row r="12482" spans="14:14">
      <c r="N12482" s="113"/>
    </row>
    <row r="12483" spans="14:14">
      <c r="N12483" s="113"/>
    </row>
    <row r="12484" spans="14:14">
      <c r="N12484" s="113"/>
    </row>
    <row r="12485" spans="14:14">
      <c r="N12485" s="113"/>
    </row>
    <row r="12486" spans="14:14">
      <c r="N12486" s="113"/>
    </row>
    <row r="12487" spans="14:14">
      <c r="N12487" s="113"/>
    </row>
    <row r="12488" spans="14:14">
      <c r="N12488" s="113"/>
    </row>
    <row r="12489" spans="14:14">
      <c r="N12489" s="113"/>
    </row>
    <row r="12490" spans="14:14">
      <c r="N12490" s="113"/>
    </row>
    <row r="12491" spans="14:14">
      <c r="N12491" s="113"/>
    </row>
    <row r="12492" spans="14:14">
      <c r="N12492" s="113"/>
    </row>
    <row r="12493" spans="14:14">
      <c r="N12493" s="113"/>
    </row>
    <row r="12494" spans="14:14">
      <c r="N12494" s="113"/>
    </row>
    <row r="12495" spans="14:14">
      <c r="N12495" s="113"/>
    </row>
    <row r="12496" spans="14:14">
      <c r="N12496" s="113"/>
    </row>
    <row r="12497" spans="14:14">
      <c r="N12497" s="113"/>
    </row>
    <row r="12498" spans="14:14">
      <c r="N12498" s="113"/>
    </row>
    <row r="12499" spans="14:14">
      <c r="N12499" s="113"/>
    </row>
    <row r="12500" spans="14:14">
      <c r="N12500" s="113"/>
    </row>
    <row r="12501" spans="14:14">
      <c r="N12501" s="113"/>
    </row>
    <row r="12502" spans="14:14">
      <c r="N12502" s="113"/>
    </row>
    <row r="12503" spans="14:14">
      <c r="N12503" s="113"/>
    </row>
    <row r="12504" spans="14:14">
      <c r="N12504" s="113"/>
    </row>
    <row r="12505" spans="14:14">
      <c r="N12505" s="113"/>
    </row>
    <row r="12506" spans="14:14">
      <c r="N12506" s="113"/>
    </row>
    <row r="12507" spans="14:14">
      <c r="N12507" s="113"/>
    </row>
    <row r="12508" spans="14:14">
      <c r="N12508" s="113"/>
    </row>
    <row r="12509" spans="14:14">
      <c r="N12509" s="113"/>
    </row>
    <row r="12510" spans="14:14">
      <c r="N12510" s="113"/>
    </row>
    <row r="12511" spans="14:14">
      <c r="N12511" s="113"/>
    </row>
    <row r="12512" spans="14:14">
      <c r="N12512" s="113"/>
    </row>
    <row r="12513" spans="14:14">
      <c r="N12513" s="113"/>
    </row>
    <row r="12514" spans="14:14">
      <c r="N12514" s="113"/>
    </row>
    <row r="12515" spans="14:14">
      <c r="N12515" s="113"/>
    </row>
    <row r="12516" spans="14:14">
      <c r="N12516" s="113"/>
    </row>
    <row r="12517" spans="14:14">
      <c r="N12517" s="113"/>
    </row>
    <row r="12518" spans="14:14">
      <c r="N12518" s="113"/>
    </row>
    <row r="12519" spans="14:14">
      <c r="N12519" s="113"/>
    </row>
    <row r="12520" spans="14:14">
      <c r="N12520" s="113"/>
    </row>
    <row r="12521" spans="14:14">
      <c r="N12521" s="113"/>
    </row>
    <row r="12522" spans="14:14">
      <c r="N12522" s="113"/>
    </row>
    <row r="12523" spans="14:14">
      <c r="N12523" s="113"/>
    </row>
    <row r="12524" spans="14:14">
      <c r="N12524" s="113"/>
    </row>
    <row r="12525" spans="14:14">
      <c r="N12525" s="113"/>
    </row>
    <row r="12526" spans="14:14">
      <c r="N12526" s="113"/>
    </row>
    <row r="12527" spans="14:14">
      <c r="N12527" s="113"/>
    </row>
    <row r="12528" spans="14:14">
      <c r="N12528" s="113"/>
    </row>
    <row r="12529" spans="14:14">
      <c r="N12529" s="113"/>
    </row>
    <row r="12530" spans="14:14">
      <c r="N12530" s="113"/>
    </row>
    <row r="12531" spans="14:14">
      <c r="N12531" s="113"/>
    </row>
    <row r="12532" spans="14:14">
      <c r="N12532" s="113"/>
    </row>
    <row r="12533" spans="14:14">
      <c r="N12533" s="113"/>
    </row>
    <row r="12534" spans="14:14">
      <c r="N12534" s="113"/>
    </row>
    <row r="12535" spans="14:14">
      <c r="N12535" s="113"/>
    </row>
    <row r="12536" spans="14:14">
      <c r="N12536" s="113"/>
    </row>
    <row r="12537" spans="14:14">
      <c r="N12537" s="113"/>
    </row>
    <row r="12538" spans="14:14">
      <c r="N12538" s="113"/>
    </row>
    <row r="12539" spans="14:14">
      <c r="N12539" s="113"/>
    </row>
    <row r="12540" spans="14:14">
      <c r="N12540" s="113"/>
    </row>
    <row r="12541" spans="14:14">
      <c r="N12541" s="113"/>
    </row>
    <row r="12542" spans="14:14">
      <c r="N12542" s="113"/>
    </row>
    <row r="12543" spans="14:14">
      <c r="N12543" s="113"/>
    </row>
    <row r="12544" spans="14:14">
      <c r="N12544" s="113"/>
    </row>
    <row r="12545" spans="14:14">
      <c r="N12545" s="113"/>
    </row>
    <row r="12546" spans="14:14">
      <c r="N12546" s="113"/>
    </row>
    <row r="12547" spans="14:14">
      <c r="N12547" s="113"/>
    </row>
    <row r="12548" spans="14:14">
      <c r="N12548" s="113"/>
    </row>
    <row r="12549" spans="14:14">
      <c r="N12549" s="113"/>
    </row>
    <row r="12550" spans="14:14">
      <c r="N12550" s="113"/>
    </row>
    <row r="12551" spans="14:14">
      <c r="N12551" s="113"/>
    </row>
    <row r="12552" spans="14:14">
      <c r="N12552" s="113"/>
    </row>
    <row r="12553" spans="14:14">
      <c r="N12553" s="113"/>
    </row>
    <row r="12554" spans="14:14">
      <c r="N12554" s="113"/>
    </row>
    <row r="12555" spans="14:14">
      <c r="N12555" s="113"/>
    </row>
    <row r="12556" spans="14:14">
      <c r="N12556" s="113"/>
    </row>
    <row r="12557" spans="14:14">
      <c r="N12557" s="113"/>
    </row>
    <row r="12558" spans="14:14">
      <c r="N12558" s="113"/>
    </row>
    <row r="12559" spans="14:14">
      <c r="N12559" s="113"/>
    </row>
    <row r="12560" spans="14:14">
      <c r="N12560" s="113"/>
    </row>
    <row r="12561" spans="14:14">
      <c r="N12561" s="113"/>
    </row>
    <row r="12562" spans="14:14">
      <c r="N12562" s="113"/>
    </row>
    <row r="12563" spans="14:14">
      <c r="N12563" s="113"/>
    </row>
    <row r="12564" spans="14:14">
      <c r="N12564" s="113"/>
    </row>
    <row r="12565" spans="14:14">
      <c r="N12565" s="113"/>
    </row>
    <row r="12566" spans="14:14">
      <c r="N12566" s="113"/>
    </row>
    <row r="12567" spans="14:14">
      <c r="N12567" s="113"/>
    </row>
    <row r="12568" spans="14:14">
      <c r="N12568" s="113"/>
    </row>
    <row r="12569" spans="14:14">
      <c r="N12569" s="113"/>
    </row>
    <row r="12570" spans="14:14">
      <c r="N12570" s="113"/>
    </row>
    <row r="12571" spans="14:14">
      <c r="N12571" s="113"/>
    </row>
    <row r="12572" spans="14:14">
      <c r="N12572" s="113"/>
    </row>
    <row r="12573" spans="14:14">
      <c r="N12573" s="113"/>
    </row>
    <row r="12574" spans="14:14">
      <c r="N12574" s="113"/>
    </row>
    <row r="12575" spans="14:14">
      <c r="N12575" s="113"/>
    </row>
    <row r="12576" spans="14:14">
      <c r="N12576" s="113"/>
    </row>
    <row r="12577" spans="14:14">
      <c r="N12577" s="113"/>
    </row>
    <row r="12578" spans="14:14">
      <c r="N12578" s="113"/>
    </row>
    <row r="12579" spans="14:14">
      <c r="N12579" s="113"/>
    </row>
    <row r="12580" spans="14:14">
      <c r="N12580" s="113"/>
    </row>
    <row r="12581" spans="14:14">
      <c r="N12581" s="113"/>
    </row>
    <row r="12582" spans="14:14">
      <c r="N12582" s="113"/>
    </row>
    <row r="12583" spans="14:14">
      <c r="N12583" s="113"/>
    </row>
    <row r="12584" spans="14:14">
      <c r="N12584" s="113"/>
    </row>
    <row r="12585" spans="14:14">
      <c r="N12585" s="113"/>
    </row>
    <row r="12586" spans="14:14">
      <c r="N12586" s="113"/>
    </row>
    <row r="12587" spans="14:14">
      <c r="N12587" s="113"/>
    </row>
    <row r="12588" spans="14:14">
      <c r="N12588" s="113"/>
    </row>
    <row r="12589" spans="14:14">
      <c r="N12589" s="113"/>
    </row>
    <row r="12590" spans="14:14">
      <c r="N12590" s="113"/>
    </row>
    <row r="12591" spans="14:14">
      <c r="N12591" s="113"/>
    </row>
    <row r="12592" spans="14:14">
      <c r="N12592" s="113"/>
    </row>
    <row r="12593" spans="14:14">
      <c r="N12593" s="113"/>
    </row>
    <row r="12594" spans="14:14">
      <c r="N12594" s="113"/>
    </row>
    <row r="12595" spans="14:14">
      <c r="N12595" s="113"/>
    </row>
    <row r="12596" spans="14:14">
      <c r="N12596" s="113"/>
    </row>
    <row r="12597" spans="14:14">
      <c r="N12597" s="113"/>
    </row>
    <row r="12598" spans="14:14">
      <c r="N12598" s="113"/>
    </row>
    <row r="12599" spans="14:14">
      <c r="N12599" s="113"/>
    </row>
    <row r="12600" spans="14:14">
      <c r="N12600" s="113"/>
    </row>
    <row r="12601" spans="14:14">
      <c r="N12601" s="113"/>
    </row>
    <row r="12602" spans="14:14">
      <c r="N12602" s="113"/>
    </row>
    <row r="12603" spans="14:14">
      <c r="N12603" s="113"/>
    </row>
    <row r="12604" spans="14:14">
      <c r="N12604" s="113"/>
    </row>
    <row r="12605" spans="14:14">
      <c r="N12605" s="113"/>
    </row>
    <row r="12606" spans="14:14">
      <c r="N12606" s="113"/>
    </row>
    <row r="12607" spans="14:14">
      <c r="N12607" s="113"/>
    </row>
    <row r="12608" spans="14:14">
      <c r="N12608" s="113"/>
    </row>
    <row r="12609" spans="14:14">
      <c r="N12609" s="113"/>
    </row>
    <row r="12610" spans="14:14">
      <c r="N12610" s="113"/>
    </row>
    <row r="12611" spans="14:14">
      <c r="N12611" s="113"/>
    </row>
    <row r="12612" spans="14:14">
      <c r="N12612" s="113"/>
    </row>
    <row r="12613" spans="14:14">
      <c r="N12613" s="113"/>
    </row>
    <row r="12614" spans="14:14">
      <c r="N12614" s="113"/>
    </row>
    <row r="12615" spans="14:14">
      <c r="N12615" s="113"/>
    </row>
    <row r="12616" spans="14:14">
      <c r="N12616" s="113"/>
    </row>
    <row r="12617" spans="14:14">
      <c r="N12617" s="113"/>
    </row>
    <row r="12618" spans="14:14">
      <c r="N12618" s="113"/>
    </row>
    <row r="12619" spans="14:14">
      <c r="N12619" s="113"/>
    </row>
    <row r="12620" spans="14:14">
      <c r="N12620" s="113"/>
    </row>
    <row r="12621" spans="14:14">
      <c r="N12621" s="113"/>
    </row>
    <row r="12622" spans="14:14">
      <c r="N12622" s="113"/>
    </row>
    <row r="12623" spans="14:14">
      <c r="N12623" s="113"/>
    </row>
    <row r="12624" spans="14:14">
      <c r="N12624" s="113"/>
    </row>
    <row r="12625" spans="14:14">
      <c r="N12625" s="113"/>
    </row>
    <row r="12626" spans="14:14">
      <c r="N12626" s="113"/>
    </row>
    <row r="12627" spans="14:14">
      <c r="N12627" s="113"/>
    </row>
    <row r="12628" spans="14:14">
      <c r="N12628" s="113"/>
    </row>
    <row r="12629" spans="14:14">
      <c r="N12629" s="113"/>
    </row>
    <row r="12630" spans="14:14">
      <c r="N12630" s="113"/>
    </row>
    <row r="12631" spans="14:14">
      <c r="N12631" s="113"/>
    </row>
    <row r="12632" spans="14:14">
      <c r="N12632" s="113"/>
    </row>
    <row r="12633" spans="14:14">
      <c r="N12633" s="113"/>
    </row>
    <row r="12634" spans="14:14">
      <c r="N12634" s="113"/>
    </row>
    <row r="12635" spans="14:14">
      <c r="N12635" s="113"/>
    </row>
    <row r="12636" spans="14:14">
      <c r="N12636" s="113"/>
    </row>
    <row r="12637" spans="14:14">
      <c r="N12637" s="113"/>
    </row>
    <row r="12638" spans="14:14">
      <c r="N12638" s="113"/>
    </row>
    <row r="12639" spans="14:14">
      <c r="N12639" s="113"/>
    </row>
    <row r="12640" spans="14:14">
      <c r="N12640" s="113"/>
    </row>
    <row r="12641" spans="14:14">
      <c r="N12641" s="113"/>
    </row>
    <row r="12642" spans="14:14">
      <c r="N12642" s="113"/>
    </row>
    <row r="12643" spans="14:14">
      <c r="N12643" s="113"/>
    </row>
    <row r="12644" spans="14:14">
      <c r="N12644" s="113"/>
    </row>
    <row r="12645" spans="14:14">
      <c r="N12645" s="113"/>
    </row>
    <row r="12646" spans="14:14">
      <c r="N12646" s="113"/>
    </row>
    <row r="12647" spans="14:14">
      <c r="N12647" s="113"/>
    </row>
    <row r="12648" spans="14:14">
      <c r="N12648" s="113"/>
    </row>
    <row r="12649" spans="14:14">
      <c r="N12649" s="113"/>
    </row>
    <row r="12650" spans="14:14">
      <c r="N12650" s="113"/>
    </row>
    <row r="12651" spans="14:14">
      <c r="N12651" s="113"/>
    </row>
    <row r="12652" spans="14:14">
      <c r="N12652" s="113"/>
    </row>
    <row r="12653" spans="14:14">
      <c r="N12653" s="113"/>
    </row>
    <row r="12654" spans="14:14">
      <c r="N12654" s="113"/>
    </row>
    <row r="12655" spans="14:14">
      <c r="N12655" s="113"/>
    </row>
    <row r="12656" spans="14:14">
      <c r="N12656" s="113"/>
    </row>
    <row r="12657" spans="14:14">
      <c r="N12657" s="113"/>
    </row>
    <row r="12658" spans="14:14">
      <c r="N12658" s="113"/>
    </row>
    <row r="12659" spans="14:14">
      <c r="N12659" s="113"/>
    </row>
    <row r="12660" spans="14:14">
      <c r="N12660" s="113"/>
    </row>
    <row r="12661" spans="14:14">
      <c r="N12661" s="113"/>
    </row>
    <row r="12662" spans="14:14">
      <c r="N12662" s="113"/>
    </row>
    <row r="12663" spans="14:14">
      <c r="N12663" s="113"/>
    </row>
    <row r="12664" spans="14:14">
      <c r="N12664" s="113"/>
    </row>
    <row r="12665" spans="14:14">
      <c r="N12665" s="113"/>
    </row>
    <row r="12666" spans="14:14">
      <c r="N12666" s="113"/>
    </row>
    <row r="12667" spans="14:14">
      <c r="N12667" s="113"/>
    </row>
    <row r="12668" spans="14:14">
      <c r="N12668" s="113"/>
    </row>
    <row r="12669" spans="14:14">
      <c r="N12669" s="113"/>
    </row>
    <row r="12670" spans="14:14">
      <c r="N12670" s="113"/>
    </row>
    <row r="12671" spans="14:14">
      <c r="N12671" s="113"/>
    </row>
    <row r="12672" spans="14:14">
      <c r="N12672" s="113"/>
    </row>
    <row r="12673" spans="14:14">
      <c r="N12673" s="113"/>
    </row>
    <row r="12674" spans="14:14">
      <c r="N12674" s="113"/>
    </row>
    <row r="12675" spans="14:14">
      <c r="N12675" s="113"/>
    </row>
    <row r="12676" spans="14:14">
      <c r="N12676" s="113"/>
    </row>
    <row r="12677" spans="14:14">
      <c r="N12677" s="113"/>
    </row>
    <row r="12678" spans="14:14">
      <c r="N12678" s="113"/>
    </row>
    <row r="12679" spans="14:14">
      <c r="N12679" s="113"/>
    </row>
    <row r="12680" spans="14:14">
      <c r="N12680" s="113"/>
    </row>
    <row r="12681" spans="14:14">
      <c r="N12681" s="113"/>
    </row>
    <row r="12682" spans="14:14">
      <c r="N12682" s="113"/>
    </row>
    <row r="12683" spans="14:14">
      <c r="N12683" s="113"/>
    </row>
    <row r="12684" spans="14:14">
      <c r="N12684" s="113"/>
    </row>
    <row r="12685" spans="14:14">
      <c r="N12685" s="113"/>
    </row>
    <row r="12686" spans="14:14">
      <c r="N12686" s="113"/>
    </row>
    <row r="12687" spans="14:14">
      <c r="N12687" s="113"/>
    </row>
    <row r="12688" spans="14:14">
      <c r="N12688" s="113"/>
    </row>
    <row r="12689" spans="14:14">
      <c r="N12689" s="113"/>
    </row>
    <row r="12690" spans="14:14">
      <c r="N12690" s="113"/>
    </row>
    <row r="12691" spans="14:14">
      <c r="N12691" s="113"/>
    </row>
    <row r="12692" spans="14:14">
      <c r="N12692" s="113"/>
    </row>
    <row r="12693" spans="14:14">
      <c r="N12693" s="113"/>
    </row>
    <row r="12694" spans="14:14">
      <c r="N12694" s="113"/>
    </row>
    <row r="12695" spans="14:14">
      <c r="N12695" s="113"/>
    </row>
    <row r="12696" spans="14:14">
      <c r="N12696" s="113"/>
    </row>
    <row r="12697" spans="14:14">
      <c r="N12697" s="113"/>
    </row>
    <row r="12698" spans="14:14">
      <c r="N12698" s="113"/>
    </row>
    <row r="12699" spans="14:14">
      <c r="N12699" s="113"/>
    </row>
    <row r="12700" spans="14:14">
      <c r="N12700" s="113"/>
    </row>
    <row r="12701" spans="14:14">
      <c r="N12701" s="113"/>
    </row>
    <row r="12702" spans="14:14">
      <c r="N12702" s="113"/>
    </row>
    <row r="12703" spans="14:14">
      <c r="N12703" s="113"/>
    </row>
    <row r="12704" spans="14:14">
      <c r="N12704" s="113"/>
    </row>
    <row r="12705" spans="14:14">
      <c r="N12705" s="113"/>
    </row>
    <row r="12706" spans="14:14">
      <c r="N12706" s="113"/>
    </row>
    <row r="12707" spans="14:14">
      <c r="N12707" s="113"/>
    </row>
    <row r="12708" spans="14:14">
      <c r="N12708" s="113"/>
    </row>
    <row r="12709" spans="14:14">
      <c r="N12709" s="113"/>
    </row>
    <row r="12710" spans="14:14">
      <c r="N12710" s="113"/>
    </row>
    <row r="12711" spans="14:14">
      <c r="N12711" s="113"/>
    </row>
    <row r="12712" spans="14:14">
      <c r="N12712" s="113"/>
    </row>
    <row r="12713" spans="14:14">
      <c r="N12713" s="113"/>
    </row>
    <row r="12714" spans="14:14">
      <c r="N12714" s="113"/>
    </row>
    <row r="12715" spans="14:14">
      <c r="N12715" s="113"/>
    </row>
    <row r="12716" spans="14:14">
      <c r="N12716" s="113"/>
    </row>
    <row r="12717" spans="14:14">
      <c r="N12717" s="113"/>
    </row>
    <row r="12718" spans="14:14">
      <c r="N12718" s="113"/>
    </row>
    <row r="12719" spans="14:14">
      <c r="N12719" s="113"/>
    </row>
    <row r="12720" spans="14:14">
      <c r="N12720" s="113"/>
    </row>
    <row r="12721" spans="14:14">
      <c r="N12721" s="113"/>
    </row>
    <row r="12722" spans="14:14">
      <c r="N12722" s="113"/>
    </row>
    <row r="12723" spans="14:14">
      <c r="N12723" s="113"/>
    </row>
    <row r="12724" spans="14:14">
      <c r="N12724" s="113"/>
    </row>
    <row r="12725" spans="14:14">
      <c r="N12725" s="113"/>
    </row>
    <row r="12726" spans="14:14">
      <c r="N12726" s="113"/>
    </row>
    <row r="12727" spans="14:14">
      <c r="N12727" s="113"/>
    </row>
    <row r="12728" spans="14:14">
      <c r="N12728" s="113"/>
    </row>
    <row r="12729" spans="14:14">
      <c r="N12729" s="113"/>
    </row>
    <row r="12730" spans="14:14">
      <c r="N12730" s="113"/>
    </row>
    <row r="12731" spans="14:14">
      <c r="N12731" s="113"/>
    </row>
    <row r="12732" spans="14:14">
      <c r="N12732" s="113"/>
    </row>
    <row r="12733" spans="14:14">
      <c r="N12733" s="113"/>
    </row>
    <row r="12734" spans="14:14">
      <c r="N12734" s="113"/>
    </row>
    <row r="12735" spans="14:14">
      <c r="N12735" s="113"/>
    </row>
    <row r="12736" spans="14:14">
      <c r="N12736" s="113"/>
    </row>
    <row r="12737" spans="14:14">
      <c r="N12737" s="113"/>
    </row>
    <row r="12738" spans="14:14">
      <c r="N12738" s="113"/>
    </row>
    <row r="12739" spans="14:14">
      <c r="N12739" s="113"/>
    </row>
    <row r="12740" spans="14:14">
      <c r="N12740" s="113"/>
    </row>
    <row r="12741" spans="14:14">
      <c r="N12741" s="113"/>
    </row>
    <row r="12742" spans="14:14">
      <c r="N12742" s="113"/>
    </row>
    <row r="12743" spans="14:14">
      <c r="N12743" s="113"/>
    </row>
    <row r="12744" spans="14:14">
      <c r="N12744" s="113"/>
    </row>
    <row r="12745" spans="14:14">
      <c r="N12745" s="113"/>
    </row>
    <row r="12746" spans="14:14">
      <c r="N12746" s="113"/>
    </row>
    <row r="12747" spans="14:14">
      <c r="N12747" s="113"/>
    </row>
    <row r="12748" spans="14:14">
      <c r="N12748" s="113"/>
    </row>
    <row r="12749" spans="14:14">
      <c r="N12749" s="113"/>
    </row>
    <row r="12750" spans="14:14">
      <c r="N12750" s="113"/>
    </row>
    <row r="12751" spans="14:14">
      <c r="N12751" s="113"/>
    </row>
    <row r="12752" spans="14:14">
      <c r="N12752" s="113"/>
    </row>
    <row r="12753" spans="14:14">
      <c r="N12753" s="113"/>
    </row>
    <row r="12754" spans="14:14">
      <c r="N12754" s="113"/>
    </row>
    <row r="12755" spans="14:14">
      <c r="N12755" s="113"/>
    </row>
    <row r="12756" spans="14:14">
      <c r="N12756" s="113"/>
    </row>
    <row r="12757" spans="14:14">
      <c r="N12757" s="113"/>
    </row>
    <row r="12758" spans="14:14">
      <c r="N12758" s="113"/>
    </row>
    <row r="12759" spans="14:14">
      <c r="N12759" s="113"/>
    </row>
    <row r="12760" spans="14:14">
      <c r="N12760" s="113"/>
    </row>
    <row r="12761" spans="14:14">
      <c r="N12761" s="113"/>
    </row>
    <row r="12762" spans="14:14">
      <c r="N12762" s="113"/>
    </row>
    <row r="12763" spans="14:14">
      <c r="N12763" s="113"/>
    </row>
    <row r="12764" spans="14:14">
      <c r="N12764" s="113"/>
    </row>
    <row r="12765" spans="14:14">
      <c r="N12765" s="113"/>
    </row>
    <row r="12766" spans="14:14">
      <c r="N12766" s="113"/>
    </row>
    <row r="12767" spans="14:14">
      <c r="N12767" s="113"/>
    </row>
    <row r="12768" spans="14:14">
      <c r="N12768" s="113"/>
    </row>
    <row r="12769" spans="14:14">
      <c r="N12769" s="113"/>
    </row>
    <row r="12770" spans="14:14">
      <c r="N12770" s="113"/>
    </row>
    <row r="12771" spans="14:14">
      <c r="N12771" s="113"/>
    </row>
    <row r="12772" spans="14:14">
      <c r="N12772" s="113"/>
    </row>
    <row r="12773" spans="14:14">
      <c r="N12773" s="113"/>
    </row>
    <row r="12774" spans="14:14">
      <c r="N12774" s="113"/>
    </row>
    <row r="12775" spans="14:14">
      <c r="N12775" s="113"/>
    </row>
    <row r="12776" spans="14:14">
      <c r="N12776" s="113"/>
    </row>
    <row r="12777" spans="14:14">
      <c r="N12777" s="113"/>
    </row>
    <row r="12778" spans="14:14">
      <c r="N12778" s="113"/>
    </row>
    <row r="12779" spans="14:14">
      <c r="N12779" s="113"/>
    </row>
    <row r="12780" spans="14:14">
      <c r="N12780" s="113"/>
    </row>
    <row r="12781" spans="14:14">
      <c r="N12781" s="113"/>
    </row>
    <row r="12782" spans="14:14">
      <c r="N12782" s="113"/>
    </row>
    <row r="12783" spans="14:14">
      <c r="N12783" s="113"/>
    </row>
    <row r="12784" spans="14:14">
      <c r="N12784" s="113"/>
    </row>
    <row r="12785" spans="14:14">
      <c r="N12785" s="113"/>
    </row>
    <row r="12786" spans="14:14">
      <c r="N12786" s="113"/>
    </row>
    <row r="12787" spans="14:14">
      <c r="N12787" s="113"/>
    </row>
    <row r="12788" spans="14:14">
      <c r="N12788" s="113"/>
    </row>
    <row r="12789" spans="14:14">
      <c r="N12789" s="113"/>
    </row>
    <row r="12790" spans="14:14">
      <c r="N12790" s="113"/>
    </row>
    <row r="12791" spans="14:14">
      <c r="N12791" s="113"/>
    </row>
    <row r="12792" spans="14:14">
      <c r="N12792" s="113"/>
    </row>
    <row r="12793" spans="14:14">
      <c r="N12793" s="113"/>
    </row>
    <row r="12794" spans="14:14">
      <c r="N12794" s="113"/>
    </row>
    <row r="12795" spans="14:14">
      <c r="N12795" s="113"/>
    </row>
    <row r="12796" spans="14:14">
      <c r="N12796" s="113"/>
    </row>
    <row r="12797" spans="14:14">
      <c r="N12797" s="113"/>
    </row>
    <row r="12798" spans="14:14">
      <c r="N12798" s="113"/>
    </row>
    <row r="12799" spans="14:14">
      <c r="N12799" s="113"/>
    </row>
    <row r="12800" spans="14:14">
      <c r="N12800" s="113"/>
    </row>
    <row r="12801" spans="14:14">
      <c r="N12801" s="113"/>
    </row>
    <row r="12802" spans="14:14">
      <c r="N12802" s="113"/>
    </row>
    <row r="12803" spans="14:14">
      <c r="N12803" s="113"/>
    </row>
    <row r="12804" spans="14:14">
      <c r="N12804" s="113"/>
    </row>
    <row r="12805" spans="14:14">
      <c r="N12805" s="113"/>
    </row>
    <row r="12806" spans="14:14">
      <c r="N12806" s="113"/>
    </row>
    <row r="12807" spans="14:14">
      <c r="N12807" s="113"/>
    </row>
    <row r="12808" spans="14:14">
      <c r="N12808" s="113"/>
    </row>
    <row r="12809" spans="14:14">
      <c r="N12809" s="113"/>
    </row>
    <row r="12810" spans="14:14">
      <c r="N12810" s="113"/>
    </row>
    <row r="12811" spans="14:14">
      <c r="N12811" s="113"/>
    </row>
    <row r="12812" spans="14:14">
      <c r="N12812" s="113"/>
    </row>
    <row r="12813" spans="14:14">
      <c r="N12813" s="113"/>
    </row>
    <row r="12814" spans="14:14">
      <c r="N12814" s="113"/>
    </row>
    <row r="12815" spans="14:14">
      <c r="N12815" s="113"/>
    </row>
    <row r="12816" spans="14:14">
      <c r="N12816" s="113"/>
    </row>
    <row r="12817" spans="14:14">
      <c r="N12817" s="113"/>
    </row>
    <row r="12818" spans="14:14">
      <c r="N12818" s="113"/>
    </row>
    <row r="12819" spans="14:14">
      <c r="N12819" s="113"/>
    </row>
    <row r="12820" spans="14:14">
      <c r="N12820" s="113"/>
    </row>
    <row r="12821" spans="14:14">
      <c r="N12821" s="113"/>
    </row>
    <row r="12822" spans="14:14">
      <c r="N12822" s="113"/>
    </row>
    <row r="12823" spans="14:14">
      <c r="N12823" s="113"/>
    </row>
    <row r="12824" spans="14:14">
      <c r="N12824" s="113"/>
    </row>
    <row r="12825" spans="14:14">
      <c r="N12825" s="113"/>
    </row>
    <row r="12826" spans="14:14">
      <c r="N12826" s="113"/>
    </row>
    <row r="12827" spans="14:14">
      <c r="N12827" s="113"/>
    </row>
    <row r="12828" spans="14:14">
      <c r="N12828" s="113"/>
    </row>
    <row r="12829" spans="14:14">
      <c r="N12829" s="113"/>
    </row>
    <row r="12830" spans="14:14">
      <c r="N12830" s="113"/>
    </row>
    <row r="12831" spans="14:14">
      <c r="N12831" s="113"/>
    </row>
    <row r="12832" spans="14:14">
      <c r="N12832" s="113"/>
    </row>
    <row r="12833" spans="14:14">
      <c r="N12833" s="113"/>
    </row>
    <row r="12834" spans="14:14">
      <c r="N12834" s="113"/>
    </row>
    <row r="12835" spans="14:14">
      <c r="N12835" s="113"/>
    </row>
    <row r="12836" spans="14:14">
      <c r="N12836" s="113"/>
    </row>
    <row r="12837" spans="14:14">
      <c r="N12837" s="113"/>
    </row>
    <row r="12838" spans="14:14">
      <c r="N12838" s="113"/>
    </row>
    <row r="12839" spans="14:14">
      <c r="N12839" s="113"/>
    </row>
    <row r="12840" spans="14:14">
      <c r="N12840" s="113"/>
    </row>
    <row r="12841" spans="14:14">
      <c r="N12841" s="113"/>
    </row>
    <row r="12842" spans="14:14">
      <c r="N12842" s="113"/>
    </row>
    <row r="12843" spans="14:14">
      <c r="N12843" s="113"/>
    </row>
    <row r="12844" spans="14:14">
      <c r="N12844" s="113"/>
    </row>
    <row r="12845" spans="14:14">
      <c r="N12845" s="113"/>
    </row>
    <row r="12846" spans="14:14">
      <c r="N12846" s="113"/>
    </row>
    <row r="12847" spans="14:14">
      <c r="N12847" s="113"/>
    </row>
    <row r="12848" spans="14:14">
      <c r="N12848" s="113"/>
    </row>
    <row r="12849" spans="14:14">
      <c r="N12849" s="113"/>
    </row>
    <row r="12850" spans="14:14">
      <c r="N12850" s="113"/>
    </row>
    <row r="12851" spans="14:14">
      <c r="N12851" s="113"/>
    </row>
    <row r="12852" spans="14:14">
      <c r="N12852" s="113"/>
    </row>
    <row r="12853" spans="14:14">
      <c r="N12853" s="113"/>
    </row>
    <row r="12854" spans="14:14">
      <c r="N12854" s="113"/>
    </row>
    <row r="12855" spans="14:14">
      <c r="N12855" s="113"/>
    </row>
    <row r="12856" spans="14:14">
      <c r="N12856" s="113"/>
    </row>
    <row r="12857" spans="14:14">
      <c r="N12857" s="113"/>
    </row>
    <row r="12858" spans="14:14">
      <c r="N12858" s="113"/>
    </row>
    <row r="12859" spans="14:14">
      <c r="N12859" s="113"/>
    </row>
    <row r="12860" spans="14:14">
      <c r="N12860" s="113"/>
    </row>
    <row r="12861" spans="14:14">
      <c r="N12861" s="113"/>
    </row>
    <row r="12862" spans="14:14">
      <c r="N12862" s="113"/>
    </row>
    <row r="12863" spans="14:14">
      <c r="N12863" s="113"/>
    </row>
    <row r="12864" spans="14:14">
      <c r="N12864" s="113"/>
    </row>
    <row r="12865" spans="14:14">
      <c r="N12865" s="113"/>
    </row>
    <row r="12866" spans="14:14">
      <c r="N12866" s="113"/>
    </row>
    <row r="12867" spans="14:14">
      <c r="N12867" s="113"/>
    </row>
    <row r="12868" spans="14:14">
      <c r="N12868" s="113"/>
    </row>
    <row r="12869" spans="14:14">
      <c r="N12869" s="113"/>
    </row>
    <row r="12870" spans="14:14">
      <c r="N12870" s="113"/>
    </row>
    <row r="12871" spans="14:14">
      <c r="N12871" s="113"/>
    </row>
    <row r="12872" spans="14:14">
      <c r="N12872" s="113"/>
    </row>
    <row r="12873" spans="14:14">
      <c r="N12873" s="113"/>
    </row>
    <row r="12874" spans="14:14">
      <c r="N12874" s="113"/>
    </row>
    <row r="12875" spans="14:14">
      <c r="N12875" s="113"/>
    </row>
    <row r="12876" spans="14:14">
      <c r="N12876" s="113"/>
    </row>
    <row r="12877" spans="14:14">
      <c r="N12877" s="113"/>
    </row>
    <row r="12878" spans="14:14">
      <c r="N12878" s="113"/>
    </row>
    <row r="12879" spans="14:14">
      <c r="N12879" s="113"/>
    </row>
    <row r="12880" spans="14:14">
      <c r="N12880" s="113"/>
    </row>
    <row r="12881" spans="14:14">
      <c r="N12881" s="113"/>
    </row>
    <row r="12882" spans="14:14">
      <c r="N12882" s="113"/>
    </row>
    <row r="12883" spans="14:14">
      <c r="N12883" s="113"/>
    </row>
    <row r="12884" spans="14:14">
      <c r="N12884" s="113"/>
    </row>
    <row r="12885" spans="14:14">
      <c r="N12885" s="113"/>
    </row>
    <row r="12886" spans="14:14">
      <c r="N12886" s="113"/>
    </row>
    <row r="12887" spans="14:14">
      <c r="N12887" s="113"/>
    </row>
    <row r="12888" spans="14:14">
      <c r="N12888" s="113"/>
    </row>
    <row r="12889" spans="14:14">
      <c r="N12889" s="113"/>
    </row>
    <row r="12890" spans="14:14">
      <c r="N12890" s="113"/>
    </row>
    <row r="12891" spans="14:14">
      <c r="N12891" s="113"/>
    </row>
    <row r="12892" spans="14:14">
      <c r="N12892" s="113"/>
    </row>
    <row r="12893" spans="14:14">
      <c r="N12893" s="113"/>
    </row>
    <row r="12894" spans="14:14">
      <c r="N12894" s="113"/>
    </row>
    <row r="12895" spans="14:14">
      <c r="N12895" s="113"/>
    </row>
    <row r="12896" spans="14:14">
      <c r="N12896" s="113"/>
    </row>
    <row r="12897" spans="14:14">
      <c r="N12897" s="113"/>
    </row>
    <row r="12898" spans="14:14">
      <c r="N12898" s="113"/>
    </row>
    <row r="12899" spans="14:14">
      <c r="N12899" s="113"/>
    </row>
    <row r="12900" spans="14:14">
      <c r="N12900" s="113"/>
    </row>
    <row r="12901" spans="14:14">
      <c r="N12901" s="113"/>
    </row>
    <row r="12902" spans="14:14">
      <c r="N12902" s="113"/>
    </row>
    <row r="12903" spans="14:14">
      <c r="N12903" s="113"/>
    </row>
    <row r="12904" spans="14:14">
      <c r="N12904" s="113"/>
    </row>
    <row r="12905" spans="14:14">
      <c r="N12905" s="113"/>
    </row>
    <row r="12906" spans="14:14">
      <c r="N12906" s="113"/>
    </row>
    <row r="12907" spans="14:14">
      <c r="N12907" s="113"/>
    </row>
    <row r="12908" spans="14:14">
      <c r="N12908" s="113"/>
    </row>
    <row r="12909" spans="14:14">
      <c r="N12909" s="113"/>
    </row>
    <row r="12910" spans="14:14">
      <c r="N12910" s="113"/>
    </row>
    <row r="12911" spans="14:14">
      <c r="N12911" s="113"/>
    </row>
    <row r="12912" spans="14:14">
      <c r="N12912" s="113"/>
    </row>
    <row r="12913" spans="14:14">
      <c r="N12913" s="113"/>
    </row>
    <row r="12914" spans="14:14">
      <c r="N12914" s="113"/>
    </row>
    <row r="12915" spans="14:14">
      <c r="N12915" s="113"/>
    </row>
    <row r="12916" spans="14:14">
      <c r="N12916" s="113"/>
    </row>
    <row r="12917" spans="14:14">
      <c r="N12917" s="113"/>
    </row>
    <row r="12918" spans="14:14">
      <c r="N12918" s="113"/>
    </row>
    <row r="12919" spans="14:14">
      <c r="N12919" s="113"/>
    </row>
    <row r="12920" spans="14:14">
      <c r="N12920" s="113"/>
    </row>
    <row r="12921" spans="14:14">
      <c r="N12921" s="113"/>
    </row>
    <row r="12922" spans="14:14">
      <c r="N12922" s="113"/>
    </row>
    <row r="12923" spans="14:14">
      <c r="N12923" s="113"/>
    </row>
    <row r="12924" spans="14:14">
      <c r="N12924" s="113"/>
    </row>
    <row r="12925" spans="14:14">
      <c r="N12925" s="113"/>
    </row>
    <row r="12926" spans="14:14">
      <c r="N12926" s="113"/>
    </row>
    <row r="12927" spans="14:14">
      <c r="N12927" s="113"/>
    </row>
    <row r="12928" spans="14:14">
      <c r="N12928" s="113"/>
    </row>
    <row r="12929" spans="14:14">
      <c r="N12929" s="113"/>
    </row>
    <row r="12930" spans="14:14">
      <c r="N12930" s="113"/>
    </row>
    <row r="12931" spans="14:14">
      <c r="N12931" s="113"/>
    </row>
    <row r="12932" spans="14:14">
      <c r="N12932" s="113"/>
    </row>
    <row r="12933" spans="14:14">
      <c r="N12933" s="113"/>
    </row>
    <row r="12934" spans="14:14">
      <c r="N12934" s="113"/>
    </row>
    <row r="12935" spans="14:14">
      <c r="N12935" s="113"/>
    </row>
    <row r="12936" spans="14:14">
      <c r="N12936" s="113"/>
    </row>
    <row r="12937" spans="14:14">
      <c r="N12937" s="113"/>
    </row>
    <row r="12938" spans="14:14">
      <c r="N12938" s="113"/>
    </row>
    <row r="12939" spans="14:14">
      <c r="N12939" s="113"/>
    </row>
    <row r="12940" spans="14:14">
      <c r="N12940" s="113"/>
    </row>
    <row r="12941" spans="14:14">
      <c r="N12941" s="113"/>
    </row>
    <row r="12942" spans="14:14">
      <c r="N12942" s="113"/>
    </row>
    <row r="12943" spans="14:14">
      <c r="N12943" s="113"/>
    </row>
    <row r="12944" spans="14:14">
      <c r="N12944" s="113"/>
    </row>
    <row r="12945" spans="14:14">
      <c r="N12945" s="113"/>
    </row>
    <row r="12946" spans="14:14">
      <c r="N12946" s="113"/>
    </row>
    <row r="12947" spans="14:14">
      <c r="N12947" s="113"/>
    </row>
    <row r="12948" spans="14:14">
      <c r="N12948" s="113"/>
    </row>
    <row r="12949" spans="14:14">
      <c r="N12949" s="113"/>
    </row>
    <row r="12950" spans="14:14">
      <c r="N12950" s="113"/>
    </row>
    <row r="12951" spans="14:14">
      <c r="N12951" s="113"/>
    </row>
    <row r="12952" spans="14:14">
      <c r="N12952" s="113"/>
    </row>
    <row r="12953" spans="14:14">
      <c r="N12953" s="113"/>
    </row>
    <row r="12954" spans="14:14">
      <c r="N12954" s="113"/>
    </row>
    <row r="12955" spans="14:14">
      <c r="N12955" s="113"/>
    </row>
    <row r="12956" spans="14:14">
      <c r="N12956" s="113"/>
    </row>
    <row r="12957" spans="14:14">
      <c r="N12957" s="113"/>
    </row>
    <row r="12958" spans="14:14">
      <c r="N12958" s="113"/>
    </row>
    <row r="12959" spans="14:14">
      <c r="N12959" s="113"/>
    </row>
    <row r="12960" spans="14:14">
      <c r="N12960" s="113"/>
    </row>
    <row r="12961" spans="14:14">
      <c r="N12961" s="113"/>
    </row>
    <row r="12962" spans="14:14">
      <c r="N12962" s="113"/>
    </row>
    <row r="12963" spans="14:14">
      <c r="N12963" s="113"/>
    </row>
    <row r="12964" spans="14:14">
      <c r="N12964" s="113"/>
    </row>
    <row r="12965" spans="14:14">
      <c r="N12965" s="113"/>
    </row>
    <row r="12966" spans="14:14">
      <c r="N12966" s="113"/>
    </row>
    <row r="12967" spans="14:14">
      <c r="N12967" s="113"/>
    </row>
    <row r="12968" spans="14:14">
      <c r="N12968" s="113"/>
    </row>
    <row r="12969" spans="14:14">
      <c r="N12969" s="113"/>
    </row>
    <row r="12970" spans="14:14">
      <c r="N12970" s="113"/>
    </row>
    <row r="12971" spans="14:14">
      <c r="N12971" s="113"/>
    </row>
    <row r="12972" spans="14:14">
      <c r="N12972" s="113"/>
    </row>
    <row r="12973" spans="14:14">
      <c r="N12973" s="113"/>
    </row>
    <row r="12974" spans="14:14">
      <c r="N12974" s="113"/>
    </row>
    <row r="12975" spans="14:14">
      <c r="N12975" s="113"/>
    </row>
    <row r="12976" spans="14:14">
      <c r="N12976" s="113"/>
    </row>
    <row r="12977" spans="14:14">
      <c r="N12977" s="113"/>
    </row>
    <row r="12978" spans="14:14">
      <c r="N12978" s="113"/>
    </row>
    <row r="12979" spans="14:14">
      <c r="N12979" s="113"/>
    </row>
    <row r="12980" spans="14:14">
      <c r="N12980" s="113"/>
    </row>
    <row r="12981" spans="14:14">
      <c r="N12981" s="113"/>
    </row>
    <row r="12982" spans="14:14">
      <c r="N12982" s="113"/>
    </row>
    <row r="12983" spans="14:14">
      <c r="N12983" s="113"/>
    </row>
    <row r="12984" spans="14:14">
      <c r="N12984" s="113"/>
    </row>
    <row r="12985" spans="14:14">
      <c r="N12985" s="113"/>
    </row>
    <row r="12986" spans="14:14">
      <c r="N12986" s="113"/>
    </row>
    <row r="12987" spans="14:14">
      <c r="N12987" s="113"/>
    </row>
    <row r="12988" spans="14:14">
      <c r="N12988" s="113"/>
    </row>
    <row r="12989" spans="14:14">
      <c r="N12989" s="113"/>
    </row>
    <row r="12990" spans="14:14">
      <c r="N12990" s="113"/>
    </row>
    <row r="12991" spans="14:14">
      <c r="N12991" s="113"/>
    </row>
    <row r="12992" spans="14:14">
      <c r="N12992" s="113"/>
    </row>
    <row r="12993" spans="14:14">
      <c r="N12993" s="113"/>
    </row>
    <row r="12994" spans="14:14">
      <c r="N12994" s="113"/>
    </row>
    <row r="12995" spans="14:14">
      <c r="N12995" s="113"/>
    </row>
    <row r="12996" spans="14:14">
      <c r="N12996" s="113"/>
    </row>
    <row r="12997" spans="14:14">
      <c r="N12997" s="113"/>
    </row>
    <row r="12998" spans="14:14">
      <c r="N12998" s="113"/>
    </row>
    <row r="12999" spans="14:14">
      <c r="N12999" s="113"/>
    </row>
    <row r="13000" spans="14:14">
      <c r="N13000" s="113"/>
    </row>
    <row r="13001" spans="14:14">
      <c r="N13001" s="113"/>
    </row>
    <row r="13002" spans="14:14">
      <c r="N13002" s="113"/>
    </row>
    <row r="13003" spans="14:14">
      <c r="N13003" s="113"/>
    </row>
    <row r="13004" spans="14:14">
      <c r="N13004" s="113"/>
    </row>
    <row r="13005" spans="14:14">
      <c r="N13005" s="113"/>
    </row>
    <row r="13006" spans="14:14">
      <c r="N13006" s="113"/>
    </row>
    <row r="13007" spans="14:14">
      <c r="N13007" s="113"/>
    </row>
    <row r="13008" spans="14:14">
      <c r="N13008" s="113"/>
    </row>
    <row r="13009" spans="14:14">
      <c r="N13009" s="113"/>
    </row>
    <row r="13010" spans="14:14">
      <c r="N13010" s="113"/>
    </row>
    <row r="13011" spans="14:14">
      <c r="N13011" s="113"/>
    </row>
    <row r="13012" spans="14:14">
      <c r="N13012" s="113"/>
    </row>
    <row r="13013" spans="14:14">
      <c r="N13013" s="113"/>
    </row>
    <row r="13014" spans="14:14">
      <c r="N13014" s="113"/>
    </row>
    <row r="13015" spans="14:14">
      <c r="N13015" s="113"/>
    </row>
    <row r="13016" spans="14:14">
      <c r="N13016" s="113"/>
    </row>
    <row r="13017" spans="14:14">
      <c r="N13017" s="113"/>
    </row>
    <row r="13018" spans="14:14">
      <c r="N13018" s="113"/>
    </row>
    <row r="13019" spans="14:14">
      <c r="N13019" s="113"/>
    </row>
    <row r="13020" spans="14:14">
      <c r="N13020" s="113"/>
    </row>
    <row r="13021" spans="14:14">
      <c r="N13021" s="113"/>
    </row>
    <row r="13022" spans="14:14">
      <c r="N13022" s="113"/>
    </row>
    <row r="13023" spans="14:14">
      <c r="N13023" s="113"/>
    </row>
    <row r="13024" spans="14:14">
      <c r="N13024" s="113"/>
    </row>
    <row r="13025" spans="14:14">
      <c r="N13025" s="113"/>
    </row>
    <row r="13026" spans="14:14">
      <c r="N13026" s="113"/>
    </row>
    <row r="13027" spans="14:14">
      <c r="N13027" s="113"/>
    </row>
    <row r="13028" spans="14:14">
      <c r="N13028" s="113"/>
    </row>
    <row r="13029" spans="14:14">
      <c r="N13029" s="113"/>
    </row>
    <row r="13030" spans="14:14">
      <c r="N13030" s="113"/>
    </row>
    <row r="13031" spans="14:14">
      <c r="N13031" s="113"/>
    </row>
    <row r="13032" spans="14:14">
      <c r="N13032" s="113"/>
    </row>
    <row r="13033" spans="14:14">
      <c r="N13033" s="113"/>
    </row>
    <row r="13034" spans="14:14">
      <c r="N13034" s="113"/>
    </row>
    <row r="13035" spans="14:14">
      <c r="N13035" s="113"/>
    </row>
    <row r="13036" spans="14:14">
      <c r="N13036" s="113"/>
    </row>
    <row r="13037" spans="14:14">
      <c r="N13037" s="113"/>
    </row>
    <row r="13038" spans="14:14">
      <c r="N13038" s="113"/>
    </row>
    <row r="13039" spans="14:14">
      <c r="N13039" s="113"/>
    </row>
    <row r="13040" spans="14:14">
      <c r="N13040" s="113"/>
    </row>
    <row r="13041" spans="14:14">
      <c r="N13041" s="113"/>
    </row>
    <row r="13042" spans="14:14">
      <c r="N13042" s="113"/>
    </row>
    <row r="13043" spans="14:14">
      <c r="N13043" s="113"/>
    </row>
    <row r="13044" spans="14:14">
      <c r="N13044" s="113"/>
    </row>
    <row r="13045" spans="14:14">
      <c r="N13045" s="113"/>
    </row>
    <row r="13046" spans="14:14">
      <c r="N13046" s="113"/>
    </row>
    <row r="13047" spans="14:14">
      <c r="N13047" s="113"/>
    </row>
    <row r="13048" spans="14:14">
      <c r="N13048" s="113"/>
    </row>
    <row r="13049" spans="14:14">
      <c r="N13049" s="113"/>
    </row>
    <row r="13050" spans="14:14">
      <c r="N13050" s="113"/>
    </row>
    <row r="13051" spans="14:14">
      <c r="N13051" s="113"/>
    </row>
    <row r="13052" spans="14:14">
      <c r="N13052" s="113"/>
    </row>
    <row r="13053" spans="14:14">
      <c r="N13053" s="113"/>
    </row>
    <row r="13054" spans="14:14">
      <c r="N13054" s="113"/>
    </row>
    <row r="13055" spans="14:14">
      <c r="N13055" s="113"/>
    </row>
    <row r="13056" spans="14:14">
      <c r="N13056" s="113"/>
    </row>
    <row r="13057" spans="14:14">
      <c r="N13057" s="113"/>
    </row>
    <row r="13058" spans="14:14">
      <c r="N13058" s="113"/>
    </row>
    <row r="13059" spans="14:14">
      <c r="N13059" s="113"/>
    </row>
    <row r="13060" spans="14:14">
      <c r="N13060" s="113"/>
    </row>
    <row r="13061" spans="14:14">
      <c r="N13061" s="113"/>
    </row>
    <row r="13062" spans="14:14">
      <c r="N13062" s="113"/>
    </row>
    <row r="13063" spans="14:14">
      <c r="N13063" s="113"/>
    </row>
    <row r="13064" spans="14:14">
      <c r="N13064" s="113"/>
    </row>
    <row r="13065" spans="14:14">
      <c r="N13065" s="113"/>
    </row>
    <row r="13066" spans="14:14">
      <c r="N13066" s="113"/>
    </row>
    <row r="13067" spans="14:14">
      <c r="N13067" s="113"/>
    </row>
    <row r="13068" spans="14:14">
      <c r="N13068" s="113"/>
    </row>
    <row r="13069" spans="14:14">
      <c r="N13069" s="113"/>
    </row>
    <row r="13070" spans="14:14">
      <c r="N13070" s="113"/>
    </row>
    <row r="13071" spans="14:14">
      <c r="N13071" s="113"/>
    </row>
    <row r="13072" spans="14:14">
      <c r="N13072" s="113"/>
    </row>
    <row r="13073" spans="14:14">
      <c r="N13073" s="113"/>
    </row>
    <row r="13074" spans="14:14">
      <c r="N13074" s="113"/>
    </row>
    <row r="13075" spans="14:14">
      <c r="N13075" s="113"/>
    </row>
    <row r="13076" spans="14:14">
      <c r="N13076" s="113"/>
    </row>
    <row r="13077" spans="14:14">
      <c r="N13077" s="113"/>
    </row>
    <row r="13078" spans="14:14">
      <c r="N13078" s="113"/>
    </row>
    <row r="13079" spans="14:14">
      <c r="N13079" s="113"/>
    </row>
    <row r="13080" spans="14:14">
      <c r="N13080" s="113"/>
    </row>
    <row r="13081" spans="14:14">
      <c r="N13081" s="113"/>
    </row>
    <row r="13082" spans="14:14">
      <c r="N13082" s="113"/>
    </row>
    <row r="13083" spans="14:14">
      <c r="N13083" s="113"/>
    </row>
    <row r="13084" spans="14:14">
      <c r="N13084" s="113"/>
    </row>
    <row r="13085" spans="14:14">
      <c r="N13085" s="113"/>
    </row>
    <row r="13086" spans="14:14">
      <c r="N13086" s="113"/>
    </row>
    <row r="13087" spans="14:14">
      <c r="N13087" s="113"/>
    </row>
    <row r="13088" spans="14:14">
      <c r="N13088" s="113"/>
    </row>
    <row r="13089" spans="14:14">
      <c r="N13089" s="113"/>
    </row>
    <row r="13090" spans="14:14">
      <c r="N13090" s="113"/>
    </row>
    <row r="13091" spans="14:14">
      <c r="N13091" s="113"/>
    </row>
    <row r="13092" spans="14:14">
      <c r="N13092" s="113"/>
    </row>
    <row r="13093" spans="14:14">
      <c r="N13093" s="113"/>
    </row>
    <row r="13094" spans="14:14">
      <c r="N13094" s="113"/>
    </row>
    <row r="13095" spans="14:14">
      <c r="N13095" s="113"/>
    </row>
    <row r="13096" spans="14:14">
      <c r="N13096" s="113"/>
    </row>
    <row r="13097" spans="14:14">
      <c r="N13097" s="113"/>
    </row>
    <row r="13098" spans="14:14">
      <c r="N13098" s="113"/>
    </row>
    <row r="13099" spans="14:14">
      <c r="N13099" s="113"/>
    </row>
    <row r="13100" spans="14:14">
      <c r="N13100" s="113"/>
    </row>
    <row r="13101" spans="14:14">
      <c r="N13101" s="113"/>
    </row>
    <row r="13102" spans="14:14">
      <c r="N13102" s="113"/>
    </row>
    <row r="13103" spans="14:14">
      <c r="N13103" s="113"/>
    </row>
    <row r="13104" spans="14:14">
      <c r="N13104" s="113"/>
    </row>
    <row r="13105" spans="14:14">
      <c r="N13105" s="113"/>
    </row>
    <row r="13106" spans="14:14">
      <c r="N13106" s="113"/>
    </row>
    <row r="13107" spans="14:14">
      <c r="N13107" s="113"/>
    </row>
    <row r="13108" spans="14:14">
      <c r="N13108" s="113"/>
    </row>
    <row r="13109" spans="14:14">
      <c r="N13109" s="113"/>
    </row>
    <row r="13110" spans="14:14">
      <c r="N13110" s="113"/>
    </row>
    <row r="13111" spans="14:14">
      <c r="N13111" s="113"/>
    </row>
    <row r="13112" spans="14:14">
      <c r="N13112" s="113"/>
    </row>
    <row r="13113" spans="14:14">
      <c r="N13113" s="113"/>
    </row>
    <row r="13114" spans="14:14">
      <c r="N13114" s="113"/>
    </row>
    <row r="13115" spans="14:14">
      <c r="N13115" s="113"/>
    </row>
    <row r="13116" spans="14:14">
      <c r="N13116" s="113"/>
    </row>
    <row r="13117" spans="14:14">
      <c r="N13117" s="113"/>
    </row>
    <row r="13118" spans="14:14">
      <c r="N13118" s="113"/>
    </row>
    <row r="13119" spans="14:14">
      <c r="N13119" s="113"/>
    </row>
    <row r="13120" spans="14:14">
      <c r="N13120" s="113"/>
    </row>
    <row r="13121" spans="14:14">
      <c r="N13121" s="113"/>
    </row>
    <row r="13122" spans="14:14">
      <c r="N13122" s="113"/>
    </row>
    <row r="13123" spans="14:14">
      <c r="N13123" s="113"/>
    </row>
    <row r="13124" spans="14:14">
      <c r="N13124" s="113"/>
    </row>
    <row r="13125" spans="14:14">
      <c r="N13125" s="113"/>
    </row>
    <row r="13126" spans="14:14">
      <c r="N13126" s="113"/>
    </row>
    <row r="13127" spans="14:14">
      <c r="N13127" s="113"/>
    </row>
    <row r="13128" spans="14:14">
      <c r="N13128" s="113"/>
    </row>
    <row r="13129" spans="14:14">
      <c r="N13129" s="113"/>
    </row>
    <row r="13130" spans="14:14">
      <c r="N13130" s="113"/>
    </row>
    <row r="13131" spans="14:14">
      <c r="N13131" s="113"/>
    </row>
    <row r="13132" spans="14:14">
      <c r="N13132" s="113"/>
    </row>
    <row r="13133" spans="14:14">
      <c r="N13133" s="113"/>
    </row>
    <row r="13134" spans="14:14">
      <c r="N13134" s="113"/>
    </row>
    <row r="13135" spans="14:14">
      <c r="N13135" s="113"/>
    </row>
    <row r="13136" spans="14:14">
      <c r="N13136" s="113"/>
    </row>
    <row r="13137" spans="14:14">
      <c r="N13137" s="113"/>
    </row>
    <row r="13138" spans="14:14">
      <c r="N13138" s="113"/>
    </row>
    <row r="13139" spans="14:14">
      <c r="N13139" s="113"/>
    </row>
    <row r="13140" spans="14:14">
      <c r="N13140" s="113"/>
    </row>
    <row r="13141" spans="14:14">
      <c r="N13141" s="113"/>
    </row>
    <row r="13142" spans="14:14">
      <c r="N13142" s="113"/>
    </row>
    <row r="13143" spans="14:14">
      <c r="N13143" s="113"/>
    </row>
    <row r="13144" spans="14:14">
      <c r="N13144" s="113"/>
    </row>
    <row r="13145" spans="14:14">
      <c r="N13145" s="113"/>
    </row>
    <row r="13146" spans="14:14">
      <c r="N13146" s="113"/>
    </row>
    <row r="13147" spans="14:14">
      <c r="N13147" s="113"/>
    </row>
    <row r="13148" spans="14:14">
      <c r="N13148" s="113"/>
    </row>
    <row r="13149" spans="14:14">
      <c r="N13149" s="113"/>
    </row>
    <row r="13150" spans="14:14">
      <c r="N13150" s="113"/>
    </row>
    <row r="13151" spans="14:14">
      <c r="N13151" s="113"/>
    </row>
    <row r="13152" spans="14:14">
      <c r="N13152" s="113"/>
    </row>
    <row r="13153" spans="14:14">
      <c r="N13153" s="113"/>
    </row>
    <row r="13154" spans="14:14">
      <c r="N13154" s="113"/>
    </row>
    <row r="13155" spans="14:14">
      <c r="N13155" s="113"/>
    </row>
    <row r="13156" spans="14:14">
      <c r="N13156" s="113"/>
    </row>
    <row r="13157" spans="14:14">
      <c r="N13157" s="113"/>
    </row>
    <row r="13158" spans="14:14">
      <c r="N13158" s="113"/>
    </row>
    <row r="13159" spans="14:14">
      <c r="N13159" s="113"/>
    </row>
    <row r="13160" spans="14:14">
      <c r="N13160" s="113"/>
    </row>
    <row r="13161" spans="14:14">
      <c r="N13161" s="113"/>
    </row>
    <row r="13162" spans="14:14">
      <c r="N13162" s="113"/>
    </row>
    <row r="13163" spans="14:14">
      <c r="N13163" s="113"/>
    </row>
    <row r="13164" spans="14:14">
      <c r="N13164" s="113"/>
    </row>
    <row r="13165" spans="14:14">
      <c r="N13165" s="113"/>
    </row>
    <row r="13166" spans="14:14">
      <c r="N13166" s="113"/>
    </row>
    <row r="13167" spans="14:14">
      <c r="N13167" s="113"/>
    </row>
    <row r="13168" spans="14:14">
      <c r="N13168" s="113"/>
    </row>
    <row r="13169" spans="14:14">
      <c r="N13169" s="113"/>
    </row>
    <row r="13170" spans="14:14">
      <c r="N13170" s="113"/>
    </row>
    <row r="13171" spans="14:14">
      <c r="N13171" s="113"/>
    </row>
    <row r="13172" spans="14:14">
      <c r="N13172" s="113"/>
    </row>
    <row r="13173" spans="14:14">
      <c r="N13173" s="113"/>
    </row>
    <row r="13174" spans="14:14">
      <c r="N13174" s="113"/>
    </row>
    <row r="13175" spans="14:14">
      <c r="N13175" s="113"/>
    </row>
    <row r="13176" spans="14:14">
      <c r="N13176" s="113"/>
    </row>
    <row r="13177" spans="14:14">
      <c r="N13177" s="113"/>
    </row>
    <row r="13178" spans="14:14">
      <c r="N13178" s="113"/>
    </row>
    <row r="13179" spans="14:14">
      <c r="N13179" s="113"/>
    </row>
    <row r="13180" spans="14:14">
      <c r="N13180" s="113"/>
    </row>
    <row r="13181" spans="14:14">
      <c r="N13181" s="113"/>
    </row>
    <row r="13182" spans="14:14">
      <c r="N13182" s="113"/>
    </row>
    <row r="13183" spans="14:14">
      <c r="N13183" s="113"/>
    </row>
    <row r="13184" spans="14:14">
      <c r="N13184" s="113"/>
    </row>
    <row r="13185" spans="14:14">
      <c r="N13185" s="113"/>
    </row>
    <row r="13186" spans="14:14">
      <c r="N13186" s="113"/>
    </row>
    <row r="13187" spans="14:14">
      <c r="N13187" s="113"/>
    </row>
    <row r="13188" spans="14:14">
      <c r="N13188" s="113"/>
    </row>
    <row r="13189" spans="14:14">
      <c r="N13189" s="113"/>
    </row>
    <row r="13190" spans="14:14">
      <c r="N13190" s="113"/>
    </row>
    <row r="13191" spans="14:14">
      <c r="N13191" s="113"/>
    </row>
    <row r="13192" spans="14:14">
      <c r="N13192" s="113"/>
    </row>
    <row r="13193" spans="14:14">
      <c r="N13193" s="113"/>
    </row>
    <row r="13194" spans="14:14">
      <c r="N13194" s="113"/>
    </row>
    <row r="13195" spans="14:14">
      <c r="N13195" s="113"/>
    </row>
    <row r="13196" spans="14:14">
      <c r="N13196" s="113"/>
    </row>
    <row r="13197" spans="14:14">
      <c r="N13197" s="113"/>
    </row>
    <row r="13198" spans="14:14">
      <c r="N13198" s="113"/>
    </row>
    <row r="13199" spans="14:14">
      <c r="N13199" s="113"/>
    </row>
    <row r="13200" spans="14:14">
      <c r="N13200" s="113"/>
    </row>
    <row r="13201" spans="14:14">
      <c r="N13201" s="113"/>
    </row>
    <row r="13202" spans="14:14">
      <c r="N13202" s="113"/>
    </row>
    <row r="13203" spans="14:14">
      <c r="N13203" s="113"/>
    </row>
    <row r="13204" spans="14:14">
      <c r="N13204" s="113"/>
    </row>
    <row r="13205" spans="14:14">
      <c r="N13205" s="113"/>
    </row>
    <row r="13206" spans="14:14">
      <c r="N13206" s="113"/>
    </row>
    <row r="13207" spans="14:14">
      <c r="N13207" s="113"/>
    </row>
    <row r="13208" spans="14:14">
      <c r="N13208" s="113"/>
    </row>
    <row r="13209" spans="14:14">
      <c r="N13209" s="113"/>
    </row>
    <row r="13210" spans="14:14">
      <c r="N13210" s="113"/>
    </row>
    <row r="13211" spans="14:14">
      <c r="N13211" s="113"/>
    </row>
    <row r="13212" spans="14:14">
      <c r="N13212" s="113"/>
    </row>
    <row r="13213" spans="14:14">
      <c r="N13213" s="113"/>
    </row>
    <row r="13214" spans="14:14">
      <c r="N13214" s="113"/>
    </row>
    <row r="13215" spans="14:14">
      <c r="N13215" s="113"/>
    </row>
    <row r="13216" spans="14:14">
      <c r="N13216" s="113"/>
    </row>
    <row r="13217" spans="14:14">
      <c r="N13217" s="113"/>
    </row>
    <row r="13218" spans="14:14">
      <c r="N13218" s="113"/>
    </row>
    <row r="13219" spans="14:14">
      <c r="N13219" s="113"/>
    </row>
    <row r="13220" spans="14:14">
      <c r="N13220" s="113"/>
    </row>
    <row r="13221" spans="14:14">
      <c r="N13221" s="113"/>
    </row>
    <row r="13222" spans="14:14">
      <c r="N13222" s="113"/>
    </row>
    <row r="13223" spans="14:14">
      <c r="N13223" s="113"/>
    </row>
    <row r="13224" spans="14:14">
      <c r="N13224" s="113"/>
    </row>
    <row r="13225" spans="14:14">
      <c r="N13225" s="113"/>
    </row>
    <row r="13226" spans="14:14">
      <c r="N13226" s="113"/>
    </row>
    <row r="13227" spans="14:14">
      <c r="N13227" s="113"/>
    </row>
    <row r="13228" spans="14:14">
      <c r="N13228" s="113"/>
    </row>
    <row r="13229" spans="14:14">
      <c r="N13229" s="113"/>
    </row>
    <row r="13230" spans="14:14">
      <c r="N13230" s="113"/>
    </row>
    <row r="13231" spans="14:14">
      <c r="N13231" s="113"/>
    </row>
    <row r="13232" spans="14:14">
      <c r="N13232" s="113"/>
    </row>
    <row r="13233" spans="14:14">
      <c r="N13233" s="113"/>
    </row>
    <row r="13234" spans="14:14">
      <c r="N13234" s="113"/>
    </row>
    <row r="13235" spans="14:14">
      <c r="N13235" s="113"/>
    </row>
    <row r="13236" spans="14:14">
      <c r="N13236" s="113"/>
    </row>
    <row r="13237" spans="14:14">
      <c r="N13237" s="113"/>
    </row>
    <row r="13238" spans="14:14">
      <c r="N13238" s="113"/>
    </row>
    <row r="13239" spans="14:14">
      <c r="N13239" s="113"/>
    </row>
    <row r="13240" spans="14:14">
      <c r="N13240" s="113"/>
    </row>
    <row r="13241" spans="14:14">
      <c r="N13241" s="113"/>
    </row>
    <row r="13242" spans="14:14">
      <c r="N13242" s="113"/>
    </row>
    <row r="13243" spans="14:14">
      <c r="N13243" s="113"/>
    </row>
    <row r="13244" spans="14:14">
      <c r="N13244" s="113"/>
    </row>
    <row r="13245" spans="14:14">
      <c r="N13245" s="113"/>
    </row>
    <row r="13246" spans="14:14">
      <c r="N13246" s="113"/>
    </row>
    <row r="13247" spans="14:14">
      <c r="N13247" s="113"/>
    </row>
    <row r="13248" spans="14:14">
      <c r="N13248" s="113"/>
    </row>
    <row r="13249" spans="14:14">
      <c r="N13249" s="113"/>
    </row>
    <row r="13250" spans="14:14">
      <c r="N13250" s="113"/>
    </row>
    <row r="13251" spans="14:14">
      <c r="N13251" s="113"/>
    </row>
    <row r="13252" spans="14:14">
      <c r="N13252" s="113"/>
    </row>
    <row r="13253" spans="14:14">
      <c r="N13253" s="113"/>
    </row>
    <row r="13254" spans="14:14">
      <c r="N13254" s="113"/>
    </row>
    <row r="13255" spans="14:14">
      <c r="N13255" s="113"/>
    </row>
    <row r="13256" spans="14:14">
      <c r="N13256" s="113"/>
    </row>
    <row r="13257" spans="14:14">
      <c r="N13257" s="113"/>
    </row>
    <row r="13258" spans="14:14">
      <c r="N13258" s="113"/>
    </row>
    <row r="13259" spans="14:14">
      <c r="N13259" s="113"/>
    </row>
    <row r="13260" spans="14:14">
      <c r="N13260" s="113"/>
    </row>
    <row r="13261" spans="14:14">
      <c r="N13261" s="113"/>
    </row>
    <row r="13262" spans="14:14">
      <c r="N13262" s="113"/>
    </row>
    <row r="13263" spans="14:14">
      <c r="N13263" s="113"/>
    </row>
    <row r="13264" spans="14:14">
      <c r="N13264" s="113"/>
    </row>
    <row r="13265" spans="14:14">
      <c r="N13265" s="113"/>
    </row>
    <row r="13266" spans="14:14">
      <c r="N13266" s="113"/>
    </row>
    <row r="13267" spans="14:14">
      <c r="N13267" s="113"/>
    </row>
    <row r="13268" spans="14:14">
      <c r="N13268" s="113"/>
    </row>
    <row r="13269" spans="14:14">
      <c r="N13269" s="113"/>
    </row>
    <row r="13270" spans="14:14">
      <c r="N13270" s="113"/>
    </row>
    <row r="13271" spans="14:14">
      <c r="N13271" s="113"/>
    </row>
    <row r="13272" spans="14:14">
      <c r="N13272" s="113"/>
    </row>
    <row r="13273" spans="14:14">
      <c r="N13273" s="113"/>
    </row>
    <row r="13274" spans="14:14">
      <c r="N13274" s="113"/>
    </row>
    <row r="13275" spans="14:14">
      <c r="N13275" s="113"/>
    </row>
    <row r="13276" spans="14:14">
      <c r="N13276" s="113"/>
    </row>
    <row r="13277" spans="14:14">
      <c r="N13277" s="113"/>
    </row>
    <row r="13278" spans="14:14">
      <c r="N13278" s="113"/>
    </row>
    <row r="13279" spans="14:14">
      <c r="N13279" s="113"/>
    </row>
    <row r="13280" spans="14:14">
      <c r="N13280" s="113"/>
    </row>
    <row r="13281" spans="14:14">
      <c r="N13281" s="113"/>
    </row>
    <row r="13282" spans="14:14">
      <c r="N13282" s="113"/>
    </row>
    <row r="13283" spans="14:14">
      <c r="N13283" s="113"/>
    </row>
    <row r="13284" spans="14:14">
      <c r="N13284" s="113"/>
    </row>
    <row r="13285" spans="14:14">
      <c r="N13285" s="113"/>
    </row>
    <row r="13286" spans="14:14">
      <c r="N13286" s="113"/>
    </row>
    <row r="13287" spans="14:14">
      <c r="N13287" s="113"/>
    </row>
    <row r="13288" spans="14:14">
      <c r="N13288" s="113"/>
    </row>
    <row r="13289" spans="14:14">
      <c r="N13289" s="113"/>
    </row>
    <row r="13290" spans="14:14">
      <c r="N13290" s="113"/>
    </row>
    <row r="13291" spans="14:14">
      <c r="N13291" s="113"/>
    </row>
    <row r="13292" spans="14:14">
      <c r="N13292" s="113"/>
    </row>
    <row r="13293" spans="14:14">
      <c r="N13293" s="113"/>
    </row>
    <row r="13294" spans="14:14">
      <c r="N13294" s="113"/>
    </row>
    <row r="13295" spans="14:14">
      <c r="N13295" s="113"/>
    </row>
    <row r="13296" spans="14:14">
      <c r="N13296" s="113"/>
    </row>
    <row r="13297" spans="14:14">
      <c r="N13297" s="113"/>
    </row>
    <row r="13298" spans="14:14">
      <c r="N13298" s="113"/>
    </row>
    <row r="13299" spans="14:14">
      <c r="N13299" s="113"/>
    </row>
    <row r="13300" spans="14:14">
      <c r="N13300" s="113"/>
    </row>
    <row r="13301" spans="14:14">
      <c r="N13301" s="113"/>
    </row>
    <row r="13302" spans="14:14">
      <c r="N13302" s="113"/>
    </row>
    <row r="13303" spans="14:14">
      <c r="N13303" s="113"/>
    </row>
    <row r="13304" spans="14:14">
      <c r="N13304" s="113"/>
    </row>
    <row r="13305" spans="14:14">
      <c r="N13305" s="113"/>
    </row>
    <row r="13306" spans="14:14">
      <c r="N13306" s="113"/>
    </row>
    <row r="13307" spans="14:14">
      <c r="N13307" s="113"/>
    </row>
    <row r="13308" spans="14:14">
      <c r="N13308" s="113"/>
    </row>
    <row r="13309" spans="14:14">
      <c r="N13309" s="113"/>
    </row>
    <row r="13310" spans="14:14">
      <c r="N13310" s="113"/>
    </row>
    <row r="13311" spans="14:14">
      <c r="N13311" s="113"/>
    </row>
    <row r="13312" spans="14:14">
      <c r="N13312" s="113"/>
    </row>
    <row r="13313" spans="14:14">
      <c r="N13313" s="113"/>
    </row>
    <row r="13314" spans="14:14">
      <c r="N13314" s="113"/>
    </row>
    <row r="13315" spans="14:14">
      <c r="N13315" s="113"/>
    </row>
    <row r="13316" spans="14:14">
      <c r="N13316" s="113"/>
    </row>
    <row r="13317" spans="14:14">
      <c r="N13317" s="113"/>
    </row>
    <row r="13318" spans="14:14">
      <c r="N13318" s="113"/>
    </row>
    <row r="13319" spans="14:14">
      <c r="N13319" s="113"/>
    </row>
    <row r="13320" spans="14:14">
      <c r="N13320" s="113"/>
    </row>
    <row r="13321" spans="14:14">
      <c r="N13321" s="113"/>
    </row>
    <row r="13322" spans="14:14">
      <c r="N13322" s="113"/>
    </row>
    <row r="13323" spans="14:14">
      <c r="N13323" s="113"/>
    </row>
    <row r="13324" spans="14:14">
      <c r="N13324" s="113"/>
    </row>
    <row r="13325" spans="14:14">
      <c r="N13325" s="113"/>
    </row>
    <row r="13326" spans="14:14">
      <c r="N13326" s="113"/>
    </row>
    <row r="13327" spans="14:14">
      <c r="N13327" s="113"/>
    </row>
    <row r="13328" spans="14:14">
      <c r="N13328" s="113"/>
    </row>
    <row r="13329" spans="14:14">
      <c r="N13329" s="113"/>
    </row>
    <row r="13330" spans="14:14">
      <c r="N13330" s="113"/>
    </row>
    <row r="13331" spans="14:14">
      <c r="N13331" s="113"/>
    </row>
    <row r="13332" spans="14:14">
      <c r="N13332" s="113"/>
    </row>
    <row r="13333" spans="14:14">
      <c r="N13333" s="113"/>
    </row>
    <row r="13334" spans="14:14">
      <c r="N13334" s="113"/>
    </row>
    <row r="13335" spans="14:14">
      <c r="N13335" s="113"/>
    </row>
    <row r="13336" spans="14:14">
      <c r="N13336" s="113"/>
    </row>
    <row r="13337" spans="14:14">
      <c r="N13337" s="113"/>
    </row>
    <row r="13338" spans="14:14">
      <c r="N13338" s="113"/>
    </row>
    <row r="13339" spans="14:14">
      <c r="N13339" s="113"/>
    </row>
    <row r="13340" spans="14:14">
      <c r="N13340" s="113"/>
    </row>
    <row r="13341" spans="14:14">
      <c r="N13341" s="113"/>
    </row>
    <row r="13342" spans="14:14">
      <c r="N13342" s="113"/>
    </row>
    <row r="13343" spans="14:14">
      <c r="N13343" s="113"/>
    </row>
    <row r="13344" spans="14:14">
      <c r="N13344" s="113"/>
    </row>
    <row r="13345" spans="14:14">
      <c r="N13345" s="113"/>
    </row>
    <row r="13346" spans="14:14">
      <c r="N13346" s="113"/>
    </row>
    <row r="13347" spans="14:14">
      <c r="N13347" s="113"/>
    </row>
    <row r="13348" spans="14:14">
      <c r="N13348" s="113"/>
    </row>
    <row r="13349" spans="14:14">
      <c r="N13349" s="113"/>
    </row>
    <row r="13350" spans="14:14">
      <c r="N13350" s="113"/>
    </row>
    <row r="13351" spans="14:14">
      <c r="N13351" s="113"/>
    </row>
    <row r="13352" spans="14:14">
      <c r="N13352" s="113"/>
    </row>
    <row r="13353" spans="14:14">
      <c r="N13353" s="113"/>
    </row>
    <row r="13354" spans="14:14">
      <c r="N13354" s="113"/>
    </row>
    <row r="13355" spans="14:14">
      <c r="N13355" s="113"/>
    </row>
    <row r="13356" spans="14:14">
      <c r="N13356" s="113"/>
    </row>
    <row r="13357" spans="14:14">
      <c r="N13357" s="113"/>
    </row>
    <row r="13358" spans="14:14">
      <c r="N13358" s="113"/>
    </row>
    <row r="13359" spans="14:14">
      <c r="N13359" s="113"/>
    </row>
    <row r="13360" spans="14:14">
      <c r="N13360" s="113"/>
    </row>
    <row r="13361" spans="14:14">
      <c r="N13361" s="113"/>
    </row>
    <row r="13362" spans="14:14">
      <c r="N13362" s="113"/>
    </row>
    <row r="13363" spans="14:14">
      <c r="N13363" s="113"/>
    </row>
    <row r="13364" spans="14:14">
      <c r="N13364" s="113"/>
    </row>
    <row r="13365" spans="14:14">
      <c r="N13365" s="113"/>
    </row>
    <row r="13366" spans="14:14">
      <c r="N13366" s="113"/>
    </row>
    <row r="13367" spans="14:14">
      <c r="N13367" s="113"/>
    </row>
    <row r="13368" spans="14:14">
      <c r="N13368" s="113"/>
    </row>
    <row r="13369" spans="14:14">
      <c r="N13369" s="113"/>
    </row>
    <row r="13370" spans="14:14">
      <c r="N13370" s="113"/>
    </row>
    <row r="13371" spans="14:14">
      <c r="N13371" s="113"/>
    </row>
    <row r="13372" spans="14:14">
      <c r="N13372" s="113"/>
    </row>
    <row r="13373" spans="14:14">
      <c r="N13373" s="113"/>
    </row>
    <row r="13374" spans="14:14">
      <c r="N13374" s="113"/>
    </row>
    <row r="13375" spans="14:14">
      <c r="N13375" s="113"/>
    </row>
    <row r="13376" spans="14:14">
      <c r="N13376" s="113"/>
    </row>
    <row r="13377" spans="14:14">
      <c r="N13377" s="113"/>
    </row>
    <row r="13378" spans="14:14">
      <c r="N13378" s="113"/>
    </row>
    <row r="13379" spans="14:14">
      <c r="N13379" s="113"/>
    </row>
    <row r="13380" spans="14:14">
      <c r="N13380" s="113"/>
    </row>
    <row r="13381" spans="14:14">
      <c r="N13381" s="113"/>
    </row>
    <row r="13382" spans="14:14">
      <c r="N13382" s="113"/>
    </row>
    <row r="13383" spans="14:14">
      <c r="N13383" s="113"/>
    </row>
    <row r="13384" spans="14:14">
      <c r="N13384" s="113"/>
    </row>
    <row r="13385" spans="14:14">
      <c r="N13385" s="113"/>
    </row>
    <row r="13386" spans="14:14">
      <c r="N13386" s="113"/>
    </row>
    <row r="13387" spans="14:14">
      <c r="N13387" s="113"/>
    </row>
    <row r="13388" spans="14:14">
      <c r="N13388" s="113"/>
    </row>
    <row r="13389" spans="14:14">
      <c r="N13389" s="113"/>
    </row>
    <row r="13390" spans="14:14">
      <c r="N13390" s="113"/>
    </row>
    <row r="13391" spans="14:14">
      <c r="N13391" s="113"/>
    </row>
    <row r="13392" spans="14:14">
      <c r="N13392" s="113"/>
    </row>
    <row r="13393" spans="14:14">
      <c r="N13393" s="113"/>
    </row>
    <row r="13394" spans="14:14">
      <c r="N13394" s="113"/>
    </row>
    <row r="13395" spans="14:14">
      <c r="N13395" s="113"/>
    </row>
    <row r="13396" spans="14:14">
      <c r="N13396" s="113"/>
    </row>
    <row r="13397" spans="14:14">
      <c r="N13397" s="113"/>
    </row>
    <row r="13398" spans="14:14">
      <c r="N13398" s="113"/>
    </row>
    <row r="13399" spans="14:14">
      <c r="N13399" s="113"/>
    </row>
    <row r="13400" spans="14:14">
      <c r="N13400" s="113"/>
    </row>
    <row r="13401" spans="14:14">
      <c r="N13401" s="113"/>
    </row>
    <row r="13402" spans="14:14">
      <c r="N13402" s="113"/>
    </row>
    <row r="13403" spans="14:14">
      <c r="N13403" s="113"/>
    </row>
    <row r="13404" spans="14:14">
      <c r="N13404" s="113"/>
    </row>
    <row r="13405" spans="14:14">
      <c r="N13405" s="113"/>
    </row>
    <row r="13406" spans="14:14">
      <c r="N13406" s="113"/>
    </row>
    <row r="13407" spans="14:14">
      <c r="N13407" s="113"/>
    </row>
    <row r="13408" spans="14:14">
      <c r="N13408" s="113"/>
    </row>
    <row r="13409" spans="14:14">
      <c r="N13409" s="113"/>
    </row>
    <row r="13410" spans="14:14">
      <c r="N13410" s="113"/>
    </row>
    <row r="13411" spans="14:14">
      <c r="N13411" s="113"/>
    </row>
    <row r="13412" spans="14:14">
      <c r="N13412" s="113"/>
    </row>
    <row r="13413" spans="14:14">
      <c r="N13413" s="113"/>
    </row>
    <row r="13414" spans="14:14">
      <c r="N13414" s="113"/>
    </row>
    <row r="13415" spans="14:14">
      <c r="N13415" s="113"/>
    </row>
    <row r="13416" spans="14:14">
      <c r="N13416" s="113"/>
    </row>
    <row r="13417" spans="14:14">
      <c r="N13417" s="113"/>
    </row>
    <row r="13418" spans="14:14">
      <c r="N13418" s="113"/>
    </row>
    <row r="13419" spans="14:14">
      <c r="N13419" s="113"/>
    </row>
    <row r="13420" spans="14:14">
      <c r="N13420" s="113"/>
    </row>
    <row r="13421" spans="14:14">
      <c r="N13421" s="113"/>
    </row>
    <row r="13422" spans="14:14">
      <c r="N13422" s="113"/>
    </row>
    <row r="13423" spans="14:14">
      <c r="N13423" s="113"/>
    </row>
    <row r="13424" spans="14:14">
      <c r="N13424" s="113"/>
    </row>
    <row r="13425" spans="14:14">
      <c r="N13425" s="113"/>
    </row>
    <row r="13426" spans="14:14">
      <c r="N13426" s="113"/>
    </row>
    <row r="13427" spans="14:14">
      <c r="N13427" s="113"/>
    </row>
    <row r="13428" spans="14:14">
      <c r="N13428" s="113"/>
    </row>
    <row r="13429" spans="14:14">
      <c r="N13429" s="113"/>
    </row>
    <row r="13430" spans="14:14">
      <c r="N13430" s="113"/>
    </row>
    <row r="13431" spans="14:14">
      <c r="N13431" s="113"/>
    </row>
    <row r="13432" spans="14:14">
      <c r="N13432" s="113"/>
    </row>
    <row r="13433" spans="14:14">
      <c r="N13433" s="113"/>
    </row>
    <row r="13434" spans="14:14">
      <c r="N13434" s="113"/>
    </row>
    <row r="13435" spans="14:14">
      <c r="N13435" s="113"/>
    </row>
    <row r="13436" spans="14:14">
      <c r="N13436" s="113"/>
    </row>
    <row r="13437" spans="14:14">
      <c r="N13437" s="113"/>
    </row>
    <row r="13438" spans="14:14">
      <c r="N13438" s="113"/>
    </row>
    <row r="13439" spans="14:14">
      <c r="N13439" s="113"/>
    </row>
    <row r="13440" spans="14:14">
      <c r="N13440" s="113"/>
    </row>
    <row r="13441" spans="14:14">
      <c r="N13441" s="113"/>
    </row>
    <row r="13442" spans="14:14">
      <c r="N13442" s="113"/>
    </row>
    <row r="13443" spans="14:14">
      <c r="N13443" s="113"/>
    </row>
    <row r="13444" spans="14:14">
      <c r="N13444" s="113"/>
    </row>
    <row r="13445" spans="14:14">
      <c r="N13445" s="113"/>
    </row>
    <row r="13446" spans="14:14">
      <c r="N13446" s="113"/>
    </row>
    <row r="13447" spans="14:14">
      <c r="N13447" s="113"/>
    </row>
    <row r="13448" spans="14:14">
      <c r="N13448" s="113"/>
    </row>
    <row r="13449" spans="14:14">
      <c r="N13449" s="113"/>
    </row>
    <row r="13450" spans="14:14">
      <c r="N13450" s="113"/>
    </row>
    <row r="13451" spans="14:14">
      <c r="N13451" s="113"/>
    </row>
    <row r="13452" spans="14:14">
      <c r="N13452" s="113"/>
    </row>
    <row r="13453" spans="14:14">
      <c r="N13453" s="113"/>
    </row>
    <row r="13454" spans="14:14">
      <c r="N13454" s="113"/>
    </row>
    <row r="13455" spans="14:14">
      <c r="N13455" s="113"/>
    </row>
    <row r="13456" spans="14:14">
      <c r="N13456" s="113"/>
    </row>
    <row r="13457" spans="14:14">
      <c r="N13457" s="113"/>
    </row>
    <row r="13458" spans="14:14">
      <c r="N13458" s="113"/>
    </row>
    <row r="13459" spans="14:14">
      <c r="N13459" s="113"/>
    </row>
    <row r="13460" spans="14:14">
      <c r="N13460" s="113"/>
    </row>
    <row r="13461" spans="14:14">
      <c r="N13461" s="113"/>
    </row>
    <row r="13462" spans="14:14">
      <c r="N13462" s="113"/>
    </row>
    <row r="13463" spans="14:14">
      <c r="N13463" s="113"/>
    </row>
    <row r="13464" spans="14:14">
      <c r="N13464" s="113"/>
    </row>
    <row r="13465" spans="14:14">
      <c r="N13465" s="113"/>
    </row>
    <row r="13466" spans="14:14">
      <c r="N13466" s="113"/>
    </row>
    <row r="13467" spans="14:14">
      <c r="N13467" s="113"/>
    </row>
    <row r="13468" spans="14:14">
      <c r="N13468" s="113"/>
    </row>
    <row r="13469" spans="14:14">
      <c r="N13469" s="113"/>
    </row>
    <row r="13470" spans="14:14">
      <c r="N13470" s="113"/>
    </row>
    <row r="13471" spans="14:14">
      <c r="N13471" s="113"/>
    </row>
    <row r="13472" spans="14:14">
      <c r="N13472" s="113"/>
    </row>
    <row r="13473" spans="14:14">
      <c r="N13473" s="113"/>
    </row>
    <row r="13474" spans="14:14">
      <c r="N13474" s="113"/>
    </row>
    <row r="13475" spans="14:14">
      <c r="N13475" s="113"/>
    </row>
    <row r="13476" spans="14:14">
      <c r="N13476" s="113"/>
    </row>
    <row r="13477" spans="14:14">
      <c r="N13477" s="113"/>
    </row>
    <row r="13478" spans="14:14">
      <c r="N13478" s="113"/>
    </row>
    <row r="13479" spans="14:14">
      <c r="N13479" s="113"/>
    </row>
    <row r="13480" spans="14:14">
      <c r="N13480" s="113"/>
    </row>
    <row r="13481" spans="14:14">
      <c r="N13481" s="113"/>
    </row>
    <row r="13482" spans="14:14">
      <c r="N13482" s="113"/>
    </row>
    <row r="13483" spans="14:14">
      <c r="N13483" s="113"/>
    </row>
    <row r="13484" spans="14:14">
      <c r="N13484" s="113"/>
    </row>
    <row r="13485" spans="14:14">
      <c r="N13485" s="113"/>
    </row>
    <row r="13486" spans="14:14">
      <c r="N13486" s="113"/>
    </row>
    <row r="13487" spans="14:14">
      <c r="N13487" s="113"/>
    </row>
    <row r="13488" spans="14:14">
      <c r="N13488" s="113"/>
    </row>
    <row r="13489" spans="14:14">
      <c r="N13489" s="113"/>
    </row>
    <row r="13490" spans="14:14">
      <c r="N13490" s="113"/>
    </row>
    <row r="13491" spans="14:14">
      <c r="N13491" s="113"/>
    </row>
    <row r="13492" spans="14:14">
      <c r="N13492" s="113"/>
    </row>
    <row r="13493" spans="14:14">
      <c r="N13493" s="113"/>
    </row>
    <row r="13494" spans="14:14">
      <c r="N13494" s="113"/>
    </row>
    <row r="13495" spans="14:14">
      <c r="N13495" s="113"/>
    </row>
    <row r="13496" spans="14:14">
      <c r="N13496" s="113"/>
    </row>
    <row r="13497" spans="14:14">
      <c r="N13497" s="113"/>
    </row>
    <row r="13498" spans="14:14">
      <c r="N13498" s="113"/>
    </row>
    <row r="13499" spans="14:14">
      <c r="N13499" s="113"/>
    </row>
    <row r="13500" spans="14:14">
      <c r="N13500" s="113"/>
    </row>
    <row r="13501" spans="14:14">
      <c r="N13501" s="113"/>
    </row>
    <row r="13502" spans="14:14">
      <c r="N13502" s="113"/>
    </row>
    <row r="13503" spans="14:14">
      <c r="N13503" s="113"/>
    </row>
    <row r="13504" spans="14:14">
      <c r="N13504" s="113"/>
    </row>
    <row r="13505" spans="14:14">
      <c r="N13505" s="113"/>
    </row>
    <row r="13506" spans="14:14">
      <c r="N13506" s="113"/>
    </row>
    <row r="13507" spans="14:14">
      <c r="N13507" s="113"/>
    </row>
    <row r="13508" spans="14:14">
      <c r="N13508" s="113"/>
    </row>
    <row r="13509" spans="14:14">
      <c r="N13509" s="113"/>
    </row>
    <row r="13510" spans="14:14">
      <c r="N13510" s="113"/>
    </row>
    <row r="13511" spans="14:14">
      <c r="N13511" s="113"/>
    </row>
    <row r="13512" spans="14:14">
      <c r="N13512" s="113"/>
    </row>
    <row r="13513" spans="14:14">
      <c r="N13513" s="113"/>
    </row>
    <row r="13514" spans="14:14">
      <c r="N13514" s="113"/>
    </row>
    <row r="13515" spans="14:14">
      <c r="N13515" s="113"/>
    </row>
    <row r="13516" spans="14:14">
      <c r="N13516" s="113"/>
    </row>
    <row r="13517" spans="14:14">
      <c r="N13517" s="113"/>
    </row>
    <row r="13518" spans="14:14">
      <c r="N13518" s="113"/>
    </row>
    <row r="13519" spans="14:14">
      <c r="N13519" s="113"/>
    </row>
    <row r="13520" spans="14:14">
      <c r="N13520" s="113"/>
    </row>
    <row r="13521" spans="14:14">
      <c r="N13521" s="113"/>
    </row>
    <row r="13522" spans="14:14">
      <c r="N13522" s="113"/>
    </row>
    <row r="13523" spans="14:14">
      <c r="N13523" s="113"/>
    </row>
    <row r="13524" spans="14:14">
      <c r="N13524" s="113"/>
    </row>
    <row r="13525" spans="14:14">
      <c r="N13525" s="113"/>
    </row>
    <row r="13526" spans="14:14">
      <c r="N13526" s="113"/>
    </row>
    <row r="13527" spans="14:14">
      <c r="N13527" s="113"/>
    </row>
    <row r="13528" spans="14:14">
      <c r="N13528" s="113"/>
    </row>
    <row r="13529" spans="14:14">
      <c r="N13529" s="113"/>
    </row>
    <row r="13530" spans="14:14">
      <c r="N13530" s="113"/>
    </row>
    <row r="13531" spans="14:14">
      <c r="N13531" s="113"/>
    </row>
    <row r="13532" spans="14:14">
      <c r="N13532" s="113"/>
    </row>
    <row r="13533" spans="14:14">
      <c r="N13533" s="113"/>
    </row>
    <row r="13534" spans="14:14">
      <c r="N13534" s="113"/>
    </row>
    <row r="13535" spans="14:14">
      <c r="N13535" s="113"/>
    </row>
    <row r="13536" spans="14:14">
      <c r="N13536" s="113"/>
    </row>
    <row r="13537" spans="14:14">
      <c r="N13537" s="113"/>
    </row>
    <row r="13538" spans="14:14">
      <c r="N13538" s="113"/>
    </row>
    <row r="13539" spans="14:14">
      <c r="N13539" s="113"/>
    </row>
    <row r="13540" spans="14:14">
      <c r="N13540" s="113"/>
    </row>
    <row r="13541" spans="14:14">
      <c r="N13541" s="113"/>
    </row>
    <row r="13542" spans="14:14">
      <c r="N13542" s="113"/>
    </row>
    <row r="13543" spans="14:14">
      <c r="N13543" s="113"/>
    </row>
    <row r="13544" spans="14:14">
      <c r="N13544" s="113"/>
    </row>
    <row r="13545" spans="14:14">
      <c r="N13545" s="113"/>
    </row>
    <row r="13546" spans="14:14">
      <c r="N13546" s="113"/>
    </row>
    <row r="13547" spans="14:14">
      <c r="N13547" s="113"/>
    </row>
    <row r="13548" spans="14:14">
      <c r="N13548" s="113"/>
    </row>
    <row r="13549" spans="14:14">
      <c r="N13549" s="113"/>
    </row>
    <row r="13550" spans="14:14">
      <c r="N13550" s="113"/>
    </row>
    <row r="13551" spans="14:14">
      <c r="N13551" s="113"/>
    </row>
    <row r="13552" spans="14:14">
      <c r="N13552" s="113"/>
    </row>
    <row r="13553" spans="14:14">
      <c r="N13553" s="113"/>
    </row>
    <row r="13554" spans="14:14">
      <c r="N13554" s="113"/>
    </row>
    <row r="13555" spans="14:14">
      <c r="N13555" s="113"/>
    </row>
    <row r="13556" spans="14:14">
      <c r="N13556" s="113"/>
    </row>
    <row r="13557" spans="14:14">
      <c r="N13557" s="113"/>
    </row>
    <row r="13558" spans="14:14">
      <c r="N13558" s="113"/>
    </row>
    <row r="13559" spans="14:14">
      <c r="N13559" s="113"/>
    </row>
    <row r="13560" spans="14:14">
      <c r="N13560" s="113"/>
    </row>
    <row r="13561" spans="14:14">
      <c r="N13561" s="113"/>
    </row>
    <row r="13562" spans="14:14">
      <c r="N13562" s="113"/>
    </row>
    <row r="13563" spans="14:14">
      <c r="N13563" s="113"/>
    </row>
    <row r="13564" spans="14:14">
      <c r="N13564" s="113"/>
    </row>
    <row r="13565" spans="14:14">
      <c r="N13565" s="113"/>
    </row>
    <row r="13566" spans="14:14">
      <c r="N13566" s="113"/>
    </row>
    <row r="13567" spans="14:14">
      <c r="N13567" s="113"/>
    </row>
    <row r="13568" spans="14:14">
      <c r="N13568" s="113"/>
    </row>
    <row r="13569" spans="14:14">
      <c r="N13569" s="113"/>
    </row>
    <row r="13570" spans="14:14">
      <c r="N13570" s="113"/>
    </row>
    <row r="13571" spans="14:14">
      <c r="N13571" s="113"/>
    </row>
    <row r="13572" spans="14:14">
      <c r="N13572" s="113"/>
    </row>
    <row r="13573" spans="14:14">
      <c r="N13573" s="113"/>
    </row>
    <row r="13574" spans="14:14">
      <c r="N13574" s="113"/>
    </row>
    <row r="13575" spans="14:14">
      <c r="N13575" s="113"/>
    </row>
    <row r="13576" spans="14:14">
      <c r="N13576" s="113"/>
    </row>
    <row r="13577" spans="14:14">
      <c r="N13577" s="113"/>
    </row>
    <row r="13578" spans="14:14">
      <c r="N13578" s="113"/>
    </row>
    <row r="13579" spans="14:14">
      <c r="N13579" s="113"/>
    </row>
    <row r="13580" spans="14:14">
      <c r="N13580" s="113"/>
    </row>
    <row r="13581" spans="14:14">
      <c r="N13581" s="113"/>
    </row>
    <row r="13582" spans="14:14">
      <c r="N13582" s="113"/>
    </row>
    <row r="13583" spans="14:14">
      <c r="N13583" s="113"/>
    </row>
    <row r="13584" spans="14:14">
      <c r="N13584" s="113"/>
    </row>
    <row r="13585" spans="14:14">
      <c r="N13585" s="113"/>
    </row>
    <row r="13586" spans="14:14">
      <c r="N13586" s="113"/>
    </row>
    <row r="13587" spans="14:14">
      <c r="N13587" s="113"/>
    </row>
    <row r="13588" spans="14:14">
      <c r="N13588" s="113"/>
    </row>
    <row r="13589" spans="14:14">
      <c r="N13589" s="113"/>
    </row>
    <row r="13590" spans="14:14">
      <c r="N13590" s="113"/>
    </row>
    <row r="13591" spans="14:14">
      <c r="N13591" s="113"/>
    </row>
    <row r="13592" spans="14:14">
      <c r="N13592" s="113"/>
    </row>
    <row r="13593" spans="14:14">
      <c r="N13593" s="113"/>
    </row>
    <row r="13594" spans="14:14">
      <c r="N13594" s="113"/>
    </row>
    <row r="13595" spans="14:14">
      <c r="N13595" s="113"/>
    </row>
    <row r="13596" spans="14:14">
      <c r="N13596" s="113"/>
    </row>
    <row r="13597" spans="14:14">
      <c r="N13597" s="113"/>
    </row>
    <row r="13598" spans="14:14">
      <c r="N13598" s="113"/>
    </row>
    <row r="13599" spans="14:14">
      <c r="N13599" s="113"/>
    </row>
    <row r="13600" spans="14:14">
      <c r="N13600" s="113"/>
    </row>
    <row r="13601" spans="14:14">
      <c r="N13601" s="113"/>
    </row>
    <row r="13602" spans="14:14">
      <c r="N13602" s="113"/>
    </row>
    <row r="13603" spans="14:14">
      <c r="N13603" s="113"/>
    </row>
    <row r="13604" spans="14:14">
      <c r="N13604" s="113"/>
    </row>
    <row r="13605" spans="14:14">
      <c r="N13605" s="113"/>
    </row>
    <row r="13606" spans="14:14">
      <c r="N13606" s="113"/>
    </row>
    <row r="13607" spans="14:14">
      <c r="N13607" s="113"/>
    </row>
    <row r="13608" spans="14:14">
      <c r="N13608" s="113"/>
    </row>
    <row r="13609" spans="14:14">
      <c r="N13609" s="113"/>
    </row>
    <row r="13610" spans="14:14">
      <c r="N13610" s="113"/>
    </row>
    <row r="13611" spans="14:14">
      <c r="N13611" s="113"/>
    </row>
    <row r="13612" spans="14:14">
      <c r="N13612" s="113"/>
    </row>
    <row r="13613" spans="14:14">
      <c r="N13613" s="113"/>
    </row>
    <row r="13614" spans="14:14">
      <c r="N13614" s="113"/>
    </row>
    <row r="13615" spans="14:14">
      <c r="N13615" s="113"/>
    </row>
    <row r="13616" spans="14:14">
      <c r="N13616" s="113"/>
    </row>
    <row r="13617" spans="14:14">
      <c r="N13617" s="113"/>
    </row>
    <row r="13618" spans="14:14">
      <c r="N13618" s="113"/>
    </row>
    <row r="13619" spans="14:14">
      <c r="N13619" s="113"/>
    </row>
    <row r="13620" spans="14:14">
      <c r="N13620" s="113"/>
    </row>
    <row r="13621" spans="14:14">
      <c r="N13621" s="113"/>
    </row>
    <row r="13622" spans="14:14">
      <c r="N13622" s="113"/>
    </row>
    <row r="13623" spans="14:14">
      <c r="N13623" s="113"/>
    </row>
    <row r="13624" spans="14:14">
      <c r="N13624" s="113"/>
    </row>
    <row r="13625" spans="14:14">
      <c r="N13625" s="113"/>
    </row>
    <row r="13626" spans="14:14">
      <c r="N13626" s="113"/>
    </row>
    <row r="13627" spans="14:14">
      <c r="N13627" s="113"/>
    </row>
    <row r="13628" spans="14:14">
      <c r="N13628" s="113"/>
    </row>
    <row r="13629" spans="14:14">
      <c r="N13629" s="113"/>
    </row>
    <row r="13630" spans="14:14">
      <c r="N13630" s="113"/>
    </row>
    <row r="13631" spans="14:14">
      <c r="N13631" s="113"/>
    </row>
    <row r="13632" spans="14:14">
      <c r="N13632" s="113"/>
    </row>
    <row r="13633" spans="14:14">
      <c r="N13633" s="113"/>
    </row>
    <row r="13634" spans="14:14">
      <c r="N13634" s="113"/>
    </row>
    <row r="13635" spans="14:14">
      <c r="N13635" s="113"/>
    </row>
    <row r="13636" spans="14:14">
      <c r="N13636" s="113"/>
    </row>
    <row r="13637" spans="14:14">
      <c r="N13637" s="113"/>
    </row>
    <row r="13638" spans="14:14">
      <c r="N13638" s="113"/>
    </row>
    <row r="13639" spans="14:14">
      <c r="N13639" s="113"/>
    </row>
    <row r="13640" spans="14:14">
      <c r="N13640" s="113"/>
    </row>
    <row r="13641" spans="14:14">
      <c r="N13641" s="113"/>
    </row>
    <row r="13642" spans="14:14">
      <c r="N13642" s="113"/>
    </row>
    <row r="13643" spans="14:14">
      <c r="N13643" s="113"/>
    </row>
    <row r="13644" spans="14:14">
      <c r="N13644" s="113"/>
    </row>
    <row r="13645" spans="14:14">
      <c r="N13645" s="113"/>
    </row>
    <row r="13646" spans="14:14">
      <c r="N13646" s="113"/>
    </row>
    <row r="13647" spans="14:14">
      <c r="N13647" s="113"/>
    </row>
    <row r="13648" spans="14:14">
      <c r="N13648" s="113"/>
    </row>
    <row r="13649" spans="14:14">
      <c r="N13649" s="113"/>
    </row>
    <row r="13650" spans="14:14">
      <c r="N13650" s="113"/>
    </row>
    <row r="13651" spans="14:14">
      <c r="N13651" s="113"/>
    </row>
    <row r="13652" spans="14:14">
      <c r="N13652" s="113"/>
    </row>
    <row r="13653" spans="14:14">
      <c r="N13653" s="113"/>
    </row>
    <row r="13654" spans="14:14">
      <c r="N13654" s="113"/>
    </row>
    <row r="13655" spans="14:14">
      <c r="N13655" s="113"/>
    </row>
    <row r="13656" spans="14:14">
      <c r="N13656" s="113"/>
    </row>
    <row r="13657" spans="14:14">
      <c r="N13657" s="113"/>
    </row>
    <row r="13658" spans="14:14">
      <c r="N13658" s="113"/>
    </row>
    <row r="13659" spans="14:14">
      <c r="N13659" s="113"/>
    </row>
    <row r="13660" spans="14:14">
      <c r="N13660" s="113"/>
    </row>
    <row r="13661" spans="14:14">
      <c r="N13661" s="113"/>
    </row>
    <row r="13662" spans="14:14">
      <c r="N13662" s="113"/>
    </row>
    <row r="13663" spans="14:14">
      <c r="N13663" s="113"/>
    </row>
    <row r="13664" spans="14:14">
      <c r="N13664" s="113"/>
    </row>
    <row r="13665" spans="14:14">
      <c r="N13665" s="113"/>
    </row>
    <row r="13666" spans="14:14">
      <c r="N13666" s="113"/>
    </row>
    <row r="13667" spans="14:14">
      <c r="N13667" s="113"/>
    </row>
    <row r="13668" spans="14:14">
      <c r="N13668" s="113"/>
    </row>
    <row r="13669" spans="14:14">
      <c r="N13669" s="113"/>
    </row>
    <row r="13670" spans="14:14">
      <c r="N13670" s="113"/>
    </row>
    <row r="13671" spans="14:14">
      <c r="N13671" s="113"/>
    </row>
    <row r="13672" spans="14:14">
      <c r="N13672" s="113"/>
    </row>
    <row r="13673" spans="14:14">
      <c r="N13673" s="113"/>
    </row>
    <row r="13674" spans="14:14">
      <c r="N13674" s="113"/>
    </row>
    <row r="13675" spans="14:14">
      <c r="N13675" s="113"/>
    </row>
    <row r="13676" spans="14:14">
      <c r="N13676" s="113"/>
    </row>
    <row r="13677" spans="14:14">
      <c r="N13677" s="113"/>
    </row>
    <row r="13678" spans="14:14">
      <c r="N13678" s="113"/>
    </row>
    <row r="13679" spans="14:14">
      <c r="N13679" s="113"/>
    </row>
    <row r="13680" spans="14:14">
      <c r="N13680" s="113"/>
    </row>
    <row r="13681" spans="14:14">
      <c r="N13681" s="113"/>
    </row>
    <row r="13682" spans="14:14">
      <c r="N13682" s="113"/>
    </row>
    <row r="13683" spans="14:14">
      <c r="N13683" s="113"/>
    </row>
    <row r="13684" spans="14:14">
      <c r="N13684" s="113"/>
    </row>
    <row r="13685" spans="14:14">
      <c r="N13685" s="113"/>
    </row>
    <row r="13686" spans="14:14">
      <c r="N13686" s="113"/>
    </row>
    <row r="13687" spans="14:14">
      <c r="N13687" s="113"/>
    </row>
    <row r="13688" spans="14:14">
      <c r="N13688" s="113"/>
    </row>
    <row r="13689" spans="14:14">
      <c r="N13689" s="113"/>
    </row>
    <row r="13690" spans="14:14">
      <c r="N13690" s="113"/>
    </row>
    <row r="13691" spans="14:14">
      <c r="N13691" s="113"/>
    </row>
    <row r="13692" spans="14:14">
      <c r="N13692" s="113"/>
    </row>
    <row r="13693" spans="14:14">
      <c r="N13693" s="113"/>
    </row>
    <row r="13694" spans="14:14">
      <c r="N13694" s="113"/>
    </row>
    <row r="13695" spans="14:14">
      <c r="N13695" s="113"/>
    </row>
    <row r="13696" spans="14:14">
      <c r="N13696" s="113"/>
    </row>
    <row r="13697" spans="14:14">
      <c r="N13697" s="113"/>
    </row>
    <row r="13698" spans="14:14">
      <c r="N13698" s="113"/>
    </row>
    <row r="13699" spans="14:14">
      <c r="N13699" s="113"/>
    </row>
    <row r="13700" spans="14:14">
      <c r="N13700" s="113"/>
    </row>
    <row r="13701" spans="14:14">
      <c r="N13701" s="113"/>
    </row>
    <row r="13702" spans="14:14">
      <c r="N13702" s="113"/>
    </row>
    <row r="13703" spans="14:14">
      <c r="N13703" s="113"/>
    </row>
    <row r="13704" spans="14:14">
      <c r="N13704" s="113"/>
    </row>
    <row r="13705" spans="14:14">
      <c r="N13705" s="113"/>
    </row>
    <row r="13706" spans="14:14">
      <c r="N13706" s="113"/>
    </row>
    <row r="13707" spans="14:14">
      <c r="N13707" s="113"/>
    </row>
    <row r="13708" spans="14:14">
      <c r="N13708" s="113"/>
    </row>
    <row r="13709" spans="14:14">
      <c r="N13709" s="113"/>
    </row>
    <row r="13710" spans="14:14">
      <c r="N13710" s="113"/>
    </row>
    <row r="13711" spans="14:14">
      <c r="N13711" s="113"/>
    </row>
    <row r="13712" spans="14:14">
      <c r="N13712" s="113"/>
    </row>
    <row r="13713" spans="14:14">
      <c r="N13713" s="113"/>
    </row>
    <row r="13714" spans="14:14">
      <c r="N13714" s="113"/>
    </row>
    <row r="13715" spans="14:14">
      <c r="N13715" s="113"/>
    </row>
    <row r="13716" spans="14:14">
      <c r="N13716" s="113"/>
    </row>
    <row r="13717" spans="14:14">
      <c r="N13717" s="113"/>
    </row>
    <row r="13718" spans="14:14">
      <c r="N13718" s="113"/>
    </row>
    <row r="13719" spans="14:14">
      <c r="N13719" s="113"/>
    </row>
    <row r="13720" spans="14:14">
      <c r="N13720" s="113"/>
    </row>
    <row r="13721" spans="14:14">
      <c r="N13721" s="113"/>
    </row>
    <row r="13722" spans="14:14">
      <c r="N13722" s="113"/>
    </row>
    <row r="13723" spans="14:14">
      <c r="N13723" s="113"/>
    </row>
    <row r="13724" spans="14:14">
      <c r="N13724" s="113"/>
    </row>
    <row r="13725" spans="14:14">
      <c r="N13725" s="113"/>
    </row>
    <row r="13726" spans="14:14">
      <c r="N13726" s="113"/>
    </row>
    <row r="13727" spans="14:14">
      <c r="N13727" s="113"/>
    </row>
    <row r="13728" spans="14:14">
      <c r="N13728" s="113"/>
    </row>
    <row r="13729" spans="14:14">
      <c r="N13729" s="113"/>
    </row>
    <row r="13730" spans="14:14">
      <c r="N13730" s="113"/>
    </row>
    <row r="13731" spans="14:14">
      <c r="N13731" s="113"/>
    </row>
    <row r="13732" spans="14:14">
      <c r="N13732" s="113"/>
    </row>
    <row r="13733" spans="14:14">
      <c r="N13733" s="113"/>
    </row>
    <row r="13734" spans="14:14">
      <c r="N13734" s="113"/>
    </row>
    <row r="13735" spans="14:14">
      <c r="N13735" s="113"/>
    </row>
    <row r="13736" spans="14:14">
      <c r="N13736" s="113"/>
    </row>
    <row r="13737" spans="14:14">
      <c r="N13737" s="113"/>
    </row>
    <row r="13738" spans="14:14">
      <c r="N13738" s="113"/>
    </row>
    <row r="13739" spans="14:14">
      <c r="N13739" s="113"/>
    </row>
    <row r="13740" spans="14:14">
      <c r="N13740" s="113"/>
    </row>
    <row r="13741" spans="14:14">
      <c r="N13741" s="113"/>
    </row>
    <row r="13742" spans="14:14">
      <c r="N13742" s="113"/>
    </row>
    <row r="13743" spans="14:14">
      <c r="N13743" s="113"/>
    </row>
    <row r="13744" spans="14:14">
      <c r="N13744" s="113"/>
    </row>
    <row r="13745" spans="14:14">
      <c r="N13745" s="113"/>
    </row>
    <row r="13746" spans="14:14">
      <c r="N13746" s="113"/>
    </row>
    <row r="13747" spans="14:14">
      <c r="N13747" s="113"/>
    </row>
    <row r="13748" spans="14:14">
      <c r="N13748" s="113"/>
    </row>
    <row r="13749" spans="14:14">
      <c r="N13749" s="113"/>
    </row>
    <row r="13750" spans="14:14">
      <c r="N13750" s="113"/>
    </row>
    <row r="13751" spans="14:14">
      <c r="N13751" s="113"/>
    </row>
    <row r="13752" spans="14:14">
      <c r="N13752" s="113"/>
    </row>
    <row r="13753" spans="14:14">
      <c r="N13753" s="113"/>
    </row>
    <row r="13754" spans="14:14">
      <c r="N13754" s="113"/>
    </row>
    <row r="13755" spans="14:14">
      <c r="N13755" s="113"/>
    </row>
    <row r="13756" spans="14:14">
      <c r="N13756" s="113"/>
    </row>
    <row r="13757" spans="14:14">
      <c r="N13757" s="113"/>
    </row>
    <row r="13758" spans="14:14">
      <c r="N13758" s="113"/>
    </row>
    <row r="13759" spans="14:14">
      <c r="N13759" s="113"/>
    </row>
    <row r="13760" spans="14:14">
      <c r="N13760" s="113"/>
    </row>
    <row r="13761" spans="14:14">
      <c r="N13761" s="113"/>
    </row>
    <row r="13762" spans="14:14">
      <c r="N13762" s="113"/>
    </row>
    <row r="13763" spans="14:14">
      <c r="N13763" s="113"/>
    </row>
    <row r="13764" spans="14:14">
      <c r="N13764" s="113"/>
    </row>
    <row r="13765" spans="14:14">
      <c r="N13765" s="113"/>
    </row>
    <row r="13766" spans="14:14">
      <c r="N13766" s="113"/>
    </row>
    <row r="13767" spans="14:14">
      <c r="N13767" s="113"/>
    </row>
    <row r="13768" spans="14:14">
      <c r="N13768" s="113"/>
    </row>
    <row r="13769" spans="14:14">
      <c r="N13769" s="113"/>
    </row>
    <row r="13770" spans="14:14">
      <c r="N13770" s="113"/>
    </row>
    <row r="13771" spans="14:14">
      <c r="N13771" s="113"/>
    </row>
    <row r="13772" spans="14:14">
      <c r="N13772" s="113"/>
    </row>
    <row r="13773" spans="14:14">
      <c r="N13773" s="113"/>
    </row>
    <row r="13774" spans="14:14">
      <c r="N13774" s="113"/>
    </row>
    <row r="13775" spans="14:14">
      <c r="N13775" s="113"/>
    </row>
    <row r="13776" spans="14:14">
      <c r="N13776" s="113"/>
    </row>
    <row r="13777" spans="14:14">
      <c r="N13777" s="113"/>
    </row>
    <row r="13778" spans="14:14">
      <c r="N13778" s="113"/>
    </row>
    <row r="13779" spans="14:14">
      <c r="N13779" s="113"/>
    </row>
    <row r="13780" spans="14:14">
      <c r="N13780" s="113"/>
    </row>
    <row r="13781" spans="14:14">
      <c r="N13781" s="113"/>
    </row>
    <row r="13782" spans="14:14">
      <c r="N13782" s="113"/>
    </row>
    <row r="13783" spans="14:14">
      <c r="N13783" s="113"/>
    </row>
    <row r="13784" spans="14:14">
      <c r="N13784" s="113"/>
    </row>
    <row r="13785" spans="14:14">
      <c r="N13785" s="113"/>
    </row>
    <row r="13786" spans="14:14">
      <c r="N13786" s="113"/>
    </row>
    <row r="13787" spans="14:14">
      <c r="N13787" s="113"/>
    </row>
    <row r="13788" spans="14:14">
      <c r="N13788" s="113"/>
    </row>
    <row r="13789" spans="14:14">
      <c r="N13789" s="113"/>
    </row>
    <row r="13790" spans="14:14">
      <c r="N13790" s="113"/>
    </row>
    <row r="13791" spans="14:14">
      <c r="N13791" s="113"/>
    </row>
    <row r="13792" spans="14:14">
      <c r="N13792" s="113"/>
    </row>
    <row r="13793" spans="14:14">
      <c r="N13793" s="113"/>
    </row>
    <row r="13794" spans="14:14">
      <c r="N13794" s="113"/>
    </row>
    <row r="13795" spans="14:14">
      <c r="N13795" s="113"/>
    </row>
    <row r="13796" spans="14:14">
      <c r="N13796" s="113"/>
    </row>
    <row r="13797" spans="14:14">
      <c r="N13797" s="113"/>
    </row>
    <row r="13798" spans="14:14">
      <c r="N13798" s="113"/>
    </row>
    <row r="13799" spans="14:14">
      <c r="N13799" s="113"/>
    </row>
    <row r="13800" spans="14:14">
      <c r="N13800" s="113"/>
    </row>
    <row r="13801" spans="14:14">
      <c r="N13801" s="113"/>
    </row>
    <row r="13802" spans="14:14">
      <c r="N13802" s="113"/>
    </row>
    <row r="13803" spans="14:14">
      <c r="N13803" s="113"/>
    </row>
    <row r="13804" spans="14:14">
      <c r="N13804" s="113"/>
    </row>
    <row r="13805" spans="14:14">
      <c r="N13805" s="113"/>
    </row>
    <row r="13806" spans="14:14">
      <c r="N13806" s="113"/>
    </row>
    <row r="13807" spans="14:14">
      <c r="N13807" s="113"/>
    </row>
    <row r="13808" spans="14:14">
      <c r="N13808" s="113"/>
    </row>
    <row r="13809" spans="14:14">
      <c r="N13809" s="113"/>
    </row>
    <row r="13810" spans="14:14">
      <c r="N13810" s="113"/>
    </row>
    <row r="13811" spans="14:14">
      <c r="N13811" s="113"/>
    </row>
    <row r="13812" spans="14:14">
      <c r="N13812" s="113"/>
    </row>
    <row r="13813" spans="14:14">
      <c r="N13813" s="113"/>
    </row>
    <row r="13814" spans="14:14">
      <c r="N13814" s="113"/>
    </row>
    <row r="13815" spans="14:14">
      <c r="N13815" s="113"/>
    </row>
    <row r="13816" spans="14:14">
      <c r="N13816" s="113"/>
    </row>
    <row r="13817" spans="14:14">
      <c r="N13817" s="113"/>
    </row>
    <row r="13818" spans="14:14">
      <c r="N13818" s="113"/>
    </row>
    <row r="13819" spans="14:14">
      <c r="N13819" s="113"/>
    </row>
    <row r="13820" spans="14:14">
      <c r="N13820" s="113"/>
    </row>
    <row r="13821" spans="14:14">
      <c r="N13821" s="113"/>
    </row>
    <row r="13822" spans="14:14">
      <c r="N13822" s="113"/>
    </row>
    <row r="13823" spans="14:14">
      <c r="N13823" s="113"/>
    </row>
    <row r="13824" spans="14:14">
      <c r="N13824" s="113"/>
    </row>
    <row r="13825" spans="14:14">
      <c r="N13825" s="113"/>
    </row>
    <row r="13826" spans="14:14">
      <c r="N13826" s="113"/>
    </row>
    <row r="13827" spans="14:14">
      <c r="N13827" s="113"/>
    </row>
    <row r="13828" spans="14:14">
      <c r="N13828" s="113"/>
    </row>
    <row r="13829" spans="14:14">
      <c r="N13829" s="113"/>
    </row>
    <row r="13830" spans="14:14">
      <c r="N13830" s="113"/>
    </row>
    <row r="13831" spans="14:14">
      <c r="N13831" s="113"/>
    </row>
    <row r="13832" spans="14:14">
      <c r="N13832" s="113"/>
    </row>
    <row r="13833" spans="14:14">
      <c r="N13833" s="113"/>
    </row>
    <row r="13834" spans="14:14">
      <c r="N13834" s="113"/>
    </row>
    <row r="13835" spans="14:14">
      <c r="N13835" s="113"/>
    </row>
    <row r="13836" spans="14:14">
      <c r="N13836" s="113"/>
    </row>
    <row r="13837" spans="14:14">
      <c r="N13837" s="113"/>
    </row>
    <row r="13838" spans="14:14">
      <c r="N13838" s="113"/>
    </row>
    <row r="13839" spans="14:14">
      <c r="N13839" s="113"/>
    </row>
    <row r="13840" spans="14:14">
      <c r="N13840" s="113"/>
    </row>
    <row r="13841" spans="14:14">
      <c r="N13841" s="113"/>
    </row>
    <row r="13842" spans="14:14">
      <c r="N13842" s="113"/>
    </row>
    <row r="13843" spans="14:14">
      <c r="N13843" s="113"/>
    </row>
    <row r="13844" spans="14:14">
      <c r="N13844" s="113"/>
    </row>
    <row r="13845" spans="14:14">
      <c r="N13845" s="113"/>
    </row>
    <row r="13846" spans="14:14">
      <c r="N13846" s="113"/>
    </row>
    <row r="13847" spans="14:14">
      <c r="N13847" s="113"/>
    </row>
    <row r="13848" spans="14:14">
      <c r="N13848" s="113"/>
    </row>
    <row r="13849" spans="14:14">
      <c r="N13849" s="113"/>
    </row>
    <row r="13850" spans="14:14">
      <c r="N13850" s="113"/>
    </row>
    <row r="13851" spans="14:14">
      <c r="N13851" s="113"/>
    </row>
    <row r="13852" spans="14:14">
      <c r="N13852" s="113"/>
    </row>
    <row r="13853" spans="14:14">
      <c r="N13853" s="113"/>
    </row>
    <row r="13854" spans="14:14">
      <c r="N13854" s="113"/>
    </row>
    <row r="13855" spans="14:14">
      <c r="N13855" s="113"/>
    </row>
    <row r="13856" spans="14:14">
      <c r="N13856" s="113"/>
    </row>
    <row r="13857" spans="14:14">
      <c r="N13857" s="113"/>
    </row>
    <row r="13858" spans="14:14">
      <c r="N13858" s="113"/>
    </row>
    <row r="13859" spans="14:14">
      <c r="N13859" s="113"/>
    </row>
    <row r="13860" spans="14:14">
      <c r="N13860" s="113"/>
    </row>
    <row r="13861" spans="14:14">
      <c r="N13861" s="113"/>
    </row>
    <row r="13862" spans="14:14">
      <c r="N13862" s="113"/>
    </row>
    <row r="13863" spans="14:14">
      <c r="N13863" s="113"/>
    </row>
    <row r="13864" spans="14:14">
      <c r="N13864" s="113"/>
    </row>
    <row r="13865" spans="14:14">
      <c r="N13865" s="113"/>
    </row>
    <row r="13866" spans="14:14">
      <c r="N13866" s="113"/>
    </row>
    <row r="13867" spans="14:14">
      <c r="N13867" s="113"/>
    </row>
    <row r="13868" spans="14:14">
      <c r="N13868" s="113"/>
    </row>
    <row r="13869" spans="14:14">
      <c r="N13869" s="113"/>
    </row>
    <row r="13870" spans="14:14">
      <c r="N13870" s="113"/>
    </row>
    <row r="13871" spans="14:14">
      <c r="N13871" s="113"/>
    </row>
    <row r="13872" spans="14:14">
      <c r="N13872" s="113"/>
    </row>
    <row r="13873" spans="14:14">
      <c r="N13873" s="113"/>
    </row>
    <row r="13874" spans="14:14">
      <c r="N13874" s="113"/>
    </row>
    <row r="13875" spans="14:14">
      <c r="N13875" s="113"/>
    </row>
    <row r="13876" spans="14:14">
      <c r="N13876" s="113"/>
    </row>
    <row r="13877" spans="14:14">
      <c r="N13877" s="113"/>
    </row>
    <row r="13878" spans="14:14">
      <c r="N13878" s="113"/>
    </row>
    <row r="13879" spans="14:14">
      <c r="N13879" s="113"/>
    </row>
    <row r="13880" spans="14:14">
      <c r="N13880" s="113"/>
    </row>
    <row r="13881" spans="14:14">
      <c r="N13881" s="113"/>
    </row>
    <row r="13882" spans="14:14">
      <c r="N13882" s="113"/>
    </row>
    <row r="13883" spans="14:14">
      <c r="N13883" s="113"/>
    </row>
    <row r="13884" spans="14:14">
      <c r="N13884" s="113"/>
    </row>
    <row r="13885" spans="14:14">
      <c r="N13885" s="113"/>
    </row>
    <row r="13886" spans="14:14">
      <c r="N13886" s="113"/>
    </row>
    <row r="13887" spans="14:14">
      <c r="N13887" s="113"/>
    </row>
    <row r="13888" spans="14:14">
      <c r="N13888" s="113"/>
    </row>
    <row r="13889" spans="14:14">
      <c r="N13889" s="113"/>
    </row>
    <row r="13890" spans="14:14">
      <c r="N13890" s="113"/>
    </row>
    <row r="13891" spans="14:14">
      <c r="N13891" s="113"/>
    </row>
    <row r="13892" spans="14:14">
      <c r="N13892" s="113"/>
    </row>
    <row r="13893" spans="14:14">
      <c r="N13893" s="113"/>
    </row>
    <row r="13894" spans="14:14">
      <c r="N13894" s="113"/>
    </row>
    <row r="13895" spans="14:14">
      <c r="N13895" s="113"/>
    </row>
    <row r="13896" spans="14:14">
      <c r="N13896" s="113"/>
    </row>
    <row r="13897" spans="14:14">
      <c r="N13897" s="113"/>
    </row>
    <row r="13898" spans="14:14">
      <c r="N13898" s="113"/>
    </row>
    <row r="13899" spans="14:14">
      <c r="N13899" s="113"/>
    </row>
    <row r="13900" spans="14:14">
      <c r="N13900" s="113"/>
    </row>
    <row r="13901" spans="14:14">
      <c r="N13901" s="113"/>
    </row>
    <row r="13902" spans="14:14">
      <c r="N13902" s="113"/>
    </row>
    <row r="13903" spans="14:14">
      <c r="N13903" s="113"/>
    </row>
    <row r="13904" spans="14:14">
      <c r="N13904" s="113"/>
    </row>
    <row r="13905" spans="14:14">
      <c r="N13905" s="113"/>
    </row>
    <row r="13906" spans="14:14">
      <c r="N13906" s="113"/>
    </row>
    <row r="13907" spans="14:14">
      <c r="N13907" s="113"/>
    </row>
    <row r="13908" spans="14:14">
      <c r="N13908" s="113"/>
    </row>
    <row r="13909" spans="14:14">
      <c r="N13909" s="113"/>
    </row>
    <row r="13910" spans="14:14">
      <c r="N13910" s="113"/>
    </row>
    <row r="13911" spans="14:14">
      <c r="N13911" s="113"/>
    </row>
    <row r="13912" spans="14:14">
      <c r="N13912" s="113"/>
    </row>
    <row r="13913" spans="14:14">
      <c r="N13913" s="113"/>
    </row>
    <row r="13914" spans="14:14">
      <c r="N13914" s="113"/>
    </row>
    <row r="13915" spans="14:14">
      <c r="N13915" s="113"/>
    </row>
    <row r="13916" spans="14:14">
      <c r="N13916" s="113"/>
    </row>
    <row r="13917" spans="14:14">
      <c r="N13917" s="113"/>
    </row>
    <row r="13918" spans="14:14">
      <c r="N13918" s="113"/>
    </row>
    <row r="13919" spans="14:14">
      <c r="N13919" s="113"/>
    </row>
    <row r="13920" spans="14:14">
      <c r="N13920" s="113"/>
    </row>
    <row r="13921" spans="14:14">
      <c r="N13921" s="113"/>
    </row>
    <row r="13922" spans="14:14">
      <c r="N13922" s="113"/>
    </row>
    <row r="13923" spans="14:14">
      <c r="N13923" s="113"/>
    </row>
    <row r="13924" spans="14:14">
      <c r="N13924" s="113"/>
    </row>
    <row r="13925" spans="14:14">
      <c r="N13925" s="113"/>
    </row>
    <row r="13926" spans="14:14">
      <c r="N13926" s="113"/>
    </row>
    <row r="13927" spans="14:14">
      <c r="N13927" s="113"/>
    </row>
    <row r="13928" spans="14:14">
      <c r="N13928" s="113"/>
    </row>
    <row r="13929" spans="14:14">
      <c r="N13929" s="113"/>
    </row>
    <row r="13930" spans="14:14">
      <c r="N13930" s="113"/>
    </row>
    <row r="13931" spans="14:14">
      <c r="N13931" s="113"/>
    </row>
    <row r="13932" spans="14:14">
      <c r="N13932" s="113"/>
    </row>
    <row r="13933" spans="14:14">
      <c r="N13933" s="113"/>
    </row>
    <row r="13934" spans="14:14">
      <c r="N13934" s="113"/>
    </row>
    <row r="13935" spans="14:14">
      <c r="N13935" s="113"/>
    </row>
    <row r="13936" spans="14:14">
      <c r="N13936" s="113"/>
    </row>
    <row r="13937" spans="14:14">
      <c r="N13937" s="113"/>
    </row>
    <row r="13938" spans="14:14">
      <c r="N13938" s="113"/>
    </row>
    <row r="13939" spans="14:14">
      <c r="N13939" s="113"/>
    </row>
    <row r="13940" spans="14:14">
      <c r="N13940" s="113"/>
    </row>
    <row r="13941" spans="14:14">
      <c r="N13941" s="113"/>
    </row>
    <row r="13942" spans="14:14">
      <c r="N13942" s="113"/>
    </row>
    <row r="13943" spans="14:14">
      <c r="N13943" s="113"/>
    </row>
    <row r="13944" spans="14:14">
      <c r="N13944" s="113"/>
    </row>
    <row r="13945" spans="14:14">
      <c r="N13945" s="113"/>
    </row>
    <row r="13946" spans="14:14">
      <c r="N13946" s="113"/>
    </row>
    <row r="13947" spans="14:14">
      <c r="N13947" s="113"/>
    </row>
    <row r="13948" spans="14:14">
      <c r="N13948" s="113"/>
    </row>
    <row r="13949" spans="14:14">
      <c r="N13949" s="113"/>
    </row>
    <row r="13950" spans="14:14">
      <c r="N13950" s="113"/>
    </row>
    <row r="13951" spans="14:14">
      <c r="N13951" s="113"/>
    </row>
    <row r="13952" spans="14:14">
      <c r="N13952" s="113"/>
    </row>
    <row r="13953" spans="14:14">
      <c r="N13953" s="113"/>
    </row>
    <row r="13954" spans="14:14">
      <c r="N13954" s="113"/>
    </row>
    <row r="13955" spans="14:14">
      <c r="N13955" s="113"/>
    </row>
    <row r="13956" spans="14:14">
      <c r="N13956" s="113"/>
    </row>
    <row r="13957" spans="14:14">
      <c r="N13957" s="113"/>
    </row>
    <row r="13958" spans="14:14">
      <c r="N13958" s="113"/>
    </row>
    <row r="13959" spans="14:14">
      <c r="N13959" s="113"/>
    </row>
    <row r="13960" spans="14:14">
      <c r="N13960" s="113"/>
    </row>
    <row r="13961" spans="14:14">
      <c r="N13961" s="113"/>
    </row>
    <row r="13962" spans="14:14">
      <c r="N13962" s="113"/>
    </row>
    <row r="13963" spans="14:14">
      <c r="N13963" s="113"/>
    </row>
    <row r="13964" spans="14:14">
      <c r="N13964" s="113"/>
    </row>
    <row r="13965" spans="14:14">
      <c r="N13965" s="113"/>
    </row>
    <row r="13966" spans="14:14">
      <c r="N13966" s="113"/>
    </row>
    <row r="13967" spans="14:14">
      <c r="N13967" s="113"/>
    </row>
    <row r="13968" spans="14:14">
      <c r="N13968" s="113"/>
    </row>
    <row r="13969" spans="14:14">
      <c r="N13969" s="113"/>
    </row>
    <row r="13970" spans="14:14">
      <c r="N13970" s="113"/>
    </row>
    <row r="13971" spans="14:14">
      <c r="N13971" s="113"/>
    </row>
    <row r="13972" spans="14:14">
      <c r="N13972" s="113"/>
    </row>
    <row r="13973" spans="14:14">
      <c r="N13973" s="113"/>
    </row>
    <row r="13974" spans="14:14">
      <c r="N13974" s="113"/>
    </row>
    <row r="13975" spans="14:14">
      <c r="N13975" s="113"/>
    </row>
    <row r="13976" spans="14:14">
      <c r="N13976" s="113"/>
    </row>
    <row r="13977" spans="14:14">
      <c r="N13977" s="113"/>
    </row>
    <row r="13978" spans="14:14">
      <c r="N13978" s="113"/>
    </row>
    <row r="13979" spans="14:14">
      <c r="N13979" s="113"/>
    </row>
    <row r="13980" spans="14:14">
      <c r="N13980" s="113"/>
    </row>
    <row r="13981" spans="14:14">
      <c r="N13981" s="113"/>
    </row>
    <row r="13982" spans="14:14">
      <c r="N13982" s="113"/>
    </row>
    <row r="13983" spans="14:14">
      <c r="N13983" s="113"/>
    </row>
    <row r="13984" spans="14:14">
      <c r="N13984" s="113"/>
    </row>
    <row r="13985" spans="14:14">
      <c r="N13985" s="113"/>
    </row>
    <row r="13986" spans="14:14">
      <c r="N13986" s="113"/>
    </row>
    <row r="13987" spans="14:14">
      <c r="N13987" s="113"/>
    </row>
    <row r="13988" spans="14:14">
      <c r="N13988" s="113"/>
    </row>
    <row r="13989" spans="14:14">
      <c r="N13989" s="113"/>
    </row>
    <row r="13990" spans="14:14">
      <c r="N13990" s="113"/>
    </row>
    <row r="13991" spans="14:14">
      <c r="N13991" s="113"/>
    </row>
    <row r="13992" spans="14:14">
      <c r="N13992" s="113"/>
    </row>
    <row r="13993" spans="14:14">
      <c r="N13993" s="113"/>
    </row>
    <row r="13994" spans="14:14">
      <c r="N13994" s="113"/>
    </row>
    <row r="13995" spans="14:14">
      <c r="N13995" s="113"/>
    </row>
    <row r="13996" spans="14:14">
      <c r="N13996" s="113"/>
    </row>
    <row r="13997" spans="14:14">
      <c r="N13997" s="113"/>
    </row>
    <row r="13998" spans="14:14">
      <c r="N13998" s="113"/>
    </row>
    <row r="13999" spans="14:14">
      <c r="N13999" s="113"/>
    </row>
    <row r="14000" spans="14:14">
      <c r="N14000" s="113"/>
    </row>
    <row r="14001" spans="14:14">
      <c r="N14001" s="113"/>
    </row>
    <row r="14002" spans="14:14">
      <c r="N14002" s="113"/>
    </row>
    <row r="14003" spans="14:14">
      <c r="N14003" s="113"/>
    </row>
    <row r="14004" spans="14:14">
      <c r="N14004" s="113"/>
    </row>
    <row r="14005" spans="14:14">
      <c r="N14005" s="113"/>
    </row>
    <row r="14006" spans="14:14">
      <c r="N14006" s="113"/>
    </row>
    <row r="14007" spans="14:14">
      <c r="N14007" s="113"/>
    </row>
    <row r="14008" spans="14:14">
      <c r="N14008" s="113"/>
    </row>
    <row r="14009" spans="14:14">
      <c r="N14009" s="113"/>
    </row>
    <row r="14010" spans="14:14">
      <c r="N14010" s="113"/>
    </row>
    <row r="14011" spans="14:14">
      <c r="N14011" s="113"/>
    </row>
    <row r="14012" spans="14:14">
      <c r="N14012" s="113"/>
    </row>
    <row r="14013" spans="14:14">
      <c r="N14013" s="113"/>
    </row>
    <row r="14014" spans="14:14">
      <c r="N14014" s="113"/>
    </row>
    <row r="14015" spans="14:14">
      <c r="N14015" s="113"/>
    </row>
    <row r="14016" spans="14:14">
      <c r="N14016" s="113"/>
    </row>
    <row r="14017" spans="14:14">
      <c r="N14017" s="113"/>
    </row>
    <row r="14018" spans="14:14">
      <c r="N14018" s="113"/>
    </row>
    <row r="14019" spans="14:14">
      <c r="N14019" s="113"/>
    </row>
    <row r="14020" spans="14:14">
      <c r="N14020" s="113"/>
    </row>
    <row r="14021" spans="14:14">
      <c r="N14021" s="113"/>
    </row>
    <row r="14022" spans="14:14">
      <c r="N14022" s="113"/>
    </row>
    <row r="14023" spans="14:14">
      <c r="N14023" s="113"/>
    </row>
    <row r="14024" spans="14:14">
      <c r="N14024" s="113"/>
    </row>
    <row r="14025" spans="14:14">
      <c r="N14025" s="113"/>
    </row>
    <row r="14026" spans="14:14">
      <c r="N14026" s="113"/>
    </row>
    <row r="14027" spans="14:14">
      <c r="N14027" s="113"/>
    </row>
    <row r="14028" spans="14:14">
      <c r="N14028" s="113"/>
    </row>
    <row r="14029" spans="14:14">
      <c r="N14029" s="113"/>
    </row>
    <row r="14030" spans="14:14">
      <c r="N14030" s="113"/>
    </row>
    <row r="14031" spans="14:14">
      <c r="N14031" s="113"/>
    </row>
    <row r="14032" spans="14:14">
      <c r="N14032" s="113"/>
    </row>
    <row r="14033" spans="14:14">
      <c r="N14033" s="113"/>
    </row>
    <row r="14034" spans="14:14">
      <c r="N14034" s="113"/>
    </row>
    <row r="14035" spans="14:14">
      <c r="N14035" s="113"/>
    </row>
    <row r="14036" spans="14:14">
      <c r="N14036" s="113"/>
    </row>
    <row r="14037" spans="14:14">
      <c r="N14037" s="113"/>
    </row>
    <row r="14038" spans="14:14">
      <c r="N14038" s="113"/>
    </row>
    <row r="14039" spans="14:14">
      <c r="N14039" s="113"/>
    </row>
    <row r="14040" spans="14:14">
      <c r="N14040" s="113"/>
    </row>
    <row r="14041" spans="14:14">
      <c r="N14041" s="113"/>
    </row>
    <row r="14042" spans="14:14">
      <c r="N14042" s="113"/>
    </row>
    <row r="14043" spans="14:14">
      <c r="N14043" s="113"/>
    </row>
    <row r="14044" spans="14:14">
      <c r="N14044" s="113"/>
    </row>
    <row r="14045" spans="14:14">
      <c r="N14045" s="113"/>
    </row>
    <row r="14046" spans="14:14">
      <c r="N14046" s="113"/>
    </row>
    <row r="14047" spans="14:14">
      <c r="N14047" s="113"/>
    </row>
    <row r="14048" spans="14:14">
      <c r="N14048" s="113"/>
    </row>
    <row r="14049" spans="14:14">
      <c r="N14049" s="113"/>
    </row>
    <row r="14050" spans="14:14">
      <c r="N14050" s="113"/>
    </row>
    <row r="14051" spans="14:14">
      <c r="N14051" s="113"/>
    </row>
    <row r="14052" spans="14:14">
      <c r="N14052" s="113"/>
    </row>
    <row r="14053" spans="14:14">
      <c r="N14053" s="113"/>
    </row>
    <row r="14054" spans="14:14">
      <c r="N14054" s="113"/>
    </row>
    <row r="14055" spans="14:14">
      <c r="N14055" s="113"/>
    </row>
    <row r="14056" spans="14:14">
      <c r="N14056" s="113"/>
    </row>
    <row r="14057" spans="14:14">
      <c r="N14057" s="113"/>
    </row>
    <row r="14058" spans="14:14">
      <c r="N14058" s="113"/>
    </row>
    <row r="14059" spans="14:14">
      <c r="N14059" s="113"/>
    </row>
    <row r="14060" spans="14:14">
      <c r="N14060" s="113"/>
    </row>
    <row r="14061" spans="14:14">
      <c r="N14061" s="113"/>
    </row>
    <row r="14062" spans="14:14">
      <c r="N14062" s="113"/>
    </row>
    <row r="14063" spans="14:14">
      <c r="N14063" s="113"/>
    </row>
    <row r="14064" spans="14:14">
      <c r="N14064" s="113"/>
    </row>
    <row r="14065" spans="14:14">
      <c r="N14065" s="113"/>
    </row>
    <row r="14066" spans="14:14">
      <c r="N14066" s="113"/>
    </row>
    <row r="14067" spans="14:14">
      <c r="N14067" s="113"/>
    </row>
    <row r="14068" spans="14:14">
      <c r="N14068" s="113"/>
    </row>
    <row r="14069" spans="14:14">
      <c r="N14069" s="113"/>
    </row>
    <row r="14070" spans="14:14">
      <c r="N14070" s="113"/>
    </row>
    <row r="14071" spans="14:14">
      <c r="N14071" s="113"/>
    </row>
    <row r="14072" spans="14:14">
      <c r="N14072" s="113"/>
    </row>
    <row r="14073" spans="14:14">
      <c r="N14073" s="113"/>
    </row>
    <row r="14074" spans="14:14">
      <c r="N14074" s="113"/>
    </row>
    <row r="14075" spans="14:14">
      <c r="N14075" s="113"/>
    </row>
    <row r="14076" spans="14:14">
      <c r="N14076" s="113"/>
    </row>
    <row r="14077" spans="14:14">
      <c r="N14077" s="113"/>
    </row>
    <row r="14078" spans="14:14">
      <c r="N14078" s="113"/>
    </row>
    <row r="14079" spans="14:14">
      <c r="N14079" s="113"/>
    </row>
    <row r="14080" spans="14:14">
      <c r="N14080" s="113"/>
    </row>
    <row r="14081" spans="14:14">
      <c r="N14081" s="113"/>
    </row>
    <row r="14082" spans="14:14">
      <c r="N14082" s="113"/>
    </row>
    <row r="14083" spans="14:14">
      <c r="N14083" s="113"/>
    </row>
    <row r="14084" spans="14:14">
      <c r="N14084" s="113"/>
    </row>
    <row r="14085" spans="14:14">
      <c r="N14085" s="113"/>
    </row>
    <row r="14086" spans="14:14">
      <c r="N14086" s="113"/>
    </row>
    <row r="14087" spans="14:14">
      <c r="N14087" s="113"/>
    </row>
    <row r="14088" spans="14:14">
      <c r="N14088" s="113"/>
    </row>
    <row r="14089" spans="14:14">
      <c r="N14089" s="113"/>
    </row>
    <row r="14090" spans="14:14">
      <c r="N14090" s="113"/>
    </row>
    <row r="14091" spans="14:14">
      <c r="N14091" s="113"/>
    </row>
    <row r="14092" spans="14:14">
      <c r="N14092" s="113"/>
    </row>
    <row r="14093" spans="14:14">
      <c r="N14093" s="113"/>
    </row>
    <row r="14094" spans="14:14">
      <c r="N14094" s="113"/>
    </row>
    <row r="14095" spans="14:14">
      <c r="N14095" s="113"/>
    </row>
    <row r="14096" spans="14:14">
      <c r="N14096" s="113"/>
    </row>
    <row r="14097" spans="14:14">
      <c r="N14097" s="113"/>
    </row>
    <row r="14098" spans="14:14">
      <c r="N14098" s="113"/>
    </row>
    <row r="14099" spans="14:14">
      <c r="N14099" s="113"/>
    </row>
    <row r="14100" spans="14:14">
      <c r="N14100" s="113"/>
    </row>
    <row r="14101" spans="14:14">
      <c r="N14101" s="113"/>
    </row>
    <row r="14102" spans="14:14">
      <c r="N14102" s="113"/>
    </row>
    <row r="14103" spans="14:14">
      <c r="N14103" s="113"/>
    </row>
    <row r="14104" spans="14:14">
      <c r="N14104" s="113"/>
    </row>
    <row r="14105" spans="14:14">
      <c r="N14105" s="113"/>
    </row>
    <row r="14106" spans="14:14">
      <c r="N14106" s="113"/>
    </row>
    <row r="14107" spans="14:14">
      <c r="N14107" s="113"/>
    </row>
    <row r="14108" spans="14:14">
      <c r="N14108" s="113"/>
    </row>
    <row r="14109" spans="14:14">
      <c r="N14109" s="113"/>
    </row>
    <row r="14110" spans="14:14">
      <c r="N14110" s="113"/>
    </row>
    <row r="14111" spans="14:14">
      <c r="N14111" s="113"/>
    </row>
    <row r="14112" spans="14:14">
      <c r="N14112" s="113"/>
    </row>
    <row r="14113" spans="14:14">
      <c r="N14113" s="113"/>
    </row>
    <row r="14114" spans="14:14">
      <c r="N14114" s="113"/>
    </row>
    <row r="14115" spans="14:14">
      <c r="N14115" s="113"/>
    </row>
    <row r="14116" spans="14:14">
      <c r="N14116" s="113"/>
    </row>
    <row r="14117" spans="14:14">
      <c r="N14117" s="113"/>
    </row>
    <row r="14118" spans="14:14">
      <c r="N14118" s="113"/>
    </row>
    <row r="14119" spans="14:14">
      <c r="N14119" s="113"/>
    </row>
    <row r="14120" spans="14:14">
      <c r="N14120" s="113"/>
    </row>
    <row r="14121" spans="14:14">
      <c r="N14121" s="113"/>
    </row>
    <row r="14122" spans="14:14">
      <c r="N14122" s="113"/>
    </row>
    <row r="14123" spans="14:14">
      <c r="N14123" s="113"/>
    </row>
    <row r="14124" spans="14:14">
      <c r="N14124" s="113"/>
    </row>
    <row r="14125" spans="14:14">
      <c r="N14125" s="113"/>
    </row>
    <row r="14126" spans="14:14">
      <c r="N14126" s="113"/>
    </row>
    <row r="14127" spans="14:14">
      <c r="N14127" s="113"/>
    </row>
    <row r="14128" spans="14:14">
      <c r="N14128" s="113"/>
    </row>
    <row r="14129" spans="14:14">
      <c r="N14129" s="113"/>
    </row>
    <row r="14130" spans="14:14">
      <c r="N14130" s="113"/>
    </row>
    <row r="14131" spans="14:14">
      <c r="N14131" s="113"/>
    </row>
    <row r="14132" spans="14:14">
      <c r="N14132" s="113"/>
    </row>
    <row r="14133" spans="14:14">
      <c r="N14133" s="113"/>
    </row>
    <row r="14134" spans="14:14">
      <c r="N14134" s="113"/>
    </row>
    <row r="14135" spans="14:14">
      <c r="N14135" s="113"/>
    </row>
    <row r="14136" spans="14:14">
      <c r="N14136" s="113"/>
    </row>
    <row r="14137" spans="14:14">
      <c r="N14137" s="113"/>
    </row>
    <row r="14138" spans="14:14">
      <c r="N14138" s="113"/>
    </row>
    <row r="14139" spans="14:14">
      <c r="N14139" s="113"/>
    </row>
    <row r="14140" spans="14:14">
      <c r="N14140" s="113"/>
    </row>
    <row r="14141" spans="14:14">
      <c r="N14141" s="113"/>
    </row>
    <row r="14142" spans="14:14">
      <c r="N14142" s="113"/>
    </row>
    <row r="14143" spans="14:14">
      <c r="N14143" s="113"/>
    </row>
    <row r="14144" spans="14:14">
      <c r="N14144" s="113"/>
    </row>
    <row r="14145" spans="14:14">
      <c r="N14145" s="113"/>
    </row>
    <row r="14146" spans="14:14">
      <c r="N14146" s="113"/>
    </row>
    <row r="14147" spans="14:14">
      <c r="N14147" s="113"/>
    </row>
    <row r="14148" spans="14:14">
      <c r="N14148" s="113"/>
    </row>
    <row r="14149" spans="14:14">
      <c r="N14149" s="113"/>
    </row>
    <row r="14150" spans="14:14">
      <c r="N14150" s="113"/>
    </row>
    <row r="14151" spans="14:14">
      <c r="N14151" s="113"/>
    </row>
    <row r="14152" spans="14:14">
      <c r="N14152" s="113"/>
    </row>
    <row r="14153" spans="14:14">
      <c r="N14153" s="113"/>
    </row>
    <row r="14154" spans="14:14">
      <c r="N14154" s="113"/>
    </row>
    <row r="14155" spans="14:14">
      <c r="N14155" s="113"/>
    </row>
    <row r="14156" spans="14:14">
      <c r="N14156" s="113"/>
    </row>
    <row r="14157" spans="14:14">
      <c r="N14157" s="113"/>
    </row>
    <row r="14158" spans="14:14">
      <c r="N14158" s="113"/>
    </row>
    <row r="14159" spans="14:14">
      <c r="N14159" s="113"/>
    </row>
    <row r="14160" spans="14:14">
      <c r="N14160" s="113"/>
    </row>
    <row r="14161" spans="14:14">
      <c r="N14161" s="113"/>
    </row>
    <row r="14162" spans="14:14">
      <c r="N14162" s="113"/>
    </row>
    <row r="14163" spans="14:14">
      <c r="N14163" s="113"/>
    </row>
    <row r="14164" spans="14:14">
      <c r="N14164" s="113"/>
    </row>
    <row r="14165" spans="14:14">
      <c r="N14165" s="113"/>
    </row>
    <row r="14166" spans="14:14">
      <c r="N14166" s="113"/>
    </row>
    <row r="14167" spans="14:14">
      <c r="N14167" s="113"/>
    </row>
    <row r="14168" spans="14:14">
      <c r="N14168" s="113"/>
    </row>
    <row r="14169" spans="14:14">
      <c r="N14169" s="113"/>
    </row>
    <row r="14170" spans="14:14">
      <c r="N14170" s="113"/>
    </row>
    <row r="14171" spans="14:14">
      <c r="N14171" s="113"/>
    </row>
    <row r="14172" spans="14:14">
      <c r="N14172" s="113"/>
    </row>
    <row r="14173" spans="14:14">
      <c r="N14173" s="113"/>
    </row>
    <row r="14174" spans="14:14">
      <c r="N14174" s="113"/>
    </row>
    <row r="14175" spans="14:14">
      <c r="N14175" s="113"/>
    </row>
    <row r="14176" spans="14:14">
      <c r="N14176" s="113"/>
    </row>
    <row r="14177" spans="14:14">
      <c r="N14177" s="113"/>
    </row>
    <row r="14178" spans="14:14">
      <c r="N14178" s="113"/>
    </row>
    <row r="14179" spans="14:14">
      <c r="N14179" s="113"/>
    </row>
    <row r="14180" spans="14:14">
      <c r="N14180" s="113"/>
    </row>
    <row r="14181" spans="14:14">
      <c r="N14181" s="113"/>
    </row>
    <row r="14182" spans="14:14">
      <c r="N14182" s="113"/>
    </row>
    <row r="14183" spans="14:14">
      <c r="N14183" s="113"/>
    </row>
    <row r="14184" spans="14:14">
      <c r="N14184" s="113"/>
    </row>
    <row r="14185" spans="14:14">
      <c r="N14185" s="113"/>
    </row>
    <row r="14186" spans="14:14">
      <c r="N14186" s="113"/>
    </row>
    <row r="14187" spans="14:14">
      <c r="N14187" s="113"/>
    </row>
    <row r="14188" spans="14:14">
      <c r="N14188" s="113"/>
    </row>
    <row r="14189" spans="14:14">
      <c r="N14189" s="113"/>
    </row>
    <row r="14190" spans="14:14">
      <c r="N14190" s="113"/>
    </row>
    <row r="14191" spans="14:14">
      <c r="N14191" s="113"/>
    </row>
    <row r="14192" spans="14:14">
      <c r="N14192" s="113"/>
    </row>
    <row r="14193" spans="14:14">
      <c r="N14193" s="113"/>
    </row>
    <row r="14194" spans="14:14">
      <c r="N14194" s="113"/>
    </row>
    <row r="14195" spans="14:14">
      <c r="N14195" s="113"/>
    </row>
    <row r="14196" spans="14:14">
      <c r="N14196" s="113"/>
    </row>
    <row r="14197" spans="14:14">
      <c r="N14197" s="113"/>
    </row>
    <row r="14198" spans="14:14">
      <c r="N14198" s="113"/>
    </row>
    <row r="14199" spans="14:14">
      <c r="N14199" s="113"/>
    </row>
    <row r="14200" spans="14:14">
      <c r="N14200" s="113"/>
    </row>
    <row r="14201" spans="14:14">
      <c r="N14201" s="113"/>
    </row>
    <row r="14202" spans="14:14">
      <c r="N14202" s="113"/>
    </row>
    <row r="14203" spans="14:14">
      <c r="N14203" s="113"/>
    </row>
    <row r="14204" spans="14:14">
      <c r="N14204" s="113"/>
    </row>
    <row r="14205" spans="14:14">
      <c r="N14205" s="113"/>
    </row>
    <row r="14206" spans="14:14">
      <c r="N14206" s="113"/>
    </row>
    <row r="14207" spans="14:14">
      <c r="N14207" s="113"/>
    </row>
    <row r="14208" spans="14:14">
      <c r="N14208" s="113"/>
    </row>
    <row r="14209" spans="14:14">
      <c r="N14209" s="113"/>
    </row>
    <row r="14210" spans="14:14">
      <c r="N14210" s="113"/>
    </row>
    <row r="14211" spans="14:14">
      <c r="N14211" s="113"/>
    </row>
    <row r="14212" spans="14:14">
      <c r="N14212" s="113"/>
    </row>
    <row r="14213" spans="14:14">
      <c r="N14213" s="113"/>
    </row>
    <row r="14214" spans="14:14">
      <c r="N14214" s="113"/>
    </row>
    <row r="14215" spans="14:14">
      <c r="N14215" s="113"/>
    </row>
    <row r="14216" spans="14:14">
      <c r="N14216" s="113"/>
    </row>
    <row r="14217" spans="14:14">
      <c r="N14217" s="113"/>
    </row>
    <row r="14218" spans="14:14">
      <c r="N14218" s="113"/>
    </row>
    <row r="14219" spans="14:14">
      <c r="N14219" s="113"/>
    </row>
    <row r="14220" spans="14:14">
      <c r="N14220" s="113"/>
    </row>
    <row r="14221" spans="14:14">
      <c r="N14221" s="113"/>
    </row>
    <row r="14222" spans="14:14">
      <c r="N14222" s="113"/>
    </row>
    <row r="14223" spans="14:14">
      <c r="N14223" s="113"/>
    </row>
    <row r="14224" spans="14:14">
      <c r="N14224" s="113"/>
    </row>
    <row r="14225" spans="14:14">
      <c r="N14225" s="113"/>
    </row>
    <row r="14226" spans="14:14">
      <c r="N14226" s="113"/>
    </row>
    <row r="14227" spans="14:14">
      <c r="N14227" s="113"/>
    </row>
    <row r="14228" spans="14:14">
      <c r="N14228" s="113"/>
    </row>
    <row r="14229" spans="14:14">
      <c r="N14229" s="113"/>
    </row>
    <row r="14230" spans="14:14">
      <c r="N14230" s="113"/>
    </row>
    <row r="14231" spans="14:14">
      <c r="N14231" s="113"/>
    </row>
    <row r="14232" spans="14:14">
      <c r="N14232" s="113"/>
    </row>
    <row r="14233" spans="14:14">
      <c r="N14233" s="113"/>
    </row>
    <row r="14234" spans="14:14">
      <c r="N14234" s="113"/>
    </row>
    <row r="14235" spans="14:14">
      <c r="N14235" s="113"/>
    </row>
    <row r="14236" spans="14:14">
      <c r="N14236" s="113"/>
    </row>
    <row r="14237" spans="14:14">
      <c r="N14237" s="113"/>
    </row>
    <row r="14238" spans="14:14">
      <c r="N14238" s="113"/>
    </row>
    <row r="14239" spans="14:14">
      <c r="N14239" s="113"/>
    </row>
    <row r="14240" spans="14:14">
      <c r="N14240" s="113"/>
    </row>
    <row r="14241" spans="14:14">
      <c r="N14241" s="113"/>
    </row>
    <row r="14242" spans="14:14">
      <c r="N14242" s="113"/>
    </row>
    <row r="14243" spans="14:14">
      <c r="N14243" s="113"/>
    </row>
    <row r="14244" spans="14:14">
      <c r="N14244" s="113"/>
    </row>
    <row r="14245" spans="14:14">
      <c r="N14245" s="113"/>
    </row>
    <row r="14246" spans="14:14">
      <c r="N14246" s="113"/>
    </row>
    <row r="14247" spans="14:14">
      <c r="N14247" s="113"/>
    </row>
    <row r="14248" spans="14:14">
      <c r="N14248" s="113"/>
    </row>
    <row r="14249" spans="14:14">
      <c r="N14249" s="113"/>
    </row>
    <row r="14250" spans="14:14">
      <c r="N14250" s="113"/>
    </row>
    <row r="14251" spans="14:14">
      <c r="N14251" s="113"/>
    </row>
    <row r="14252" spans="14:14">
      <c r="N14252" s="113"/>
    </row>
    <row r="14253" spans="14:14">
      <c r="N14253" s="113"/>
    </row>
    <row r="14254" spans="14:14">
      <c r="N14254" s="113"/>
    </row>
    <row r="14255" spans="14:14">
      <c r="N14255" s="113"/>
    </row>
    <row r="14256" spans="14:14">
      <c r="N14256" s="113"/>
    </row>
    <row r="14257" spans="14:14">
      <c r="N14257" s="113"/>
    </row>
    <row r="14258" spans="14:14">
      <c r="N14258" s="113"/>
    </row>
    <row r="14259" spans="14:14">
      <c r="N14259" s="113"/>
    </row>
    <row r="14260" spans="14:14">
      <c r="N14260" s="113"/>
    </row>
    <row r="14261" spans="14:14">
      <c r="N14261" s="113"/>
    </row>
    <row r="14262" spans="14:14">
      <c r="N14262" s="113"/>
    </row>
    <row r="14263" spans="14:14">
      <c r="N14263" s="113"/>
    </row>
    <row r="14264" spans="14:14">
      <c r="N14264" s="113"/>
    </row>
    <row r="14265" spans="14:14">
      <c r="N14265" s="113"/>
    </row>
    <row r="14266" spans="14:14">
      <c r="N14266" s="113"/>
    </row>
    <row r="14267" spans="14:14">
      <c r="N14267" s="113"/>
    </row>
    <row r="14268" spans="14:14">
      <c r="N14268" s="113"/>
    </row>
    <row r="14269" spans="14:14">
      <c r="N14269" s="113"/>
    </row>
    <row r="14270" spans="14:14">
      <c r="N14270" s="113"/>
    </row>
    <row r="14271" spans="14:14">
      <c r="N14271" s="113"/>
    </row>
    <row r="14272" spans="14:14">
      <c r="N14272" s="113"/>
    </row>
    <row r="14273" spans="14:14">
      <c r="N14273" s="113"/>
    </row>
    <row r="14274" spans="14:14">
      <c r="N14274" s="113"/>
    </row>
    <row r="14275" spans="14:14">
      <c r="N14275" s="113"/>
    </row>
    <row r="14276" spans="14:14">
      <c r="N14276" s="113"/>
    </row>
    <row r="14277" spans="14:14">
      <c r="N14277" s="113"/>
    </row>
    <row r="14278" spans="14:14">
      <c r="N14278" s="113"/>
    </row>
    <row r="14279" spans="14:14">
      <c r="N14279" s="113"/>
    </row>
    <row r="14280" spans="14:14">
      <c r="N14280" s="113"/>
    </row>
    <row r="14281" spans="14:14">
      <c r="N14281" s="113"/>
    </row>
    <row r="14282" spans="14:14">
      <c r="N14282" s="113"/>
    </row>
    <row r="14283" spans="14:14">
      <c r="N14283" s="113"/>
    </row>
    <row r="14284" spans="14:14">
      <c r="N14284" s="113"/>
    </row>
    <row r="14285" spans="14:14">
      <c r="N14285" s="113"/>
    </row>
    <row r="14286" spans="14:14">
      <c r="N14286" s="113"/>
    </row>
    <row r="14287" spans="14:14">
      <c r="N14287" s="113"/>
    </row>
    <row r="14288" spans="14:14">
      <c r="N14288" s="113"/>
    </row>
    <row r="14289" spans="14:14">
      <c r="N14289" s="113"/>
    </row>
    <row r="14290" spans="14:14">
      <c r="N14290" s="113"/>
    </row>
    <row r="14291" spans="14:14">
      <c r="N14291" s="113"/>
    </row>
    <row r="14292" spans="14:14">
      <c r="N14292" s="113"/>
    </row>
    <row r="14293" spans="14:14">
      <c r="N14293" s="113"/>
    </row>
    <row r="14294" spans="14:14">
      <c r="N14294" s="113"/>
    </row>
    <row r="14295" spans="14:14">
      <c r="N14295" s="113"/>
    </row>
    <row r="14296" spans="14:14">
      <c r="N14296" s="113"/>
    </row>
    <row r="14297" spans="14:14">
      <c r="N14297" s="113"/>
    </row>
    <row r="14298" spans="14:14">
      <c r="N14298" s="113"/>
    </row>
    <row r="14299" spans="14:14">
      <c r="N14299" s="113"/>
    </row>
    <row r="14300" spans="14:14">
      <c r="N14300" s="113"/>
    </row>
    <row r="14301" spans="14:14">
      <c r="N14301" s="113"/>
    </row>
    <row r="14302" spans="14:14">
      <c r="N14302" s="113"/>
    </row>
    <row r="14303" spans="14:14">
      <c r="N14303" s="113"/>
    </row>
    <row r="14304" spans="14:14">
      <c r="N14304" s="113"/>
    </row>
    <row r="14305" spans="14:14">
      <c r="N14305" s="113"/>
    </row>
    <row r="14306" spans="14:14">
      <c r="N14306" s="113"/>
    </row>
    <row r="14307" spans="14:14">
      <c r="N14307" s="113"/>
    </row>
    <row r="14308" spans="14:14">
      <c r="N14308" s="113"/>
    </row>
    <row r="14309" spans="14:14">
      <c r="N14309" s="113"/>
    </row>
    <row r="14310" spans="14:14">
      <c r="N14310" s="113"/>
    </row>
    <row r="14311" spans="14:14">
      <c r="N14311" s="113"/>
    </row>
    <row r="14312" spans="14:14">
      <c r="N14312" s="113"/>
    </row>
    <row r="14313" spans="14:14">
      <c r="N14313" s="113"/>
    </row>
    <row r="14314" spans="14:14">
      <c r="N14314" s="113"/>
    </row>
    <row r="14315" spans="14:14">
      <c r="N14315" s="113"/>
    </row>
    <row r="14316" spans="14:14">
      <c r="N14316" s="113"/>
    </row>
    <row r="14317" spans="14:14">
      <c r="N14317" s="113"/>
    </row>
    <row r="14318" spans="14:14">
      <c r="N14318" s="113"/>
    </row>
    <row r="14319" spans="14:14">
      <c r="N14319" s="113"/>
    </row>
    <row r="14320" spans="14:14">
      <c r="N14320" s="113"/>
    </row>
    <row r="14321" spans="14:14">
      <c r="N14321" s="113"/>
    </row>
    <row r="14322" spans="14:14">
      <c r="N14322" s="113"/>
    </row>
    <row r="14323" spans="14:14">
      <c r="N14323" s="113"/>
    </row>
    <row r="14324" spans="14:14">
      <c r="N14324" s="113"/>
    </row>
    <row r="14325" spans="14:14">
      <c r="N14325" s="113"/>
    </row>
    <row r="14326" spans="14:14">
      <c r="N14326" s="113"/>
    </row>
    <row r="14327" spans="14:14">
      <c r="N14327" s="113"/>
    </row>
    <row r="14328" spans="14:14">
      <c r="N14328" s="113"/>
    </row>
    <row r="14329" spans="14:14">
      <c r="N14329" s="113"/>
    </row>
    <row r="14330" spans="14:14">
      <c r="N14330" s="113"/>
    </row>
    <row r="14331" spans="14:14">
      <c r="N14331" s="113"/>
    </row>
    <row r="14332" spans="14:14">
      <c r="N14332" s="113"/>
    </row>
    <row r="14333" spans="14:14">
      <c r="N14333" s="113"/>
    </row>
    <row r="14334" spans="14:14">
      <c r="N14334" s="113"/>
    </row>
    <row r="14335" spans="14:14">
      <c r="N14335" s="113"/>
    </row>
    <row r="14336" spans="14:14">
      <c r="N14336" s="113"/>
    </row>
    <row r="14337" spans="14:14">
      <c r="N14337" s="113"/>
    </row>
    <row r="14338" spans="14:14">
      <c r="N14338" s="113"/>
    </row>
    <row r="14339" spans="14:14">
      <c r="N14339" s="113"/>
    </row>
    <row r="14340" spans="14:14">
      <c r="N14340" s="113"/>
    </row>
    <row r="14341" spans="14:14">
      <c r="N14341" s="113"/>
    </row>
    <row r="14342" spans="14:14">
      <c r="N14342" s="113"/>
    </row>
    <row r="14343" spans="14:14">
      <c r="N14343" s="113"/>
    </row>
    <row r="14344" spans="14:14">
      <c r="N14344" s="113"/>
    </row>
    <row r="14345" spans="14:14">
      <c r="N14345" s="113"/>
    </row>
    <row r="14346" spans="14:14">
      <c r="N14346" s="113"/>
    </row>
    <row r="14347" spans="14:14">
      <c r="N14347" s="113"/>
    </row>
    <row r="14348" spans="14:14">
      <c r="N14348" s="113"/>
    </row>
    <row r="14349" spans="14:14">
      <c r="N14349" s="113"/>
    </row>
    <row r="14350" spans="14:14">
      <c r="N14350" s="113"/>
    </row>
    <row r="14351" spans="14:14">
      <c r="N14351" s="113"/>
    </row>
    <row r="14352" spans="14:14">
      <c r="N14352" s="113"/>
    </row>
    <row r="14353" spans="14:14">
      <c r="N14353" s="113"/>
    </row>
    <row r="14354" spans="14:14">
      <c r="N14354" s="113"/>
    </row>
    <row r="14355" spans="14:14">
      <c r="N14355" s="113"/>
    </row>
    <row r="14356" spans="14:14">
      <c r="N14356" s="113"/>
    </row>
    <row r="14357" spans="14:14">
      <c r="N14357" s="113"/>
    </row>
    <row r="14358" spans="14:14">
      <c r="N14358" s="113"/>
    </row>
    <row r="14359" spans="14:14">
      <c r="N14359" s="113"/>
    </row>
    <row r="14360" spans="14:14">
      <c r="N14360" s="113"/>
    </row>
    <row r="14361" spans="14:14">
      <c r="N14361" s="113"/>
    </row>
    <row r="14362" spans="14:14">
      <c r="N14362" s="113"/>
    </row>
    <row r="14363" spans="14:14">
      <c r="N14363" s="113"/>
    </row>
    <row r="14364" spans="14:14">
      <c r="N14364" s="113"/>
    </row>
    <row r="14365" spans="14:14">
      <c r="N14365" s="113"/>
    </row>
    <row r="14366" spans="14:14">
      <c r="N14366" s="113"/>
    </row>
    <row r="14367" spans="14:14">
      <c r="N14367" s="113"/>
    </row>
    <row r="14368" spans="14:14">
      <c r="N14368" s="113"/>
    </row>
    <row r="14369" spans="14:14">
      <c r="N14369" s="113"/>
    </row>
    <row r="14370" spans="14:14">
      <c r="N14370" s="113"/>
    </row>
    <row r="14371" spans="14:14">
      <c r="N14371" s="113"/>
    </row>
    <row r="14372" spans="14:14">
      <c r="N14372" s="113"/>
    </row>
    <row r="14373" spans="14:14">
      <c r="N14373" s="113"/>
    </row>
    <row r="14374" spans="14:14">
      <c r="N14374" s="113"/>
    </row>
    <row r="14375" spans="14:14">
      <c r="N14375" s="113"/>
    </row>
    <row r="14376" spans="14:14">
      <c r="N14376" s="113"/>
    </row>
    <row r="14377" spans="14:14">
      <c r="N14377" s="113"/>
    </row>
    <row r="14378" spans="14:14">
      <c r="N14378" s="113"/>
    </row>
    <row r="14379" spans="14:14">
      <c r="N14379" s="113"/>
    </row>
    <row r="14380" spans="14:14">
      <c r="N14380" s="113"/>
    </row>
    <row r="14381" spans="14:14">
      <c r="N14381" s="113"/>
    </row>
    <row r="14382" spans="14:14">
      <c r="N14382" s="113"/>
    </row>
    <row r="14383" spans="14:14">
      <c r="N14383" s="113"/>
    </row>
    <row r="14384" spans="14:14">
      <c r="N14384" s="113"/>
    </row>
    <row r="14385" spans="14:14">
      <c r="N14385" s="113"/>
    </row>
    <row r="14386" spans="14:14">
      <c r="N14386" s="113"/>
    </row>
    <row r="14387" spans="14:14">
      <c r="N14387" s="113"/>
    </row>
    <row r="14388" spans="14:14">
      <c r="N14388" s="113"/>
    </row>
    <row r="14389" spans="14:14">
      <c r="N14389" s="113"/>
    </row>
    <row r="14390" spans="14:14">
      <c r="N14390" s="113"/>
    </row>
    <row r="14391" spans="14:14">
      <c r="N14391" s="113"/>
    </row>
    <row r="14392" spans="14:14">
      <c r="N14392" s="113"/>
    </row>
    <row r="14393" spans="14:14">
      <c r="N14393" s="113"/>
    </row>
    <row r="14394" spans="14:14">
      <c r="N14394" s="113"/>
    </row>
    <row r="14395" spans="14:14">
      <c r="N14395" s="113"/>
    </row>
    <row r="14396" spans="14:14">
      <c r="N14396" s="113"/>
    </row>
    <row r="14397" spans="14:14">
      <c r="N14397" s="113"/>
    </row>
    <row r="14398" spans="14:14">
      <c r="N14398" s="113"/>
    </row>
    <row r="14399" spans="14:14">
      <c r="N14399" s="113"/>
    </row>
    <row r="14400" spans="14:14">
      <c r="N14400" s="113"/>
    </row>
    <row r="14401" spans="14:14">
      <c r="N14401" s="113"/>
    </row>
    <row r="14402" spans="14:14">
      <c r="N14402" s="113"/>
    </row>
    <row r="14403" spans="14:14">
      <c r="N14403" s="113"/>
    </row>
    <row r="14404" spans="14:14">
      <c r="N14404" s="113"/>
    </row>
    <row r="14405" spans="14:14">
      <c r="N14405" s="113"/>
    </row>
    <row r="14406" spans="14:14">
      <c r="N14406" s="113"/>
    </row>
    <row r="14407" spans="14:14">
      <c r="N14407" s="113"/>
    </row>
    <row r="14408" spans="14:14">
      <c r="N14408" s="113"/>
    </row>
    <row r="14409" spans="14:14">
      <c r="N14409" s="113"/>
    </row>
    <row r="14410" spans="14:14">
      <c r="N14410" s="113"/>
    </row>
    <row r="14411" spans="14:14">
      <c r="N14411" s="113"/>
    </row>
    <row r="14412" spans="14:14">
      <c r="N14412" s="113"/>
    </row>
    <row r="14413" spans="14:14">
      <c r="N14413" s="113"/>
    </row>
    <row r="14414" spans="14:14">
      <c r="N14414" s="113"/>
    </row>
    <row r="14415" spans="14:14">
      <c r="N14415" s="113"/>
    </row>
    <row r="14416" spans="14:14">
      <c r="N14416" s="113"/>
    </row>
    <row r="14417" spans="14:14">
      <c r="N14417" s="113"/>
    </row>
    <row r="14418" spans="14:14">
      <c r="N14418" s="113"/>
    </row>
    <row r="14419" spans="14:14">
      <c r="N14419" s="113"/>
    </row>
    <row r="14420" spans="14:14">
      <c r="N14420" s="113"/>
    </row>
    <row r="14421" spans="14:14">
      <c r="N14421" s="113"/>
    </row>
    <row r="14422" spans="14:14">
      <c r="N14422" s="113"/>
    </row>
    <row r="14423" spans="14:14">
      <c r="N14423" s="113"/>
    </row>
    <row r="14424" spans="14:14">
      <c r="N14424" s="113"/>
    </row>
    <row r="14425" spans="14:14">
      <c r="N14425" s="113"/>
    </row>
    <row r="14426" spans="14:14">
      <c r="N14426" s="113"/>
    </row>
    <row r="14427" spans="14:14">
      <c r="N14427" s="113"/>
    </row>
    <row r="14428" spans="14:14">
      <c r="N14428" s="113"/>
    </row>
    <row r="14429" spans="14:14">
      <c r="N14429" s="113"/>
    </row>
    <row r="14430" spans="14:14">
      <c r="N14430" s="113"/>
    </row>
    <row r="14431" spans="14:14">
      <c r="N14431" s="113"/>
    </row>
    <row r="14432" spans="14:14">
      <c r="N14432" s="113"/>
    </row>
    <row r="14433" spans="14:14">
      <c r="N14433" s="113"/>
    </row>
    <row r="14434" spans="14:14">
      <c r="N14434" s="113"/>
    </row>
    <row r="14435" spans="14:14">
      <c r="N14435" s="113"/>
    </row>
    <row r="14436" spans="14:14">
      <c r="N14436" s="113"/>
    </row>
    <row r="14437" spans="14:14">
      <c r="N14437" s="113"/>
    </row>
    <row r="14438" spans="14:14">
      <c r="N14438" s="113"/>
    </row>
    <row r="14439" spans="14:14">
      <c r="N14439" s="113"/>
    </row>
    <row r="14440" spans="14:14">
      <c r="N14440" s="113"/>
    </row>
    <row r="14441" spans="14:14">
      <c r="N14441" s="113"/>
    </row>
    <row r="14442" spans="14:14">
      <c r="N14442" s="113"/>
    </row>
    <row r="14443" spans="14:14">
      <c r="N14443" s="113"/>
    </row>
    <row r="14444" spans="14:14">
      <c r="N14444" s="113"/>
    </row>
    <row r="14445" spans="14:14">
      <c r="N14445" s="113"/>
    </row>
    <row r="14446" spans="14:14">
      <c r="N14446" s="113"/>
    </row>
    <row r="14447" spans="14:14">
      <c r="N14447" s="113"/>
    </row>
    <row r="14448" spans="14:14">
      <c r="N14448" s="113"/>
    </row>
    <row r="14449" spans="14:14">
      <c r="N14449" s="113"/>
    </row>
    <row r="14450" spans="14:14">
      <c r="N14450" s="113"/>
    </row>
    <row r="14451" spans="14:14">
      <c r="N14451" s="113"/>
    </row>
    <row r="14452" spans="14:14">
      <c r="N14452" s="113"/>
    </row>
    <row r="14453" spans="14:14">
      <c r="N14453" s="113"/>
    </row>
    <row r="14454" spans="14:14">
      <c r="N14454" s="113"/>
    </row>
    <row r="14455" spans="14:14">
      <c r="N14455" s="113"/>
    </row>
    <row r="14456" spans="14:14">
      <c r="N14456" s="113"/>
    </row>
    <row r="14457" spans="14:14">
      <c r="N14457" s="113"/>
    </row>
    <row r="14458" spans="14:14">
      <c r="N14458" s="113"/>
    </row>
    <row r="14459" spans="14:14">
      <c r="N14459" s="113"/>
    </row>
    <row r="14460" spans="14:14">
      <c r="N14460" s="113"/>
    </row>
    <row r="14461" spans="14:14">
      <c r="N14461" s="113"/>
    </row>
    <row r="14462" spans="14:14">
      <c r="N14462" s="113"/>
    </row>
    <row r="14463" spans="14:14">
      <c r="N14463" s="113"/>
    </row>
    <row r="14464" spans="14:14">
      <c r="N14464" s="113"/>
    </row>
    <row r="14465" spans="14:14">
      <c r="N14465" s="113"/>
    </row>
    <row r="14466" spans="14:14">
      <c r="N14466" s="113"/>
    </row>
    <row r="14467" spans="14:14">
      <c r="N14467" s="113"/>
    </row>
    <row r="14468" spans="14:14">
      <c r="N14468" s="113"/>
    </row>
    <row r="14469" spans="14:14">
      <c r="N14469" s="113"/>
    </row>
    <row r="14470" spans="14:14">
      <c r="N14470" s="113"/>
    </row>
    <row r="14471" spans="14:14">
      <c r="N14471" s="113"/>
    </row>
    <row r="14472" spans="14:14">
      <c r="N14472" s="113"/>
    </row>
    <row r="14473" spans="14:14">
      <c r="N14473" s="113"/>
    </row>
    <row r="14474" spans="14:14">
      <c r="N14474" s="113"/>
    </row>
    <row r="14475" spans="14:14">
      <c r="N14475" s="113"/>
    </row>
    <row r="14476" spans="14:14">
      <c r="N14476" s="113"/>
    </row>
    <row r="14477" spans="14:14">
      <c r="N14477" s="113"/>
    </row>
    <row r="14478" spans="14:14">
      <c r="N14478" s="113"/>
    </row>
    <row r="14479" spans="14:14">
      <c r="N14479" s="113"/>
    </row>
    <row r="14480" spans="14:14">
      <c r="N14480" s="113"/>
    </row>
    <row r="14481" spans="14:14">
      <c r="N14481" s="113"/>
    </row>
    <row r="14482" spans="14:14">
      <c r="N14482" s="113"/>
    </row>
    <row r="14483" spans="14:14">
      <c r="N14483" s="113"/>
    </row>
    <row r="14484" spans="14:14">
      <c r="N14484" s="113"/>
    </row>
    <row r="14485" spans="14:14">
      <c r="N14485" s="113"/>
    </row>
    <row r="14486" spans="14:14">
      <c r="N14486" s="113"/>
    </row>
    <row r="14487" spans="14:14">
      <c r="N14487" s="113"/>
    </row>
    <row r="14488" spans="14:14">
      <c r="N14488" s="113"/>
    </row>
    <row r="14489" spans="14:14">
      <c r="N14489" s="113"/>
    </row>
    <row r="14490" spans="14:14">
      <c r="N14490" s="113"/>
    </row>
    <row r="14491" spans="14:14">
      <c r="N14491" s="113"/>
    </row>
    <row r="14492" spans="14:14">
      <c r="N14492" s="113"/>
    </row>
    <row r="14493" spans="14:14">
      <c r="N14493" s="113"/>
    </row>
    <row r="14494" spans="14:14">
      <c r="N14494" s="113"/>
    </row>
    <row r="14495" spans="14:14">
      <c r="N14495" s="113"/>
    </row>
    <row r="14496" spans="14:14">
      <c r="N14496" s="113"/>
    </row>
    <row r="14497" spans="14:14">
      <c r="N14497" s="113"/>
    </row>
    <row r="14498" spans="14:14">
      <c r="N14498" s="113"/>
    </row>
    <row r="14499" spans="14:14">
      <c r="N14499" s="113"/>
    </row>
    <row r="14500" spans="14:14">
      <c r="N14500" s="113"/>
    </row>
    <row r="14501" spans="14:14">
      <c r="N14501" s="113"/>
    </row>
    <row r="14502" spans="14:14">
      <c r="N14502" s="113"/>
    </row>
    <row r="14503" spans="14:14">
      <c r="N14503" s="113"/>
    </row>
    <row r="14504" spans="14:14">
      <c r="N14504" s="113"/>
    </row>
    <row r="14505" spans="14:14">
      <c r="N14505" s="113"/>
    </row>
    <row r="14506" spans="14:14">
      <c r="N14506" s="113"/>
    </row>
    <row r="14507" spans="14:14">
      <c r="N14507" s="113"/>
    </row>
    <row r="14508" spans="14:14">
      <c r="N14508" s="113"/>
    </row>
    <row r="14509" spans="14:14">
      <c r="N14509" s="113"/>
    </row>
    <row r="14510" spans="14:14">
      <c r="N14510" s="113"/>
    </row>
    <row r="14511" spans="14:14">
      <c r="N14511" s="113"/>
    </row>
    <row r="14512" spans="14:14">
      <c r="N14512" s="113"/>
    </row>
    <row r="14513" spans="14:14">
      <c r="N14513" s="113"/>
    </row>
    <row r="14514" spans="14:14">
      <c r="N14514" s="113"/>
    </row>
    <row r="14515" spans="14:14">
      <c r="N14515" s="113"/>
    </row>
    <row r="14516" spans="14:14">
      <c r="N14516" s="113"/>
    </row>
    <row r="14517" spans="14:14">
      <c r="N14517" s="113"/>
    </row>
    <row r="14518" spans="14:14">
      <c r="N14518" s="113"/>
    </row>
    <row r="14519" spans="14:14">
      <c r="N14519" s="113"/>
    </row>
    <row r="14520" spans="14:14">
      <c r="N14520" s="113"/>
    </row>
    <row r="14521" spans="14:14">
      <c r="N14521" s="113"/>
    </row>
    <row r="14522" spans="14:14">
      <c r="N14522" s="113"/>
    </row>
    <row r="14523" spans="14:14">
      <c r="N14523" s="113"/>
    </row>
    <row r="14524" spans="14:14">
      <c r="N14524" s="113"/>
    </row>
    <row r="14525" spans="14:14">
      <c r="N14525" s="113"/>
    </row>
    <row r="14526" spans="14:14">
      <c r="N14526" s="113"/>
    </row>
    <row r="14527" spans="14:14">
      <c r="N14527" s="113"/>
    </row>
    <row r="14528" spans="14:14">
      <c r="N14528" s="113"/>
    </row>
    <row r="14529" spans="14:14">
      <c r="N14529" s="113"/>
    </row>
    <row r="14530" spans="14:14">
      <c r="N14530" s="113"/>
    </row>
    <row r="14531" spans="14:14">
      <c r="N14531" s="113"/>
    </row>
    <row r="14532" spans="14:14">
      <c r="N14532" s="113"/>
    </row>
    <row r="14533" spans="14:14">
      <c r="N14533" s="113"/>
    </row>
    <row r="14534" spans="14:14">
      <c r="N14534" s="113"/>
    </row>
    <row r="14535" spans="14:14">
      <c r="N14535" s="113"/>
    </row>
    <row r="14536" spans="14:14">
      <c r="N14536" s="113"/>
    </row>
    <row r="14537" spans="14:14">
      <c r="N14537" s="113"/>
    </row>
    <row r="14538" spans="14:14">
      <c r="N14538" s="113"/>
    </row>
    <row r="14539" spans="14:14">
      <c r="N14539" s="113"/>
    </row>
    <row r="14540" spans="14:14">
      <c r="N14540" s="113"/>
    </row>
    <row r="14541" spans="14:14">
      <c r="N14541" s="113"/>
    </row>
    <row r="14542" spans="14:14">
      <c r="N14542" s="113"/>
    </row>
    <row r="14543" spans="14:14">
      <c r="N14543" s="113"/>
    </row>
    <row r="14544" spans="14:14">
      <c r="N14544" s="113"/>
    </row>
    <row r="14545" spans="14:14">
      <c r="N14545" s="113"/>
    </row>
    <row r="14546" spans="14:14">
      <c r="N14546" s="113"/>
    </row>
    <row r="14547" spans="14:14">
      <c r="N14547" s="113"/>
    </row>
    <row r="14548" spans="14:14">
      <c r="N14548" s="113"/>
    </row>
    <row r="14549" spans="14:14">
      <c r="N14549" s="113"/>
    </row>
    <row r="14550" spans="14:14">
      <c r="N14550" s="113"/>
    </row>
    <row r="14551" spans="14:14">
      <c r="N14551" s="113"/>
    </row>
    <row r="14552" spans="14:14">
      <c r="N14552" s="113"/>
    </row>
    <row r="14553" spans="14:14">
      <c r="N14553" s="113"/>
    </row>
    <row r="14554" spans="14:14">
      <c r="N14554" s="113"/>
    </row>
    <row r="14555" spans="14:14">
      <c r="N14555" s="113"/>
    </row>
    <row r="14556" spans="14:14">
      <c r="N14556" s="113"/>
    </row>
    <row r="14557" spans="14:14">
      <c r="N14557" s="113"/>
    </row>
    <row r="14558" spans="14:14">
      <c r="N14558" s="113"/>
    </row>
    <row r="14559" spans="14:14">
      <c r="N14559" s="113"/>
    </row>
    <row r="14560" spans="14:14">
      <c r="N14560" s="113"/>
    </row>
    <row r="14561" spans="14:14">
      <c r="N14561" s="113"/>
    </row>
    <row r="14562" spans="14:14">
      <c r="N14562" s="113"/>
    </row>
    <row r="14563" spans="14:14">
      <c r="N14563" s="113"/>
    </row>
    <row r="14564" spans="14:14">
      <c r="N14564" s="113"/>
    </row>
    <row r="14565" spans="14:14">
      <c r="N14565" s="113"/>
    </row>
    <row r="14566" spans="14:14">
      <c r="N14566" s="113"/>
    </row>
    <row r="14567" spans="14:14">
      <c r="N14567" s="113"/>
    </row>
    <row r="14568" spans="14:14">
      <c r="N14568" s="113"/>
    </row>
    <row r="14569" spans="14:14">
      <c r="N14569" s="113"/>
    </row>
    <row r="14570" spans="14:14">
      <c r="N14570" s="113"/>
    </row>
    <row r="14571" spans="14:14">
      <c r="N14571" s="113"/>
    </row>
    <row r="14572" spans="14:14">
      <c r="N14572" s="113"/>
    </row>
    <row r="14573" spans="14:14">
      <c r="N14573" s="113"/>
    </row>
    <row r="14574" spans="14:14">
      <c r="N14574" s="113"/>
    </row>
    <row r="14575" spans="14:14">
      <c r="N14575" s="113"/>
    </row>
    <row r="14576" spans="14:14">
      <c r="N14576" s="113"/>
    </row>
    <row r="14577" spans="14:14">
      <c r="N14577" s="113"/>
    </row>
    <row r="14578" spans="14:14">
      <c r="N14578" s="113"/>
    </row>
    <row r="14579" spans="14:14">
      <c r="N14579" s="113"/>
    </row>
    <row r="14580" spans="14:14">
      <c r="N14580" s="113"/>
    </row>
    <row r="14581" spans="14:14">
      <c r="N14581" s="113"/>
    </row>
    <row r="14582" spans="14:14">
      <c r="N14582" s="113"/>
    </row>
    <row r="14583" spans="14:14">
      <c r="N14583" s="113"/>
    </row>
    <row r="14584" spans="14:14">
      <c r="N14584" s="113"/>
    </row>
    <row r="14585" spans="14:14">
      <c r="N14585" s="113"/>
    </row>
    <row r="14586" spans="14:14">
      <c r="N14586" s="113"/>
    </row>
    <row r="14587" spans="14:14">
      <c r="N14587" s="113"/>
    </row>
    <row r="14588" spans="14:14">
      <c r="N14588" s="113"/>
    </row>
    <row r="14589" spans="14:14">
      <c r="N14589" s="113"/>
    </row>
    <row r="14590" spans="14:14">
      <c r="N14590" s="113"/>
    </row>
    <row r="14591" spans="14:14">
      <c r="N14591" s="113"/>
    </row>
    <row r="14592" spans="14:14">
      <c r="N14592" s="113"/>
    </row>
    <row r="14593" spans="14:14">
      <c r="N14593" s="113"/>
    </row>
    <row r="14594" spans="14:14">
      <c r="N14594" s="113"/>
    </row>
    <row r="14595" spans="14:14">
      <c r="N14595" s="113"/>
    </row>
    <row r="14596" spans="14:14">
      <c r="N14596" s="113"/>
    </row>
    <row r="14597" spans="14:14">
      <c r="N14597" s="113"/>
    </row>
    <row r="14598" spans="14:14">
      <c r="N14598" s="113"/>
    </row>
    <row r="14599" spans="14:14">
      <c r="N14599" s="113"/>
    </row>
    <row r="14600" spans="14:14">
      <c r="N14600" s="113"/>
    </row>
    <row r="14601" spans="14:14">
      <c r="N14601" s="113"/>
    </row>
    <row r="14602" spans="14:14">
      <c r="N14602" s="113"/>
    </row>
    <row r="14603" spans="14:14">
      <c r="N14603" s="113"/>
    </row>
    <row r="14604" spans="14:14">
      <c r="N14604" s="113"/>
    </row>
    <row r="14605" spans="14:14">
      <c r="N14605" s="113"/>
    </row>
    <row r="14606" spans="14:14">
      <c r="N14606" s="113"/>
    </row>
    <row r="14607" spans="14:14">
      <c r="N14607" s="113"/>
    </row>
    <row r="14608" spans="14:14">
      <c r="N14608" s="113"/>
    </row>
    <row r="14609" spans="14:14">
      <c r="N14609" s="113"/>
    </row>
    <row r="14610" spans="14:14">
      <c r="N14610" s="113"/>
    </row>
    <row r="14611" spans="14:14">
      <c r="N14611" s="113"/>
    </row>
    <row r="14612" spans="14:14">
      <c r="N14612" s="113"/>
    </row>
    <row r="14613" spans="14:14">
      <c r="N14613" s="113"/>
    </row>
    <row r="14614" spans="14:14">
      <c r="N14614" s="113"/>
    </row>
    <row r="14615" spans="14:14">
      <c r="N14615" s="113"/>
    </row>
    <row r="14616" spans="14:14">
      <c r="N14616" s="113"/>
    </row>
    <row r="14617" spans="14:14">
      <c r="N14617" s="113"/>
    </row>
    <row r="14618" spans="14:14">
      <c r="N14618" s="113"/>
    </row>
    <row r="14619" spans="14:14">
      <c r="N14619" s="113"/>
    </row>
    <row r="14620" spans="14:14">
      <c r="N14620" s="113"/>
    </row>
    <row r="14621" spans="14:14">
      <c r="N14621" s="113"/>
    </row>
    <row r="14622" spans="14:14">
      <c r="N14622" s="113"/>
    </row>
    <row r="14623" spans="14:14">
      <c r="N14623" s="113"/>
    </row>
    <row r="14624" spans="14:14">
      <c r="N14624" s="113"/>
    </row>
    <row r="14625" spans="14:14">
      <c r="N14625" s="113"/>
    </row>
    <row r="14626" spans="14:14">
      <c r="N14626" s="113"/>
    </row>
    <row r="14627" spans="14:14">
      <c r="N14627" s="113"/>
    </row>
    <row r="14628" spans="14:14">
      <c r="N14628" s="113"/>
    </row>
    <row r="14629" spans="14:14">
      <c r="N14629" s="113"/>
    </row>
    <row r="14630" spans="14:14">
      <c r="N14630" s="113"/>
    </row>
    <row r="14631" spans="14:14">
      <c r="N14631" s="113"/>
    </row>
    <row r="14632" spans="14:14">
      <c r="N14632" s="113"/>
    </row>
    <row r="14633" spans="14:14">
      <c r="N14633" s="113"/>
    </row>
    <row r="14634" spans="14:14">
      <c r="N14634" s="113"/>
    </row>
    <row r="14635" spans="14:14">
      <c r="N14635" s="113"/>
    </row>
    <row r="14636" spans="14:14">
      <c r="N14636" s="113"/>
    </row>
    <row r="14637" spans="14:14">
      <c r="N14637" s="113"/>
    </row>
    <row r="14638" spans="14:14">
      <c r="N14638" s="113"/>
    </row>
    <row r="14639" spans="14:14">
      <c r="N14639" s="113"/>
    </row>
    <row r="14640" spans="14:14">
      <c r="N14640" s="113"/>
    </row>
    <row r="14641" spans="14:14">
      <c r="N14641" s="113"/>
    </row>
    <row r="14642" spans="14:14">
      <c r="N14642" s="113"/>
    </row>
    <row r="14643" spans="14:14">
      <c r="N14643" s="113"/>
    </row>
    <row r="14644" spans="14:14">
      <c r="N14644" s="113"/>
    </row>
    <row r="14645" spans="14:14">
      <c r="N14645" s="113"/>
    </row>
    <row r="14646" spans="14:14">
      <c r="N14646" s="113"/>
    </row>
    <row r="14647" spans="14:14">
      <c r="N14647" s="113"/>
    </row>
    <row r="14648" spans="14:14">
      <c r="N14648" s="113"/>
    </row>
    <row r="14649" spans="14:14">
      <c r="N14649" s="113"/>
    </row>
    <row r="14650" spans="14:14">
      <c r="N14650" s="113"/>
    </row>
    <row r="14651" spans="14:14">
      <c r="N14651" s="113"/>
    </row>
    <row r="14652" spans="14:14">
      <c r="N14652" s="113"/>
    </row>
    <row r="14653" spans="14:14">
      <c r="N14653" s="113"/>
    </row>
    <row r="14654" spans="14:14">
      <c r="N14654" s="113"/>
    </row>
    <row r="14655" spans="14:14">
      <c r="N14655" s="113"/>
    </row>
    <row r="14656" spans="14:14">
      <c r="N14656" s="113"/>
    </row>
    <row r="14657" spans="14:14">
      <c r="N14657" s="113"/>
    </row>
    <row r="14658" spans="14:14">
      <c r="N14658" s="113"/>
    </row>
    <row r="14659" spans="14:14">
      <c r="N14659" s="113"/>
    </row>
    <row r="14660" spans="14:14">
      <c r="N14660" s="113"/>
    </row>
    <row r="14661" spans="14:14">
      <c r="N14661" s="113"/>
    </row>
    <row r="14662" spans="14:14">
      <c r="N14662" s="113"/>
    </row>
    <row r="14663" spans="14:14">
      <c r="N14663" s="113"/>
    </row>
    <row r="14664" spans="14:14">
      <c r="N14664" s="113"/>
    </row>
    <row r="14665" spans="14:14">
      <c r="N14665" s="113"/>
    </row>
    <row r="14666" spans="14:14">
      <c r="N14666" s="113"/>
    </row>
    <row r="14667" spans="14:14">
      <c r="N14667" s="113"/>
    </row>
    <row r="14668" spans="14:14">
      <c r="N14668" s="113"/>
    </row>
    <row r="14669" spans="14:14">
      <c r="N14669" s="113"/>
    </row>
    <row r="14670" spans="14:14">
      <c r="N14670" s="113"/>
    </row>
    <row r="14671" spans="14:14">
      <c r="N14671" s="113"/>
    </row>
    <row r="14672" spans="14:14">
      <c r="N14672" s="113"/>
    </row>
    <row r="14673" spans="14:14">
      <c r="N14673" s="113"/>
    </row>
    <row r="14674" spans="14:14">
      <c r="N14674" s="113"/>
    </row>
    <row r="14675" spans="14:14">
      <c r="N14675" s="113"/>
    </row>
    <row r="14676" spans="14:14">
      <c r="N14676" s="113"/>
    </row>
    <row r="14677" spans="14:14">
      <c r="N14677" s="113"/>
    </row>
    <row r="14678" spans="14:14">
      <c r="N14678" s="113"/>
    </row>
    <row r="14679" spans="14:14">
      <c r="N14679" s="113"/>
    </row>
    <row r="14680" spans="14:14">
      <c r="N14680" s="113"/>
    </row>
    <row r="14681" spans="14:14">
      <c r="N14681" s="113"/>
    </row>
    <row r="14682" spans="14:14">
      <c r="N14682" s="113"/>
    </row>
    <row r="14683" spans="14:14">
      <c r="N14683" s="113"/>
    </row>
    <row r="14684" spans="14:14">
      <c r="N14684" s="113"/>
    </row>
    <row r="14685" spans="14:14">
      <c r="N14685" s="113"/>
    </row>
    <row r="14686" spans="14:14">
      <c r="N14686" s="113"/>
    </row>
    <row r="14687" spans="14:14">
      <c r="N14687" s="113"/>
    </row>
    <row r="14688" spans="14:14">
      <c r="N14688" s="113"/>
    </row>
    <row r="14689" spans="14:14">
      <c r="N14689" s="113"/>
    </row>
    <row r="14690" spans="14:14">
      <c r="N14690" s="113"/>
    </row>
    <row r="14691" spans="14:14">
      <c r="N14691" s="113"/>
    </row>
    <row r="14692" spans="14:14">
      <c r="N14692" s="113"/>
    </row>
    <row r="14693" spans="14:14">
      <c r="N14693" s="113"/>
    </row>
    <row r="14694" spans="14:14">
      <c r="N14694" s="113"/>
    </row>
    <row r="14695" spans="14:14">
      <c r="N14695" s="113"/>
    </row>
    <row r="14696" spans="14:14">
      <c r="N14696" s="113"/>
    </row>
    <row r="14697" spans="14:14">
      <c r="N14697" s="113"/>
    </row>
    <row r="14698" spans="14:14">
      <c r="N14698" s="113"/>
    </row>
    <row r="14699" spans="14:14">
      <c r="N14699" s="113"/>
    </row>
    <row r="14700" spans="14:14">
      <c r="N14700" s="113"/>
    </row>
    <row r="14701" spans="14:14">
      <c r="N14701" s="113"/>
    </row>
    <row r="14702" spans="14:14">
      <c r="N14702" s="113"/>
    </row>
    <row r="14703" spans="14:14">
      <c r="N14703" s="113"/>
    </row>
    <row r="14704" spans="14:14">
      <c r="N14704" s="113"/>
    </row>
    <row r="14705" spans="14:14">
      <c r="N14705" s="113"/>
    </row>
    <row r="14706" spans="14:14">
      <c r="N14706" s="113"/>
    </row>
    <row r="14707" spans="14:14">
      <c r="N14707" s="113"/>
    </row>
    <row r="14708" spans="14:14">
      <c r="N14708" s="113"/>
    </row>
    <row r="14709" spans="14:14">
      <c r="N14709" s="113"/>
    </row>
    <row r="14710" spans="14:14">
      <c r="N14710" s="113"/>
    </row>
    <row r="14711" spans="14:14">
      <c r="N14711" s="113"/>
    </row>
    <row r="14712" spans="14:14">
      <c r="N14712" s="113"/>
    </row>
    <row r="14713" spans="14:14">
      <c r="N14713" s="113"/>
    </row>
    <row r="14714" spans="14:14">
      <c r="N14714" s="113"/>
    </row>
    <row r="14715" spans="14:14">
      <c r="N14715" s="113"/>
    </row>
    <row r="14716" spans="14:14">
      <c r="N14716" s="113"/>
    </row>
    <row r="14717" spans="14:14">
      <c r="N14717" s="113"/>
    </row>
    <row r="14718" spans="14:14">
      <c r="N14718" s="113"/>
    </row>
    <row r="14719" spans="14:14">
      <c r="N14719" s="113"/>
    </row>
    <row r="14720" spans="14:14">
      <c r="N14720" s="113"/>
    </row>
    <row r="14721" spans="14:14">
      <c r="N14721" s="113"/>
    </row>
    <row r="14722" spans="14:14">
      <c r="N14722" s="113"/>
    </row>
    <row r="14723" spans="14:14">
      <c r="N14723" s="113"/>
    </row>
    <row r="14724" spans="14:14">
      <c r="N14724" s="113"/>
    </row>
    <row r="14725" spans="14:14">
      <c r="N14725" s="113"/>
    </row>
    <row r="14726" spans="14:14">
      <c r="N14726" s="113"/>
    </row>
    <row r="14727" spans="14:14">
      <c r="N14727" s="113"/>
    </row>
    <row r="14728" spans="14:14">
      <c r="N14728" s="113"/>
    </row>
    <row r="14729" spans="14:14">
      <c r="N14729" s="113"/>
    </row>
    <row r="14730" spans="14:14">
      <c r="N14730" s="113"/>
    </row>
    <row r="14731" spans="14:14">
      <c r="N14731" s="113"/>
    </row>
    <row r="14732" spans="14:14">
      <c r="N14732" s="113"/>
    </row>
    <row r="14733" spans="14:14">
      <c r="N14733" s="113"/>
    </row>
    <row r="14734" spans="14:14">
      <c r="N14734" s="113"/>
    </row>
    <row r="14735" spans="14:14">
      <c r="N14735" s="113"/>
    </row>
    <row r="14736" spans="14:14">
      <c r="N14736" s="113"/>
    </row>
    <row r="14737" spans="14:14">
      <c r="N14737" s="113"/>
    </row>
    <row r="14738" spans="14:14">
      <c r="N14738" s="113"/>
    </row>
    <row r="14739" spans="14:14">
      <c r="N14739" s="113"/>
    </row>
    <row r="14740" spans="14:14">
      <c r="N14740" s="113"/>
    </row>
    <row r="14741" spans="14:14">
      <c r="N14741" s="113"/>
    </row>
    <row r="14742" spans="14:14">
      <c r="N14742" s="113"/>
    </row>
    <row r="14743" spans="14:14">
      <c r="N14743" s="113"/>
    </row>
    <row r="14744" spans="14:14">
      <c r="N14744" s="113"/>
    </row>
    <row r="14745" spans="14:14">
      <c r="N14745" s="113"/>
    </row>
    <row r="14746" spans="14:14">
      <c r="N14746" s="113"/>
    </row>
    <row r="14747" spans="14:14">
      <c r="N14747" s="113"/>
    </row>
    <row r="14748" spans="14:14">
      <c r="N14748" s="113"/>
    </row>
    <row r="14749" spans="14:14">
      <c r="N14749" s="113"/>
    </row>
    <row r="14750" spans="14:14">
      <c r="N14750" s="113"/>
    </row>
    <row r="14751" spans="14:14">
      <c r="N14751" s="113"/>
    </row>
    <row r="14752" spans="14:14">
      <c r="N14752" s="113"/>
    </row>
    <row r="14753" spans="14:14">
      <c r="N14753" s="113"/>
    </row>
    <row r="14754" spans="14:14">
      <c r="N14754" s="113"/>
    </row>
    <row r="14755" spans="14:14">
      <c r="N14755" s="113"/>
    </row>
    <row r="14756" spans="14:14">
      <c r="N14756" s="113"/>
    </row>
    <row r="14757" spans="14:14">
      <c r="N14757" s="113"/>
    </row>
    <row r="14758" spans="14:14">
      <c r="N14758" s="113"/>
    </row>
    <row r="14759" spans="14:14">
      <c r="N14759" s="113"/>
    </row>
    <row r="14760" spans="14:14">
      <c r="N14760" s="113"/>
    </row>
    <row r="14761" spans="14:14">
      <c r="N14761" s="113"/>
    </row>
    <row r="14762" spans="14:14">
      <c r="N14762" s="113"/>
    </row>
    <row r="14763" spans="14:14">
      <c r="N14763" s="113"/>
    </row>
    <row r="14764" spans="14:14">
      <c r="N14764" s="113"/>
    </row>
    <row r="14765" spans="14:14">
      <c r="N14765" s="113"/>
    </row>
    <row r="14766" spans="14:14">
      <c r="N14766" s="113"/>
    </row>
    <row r="14767" spans="14:14">
      <c r="N14767" s="113"/>
    </row>
    <row r="14768" spans="14:14">
      <c r="N14768" s="113"/>
    </row>
    <row r="14769" spans="14:14">
      <c r="N14769" s="113"/>
    </row>
    <row r="14770" spans="14:14">
      <c r="N14770" s="113"/>
    </row>
    <row r="14771" spans="14:14">
      <c r="N14771" s="113"/>
    </row>
    <row r="14772" spans="14:14">
      <c r="N14772" s="113"/>
    </row>
    <row r="14773" spans="14:14">
      <c r="N14773" s="113"/>
    </row>
    <row r="14774" spans="14:14">
      <c r="N14774" s="113"/>
    </row>
    <row r="14775" spans="14:14">
      <c r="N14775" s="113"/>
    </row>
    <row r="14776" spans="14:14">
      <c r="N14776" s="113"/>
    </row>
    <row r="14777" spans="14:14">
      <c r="N14777" s="113"/>
    </row>
    <row r="14778" spans="14:14">
      <c r="N14778" s="113"/>
    </row>
    <row r="14779" spans="14:14">
      <c r="N14779" s="113"/>
    </row>
    <row r="14780" spans="14:14">
      <c r="N14780" s="113"/>
    </row>
    <row r="14781" spans="14:14">
      <c r="N14781" s="113"/>
    </row>
    <row r="14782" spans="14:14">
      <c r="N14782" s="113"/>
    </row>
    <row r="14783" spans="14:14">
      <c r="N14783" s="113"/>
    </row>
    <row r="14784" spans="14:14">
      <c r="N14784" s="113"/>
    </row>
    <row r="14785" spans="14:14">
      <c r="N14785" s="113"/>
    </row>
    <row r="14786" spans="14:14">
      <c r="N14786" s="113"/>
    </row>
    <row r="14787" spans="14:14">
      <c r="N14787" s="113"/>
    </row>
    <row r="14788" spans="14:14">
      <c r="N14788" s="113"/>
    </row>
    <row r="14789" spans="14:14">
      <c r="N14789" s="113"/>
    </row>
    <row r="14790" spans="14:14">
      <c r="N14790" s="113"/>
    </row>
    <row r="14791" spans="14:14">
      <c r="N14791" s="113"/>
    </row>
    <row r="14792" spans="14:14">
      <c r="N14792" s="113"/>
    </row>
    <row r="14793" spans="14:14">
      <c r="N14793" s="113"/>
    </row>
    <row r="14794" spans="14:14">
      <c r="N14794" s="113"/>
    </row>
    <row r="14795" spans="14:14">
      <c r="N14795" s="113"/>
    </row>
    <row r="14796" spans="14:14">
      <c r="N14796" s="113"/>
    </row>
    <row r="14797" spans="14:14">
      <c r="N14797" s="113"/>
    </row>
    <row r="14798" spans="14:14">
      <c r="N14798" s="113"/>
    </row>
    <row r="14799" spans="14:14">
      <c r="N14799" s="113"/>
    </row>
    <row r="14800" spans="14:14">
      <c r="N14800" s="113"/>
    </row>
    <row r="14801" spans="14:14">
      <c r="N14801" s="113"/>
    </row>
    <row r="14802" spans="14:14">
      <c r="N14802" s="113"/>
    </row>
    <row r="14803" spans="14:14">
      <c r="N14803" s="113"/>
    </row>
    <row r="14804" spans="14:14">
      <c r="N14804" s="113"/>
    </row>
    <row r="14805" spans="14:14">
      <c r="N14805" s="113"/>
    </row>
    <row r="14806" spans="14:14">
      <c r="N14806" s="113"/>
    </row>
    <row r="14807" spans="14:14">
      <c r="N14807" s="113"/>
    </row>
    <row r="14808" spans="14:14">
      <c r="N14808" s="113"/>
    </row>
    <row r="14809" spans="14:14">
      <c r="N14809" s="113"/>
    </row>
    <row r="14810" spans="14:14">
      <c r="N14810" s="113"/>
    </row>
    <row r="14811" spans="14:14">
      <c r="N14811" s="113"/>
    </row>
    <row r="14812" spans="14:14">
      <c r="N14812" s="113"/>
    </row>
    <row r="14813" spans="14:14">
      <c r="N14813" s="113"/>
    </row>
    <row r="14814" spans="14:14">
      <c r="N14814" s="113"/>
    </row>
    <row r="14815" spans="14:14">
      <c r="N14815" s="113"/>
    </row>
    <row r="14816" spans="14:14">
      <c r="N14816" s="113"/>
    </row>
    <row r="14817" spans="14:14">
      <c r="N14817" s="113"/>
    </row>
    <row r="14818" spans="14:14">
      <c r="N14818" s="113"/>
    </row>
    <row r="14819" spans="14:14">
      <c r="N14819" s="113"/>
    </row>
    <row r="14820" spans="14:14">
      <c r="N14820" s="113"/>
    </row>
    <row r="14821" spans="14:14">
      <c r="N14821" s="113"/>
    </row>
    <row r="14822" spans="14:14">
      <c r="N14822" s="113"/>
    </row>
    <row r="14823" spans="14:14">
      <c r="N14823" s="113"/>
    </row>
    <row r="14824" spans="14:14">
      <c r="N14824" s="113"/>
    </row>
    <row r="14825" spans="14:14">
      <c r="N14825" s="113"/>
    </row>
    <row r="14826" spans="14:14">
      <c r="N14826" s="113"/>
    </row>
    <row r="14827" spans="14:14">
      <c r="N14827" s="113"/>
    </row>
    <row r="14828" spans="14:14">
      <c r="N14828" s="113"/>
    </row>
    <row r="14829" spans="14:14">
      <c r="N14829" s="113"/>
    </row>
    <row r="14830" spans="14:14">
      <c r="N14830" s="113"/>
    </row>
    <row r="14831" spans="14:14">
      <c r="N14831" s="113"/>
    </row>
    <row r="14832" spans="14:14">
      <c r="N14832" s="113"/>
    </row>
    <row r="14833" spans="14:14">
      <c r="N14833" s="113"/>
    </row>
    <row r="14834" spans="14:14">
      <c r="N14834" s="113"/>
    </row>
    <row r="14835" spans="14:14">
      <c r="N14835" s="113"/>
    </row>
    <row r="14836" spans="14:14">
      <c r="N14836" s="113"/>
    </row>
    <row r="14837" spans="14:14">
      <c r="N14837" s="113"/>
    </row>
    <row r="14838" spans="14:14">
      <c r="N14838" s="113"/>
    </row>
    <row r="14839" spans="14:14">
      <c r="N14839" s="113"/>
    </row>
    <row r="14840" spans="14:14">
      <c r="N14840" s="113"/>
    </row>
    <row r="14841" spans="14:14">
      <c r="N14841" s="113"/>
    </row>
    <row r="14842" spans="14:14">
      <c r="N14842" s="113"/>
    </row>
    <row r="14843" spans="14:14">
      <c r="N14843" s="113"/>
    </row>
    <row r="14844" spans="14:14">
      <c r="N14844" s="113"/>
    </row>
    <row r="14845" spans="14:14">
      <c r="N14845" s="113"/>
    </row>
    <row r="14846" spans="14:14">
      <c r="N14846" s="113"/>
    </row>
    <row r="14847" spans="14:14">
      <c r="N14847" s="113"/>
    </row>
    <row r="14848" spans="14:14">
      <c r="N14848" s="113"/>
    </row>
    <row r="14849" spans="14:14">
      <c r="N14849" s="113"/>
    </row>
    <row r="14850" spans="14:14">
      <c r="N14850" s="113"/>
    </row>
    <row r="14851" spans="14:14">
      <c r="N14851" s="113"/>
    </row>
    <row r="14852" spans="14:14">
      <c r="N14852" s="113"/>
    </row>
    <row r="14853" spans="14:14">
      <c r="N14853" s="113"/>
    </row>
    <row r="14854" spans="14:14">
      <c r="N14854" s="113"/>
    </row>
    <row r="14855" spans="14:14">
      <c r="N14855" s="113"/>
    </row>
    <row r="14856" spans="14:14">
      <c r="N14856" s="113"/>
    </row>
    <row r="14857" spans="14:14">
      <c r="N14857" s="113"/>
    </row>
    <row r="14858" spans="14:14">
      <c r="N14858" s="113"/>
    </row>
    <row r="14859" spans="14:14">
      <c r="N14859" s="113"/>
    </row>
    <row r="14860" spans="14:14">
      <c r="N14860" s="113"/>
    </row>
    <row r="14861" spans="14:14">
      <c r="N14861" s="113"/>
    </row>
    <row r="14862" spans="14:14">
      <c r="N14862" s="113"/>
    </row>
    <row r="14863" spans="14:14">
      <c r="N14863" s="113"/>
    </row>
    <row r="14864" spans="14:14">
      <c r="N14864" s="113"/>
    </row>
    <row r="14865" spans="14:14">
      <c r="N14865" s="113"/>
    </row>
    <row r="14866" spans="14:14">
      <c r="N14866" s="113"/>
    </row>
    <row r="14867" spans="14:14">
      <c r="N14867" s="113"/>
    </row>
    <row r="14868" spans="14:14">
      <c r="N14868" s="113"/>
    </row>
    <row r="14869" spans="14:14">
      <c r="N14869" s="113"/>
    </row>
    <row r="14870" spans="14:14">
      <c r="N14870" s="113"/>
    </row>
    <row r="14871" spans="14:14">
      <c r="N14871" s="113"/>
    </row>
    <row r="14872" spans="14:14">
      <c r="N14872" s="113"/>
    </row>
    <row r="14873" spans="14:14">
      <c r="N14873" s="113"/>
    </row>
    <row r="14874" spans="14:14">
      <c r="N14874" s="113"/>
    </row>
    <row r="14875" spans="14:14">
      <c r="N14875" s="113"/>
    </row>
    <row r="14876" spans="14:14">
      <c r="N14876" s="113"/>
    </row>
    <row r="14877" spans="14:14">
      <c r="N14877" s="113"/>
    </row>
    <row r="14878" spans="14:14">
      <c r="N14878" s="113"/>
    </row>
    <row r="14879" spans="14:14">
      <c r="N14879" s="113"/>
    </row>
    <row r="14880" spans="14:14">
      <c r="N14880" s="113"/>
    </row>
    <row r="14881" spans="14:14">
      <c r="N14881" s="113"/>
    </row>
    <row r="14882" spans="14:14">
      <c r="N14882" s="113"/>
    </row>
    <row r="14883" spans="14:14">
      <c r="N14883" s="113"/>
    </row>
    <row r="14884" spans="14:14">
      <c r="N14884" s="113"/>
    </row>
    <row r="14885" spans="14:14">
      <c r="N14885" s="113"/>
    </row>
    <row r="14886" spans="14:14">
      <c r="N14886" s="113"/>
    </row>
    <row r="14887" spans="14:14">
      <c r="N14887" s="113"/>
    </row>
    <row r="14888" spans="14:14">
      <c r="N14888" s="113"/>
    </row>
    <row r="14889" spans="14:14">
      <c r="N14889" s="113"/>
    </row>
    <row r="14890" spans="14:14">
      <c r="N14890" s="113"/>
    </row>
    <row r="14891" spans="14:14">
      <c r="N14891" s="113"/>
    </row>
    <row r="14892" spans="14:14">
      <c r="N14892" s="113"/>
    </row>
    <row r="14893" spans="14:14">
      <c r="N14893" s="113"/>
    </row>
    <row r="14894" spans="14:14">
      <c r="N14894" s="113"/>
    </row>
    <row r="14895" spans="14:14">
      <c r="N14895" s="113"/>
    </row>
    <row r="14896" spans="14:14">
      <c r="N14896" s="113"/>
    </row>
    <row r="14897" spans="14:14">
      <c r="N14897" s="113"/>
    </row>
    <row r="14898" spans="14:14">
      <c r="N14898" s="113"/>
    </row>
    <row r="14899" spans="14:14">
      <c r="N14899" s="113"/>
    </row>
    <row r="14900" spans="14:14">
      <c r="N14900" s="113"/>
    </row>
    <row r="14901" spans="14:14">
      <c r="N14901" s="113"/>
    </row>
    <row r="14902" spans="14:14">
      <c r="N14902" s="113"/>
    </row>
    <row r="14903" spans="14:14">
      <c r="N14903" s="113"/>
    </row>
    <row r="14904" spans="14:14">
      <c r="N14904" s="113"/>
    </row>
    <row r="14905" spans="14:14">
      <c r="N14905" s="113"/>
    </row>
    <row r="14906" spans="14:14">
      <c r="N14906" s="113"/>
    </row>
    <row r="14907" spans="14:14">
      <c r="N14907" s="113"/>
    </row>
    <row r="14908" spans="14:14">
      <c r="N14908" s="113"/>
    </row>
    <row r="14909" spans="14:14">
      <c r="N14909" s="113"/>
    </row>
    <row r="14910" spans="14:14">
      <c r="N14910" s="113"/>
    </row>
    <row r="14911" spans="14:14">
      <c r="N14911" s="113"/>
    </row>
    <row r="14912" spans="14:14">
      <c r="N14912" s="113"/>
    </row>
    <row r="14913" spans="14:14">
      <c r="N14913" s="113"/>
    </row>
    <row r="14914" spans="14:14">
      <c r="N14914" s="113"/>
    </row>
    <row r="14915" spans="14:14">
      <c r="N14915" s="113"/>
    </row>
    <row r="14916" spans="14:14">
      <c r="N14916" s="113"/>
    </row>
    <row r="14917" spans="14:14">
      <c r="N14917" s="113"/>
    </row>
    <row r="14918" spans="14:14">
      <c r="N14918" s="113"/>
    </row>
    <row r="14919" spans="14:14">
      <c r="N14919" s="113"/>
    </row>
    <row r="14920" spans="14:14">
      <c r="N14920" s="113"/>
    </row>
    <row r="14921" spans="14:14">
      <c r="N14921" s="113"/>
    </row>
    <row r="14922" spans="14:14">
      <c r="N14922" s="113"/>
    </row>
    <row r="14923" spans="14:14">
      <c r="N14923" s="113"/>
    </row>
    <row r="14924" spans="14:14">
      <c r="N14924" s="113"/>
    </row>
    <row r="14925" spans="14:14">
      <c r="N14925" s="113"/>
    </row>
    <row r="14926" spans="14:14">
      <c r="N14926" s="113"/>
    </row>
    <row r="14927" spans="14:14">
      <c r="N14927" s="113"/>
    </row>
    <row r="14928" spans="14:14">
      <c r="N14928" s="113"/>
    </row>
    <row r="14929" spans="14:14">
      <c r="N14929" s="113"/>
    </row>
    <row r="14930" spans="14:14">
      <c r="N14930" s="113"/>
    </row>
    <row r="14931" spans="14:14">
      <c r="N14931" s="113"/>
    </row>
    <row r="14932" spans="14:14">
      <c r="N14932" s="113"/>
    </row>
    <row r="14933" spans="14:14">
      <c r="N14933" s="113"/>
    </row>
    <row r="14934" spans="14:14">
      <c r="N14934" s="113"/>
    </row>
    <row r="14935" spans="14:14">
      <c r="N14935" s="113"/>
    </row>
    <row r="14936" spans="14:14">
      <c r="N14936" s="113"/>
    </row>
    <row r="14937" spans="14:14">
      <c r="N14937" s="113"/>
    </row>
    <row r="14938" spans="14:14">
      <c r="N14938" s="113"/>
    </row>
    <row r="14939" spans="14:14">
      <c r="N14939" s="113"/>
    </row>
    <row r="14940" spans="14:14">
      <c r="N14940" s="113"/>
    </row>
    <row r="14941" spans="14:14">
      <c r="N14941" s="113"/>
    </row>
    <row r="14942" spans="14:14">
      <c r="N14942" s="113"/>
    </row>
    <row r="14943" spans="14:14">
      <c r="N14943" s="113"/>
    </row>
    <row r="14944" spans="14:14">
      <c r="N14944" s="113"/>
    </row>
    <row r="14945" spans="14:14">
      <c r="N14945" s="113"/>
    </row>
    <row r="14946" spans="14:14">
      <c r="N14946" s="113"/>
    </row>
    <row r="14947" spans="14:14">
      <c r="N14947" s="113"/>
    </row>
    <row r="14948" spans="14:14">
      <c r="N14948" s="113"/>
    </row>
    <row r="14949" spans="14:14">
      <c r="N14949" s="113"/>
    </row>
    <row r="14950" spans="14:14">
      <c r="N14950" s="113"/>
    </row>
    <row r="14951" spans="14:14">
      <c r="N14951" s="113"/>
    </row>
    <row r="14952" spans="14:14">
      <c r="N14952" s="113"/>
    </row>
    <row r="14953" spans="14:14">
      <c r="N14953" s="113"/>
    </row>
    <row r="14954" spans="14:14">
      <c r="N14954" s="113"/>
    </row>
    <row r="14955" spans="14:14">
      <c r="N14955" s="113"/>
    </row>
    <row r="14956" spans="14:14">
      <c r="N14956" s="113"/>
    </row>
    <row r="14957" spans="14:14">
      <c r="N14957" s="113"/>
    </row>
    <row r="14958" spans="14:14">
      <c r="N14958" s="113"/>
    </row>
    <row r="14959" spans="14:14">
      <c r="N14959" s="113"/>
    </row>
    <row r="14960" spans="14:14">
      <c r="N14960" s="113"/>
    </row>
    <row r="14961" spans="14:14">
      <c r="N14961" s="113"/>
    </row>
    <row r="14962" spans="14:14">
      <c r="N14962" s="113"/>
    </row>
    <row r="14963" spans="14:14">
      <c r="N14963" s="113"/>
    </row>
    <row r="14964" spans="14:14">
      <c r="N14964" s="113"/>
    </row>
    <row r="14965" spans="14:14">
      <c r="N14965" s="113"/>
    </row>
    <row r="14966" spans="14:14">
      <c r="N14966" s="113"/>
    </row>
    <row r="14967" spans="14:14">
      <c r="N14967" s="113"/>
    </row>
    <row r="14968" spans="14:14">
      <c r="N14968" s="113"/>
    </row>
    <row r="14969" spans="14:14">
      <c r="N14969" s="113"/>
    </row>
    <row r="14970" spans="14:14">
      <c r="N14970" s="113"/>
    </row>
    <row r="14971" spans="14:14">
      <c r="N14971" s="113"/>
    </row>
    <row r="14972" spans="14:14">
      <c r="N14972" s="113"/>
    </row>
    <row r="14973" spans="14:14">
      <c r="N14973" s="113"/>
    </row>
    <row r="14974" spans="14:14">
      <c r="N14974" s="113"/>
    </row>
    <row r="14975" spans="14:14">
      <c r="N14975" s="113"/>
    </row>
    <row r="14976" spans="14:14">
      <c r="N14976" s="113"/>
    </row>
    <row r="14977" spans="14:14">
      <c r="N14977" s="113"/>
    </row>
    <row r="14978" spans="14:14">
      <c r="N14978" s="113"/>
    </row>
    <row r="14979" spans="14:14">
      <c r="N14979" s="113"/>
    </row>
    <row r="14980" spans="14:14">
      <c r="N14980" s="113"/>
    </row>
    <row r="14981" spans="14:14">
      <c r="N14981" s="113"/>
    </row>
    <row r="14982" spans="14:14">
      <c r="N14982" s="113"/>
    </row>
    <row r="14983" spans="14:14">
      <c r="N14983" s="113"/>
    </row>
    <row r="14984" spans="14:14">
      <c r="N14984" s="113"/>
    </row>
    <row r="14985" spans="14:14">
      <c r="N14985" s="113"/>
    </row>
    <row r="14986" spans="14:14">
      <c r="N14986" s="113"/>
    </row>
    <row r="14987" spans="14:14">
      <c r="N14987" s="113"/>
    </row>
    <row r="14988" spans="14:14">
      <c r="N14988" s="113"/>
    </row>
    <row r="14989" spans="14:14">
      <c r="N14989" s="113"/>
    </row>
    <row r="14990" spans="14:14">
      <c r="N14990" s="113"/>
    </row>
    <row r="14991" spans="14:14">
      <c r="N14991" s="113"/>
    </row>
    <row r="14992" spans="14:14">
      <c r="N14992" s="113"/>
    </row>
    <row r="14993" spans="14:14">
      <c r="N14993" s="113"/>
    </row>
    <row r="14994" spans="14:14">
      <c r="N14994" s="113"/>
    </row>
    <row r="14995" spans="14:14">
      <c r="N14995" s="113"/>
    </row>
    <row r="14996" spans="14:14">
      <c r="N14996" s="113"/>
    </row>
    <row r="14997" spans="14:14">
      <c r="N14997" s="113"/>
    </row>
    <row r="14998" spans="14:14">
      <c r="N14998" s="113"/>
    </row>
    <row r="14999" spans="14:14">
      <c r="N14999" s="113"/>
    </row>
    <row r="15000" spans="14:14">
      <c r="N15000" s="113"/>
    </row>
    <row r="15001" spans="14:14">
      <c r="N15001" s="113"/>
    </row>
    <row r="15002" spans="14:14">
      <c r="N15002" s="113"/>
    </row>
    <row r="15003" spans="14:14">
      <c r="N15003" s="113"/>
    </row>
    <row r="15004" spans="14:14">
      <c r="N15004" s="113"/>
    </row>
    <row r="15005" spans="14:14">
      <c r="N15005" s="113"/>
    </row>
    <row r="15006" spans="14:14">
      <c r="N15006" s="113"/>
    </row>
    <row r="15007" spans="14:14">
      <c r="N15007" s="113"/>
    </row>
    <row r="15008" spans="14:14">
      <c r="N15008" s="113"/>
    </row>
    <row r="15009" spans="14:14">
      <c r="N15009" s="113"/>
    </row>
    <row r="15010" spans="14:14">
      <c r="N15010" s="113"/>
    </row>
    <row r="15011" spans="14:14">
      <c r="N15011" s="113"/>
    </row>
    <row r="15012" spans="14:14">
      <c r="N15012" s="113"/>
    </row>
    <row r="15013" spans="14:14">
      <c r="N15013" s="113"/>
    </row>
    <row r="15014" spans="14:14">
      <c r="N15014" s="113"/>
    </row>
    <row r="15015" spans="14:14">
      <c r="N15015" s="113"/>
    </row>
    <row r="15016" spans="14:14">
      <c r="N15016" s="113"/>
    </row>
    <row r="15017" spans="14:14">
      <c r="N15017" s="113"/>
    </row>
    <row r="15018" spans="14:14">
      <c r="N15018" s="113"/>
    </row>
    <row r="15019" spans="14:14">
      <c r="N15019" s="113"/>
    </row>
    <row r="15020" spans="14:14">
      <c r="N15020" s="113"/>
    </row>
    <row r="15021" spans="14:14">
      <c r="N15021" s="113"/>
    </row>
    <row r="15022" spans="14:14">
      <c r="N15022" s="113"/>
    </row>
    <row r="15023" spans="14:14">
      <c r="N15023" s="113"/>
    </row>
    <row r="15024" spans="14:14">
      <c r="N15024" s="113"/>
    </row>
    <row r="15025" spans="14:14">
      <c r="N15025" s="113"/>
    </row>
    <row r="15026" spans="14:14">
      <c r="N15026" s="113"/>
    </row>
    <row r="15027" spans="14:14">
      <c r="N15027" s="113"/>
    </row>
    <row r="15028" spans="14:14">
      <c r="N15028" s="113"/>
    </row>
    <row r="15029" spans="14:14">
      <c r="N15029" s="113"/>
    </row>
    <row r="15030" spans="14:14">
      <c r="N15030" s="113"/>
    </row>
    <row r="15031" spans="14:14">
      <c r="N15031" s="113"/>
    </row>
    <row r="15032" spans="14:14">
      <c r="N15032" s="113"/>
    </row>
    <row r="15033" spans="14:14">
      <c r="N15033" s="113"/>
    </row>
    <row r="15034" spans="14:14">
      <c r="N15034" s="113"/>
    </row>
    <row r="15035" spans="14:14">
      <c r="N15035" s="113"/>
    </row>
    <row r="15036" spans="14:14">
      <c r="N15036" s="113"/>
    </row>
    <row r="15037" spans="14:14">
      <c r="N15037" s="113"/>
    </row>
    <row r="15038" spans="14:14">
      <c r="N15038" s="113"/>
    </row>
    <row r="15039" spans="14:14">
      <c r="N15039" s="113"/>
    </row>
    <row r="15040" spans="14:14">
      <c r="N15040" s="113"/>
    </row>
    <row r="15041" spans="14:14">
      <c r="N15041" s="113"/>
    </row>
    <row r="15042" spans="14:14">
      <c r="N15042" s="113"/>
    </row>
    <row r="15043" spans="14:14">
      <c r="N15043" s="113"/>
    </row>
    <row r="15044" spans="14:14">
      <c r="N15044" s="113"/>
    </row>
    <row r="15045" spans="14:14">
      <c r="N15045" s="113"/>
    </row>
    <row r="15046" spans="14:14">
      <c r="N15046" s="113"/>
    </row>
    <row r="15047" spans="14:14">
      <c r="N15047" s="113"/>
    </row>
    <row r="15048" spans="14:14">
      <c r="N15048" s="113"/>
    </row>
    <row r="15049" spans="14:14">
      <c r="N15049" s="113"/>
    </row>
    <row r="15050" spans="14:14">
      <c r="N15050" s="113"/>
    </row>
    <row r="15051" spans="14:14">
      <c r="N15051" s="113"/>
    </row>
    <row r="15052" spans="14:14">
      <c r="N15052" s="113"/>
    </row>
    <row r="15053" spans="14:14">
      <c r="N15053" s="113"/>
    </row>
    <row r="15054" spans="14:14">
      <c r="N15054" s="113"/>
    </row>
    <row r="15055" spans="14:14">
      <c r="N15055" s="113"/>
    </row>
    <row r="15056" spans="14:14">
      <c r="N15056" s="113"/>
    </row>
    <row r="15057" spans="14:14">
      <c r="N15057" s="113"/>
    </row>
    <row r="15058" spans="14:14">
      <c r="N15058" s="113"/>
    </row>
    <row r="15059" spans="14:14">
      <c r="N15059" s="113"/>
    </row>
    <row r="15060" spans="14:14">
      <c r="N15060" s="113"/>
    </row>
    <row r="15061" spans="14:14">
      <c r="N15061" s="113"/>
    </row>
    <row r="15062" spans="14:14">
      <c r="N15062" s="113"/>
    </row>
    <row r="15063" spans="14:14">
      <c r="N15063" s="113"/>
    </row>
    <row r="15064" spans="14:14">
      <c r="N15064" s="113"/>
    </row>
    <row r="15065" spans="14:14">
      <c r="N15065" s="113"/>
    </row>
    <row r="15066" spans="14:14">
      <c r="N15066" s="113"/>
    </row>
    <row r="15067" spans="14:14">
      <c r="N15067" s="113"/>
    </row>
    <row r="15068" spans="14:14">
      <c r="N15068" s="113"/>
    </row>
    <row r="15069" spans="14:14">
      <c r="N15069" s="113"/>
    </row>
    <row r="15070" spans="14:14">
      <c r="N15070" s="113"/>
    </row>
    <row r="15071" spans="14:14">
      <c r="N15071" s="113"/>
    </row>
    <row r="15072" spans="14:14">
      <c r="N15072" s="113"/>
    </row>
    <row r="15073" spans="14:14">
      <c r="N15073" s="113"/>
    </row>
    <row r="15074" spans="14:14">
      <c r="N15074" s="113"/>
    </row>
    <row r="15075" spans="14:14">
      <c r="N15075" s="113"/>
    </row>
    <row r="15076" spans="14:14">
      <c r="N15076" s="113"/>
    </row>
    <row r="15077" spans="14:14">
      <c r="N15077" s="113"/>
    </row>
    <row r="15078" spans="14:14">
      <c r="N15078" s="113"/>
    </row>
    <row r="15079" spans="14:14">
      <c r="N15079" s="113"/>
    </row>
    <row r="15080" spans="14:14">
      <c r="N15080" s="113"/>
    </row>
    <row r="15081" spans="14:14">
      <c r="N15081" s="113"/>
    </row>
    <row r="15082" spans="14:14">
      <c r="N15082" s="113"/>
    </row>
    <row r="15083" spans="14:14">
      <c r="N15083" s="113"/>
    </row>
    <row r="15084" spans="14:14">
      <c r="N15084" s="113"/>
    </row>
    <row r="15085" spans="14:14">
      <c r="N15085" s="113"/>
    </row>
    <row r="15086" spans="14:14">
      <c r="N15086" s="113"/>
    </row>
    <row r="15087" spans="14:14">
      <c r="N15087" s="113"/>
    </row>
    <row r="15088" spans="14:14">
      <c r="N15088" s="113"/>
    </row>
    <row r="15089" spans="14:14">
      <c r="N15089" s="113"/>
    </row>
    <row r="15090" spans="14:14">
      <c r="N15090" s="113"/>
    </row>
    <row r="15091" spans="14:14">
      <c r="N15091" s="113"/>
    </row>
    <row r="15092" spans="14:14">
      <c r="N15092" s="113"/>
    </row>
    <row r="15093" spans="14:14">
      <c r="N15093" s="113"/>
    </row>
    <row r="15094" spans="14:14">
      <c r="N15094" s="113"/>
    </row>
    <row r="15095" spans="14:14">
      <c r="N15095" s="113"/>
    </row>
    <row r="15096" spans="14:14">
      <c r="N15096" s="113"/>
    </row>
    <row r="15097" spans="14:14">
      <c r="N15097" s="113"/>
    </row>
    <row r="15098" spans="14:14">
      <c r="N15098" s="113"/>
    </row>
    <row r="15099" spans="14:14">
      <c r="N15099" s="113"/>
    </row>
    <row r="15100" spans="14:14">
      <c r="N15100" s="113"/>
    </row>
    <row r="15101" spans="14:14">
      <c r="N15101" s="113"/>
    </row>
    <row r="15102" spans="14:14">
      <c r="N15102" s="113"/>
    </row>
    <row r="15103" spans="14:14">
      <c r="N15103" s="113"/>
    </row>
    <row r="15104" spans="14:14">
      <c r="N15104" s="113"/>
    </row>
    <row r="15105" spans="14:14">
      <c r="N15105" s="113"/>
    </row>
    <row r="15106" spans="14:14">
      <c r="N15106" s="113"/>
    </row>
    <row r="15107" spans="14:14">
      <c r="N15107" s="113"/>
    </row>
    <row r="15108" spans="14:14">
      <c r="N15108" s="113"/>
    </row>
    <row r="15109" spans="14:14">
      <c r="N15109" s="113"/>
    </row>
    <row r="15110" spans="14:14">
      <c r="N15110" s="113"/>
    </row>
    <row r="15111" spans="14:14">
      <c r="N15111" s="113"/>
    </row>
    <row r="15112" spans="14:14">
      <c r="N15112" s="113"/>
    </row>
    <row r="15113" spans="14:14">
      <c r="N15113" s="113"/>
    </row>
    <row r="15114" spans="14:14">
      <c r="N15114" s="113"/>
    </row>
    <row r="15115" spans="14:14">
      <c r="N15115" s="113"/>
    </row>
    <row r="15116" spans="14:14">
      <c r="N15116" s="113"/>
    </row>
    <row r="15117" spans="14:14">
      <c r="N15117" s="113"/>
    </row>
    <row r="15118" spans="14:14">
      <c r="N15118" s="113"/>
    </row>
    <row r="15119" spans="14:14">
      <c r="N15119" s="113"/>
    </row>
    <row r="15120" spans="14:14">
      <c r="N15120" s="113"/>
    </row>
    <row r="15121" spans="14:14">
      <c r="N15121" s="113"/>
    </row>
    <row r="15122" spans="14:14">
      <c r="N15122" s="113"/>
    </row>
    <row r="15123" spans="14:14">
      <c r="N15123" s="113"/>
    </row>
    <row r="15124" spans="14:14">
      <c r="N15124" s="113"/>
    </row>
    <row r="15125" spans="14:14">
      <c r="N15125" s="113"/>
    </row>
    <row r="15126" spans="14:14">
      <c r="N15126" s="113"/>
    </row>
    <row r="15127" spans="14:14">
      <c r="N15127" s="113"/>
    </row>
    <row r="15128" spans="14:14">
      <c r="N15128" s="113"/>
    </row>
    <row r="15129" spans="14:14">
      <c r="N15129" s="113"/>
    </row>
    <row r="15130" spans="14:14">
      <c r="N15130" s="113"/>
    </row>
    <row r="15131" spans="14:14">
      <c r="N15131" s="113"/>
    </row>
    <row r="15132" spans="14:14">
      <c r="N15132" s="113"/>
    </row>
    <row r="15133" spans="14:14">
      <c r="N15133" s="113"/>
    </row>
    <row r="15134" spans="14:14">
      <c r="N15134" s="113"/>
    </row>
    <row r="15135" spans="14:14">
      <c r="N15135" s="113"/>
    </row>
    <row r="15136" spans="14:14">
      <c r="N15136" s="113"/>
    </row>
    <row r="15137" spans="14:14">
      <c r="N15137" s="113"/>
    </row>
    <row r="15138" spans="14:14">
      <c r="N15138" s="113"/>
    </row>
    <row r="15139" spans="14:14">
      <c r="N15139" s="113"/>
    </row>
    <row r="15140" spans="14:14">
      <c r="N15140" s="113"/>
    </row>
    <row r="15141" spans="14:14">
      <c r="N15141" s="113"/>
    </row>
    <row r="15142" spans="14:14">
      <c r="N15142" s="113"/>
    </row>
    <row r="15143" spans="14:14">
      <c r="N15143" s="113"/>
    </row>
    <row r="15144" spans="14:14">
      <c r="N15144" s="113"/>
    </row>
    <row r="15145" spans="14:14">
      <c r="N15145" s="113"/>
    </row>
    <row r="15146" spans="14:14">
      <c r="N15146" s="113"/>
    </row>
    <row r="15147" spans="14:14">
      <c r="N15147" s="113"/>
    </row>
    <row r="15148" spans="14:14">
      <c r="N15148" s="113"/>
    </row>
    <row r="15149" spans="14:14">
      <c r="N15149" s="113"/>
    </row>
    <row r="15150" spans="14:14">
      <c r="N15150" s="113"/>
    </row>
    <row r="15151" spans="14:14">
      <c r="N15151" s="113"/>
    </row>
    <row r="15152" spans="14:14">
      <c r="N15152" s="113"/>
    </row>
    <row r="15153" spans="14:14">
      <c r="N15153" s="113"/>
    </row>
    <row r="15154" spans="14:14">
      <c r="N15154" s="113"/>
    </row>
    <row r="15155" spans="14:14">
      <c r="N15155" s="113"/>
    </row>
    <row r="15156" spans="14:14">
      <c r="N15156" s="113"/>
    </row>
    <row r="15157" spans="14:14">
      <c r="N15157" s="113"/>
    </row>
    <row r="15158" spans="14:14">
      <c r="N15158" s="113"/>
    </row>
    <row r="15159" spans="14:14">
      <c r="N15159" s="113"/>
    </row>
    <row r="15160" spans="14:14">
      <c r="N15160" s="113"/>
    </row>
    <row r="15161" spans="14:14">
      <c r="N15161" s="113"/>
    </row>
    <row r="15162" spans="14:14">
      <c r="N15162" s="113"/>
    </row>
    <row r="15163" spans="14:14">
      <c r="N15163" s="113"/>
    </row>
    <row r="15164" spans="14:14">
      <c r="N15164" s="113"/>
    </row>
    <row r="15165" spans="14:14">
      <c r="N15165" s="113"/>
    </row>
    <row r="15166" spans="14:14">
      <c r="N15166" s="113"/>
    </row>
    <row r="15167" spans="14:14">
      <c r="N15167" s="113"/>
    </row>
    <row r="15168" spans="14:14">
      <c r="N15168" s="113"/>
    </row>
    <row r="15169" spans="14:14">
      <c r="N15169" s="113"/>
    </row>
    <row r="15170" spans="14:14">
      <c r="N15170" s="113"/>
    </row>
    <row r="15171" spans="14:14">
      <c r="N15171" s="113"/>
    </row>
    <row r="15172" spans="14:14">
      <c r="N15172" s="113"/>
    </row>
    <row r="15173" spans="14:14">
      <c r="N15173" s="113"/>
    </row>
    <row r="15174" spans="14:14">
      <c r="N15174" s="113"/>
    </row>
    <row r="15175" spans="14:14">
      <c r="N15175" s="113"/>
    </row>
    <row r="15176" spans="14:14">
      <c r="N15176" s="113"/>
    </row>
    <row r="15177" spans="14:14">
      <c r="N15177" s="113"/>
    </row>
    <row r="15178" spans="14:14">
      <c r="N15178" s="113"/>
    </row>
    <row r="15179" spans="14:14">
      <c r="N15179" s="113"/>
    </row>
    <row r="15180" spans="14:14">
      <c r="N15180" s="113"/>
    </row>
    <row r="15181" spans="14:14">
      <c r="N15181" s="113"/>
    </row>
    <row r="15182" spans="14:14">
      <c r="N15182" s="113"/>
    </row>
    <row r="15183" spans="14:14">
      <c r="N15183" s="113"/>
    </row>
    <row r="15184" spans="14:14">
      <c r="N15184" s="113"/>
    </row>
    <row r="15185" spans="14:14">
      <c r="N15185" s="113"/>
    </row>
    <row r="15186" spans="14:14">
      <c r="N15186" s="113"/>
    </row>
    <row r="15187" spans="14:14">
      <c r="N15187" s="113"/>
    </row>
    <row r="15188" spans="14:14">
      <c r="N15188" s="113"/>
    </row>
    <row r="15189" spans="14:14">
      <c r="N15189" s="113"/>
    </row>
    <row r="15190" spans="14:14">
      <c r="N15190" s="113"/>
    </row>
    <row r="15191" spans="14:14">
      <c r="N15191" s="113"/>
    </row>
    <row r="15192" spans="14:14">
      <c r="N15192" s="113"/>
    </row>
    <row r="15193" spans="14:14">
      <c r="N15193" s="113"/>
    </row>
    <row r="15194" spans="14:14">
      <c r="N15194" s="113"/>
    </row>
    <row r="15195" spans="14:14">
      <c r="N15195" s="113"/>
    </row>
    <row r="15196" spans="14:14">
      <c r="N15196" s="113"/>
    </row>
    <row r="15197" spans="14:14">
      <c r="N15197" s="113"/>
    </row>
    <row r="15198" spans="14:14">
      <c r="N15198" s="113"/>
    </row>
    <row r="15199" spans="14:14">
      <c r="N15199" s="113"/>
    </row>
    <row r="15200" spans="14:14">
      <c r="N15200" s="113"/>
    </row>
    <row r="15201" spans="14:14">
      <c r="N15201" s="113"/>
    </row>
    <row r="15202" spans="14:14">
      <c r="N15202" s="113"/>
    </row>
    <row r="15203" spans="14:14">
      <c r="N15203" s="113"/>
    </row>
    <row r="15204" spans="14:14">
      <c r="N15204" s="113"/>
    </row>
    <row r="15205" spans="14:14">
      <c r="N15205" s="113"/>
    </row>
    <row r="15206" spans="14:14">
      <c r="N15206" s="113"/>
    </row>
    <row r="15207" spans="14:14">
      <c r="N15207" s="113"/>
    </row>
    <row r="15208" spans="14:14">
      <c r="N15208" s="113"/>
    </row>
    <row r="15209" spans="14:14">
      <c r="N15209" s="113"/>
    </row>
    <row r="15210" spans="14:14">
      <c r="N15210" s="113"/>
    </row>
    <row r="15211" spans="14:14">
      <c r="N15211" s="113"/>
    </row>
    <row r="15212" spans="14:14">
      <c r="N15212" s="113"/>
    </row>
    <row r="15213" spans="14:14">
      <c r="N15213" s="113"/>
    </row>
    <row r="15214" spans="14:14">
      <c r="N15214" s="113"/>
    </row>
    <row r="15215" spans="14:14">
      <c r="N15215" s="113"/>
    </row>
    <row r="15216" spans="14:14">
      <c r="N15216" s="113"/>
    </row>
    <row r="15217" spans="14:14">
      <c r="N15217" s="113"/>
    </row>
    <row r="15218" spans="14:14">
      <c r="N15218" s="113"/>
    </row>
    <row r="15219" spans="14:14">
      <c r="N15219" s="113"/>
    </row>
    <row r="15220" spans="14:14">
      <c r="N15220" s="113"/>
    </row>
    <row r="15221" spans="14:14">
      <c r="N15221" s="113"/>
    </row>
    <row r="15222" spans="14:14">
      <c r="N15222" s="113"/>
    </row>
    <row r="15223" spans="14:14">
      <c r="N15223" s="113"/>
    </row>
    <row r="15224" spans="14:14">
      <c r="N15224" s="113"/>
    </row>
    <row r="15225" spans="14:14">
      <c r="N15225" s="113"/>
    </row>
    <row r="15226" spans="14:14">
      <c r="N15226" s="113"/>
    </row>
    <row r="15227" spans="14:14">
      <c r="N15227" s="113"/>
    </row>
    <row r="15228" spans="14:14">
      <c r="N15228" s="113"/>
    </row>
    <row r="15229" spans="14:14">
      <c r="N15229" s="113"/>
    </row>
    <row r="15230" spans="14:14">
      <c r="N15230" s="113"/>
    </row>
    <row r="15231" spans="14:14">
      <c r="N15231" s="113"/>
    </row>
    <row r="15232" spans="14:14">
      <c r="N15232" s="113"/>
    </row>
    <row r="15233" spans="14:14">
      <c r="N15233" s="113"/>
    </row>
    <row r="15234" spans="14:14">
      <c r="N15234" s="113"/>
    </row>
    <row r="15235" spans="14:14">
      <c r="N15235" s="113"/>
    </row>
    <row r="15236" spans="14:14">
      <c r="N15236" s="113"/>
    </row>
    <row r="15237" spans="14:14">
      <c r="N15237" s="113"/>
    </row>
    <row r="15238" spans="14:14">
      <c r="N15238" s="113"/>
    </row>
    <row r="15239" spans="14:14">
      <c r="N15239" s="113"/>
    </row>
    <row r="15240" spans="14:14">
      <c r="N15240" s="113"/>
    </row>
    <row r="15241" spans="14:14">
      <c r="N15241" s="113"/>
    </row>
    <row r="15242" spans="14:14">
      <c r="N15242" s="113"/>
    </row>
    <row r="15243" spans="14:14">
      <c r="N15243" s="113"/>
    </row>
    <row r="15244" spans="14:14">
      <c r="N15244" s="113"/>
    </row>
    <row r="15245" spans="14:14">
      <c r="N15245" s="113"/>
    </row>
    <row r="15246" spans="14:14">
      <c r="N15246" s="113"/>
    </row>
    <row r="15247" spans="14:14">
      <c r="N15247" s="113"/>
    </row>
    <row r="15248" spans="14:14">
      <c r="N15248" s="113"/>
    </row>
    <row r="15249" spans="14:14">
      <c r="N15249" s="113"/>
    </row>
    <row r="15250" spans="14:14">
      <c r="N15250" s="113"/>
    </row>
    <row r="15251" spans="14:14">
      <c r="N15251" s="113"/>
    </row>
    <row r="15252" spans="14:14">
      <c r="N15252" s="113"/>
    </row>
    <row r="15253" spans="14:14">
      <c r="N15253" s="113"/>
    </row>
    <row r="15254" spans="14:14">
      <c r="N15254" s="113"/>
    </row>
    <row r="15255" spans="14:14">
      <c r="N15255" s="113"/>
    </row>
    <row r="15256" spans="14:14">
      <c r="N15256" s="113"/>
    </row>
    <row r="15257" spans="14:14">
      <c r="N15257" s="113"/>
    </row>
    <row r="15258" spans="14:14">
      <c r="N15258" s="113"/>
    </row>
    <row r="15259" spans="14:14">
      <c r="N15259" s="113"/>
    </row>
    <row r="15260" spans="14:14">
      <c r="N15260" s="113"/>
    </row>
    <row r="15261" spans="14:14">
      <c r="N15261" s="113"/>
    </row>
    <row r="15262" spans="14:14">
      <c r="N15262" s="113"/>
    </row>
    <row r="15263" spans="14:14">
      <c r="N15263" s="113"/>
    </row>
    <row r="15264" spans="14:14">
      <c r="N15264" s="113"/>
    </row>
    <row r="15265" spans="14:14">
      <c r="N15265" s="113"/>
    </row>
    <row r="15266" spans="14:14">
      <c r="N15266" s="113"/>
    </row>
    <row r="15267" spans="14:14">
      <c r="N15267" s="113"/>
    </row>
    <row r="15268" spans="14:14">
      <c r="N15268" s="113"/>
    </row>
    <row r="15269" spans="14:14">
      <c r="N15269" s="113"/>
    </row>
    <row r="15270" spans="14:14">
      <c r="N15270" s="113"/>
    </row>
    <row r="15271" spans="14:14">
      <c r="N15271" s="113"/>
    </row>
    <row r="15272" spans="14:14">
      <c r="N15272" s="113"/>
    </row>
    <row r="15273" spans="14:14">
      <c r="N15273" s="113"/>
    </row>
    <row r="15274" spans="14:14">
      <c r="N15274" s="113"/>
    </row>
    <row r="15275" spans="14:14">
      <c r="N15275" s="113"/>
    </row>
    <row r="15276" spans="14:14">
      <c r="N15276" s="113"/>
    </row>
    <row r="15277" spans="14:14">
      <c r="N15277" s="113"/>
    </row>
    <row r="15278" spans="14:14">
      <c r="N15278" s="113"/>
    </row>
    <row r="15279" spans="14:14">
      <c r="N15279" s="113"/>
    </row>
    <row r="15280" spans="14:14">
      <c r="N15280" s="113"/>
    </row>
    <row r="15281" spans="14:14">
      <c r="N15281" s="113"/>
    </row>
    <row r="15282" spans="14:14">
      <c r="N15282" s="113"/>
    </row>
    <row r="15283" spans="14:14">
      <c r="N15283" s="113"/>
    </row>
    <row r="15284" spans="14:14">
      <c r="N15284" s="113"/>
    </row>
    <row r="15285" spans="14:14">
      <c r="N15285" s="113"/>
    </row>
    <row r="15286" spans="14:14">
      <c r="N15286" s="113"/>
    </row>
    <row r="15287" spans="14:14">
      <c r="N15287" s="113"/>
    </row>
    <row r="15288" spans="14:14">
      <c r="N15288" s="113"/>
    </row>
    <row r="15289" spans="14:14">
      <c r="N15289" s="113"/>
    </row>
    <row r="15290" spans="14:14">
      <c r="N15290" s="113"/>
    </row>
    <row r="15291" spans="14:14">
      <c r="N15291" s="113"/>
    </row>
    <row r="15292" spans="14:14">
      <c r="N15292" s="113"/>
    </row>
    <row r="15293" spans="14:14">
      <c r="N15293" s="113"/>
    </row>
    <row r="15294" spans="14:14">
      <c r="N15294" s="113"/>
    </row>
    <row r="15295" spans="14:14">
      <c r="N15295" s="113"/>
    </row>
    <row r="15296" spans="14:14">
      <c r="N15296" s="113"/>
    </row>
    <row r="15297" spans="14:14">
      <c r="N15297" s="113"/>
    </row>
    <row r="15298" spans="14:14">
      <c r="N15298" s="113"/>
    </row>
    <row r="15299" spans="14:14">
      <c r="N15299" s="113"/>
    </row>
    <row r="15300" spans="14:14">
      <c r="N15300" s="113"/>
    </row>
    <row r="15301" spans="14:14">
      <c r="N15301" s="113"/>
    </row>
    <row r="15302" spans="14:14">
      <c r="N15302" s="113"/>
    </row>
    <row r="15303" spans="14:14">
      <c r="N15303" s="113"/>
    </row>
    <row r="15304" spans="14:14">
      <c r="N15304" s="113"/>
    </row>
    <row r="15305" spans="14:14">
      <c r="N15305" s="113"/>
    </row>
    <row r="15306" spans="14:14">
      <c r="N15306" s="113"/>
    </row>
    <row r="15307" spans="14:14">
      <c r="N15307" s="113"/>
    </row>
    <row r="15308" spans="14:14">
      <c r="N15308" s="113"/>
    </row>
    <row r="15309" spans="14:14">
      <c r="N15309" s="113"/>
    </row>
    <row r="15310" spans="14:14">
      <c r="N15310" s="113"/>
    </row>
    <row r="15311" spans="14:14">
      <c r="N15311" s="113"/>
    </row>
    <row r="15312" spans="14:14">
      <c r="N15312" s="113"/>
    </row>
    <row r="15313" spans="14:14">
      <c r="N15313" s="113"/>
    </row>
    <row r="15314" spans="14:14">
      <c r="N15314" s="113"/>
    </row>
    <row r="15315" spans="14:14">
      <c r="N15315" s="113"/>
    </row>
    <row r="15316" spans="14:14">
      <c r="N15316" s="113"/>
    </row>
    <row r="15317" spans="14:14">
      <c r="N15317" s="113"/>
    </row>
    <row r="15318" spans="14:14">
      <c r="N15318" s="113"/>
    </row>
    <row r="15319" spans="14:14">
      <c r="N15319" s="113"/>
    </row>
    <row r="15320" spans="14:14">
      <c r="N15320" s="113"/>
    </row>
    <row r="15321" spans="14:14">
      <c r="N15321" s="113"/>
    </row>
    <row r="15322" spans="14:14">
      <c r="N15322" s="113"/>
    </row>
    <row r="15323" spans="14:14">
      <c r="N15323" s="113"/>
    </row>
    <row r="15324" spans="14:14">
      <c r="N15324" s="113"/>
    </row>
    <row r="15325" spans="14:14">
      <c r="N15325" s="113"/>
    </row>
    <row r="15326" spans="14:14">
      <c r="N15326" s="113"/>
    </row>
    <row r="15327" spans="14:14">
      <c r="N15327" s="113"/>
    </row>
    <row r="15328" spans="14:14">
      <c r="N15328" s="113"/>
    </row>
    <row r="15329" spans="14:14">
      <c r="N15329" s="113"/>
    </row>
    <row r="15330" spans="14:14">
      <c r="N15330" s="113"/>
    </row>
    <row r="15331" spans="14:14">
      <c r="N15331" s="113"/>
    </row>
    <row r="15332" spans="14:14">
      <c r="N15332" s="113"/>
    </row>
    <row r="15333" spans="14:14">
      <c r="N15333" s="113"/>
    </row>
    <row r="15334" spans="14:14">
      <c r="N15334" s="113"/>
    </row>
    <row r="15335" spans="14:14">
      <c r="N15335" s="113"/>
    </row>
    <row r="15336" spans="14:14">
      <c r="N15336" s="113"/>
    </row>
    <row r="15337" spans="14:14">
      <c r="N15337" s="113"/>
    </row>
    <row r="15338" spans="14:14">
      <c r="N15338" s="113"/>
    </row>
    <row r="15339" spans="14:14">
      <c r="N15339" s="113"/>
    </row>
    <row r="15340" spans="14:14">
      <c r="N15340" s="113"/>
    </row>
    <row r="15341" spans="14:14">
      <c r="N15341" s="113"/>
    </row>
    <row r="15342" spans="14:14">
      <c r="N15342" s="113"/>
    </row>
    <row r="15343" spans="14:14">
      <c r="N15343" s="113"/>
    </row>
    <row r="15344" spans="14:14">
      <c r="N15344" s="113"/>
    </row>
    <row r="15345" spans="14:14">
      <c r="N15345" s="113"/>
    </row>
    <row r="15346" spans="14:14">
      <c r="N15346" s="113"/>
    </row>
    <row r="15347" spans="14:14">
      <c r="N15347" s="113"/>
    </row>
    <row r="15348" spans="14:14">
      <c r="N15348" s="113"/>
    </row>
    <row r="15349" spans="14:14">
      <c r="N15349" s="113"/>
    </row>
    <row r="15350" spans="14:14">
      <c r="N15350" s="113"/>
    </row>
    <row r="15351" spans="14:14">
      <c r="N15351" s="113"/>
    </row>
    <row r="15352" spans="14:14">
      <c r="N15352" s="113"/>
    </row>
    <row r="15353" spans="14:14">
      <c r="N15353" s="113"/>
    </row>
    <row r="15354" spans="14:14">
      <c r="N15354" s="113"/>
    </row>
    <row r="15355" spans="14:14">
      <c r="N15355" s="113"/>
    </row>
    <row r="15356" spans="14:14">
      <c r="N15356" s="113"/>
    </row>
    <row r="15357" spans="14:14">
      <c r="N15357" s="113"/>
    </row>
    <row r="15358" spans="14:14">
      <c r="N15358" s="113"/>
    </row>
    <row r="15359" spans="14:14">
      <c r="N15359" s="113"/>
    </row>
    <row r="15360" spans="14:14">
      <c r="N15360" s="113"/>
    </row>
    <row r="15361" spans="14:14">
      <c r="N15361" s="113"/>
    </row>
    <row r="15362" spans="14:14">
      <c r="N15362" s="113"/>
    </row>
    <row r="15363" spans="14:14">
      <c r="N15363" s="113"/>
    </row>
    <row r="15364" spans="14:14">
      <c r="N15364" s="113"/>
    </row>
    <row r="15365" spans="14:14">
      <c r="N15365" s="113"/>
    </row>
    <row r="15366" spans="14:14">
      <c r="N15366" s="113"/>
    </row>
    <row r="15367" spans="14:14">
      <c r="N15367" s="113"/>
    </row>
    <row r="15368" spans="14:14">
      <c r="N15368" s="113"/>
    </row>
    <row r="15369" spans="14:14">
      <c r="N15369" s="113"/>
    </row>
    <row r="15370" spans="14:14">
      <c r="N15370" s="113"/>
    </row>
    <row r="15371" spans="14:14">
      <c r="N15371" s="113"/>
    </row>
    <row r="15372" spans="14:14">
      <c r="N15372" s="113"/>
    </row>
    <row r="15373" spans="14:14">
      <c r="N15373" s="113"/>
    </row>
    <row r="15374" spans="14:14">
      <c r="N15374" s="113"/>
    </row>
    <row r="15375" spans="14:14">
      <c r="N15375" s="113"/>
    </row>
    <row r="15376" spans="14:14">
      <c r="N15376" s="113"/>
    </row>
    <row r="15377" spans="14:14">
      <c r="N15377" s="113"/>
    </row>
    <row r="15378" spans="14:14">
      <c r="N15378" s="113"/>
    </row>
    <row r="15379" spans="14:14">
      <c r="N15379" s="113"/>
    </row>
    <row r="15380" spans="14:14">
      <c r="N15380" s="113"/>
    </row>
    <row r="15381" spans="14:14">
      <c r="N15381" s="113"/>
    </row>
    <row r="15382" spans="14:14">
      <c r="N15382" s="113"/>
    </row>
    <row r="15383" spans="14:14">
      <c r="N15383" s="113"/>
    </row>
    <row r="15384" spans="14:14">
      <c r="N15384" s="113"/>
    </row>
    <row r="15385" spans="14:14">
      <c r="N15385" s="113"/>
    </row>
    <row r="15386" spans="14:14">
      <c r="N15386" s="113"/>
    </row>
    <row r="15387" spans="14:14">
      <c r="N15387" s="113"/>
    </row>
    <row r="15388" spans="14:14">
      <c r="N15388" s="113"/>
    </row>
    <row r="15389" spans="14:14">
      <c r="N15389" s="113"/>
    </row>
    <row r="15390" spans="14:14">
      <c r="N15390" s="113"/>
    </row>
    <row r="15391" spans="14:14">
      <c r="N15391" s="113"/>
    </row>
    <row r="15392" spans="14:14">
      <c r="N15392" s="113"/>
    </row>
    <row r="15393" spans="14:14">
      <c r="N15393" s="113"/>
    </row>
    <row r="15394" spans="14:14">
      <c r="N15394" s="113"/>
    </row>
    <row r="15395" spans="14:14">
      <c r="N15395" s="113"/>
    </row>
    <row r="15396" spans="14:14">
      <c r="N15396" s="113"/>
    </row>
    <row r="15397" spans="14:14">
      <c r="N15397" s="113"/>
    </row>
    <row r="15398" spans="14:14">
      <c r="N15398" s="113"/>
    </row>
    <row r="15399" spans="14:14">
      <c r="N15399" s="113"/>
    </row>
    <row r="15400" spans="14:14">
      <c r="N15400" s="113"/>
    </row>
    <row r="15401" spans="14:14">
      <c r="N15401" s="113"/>
    </row>
    <row r="15402" spans="14:14">
      <c r="N15402" s="113"/>
    </row>
    <row r="15403" spans="14:14">
      <c r="N15403" s="113"/>
    </row>
    <row r="15404" spans="14:14">
      <c r="N15404" s="113"/>
    </row>
    <row r="15405" spans="14:14">
      <c r="N15405" s="113"/>
    </row>
    <row r="15406" spans="14:14">
      <c r="N15406" s="113"/>
    </row>
    <row r="15407" spans="14:14">
      <c r="N15407" s="113"/>
    </row>
    <row r="15408" spans="14:14">
      <c r="N15408" s="113"/>
    </row>
    <row r="15409" spans="14:14">
      <c r="N15409" s="113"/>
    </row>
    <row r="15410" spans="14:14">
      <c r="N15410" s="113"/>
    </row>
    <row r="15411" spans="14:14">
      <c r="N15411" s="113"/>
    </row>
    <row r="15412" spans="14:14">
      <c r="N15412" s="113"/>
    </row>
    <row r="15413" spans="14:14">
      <c r="N15413" s="113"/>
    </row>
    <row r="15414" spans="14:14">
      <c r="N15414" s="113"/>
    </row>
    <row r="15415" spans="14:14">
      <c r="N15415" s="113"/>
    </row>
    <row r="15416" spans="14:14">
      <c r="N15416" s="113"/>
    </row>
    <row r="15417" spans="14:14">
      <c r="N15417" s="113"/>
    </row>
    <row r="15418" spans="14:14">
      <c r="N15418" s="113"/>
    </row>
    <row r="15419" spans="14:14">
      <c r="N15419" s="113"/>
    </row>
    <row r="15420" spans="14:14">
      <c r="N15420" s="113"/>
    </row>
    <row r="15421" spans="14:14">
      <c r="N15421" s="113"/>
    </row>
    <row r="15422" spans="14:14">
      <c r="N15422" s="113"/>
    </row>
    <row r="15423" spans="14:14">
      <c r="N15423" s="113"/>
    </row>
    <row r="15424" spans="14:14">
      <c r="N15424" s="113"/>
    </row>
    <row r="15425" spans="14:14">
      <c r="N15425" s="113"/>
    </row>
    <row r="15426" spans="14:14">
      <c r="N15426" s="113"/>
    </row>
    <row r="15427" spans="14:14">
      <c r="N15427" s="113"/>
    </row>
    <row r="15428" spans="14:14">
      <c r="N15428" s="113"/>
    </row>
    <row r="15429" spans="14:14">
      <c r="N15429" s="113"/>
    </row>
    <row r="15430" spans="14:14">
      <c r="N15430" s="113"/>
    </row>
    <row r="15431" spans="14:14">
      <c r="N15431" s="113"/>
    </row>
    <row r="15432" spans="14:14">
      <c r="N15432" s="113"/>
    </row>
    <row r="15433" spans="14:14">
      <c r="N15433" s="113"/>
    </row>
    <row r="15434" spans="14:14">
      <c r="N15434" s="113"/>
    </row>
    <row r="15435" spans="14:14">
      <c r="N15435" s="113"/>
    </row>
    <row r="15436" spans="14:14">
      <c r="N15436" s="113"/>
    </row>
    <row r="15437" spans="14:14">
      <c r="N15437" s="113"/>
    </row>
    <row r="15438" spans="14:14">
      <c r="N15438" s="113"/>
    </row>
    <row r="15439" spans="14:14">
      <c r="N15439" s="113"/>
    </row>
    <row r="15440" spans="14:14">
      <c r="N15440" s="113"/>
    </row>
    <row r="15441" spans="14:14">
      <c r="N15441" s="113"/>
    </row>
    <row r="15442" spans="14:14">
      <c r="N15442" s="113"/>
    </row>
    <row r="15443" spans="14:14">
      <c r="N15443" s="113"/>
    </row>
    <row r="15444" spans="14:14">
      <c r="N15444" s="113"/>
    </row>
    <row r="15445" spans="14:14">
      <c r="N15445" s="113"/>
    </row>
    <row r="15446" spans="14:14">
      <c r="N15446" s="113"/>
    </row>
    <row r="15447" spans="14:14">
      <c r="N15447" s="113"/>
    </row>
    <row r="15448" spans="14:14">
      <c r="N15448" s="113"/>
    </row>
    <row r="15449" spans="14:14">
      <c r="N15449" s="113"/>
    </row>
    <row r="15450" spans="14:14">
      <c r="N15450" s="113"/>
    </row>
    <row r="15451" spans="14:14">
      <c r="N15451" s="113"/>
    </row>
    <row r="15452" spans="14:14">
      <c r="N15452" s="113"/>
    </row>
    <row r="15453" spans="14:14">
      <c r="N15453" s="113"/>
    </row>
    <row r="15454" spans="14:14">
      <c r="N15454" s="113"/>
    </row>
    <row r="15455" spans="14:14">
      <c r="N15455" s="113"/>
    </row>
    <row r="15456" spans="14:14">
      <c r="N15456" s="113"/>
    </row>
    <row r="15457" spans="14:14">
      <c r="N15457" s="113"/>
    </row>
    <row r="15458" spans="14:14">
      <c r="N15458" s="113"/>
    </row>
    <row r="15459" spans="14:14">
      <c r="N15459" s="113"/>
    </row>
    <row r="15460" spans="14:14">
      <c r="N15460" s="113"/>
    </row>
    <row r="15461" spans="14:14">
      <c r="N15461" s="113"/>
    </row>
    <row r="15462" spans="14:14">
      <c r="N15462" s="113"/>
    </row>
    <row r="15463" spans="14:14">
      <c r="N15463" s="113"/>
    </row>
    <row r="15464" spans="14:14">
      <c r="N15464" s="113"/>
    </row>
    <row r="15465" spans="14:14">
      <c r="N15465" s="113"/>
    </row>
    <row r="15466" spans="14:14">
      <c r="N15466" s="113"/>
    </row>
    <row r="15467" spans="14:14">
      <c r="N15467" s="113"/>
    </row>
    <row r="15468" spans="14:14">
      <c r="N15468" s="113"/>
    </row>
    <row r="15469" spans="14:14">
      <c r="N15469" s="113"/>
    </row>
    <row r="15470" spans="14:14">
      <c r="N15470" s="113"/>
    </row>
    <row r="15471" spans="14:14">
      <c r="N15471" s="113"/>
    </row>
    <row r="15472" spans="14:14">
      <c r="N15472" s="113"/>
    </row>
    <row r="15473" spans="14:14">
      <c r="N15473" s="113"/>
    </row>
    <row r="15474" spans="14:14">
      <c r="N15474" s="113"/>
    </row>
    <row r="15475" spans="14:14">
      <c r="N15475" s="113"/>
    </row>
    <row r="15476" spans="14:14">
      <c r="N15476" s="113"/>
    </row>
    <row r="15477" spans="14:14">
      <c r="N15477" s="113"/>
    </row>
    <row r="15478" spans="14:14">
      <c r="N15478" s="113"/>
    </row>
    <row r="15479" spans="14:14">
      <c r="N15479" s="113"/>
    </row>
    <row r="15480" spans="14:14">
      <c r="N15480" s="113"/>
    </row>
    <row r="15481" spans="14:14">
      <c r="N15481" s="113"/>
    </row>
    <row r="15482" spans="14:14">
      <c r="N15482" s="113"/>
    </row>
    <row r="15483" spans="14:14">
      <c r="N15483" s="113"/>
    </row>
    <row r="15484" spans="14:14">
      <c r="N15484" s="113"/>
    </row>
    <row r="15485" spans="14:14">
      <c r="N15485" s="113"/>
    </row>
    <row r="15486" spans="14:14">
      <c r="N15486" s="113"/>
    </row>
    <row r="15487" spans="14:14">
      <c r="N15487" s="113"/>
    </row>
    <row r="15488" spans="14:14">
      <c r="N15488" s="113"/>
    </row>
    <row r="15489" spans="14:14">
      <c r="N15489" s="113"/>
    </row>
    <row r="15490" spans="14:14">
      <c r="N15490" s="113"/>
    </row>
    <row r="15491" spans="14:14">
      <c r="N15491" s="113"/>
    </row>
    <row r="15492" spans="14:14">
      <c r="N15492" s="113"/>
    </row>
    <row r="15493" spans="14:14">
      <c r="N15493" s="113"/>
    </row>
    <row r="15494" spans="14:14">
      <c r="N15494" s="113"/>
    </row>
    <row r="15495" spans="14:14">
      <c r="N15495" s="113"/>
    </row>
    <row r="15496" spans="14:14">
      <c r="N15496" s="113"/>
    </row>
    <row r="15497" spans="14:14">
      <c r="N15497" s="113"/>
    </row>
    <row r="15498" spans="14:14">
      <c r="N15498" s="113"/>
    </row>
    <row r="15499" spans="14:14">
      <c r="N15499" s="113"/>
    </row>
    <row r="15500" spans="14:14">
      <c r="N15500" s="113"/>
    </row>
    <row r="15501" spans="14:14">
      <c r="N15501" s="113"/>
    </row>
    <row r="15502" spans="14:14">
      <c r="N15502" s="113"/>
    </row>
    <row r="15503" spans="14:14">
      <c r="N15503" s="113"/>
    </row>
    <row r="15504" spans="14:14">
      <c r="N15504" s="113"/>
    </row>
    <row r="15505" spans="14:14">
      <c r="N15505" s="113"/>
    </row>
    <row r="15506" spans="14:14">
      <c r="N15506" s="113"/>
    </row>
    <row r="15507" spans="14:14">
      <c r="N15507" s="113"/>
    </row>
    <row r="15508" spans="14:14">
      <c r="N15508" s="113"/>
    </row>
    <row r="15509" spans="14:14">
      <c r="N15509" s="113"/>
    </row>
    <row r="15510" spans="14:14">
      <c r="N15510" s="113"/>
    </row>
    <row r="15511" spans="14:14">
      <c r="N15511" s="113"/>
    </row>
    <row r="15512" spans="14:14">
      <c r="N15512" s="113"/>
    </row>
    <row r="15513" spans="14:14">
      <c r="N15513" s="113"/>
    </row>
    <row r="15514" spans="14:14">
      <c r="N15514" s="113"/>
    </row>
    <row r="15515" spans="14:14">
      <c r="N15515" s="113"/>
    </row>
    <row r="15516" spans="14:14">
      <c r="N15516" s="113"/>
    </row>
    <row r="15517" spans="14:14">
      <c r="N15517" s="113"/>
    </row>
    <row r="15518" spans="14:14">
      <c r="N15518" s="113"/>
    </row>
    <row r="15519" spans="14:14">
      <c r="N15519" s="113"/>
    </row>
    <row r="15520" spans="14:14">
      <c r="N15520" s="113"/>
    </row>
    <row r="15521" spans="14:14">
      <c r="N15521" s="113"/>
    </row>
    <row r="15522" spans="14:14">
      <c r="N15522" s="113"/>
    </row>
    <row r="15523" spans="14:14">
      <c r="N15523" s="113"/>
    </row>
    <row r="15524" spans="14:14">
      <c r="N15524" s="113"/>
    </row>
    <row r="15525" spans="14:14">
      <c r="N15525" s="113"/>
    </row>
    <row r="15526" spans="14:14">
      <c r="N15526" s="113"/>
    </row>
    <row r="15527" spans="14:14">
      <c r="N15527" s="113"/>
    </row>
    <row r="15528" spans="14:14">
      <c r="N15528" s="113"/>
    </row>
    <row r="15529" spans="14:14">
      <c r="N15529" s="113"/>
    </row>
    <row r="15530" spans="14:14">
      <c r="N15530" s="113"/>
    </row>
    <row r="15531" spans="14:14">
      <c r="N15531" s="113"/>
    </row>
    <row r="15532" spans="14:14">
      <c r="N15532" s="113"/>
    </row>
    <row r="15533" spans="14:14">
      <c r="N15533" s="113"/>
    </row>
    <row r="15534" spans="14:14">
      <c r="N15534" s="113"/>
    </row>
    <row r="15535" spans="14:14">
      <c r="N15535" s="113"/>
    </row>
    <row r="15536" spans="14:14">
      <c r="N15536" s="113"/>
    </row>
    <row r="15537" spans="14:14">
      <c r="N15537" s="113"/>
    </row>
    <row r="15538" spans="14:14">
      <c r="N15538" s="113"/>
    </row>
    <row r="15539" spans="14:14">
      <c r="N15539" s="113"/>
    </row>
    <row r="15540" spans="14:14">
      <c r="N15540" s="113"/>
    </row>
    <row r="15541" spans="14:14">
      <c r="N15541" s="113"/>
    </row>
    <row r="15542" spans="14:14">
      <c r="N15542" s="113"/>
    </row>
    <row r="15543" spans="14:14">
      <c r="N15543" s="113"/>
    </row>
    <row r="15544" spans="14:14">
      <c r="N15544" s="113"/>
    </row>
    <row r="15545" spans="14:14">
      <c r="N15545" s="113"/>
    </row>
    <row r="15546" spans="14:14">
      <c r="N15546" s="113"/>
    </row>
    <row r="15547" spans="14:14">
      <c r="N15547" s="113"/>
    </row>
    <row r="15548" spans="14:14">
      <c r="N15548" s="113"/>
    </row>
    <row r="15549" spans="14:14">
      <c r="N15549" s="113"/>
    </row>
    <row r="15550" spans="14:14">
      <c r="N15550" s="113"/>
    </row>
    <row r="15551" spans="14:14">
      <c r="N15551" s="113"/>
    </row>
    <row r="15552" spans="14:14">
      <c r="N15552" s="113"/>
    </row>
    <row r="15553" spans="14:14">
      <c r="N15553" s="113"/>
    </row>
    <row r="15554" spans="14:14">
      <c r="N15554" s="113"/>
    </row>
    <row r="15555" spans="14:14">
      <c r="N15555" s="113"/>
    </row>
    <row r="15556" spans="14:14">
      <c r="N15556" s="113"/>
    </row>
    <row r="15557" spans="14:14">
      <c r="N15557" s="113"/>
    </row>
    <row r="15558" spans="14:14">
      <c r="N15558" s="113"/>
    </row>
    <row r="15559" spans="14:14">
      <c r="N15559" s="113"/>
    </row>
    <row r="15560" spans="14:14">
      <c r="N15560" s="113"/>
    </row>
    <row r="15561" spans="14:14">
      <c r="N15561" s="113"/>
    </row>
    <row r="15562" spans="14:14">
      <c r="N15562" s="113"/>
    </row>
    <row r="15563" spans="14:14">
      <c r="N15563" s="113"/>
    </row>
    <row r="15564" spans="14:14">
      <c r="N15564" s="113"/>
    </row>
    <row r="15565" spans="14:14">
      <c r="N15565" s="113"/>
    </row>
    <row r="15566" spans="14:14">
      <c r="N15566" s="113"/>
    </row>
    <row r="15567" spans="14:14">
      <c r="N15567" s="113"/>
    </row>
    <row r="15568" spans="14:14">
      <c r="N15568" s="113"/>
    </row>
    <row r="15569" spans="14:14">
      <c r="N15569" s="113"/>
    </row>
    <row r="15570" spans="14:14">
      <c r="N15570" s="113"/>
    </row>
    <row r="15571" spans="14:14">
      <c r="N15571" s="113"/>
    </row>
    <row r="15572" spans="14:14">
      <c r="N15572" s="113"/>
    </row>
    <row r="15573" spans="14:14">
      <c r="N15573" s="113"/>
    </row>
    <row r="15574" spans="14:14">
      <c r="N15574" s="113"/>
    </row>
    <row r="15575" spans="14:14">
      <c r="N15575" s="113"/>
    </row>
    <row r="15576" spans="14:14">
      <c r="N15576" s="113"/>
    </row>
    <row r="15577" spans="14:14">
      <c r="N15577" s="113"/>
    </row>
    <row r="15578" spans="14:14">
      <c r="N15578" s="113"/>
    </row>
    <row r="15579" spans="14:14">
      <c r="N15579" s="113"/>
    </row>
    <row r="15580" spans="14:14">
      <c r="N15580" s="113"/>
    </row>
    <row r="15581" spans="14:14">
      <c r="N15581" s="113"/>
    </row>
    <row r="15582" spans="14:14">
      <c r="N15582" s="113"/>
    </row>
    <row r="15583" spans="14:14">
      <c r="N15583" s="113"/>
    </row>
    <row r="15584" spans="14:14">
      <c r="N15584" s="113"/>
    </row>
    <row r="15585" spans="14:14">
      <c r="N15585" s="113"/>
    </row>
    <row r="15586" spans="14:14">
      <c r="N15586" s="113"/>
    </row>
    <row r="15587" spans="14:14">
      <c r="N15587" s="113"/>
    </row>
    <row r="15588" spans="14:14">
      <c r="N15588" s="113"/>
    </row>
    <row r="15589" spans="14:14">
      <c r="N15589" s="113"/>
    </row>
    <row r="15590" spans="14:14">
      <c r="N15590" s="113"/>
    </row>
    <row r="15591" spans="14:14">
      <c r="N15591" s="113"/>
    </row>
    <row r="15592" spans="14:14">
      <c r="N15592" s="113"/>
    </row>
    <row r="15593" spans="14:14">
      <c r="N15593" s="113"/>
    </row>
    <row r="15594" spans="14:14">
      <c r="N15594" s="113"/>
    </row>
    <row r="15595" spans="14:14">
      <c r="N15595" s="113"/>
    </row>
    <row r="15596" spans="14:14">
      <c r="N15596" s="113"/>
    </row>
    <row r="15597" spans="14:14">
      <c r="N15597" s="113"/>
    </row>
    <row r="15598" spans="14:14">
      <c r="N15598" s="113"/>
    </row>
    <row r="15599" spans="14:14">
      <c r="N15599" s="113"/>
    </row>
    <row r="15600" spans="14:14">
      <c r="N15600" s="113"/>
    </row>
    <row r="15601" spans="14:14">
      <c r="N15601" s="113"/>
    </row>
    <row r="15602" spans="14:14">
      <c r="N15602" s="113"/>
    </row>
    <row r="15603" spans="14:14">
      <c r="N15603" s="113"/>
    </row>
    <row r="15604" spans="14:14">
      <c r="N15604" s="113"/>
    </row>
    <row r="15605" spans="14:14">
      <c r="N15605" s="113"/>
    </row>
    <row r="15606" spans="14:14">
      <c r="N15606" s="113"/>
    </row>
    <row r="15607" spans="14:14">
      <c r="N15607" s="113"/>
    </row>
    <row r="15608" spans="14:14">
      <c r="N15608" s="113"/>
    </row>
    <row r="15609" spans="14:14">
      <c r="N15609" s="113"/>
    </row>
    <row r="15610" spans="14:14">
      <c r="N15610" s="113"/>
    </row>
    <row r="15611" spans="14:14">
      <c r="N15611" s="113"/>
    </row>
    <row r="15612" spans="14:14">
      <c r="N15612" s="113"/>
    </row>
    <row r="15613" spans="14:14">
      <c r="N15613" s="113"/>
    </row>
    <row r="15614" spans="14:14">
      <c r="N15614" s="113"/>
    </row>
    <row r="15615" spans="14:14">
      <c r="N15615" s="113"/>
    </row>
    <row r="15616" spans="14:14">
      <c r="N15616" s="113"/>
    </row>
    <row r="15617" spans="14:14">
      <c r="N15617" s="113"/>
    </row>
    <row r="15618" spans="14:14">
      <c r="N15618" s="113"/>
    </row>
    <row r="15619" spans="14:14">
      <c r="N15619" s="113"/>
    </row>
    <row r="15620" spans="14:14">
      <c r="N15620" s="113"/>
    </row>
    <row r="15621" spans="14:14">
      <c r="N15621" s="113"/>
    </row>
    <row r="15622" spans="14:14">
      <c r="N15622" s="113"/>
    </row>
    <row r="15623" spans="14:14">
      <c r="N15623" s="113"/>
    </row>
    <row r="15624" spans="14:14">
      <c r="N15624" s="113"/>
    </row>
    <row r="15625" spans="14:14">
      <c r="N15625" s="113"/>
    </row>
    <row r="15626" spans="14:14">
      <c r="N15626" s="113"/>
    </row>
    <row r="15627" spans="14:14">
      <c r="N15627" s="113"/>
    </row>
    <row r="15628" spans="14:14">
      <c r="N15628" s="113"/>
    </row>
    <row r="15629" spans="14:14">
      <c r="N15629" s="113"/>
    </row>
    <row r="15630" spans="14:14">
      <c r="N15630" s="113"/>
    </row>
    <row r="15631" spans="14:14">
      <c r="N15631" s="113"/>
    </row>
    <row r="15632" spans="14:14">
      <c r="N15632" s="113"/>
    </row>
    <row r="15633" spans="14:14">
      <c r="N15633" s="113"/>
    </row>
    <row r="15634" spans="14:14">
      <c r="N15634" s="113"/>
    </row>
    <row r="15635" spans="14:14">
      <c r="N15635" s="113"/>
    </row>
    <row r="15636" spans="14:14">
      <c r="N15636" s="113"/>
    </row>
    <row r="15637" spans="14:14">
      <c r="N15637" s="113"/>
    </row>
    <row r="15638" spans="14:14">
      <c r="N15638" s="113"/>
    </row>
    <row r="15639" spans="14:14">
      <c r="N15639" s="113"/>
    </row>
    <row r="15640" spans="14:14">
      <c r="N15640" s="113"/>
    </row>
    <row r="15641" spans="14:14">
      <c r="N15641" s="113"/>
    </row>
    <row r="15642" spans="14:14">
      <c r="N15642" s="113"/>
    </row>
    <row r="15643" spans="14:14">
      <c r="N15643" s="113"/>
    </row>
    <row r="15644" spans="14:14">
      <c r="N15644" s="113"/>
    </row>
    <row r="15645" spans="14:14">
      <c r="N15645" s="113"/>
    </row>
    <row r="15646" spans="14:14">
      <c r="N15646" s="113"/>
    </row>
    <row r="15647" spans="14:14">
      <c r="N15647" s="113"/>
    </row>
    <row r="15648" spans="14:14">
      <c r="N15648" s="113"/>
    </row>
    <row r="15649" spans="14:14">
      <c r="N15649" s="113"/>
    </row>
    <row r="15650" spans="14:14">
      <c r="N15650" s="113"/>
    </row>
    <row r="15651" spans="14:14">
      <c r="N15651" s="113"/>
    </row>
    <row r="15652" spans="14:14">
      <c r="N15652" s="113"/>
    </row>
    <row r="15653" spans="14:14">
      <c r="N15653" s="113"/>
    </row>
    <row r="15654" spans="14:14">
      <c r="N15654" s="113"/>
    </row>
    <row r="15655" spans="14:14">
      <c r="N15655" s="113"/>
    </row>
    <row r="15656" spans="14:14">
      <c r="N15656" s="113"/>
    </row>
    <row r="15657" spans="14:14">
      <c r="N15657" s="113"/>
    </row>
    <row r="15658" spans="14:14">
      <c r="N15658" s="113"/>
    </row>
    <row r="15659" spans="14:14">
      <c r="N15659" s="113"/>
    </row>
    <row r="15660" spans="14:14">
      <c r="N15660" s="113"/>
    </row>
    <row r="15661" spans="14:14">
      <c r="N15661" s="113"/>
    </row>
    <row r="15662" spans="14:14">
      <c r="N15662" s="113"/>
    </row>
    <row r="15663" spans="14:14">
      <c r="N15663" s="113"/>
    </row>
    <row r="15664" spans="14:14">
      <c r="N15664" s="113"/>
    </row>
    <row r="15665" spans="14:14">
      <c r="N15665" s="113"/>
    </row>
    <row r="15666" spans="14:14">
      <c r="N15666" s="113"/>
    </row>
    <row r="15667" spans="14:14">
      <c r="N15667" s="113"/>
    </row>
    <row r="15668" spans="14:14">
      <c r="N15668" s="113"/>
    </row>
    <row r="15669" spans="14:14">
      <c r="N15669" s="113"/>
    </row>
    <row r="15670" spans="14:14">
      <c r="N15670" s="113"/>
    </row>
    <row r="15671" spans="14:14">
      <c r="N15671" s="113"/>
    </row>
    <row r="15672" spans="14:14">
      <c r="N15672" s="113"/>
    </row>
    <row r="15673" spans="14:14">
      <c r="N15673" s="113"/>
    </row>
    <row r="15674" spans="14:14">
      <c r="N15674" s="113"/>
    </row>
    <row r="15675" spans="14:14">
      <c r="N15675" s="113"/>
    </row>
    <row r="15676" spans="14:14">
      <c r="N15676" s="113"/>
    </row>
    <row r="15677" spans="14:14">
      <c r="N15677" s="113"/>
    </row>
    <row r="15678" spans="14:14">
      <c r="N15678" s="113"/>
    </row>
    <row r="15679" spans="14:14">
      <c r="N15679" s="113"/>
    </row>
    <row r="15680" spans="14:14">
      <c r="N15680" s="113"/>
    </row>
    <row r="15681" spans="14:14">
      <c r="N15681" s="113"/>
    </row>
    <row r="15682" spans="14:14">
      <c r="N15682" s="113"/>
    </row>
    <row r="15683" spans="14:14">
      <c r="N15683" s="113"/>
    </row>
    <row r="15684" spans="14:14">
      <c r="N15684" s="113"/>
    </row>
    <row r="15685" spans="14:14">
      <c r="N15685" s="113"/>
    </row>
    <row r="15686" spans="14:14">
      <c r="N15686" s="113"/>
    </row>
    <row r="15687" spans="14:14">
      <c r="N15687" s="113"/>
    </row>
    <row r="15688" spans="14:14">
      <c r="N15688" s="113"/>
    </row>
    <row r="15689" spans="14:14">
      <c r="N15689" s="113"/>
    </row>
    <row r="15690" spans="14:14">
      <c r="N15690" s="113"/>
    </row>
    <row r="15691" spans="14:14">
      <c r="N15691" s="113"/>
    </row>
    <row r="15692" spans="14:14">
      <c r="N15692" s="113"/>
    </row>
    <row r="15693" spans="14:14">
      <c r="N15693" s="113"/>
    </row>
    <row r="15694" spans="14:14">
      <c r="N15694" s="113"/>
    </row>
    <row r="15695" spans="14:14">
      <c r="N15695" s="113"/>
    </row>
    <row r="15696" spans="14:14">
      <c r="N15696" s="113"/>
    </row>
    <row r="15697" spans="14:14">
      <c r="N15697" s="113"/>
    </row>
    <row r="15698" spans="14:14">
      <c r="N15698" s="113"/>
    </row>
    <row r="15699" spans="14:14">
      <c r="N15699" s="113"/>
    </row>
    <row r="15700" spans="14:14">
      <c r="N15700" s="113"/>
    </row>
    <row r="15701" spans="14:14">
      <c r="N15701" s="113"/>
    </row>
    <row r="15702" spans="14:14">
      <c r="N15702" s="113"/>
    </row>
    <row r="15703" spans="14:14">
      <c r="N15703" s="113"/>
    </row>
    <row r="15704" spans="14:14">
      <c r="N15704" s="113"/>
    </row>
    <row r="15705" spans="14:14">
      <c r="N15705" s="113"/>
    </row>
    <row r="15706" spans="14:14">
      <c r="N15706" s="113"/>
    </row>
    <row r="15707" spans="14:14">
      <c r="N15707" s="113"/>
    </row>
    <row r="15708" spans="14:14">
      <c r="N15708" s="113"/>
    </row>
    <row r="15709" spans="14:14">
      <c r="N15709" s="113"/>
    </row>
    <row r="15710" spans="14:14">
      <c r="N15710" s="113"/>
    </row>
    <row r="15711" spans="14:14">
      <c r="N15711" s="113"/>
    </row>
    <row r="15712" spans="14:14">
      <c r="N15712" s="113"/>
    </row>
    <row r="15713" spans="14:14">
      <c r="N15713" s="113"/>
    </row>
    <row r="15714" spans="14:14">
      <c r="N15714" s="113"/>
    </row>
    <row r="15715" spans="14:14">
      <c r="N15715" s="113"/>
    </row>
    <row r="15716" spans="14:14">
      <c r="N15716" s="113"/>
    </row>
    <row r="15717" spans="14:14">
      <c r="N15717" s="113"/>
    </row>
    <row r="15718" spans="14:14">
      <c r="N15718" s="113"/>
    </row>
    <row r="15719" spans="14:14">
      <c r="N15719" s="113"/>
    </row>
    <row r="15720" spans="14:14">
      <c r="N15720" s="113"/>
    </row>
    <row r="15721" spans="14:14">
      <c r="N15721" s="113"/>
    </row>
    <row r="15722" spans="14:14">
      <c r="N15722" s="113"/>
    </row>
    <row r="15723" spans="14:14">
      <c r="N15723" s="113"/>
    </row>
    <row r="15724" spans="14:14">
      <c r="N15724" s="113"/>
    </row>
    <row r="15725" spans="14:14">
      <c r="N15725" s="113"/>
    </row>
    <row r="15726" spans="14:14">
      <c r="N15726" s="113"/>
    </row>
    <row r="15727" spans="14:14">
      <c r="N15727" s="113"/>
    </row>
    <row r="15728" spans="14:14">
      <c r="N15728" s="113"/>
    </row>
    <row r="15729" spans="14:14">
      <c r="N15729" s="113"/>
    </row>
    <row r="15730" spans="14:14">
      <c r="N15730" s="113"/>
    </row>
    <row r="15731" spans="14:14">
      <c r="N15731" s="113"/>
    </row>
    <row r="15732" spans="14:14">
      <c r="N15732" s="113"/>
    </row>
    <row r="15733" spans="14:14">
      <c r="N15733" s="113"/>
    </row>
    <row r="15734" spans="14:14">
      <c r="N15734" s="113"/>
    </row>
    <row r="15735" spans="14:14">
      <c r="N15735" s="113"/>
    </row>
    <row r="15736" spans="14:14">
      <c r="N15736" s="113"/>
    </row>
    <row r="15737" spans="14:14">
      <c r="N15737" s="113"/>
    </row>
    <row r="15738" spans="14:14">
      <c r="N15738" s="113"/>
    </row>
    <row r="15739" spans="14:14">
      <c r="N15739" s="113"/>
    </row>
    <row r="15740" spans="14:14">
      <c r="N15740" s="113"/>
    </row>
    <row r="15741" spans="14:14">
      <c r="N15741" s="113"/>
    </row>
    <row r="15742" spans="14:14">
      <c r="N15742" s="113"/>
    </row>
    <row r="15743" spans="14:14">
      <c r="N15743" s="113"/>
    </row>
    <row r="15744" spans="14:14">
      <c r="N15744" s="113"/>
    </row>
    <row r="15745" spans="14:14">
      <c r="N15745" s="113"/>
    </row>
    <row r="15746" spans="14:14">
      <c r="N15746" s="113"/>
    </row>
    <row r="15747" spans="14:14">
      <c r="N15747" s="113"/>
    </row>
    <row r="15748" spans="14:14">
      <c r="N15748" s="113"/>
    </row>
    <row r="15749" spans="14:14">
      <c r="N15749" s="113"/>
    </row>
    <row r="15750" spans="14:14">
      <c r="N15750" s="113"/>
    </row>
    <row r="15751" spans="14:14">
      <c r="N15751" s="113"/>
    </row>
    <row r="15752" spans="14:14">
      <c r="N15752" s="113"/>
    </row>
    <row r="15753" spans="14:14">
      <c r="N15753" s="113"/>
    </row>
    <row r="15754" spans="14:14">
      <c r="N15754" s="113"/>
    </row>
    <row r="15755" spans="14:14">
      <c r="N15755" s="113"/>
    </row>
    <row r="15756" spans="14:14">
      <c r="N15756" s="113"/>
    </row>
    <row r="15757" spans="14:14">
      <c r="N15757" s="113"/>
    </row>
    <row r="15758" spans="14:14">
      <c r="N15758" s="113"/>
    </row>
    <row r="15759" spans="14:14">
      <c r="N15759" s="113"/>
    </row>
    <row r="15760" spans="14:14">
      <c r="N15760" s="113"/>
    </row>
    <row r="15761" spans="14:14">
      <c r="N15761" s="113"/>
    </row>
    <row r="15762" spans="14:14">
      <c r="N15762" s="113"/>
    </row>
    <row r="15763" spans="14:14">
      <c r="N15763" s="113"/>
    </row>
    <row r="15764" spans="14:14">
      <c r="N15764" s="113"/>
    </row>
    <row r="15765" spans="14:14">
      <c r="N15765" s="113"/>
    </row>
    <row r="15766" spans="14:14">
      <c r="N15766" s="113"/>
    </row>
    <row r="15767" spans="14:14">
      <c r="N15767" s="113"/>
    </row>
    <row r="15768" spans="14:14">
      <c r="N15768" s="113"/>
    </row>
    <row r="15769" spans="14:14">
      <c r="N15769" s="113"/>
    </row>
    <row r="15770" spans="14:14">
      <c r="N15770" s="113"/>
    </row>
    <row r="15771" spans="14:14">
      <c r="N15771" s="113"/>
    </row>
    <row r="15772" spans="14:14">
      <c r="N15772" s="113"/>
    </row>
    <row r="15773" spans="14:14">
      <c r="N15773" s="113"/>
    </row>
    <row r="15774" spans="14:14">
      <c r="N15774" s="113"/>
    </row>
    <row r="15775" spans="14:14">
      <c r="N15775" s="113"/>
    </row>
    <row r="15776" spans="14:14">
      <c r="N15776" s="113"/>
    </row>
    <row r="15777" spans="14:14">
      <c r="N15777" s="113"/>
    </row>
    <row r="15778" spans="14:14">
      <c r="N15778" s="113"/>
    </row>
    <row r="15779" spans="14:14">
      <c r="N15779" s="113"/>
    </row>
    <row r="15780" spans="14:14">
      <c r="N15780" s="113"/>
    </row>
    <row r="15781" spans="14:14">
      <c r="N15781" s="113"/>
    </row>
    <row r="15782" spans="14:14">
      <c r="N15782" s="113"/>
    </row>
    <row r="15783" spans="14:14">
      <c r="N15783" s="113"/>
    </row>
    <row r="15784" spans="14:14">
      <c r="N15784" s="113"/>
    </row>
    <row r="15785" spans="14:14">
      <c r="N15785" s="113"/>
    </row>
    <row r="15786" spans="14:14">
      <c r="N15786" s="113"/>
    </row>
    <row r="15787" spans="14:14">
      <c r="N15787" s="113"/>
    </row>
    <row r="15788" spans="14:14">
      <c r="N15788" s="113"/>
    </row>
    <row r="15789" spans="14:14">
      <c r="N15789" s="113"/>
    </row>
    <row r="15790" spans="14:14">
      <c r="N15790" s="113"/>
    </row>
    <row r="15791" spans="14:14">
      <c r="N15791" s="113"/>
    </row>
    <row r="15792" spans="14:14">
      <c r="N15792" s="113"/>
    </row>
    <row r="15793" spans="14:14">
      <c r="N15793" s="113"/>
    </row>
    <row r="15794" spans="14:14">
      <c r="N15794" s="113"/>
    </row>
    <row r="15795" spans="14:14">
      <c r="N15795" s="113"/>
    </row>
    <row r="15796" spans="14:14">
      <c r="N15796" s="113"/>
    </row>
    <row r="15797" spans="14:14">
      <c r="N15797" s="113"/>
    </row>
    <row r="15798" spans="14:14">
      <c r="N15798" s="113"/>
    </row>
    <row r="15799" spans="14:14">
      <c r="N15799" s="113"/>
    </row>
    <row r="15800" spans="14:14">
      <c r="N15800" s="113"/>
    </row>
    <row r="15801" spans="14:14">
      <c r="N15801" s="113"/>
    </row>
    <row r="15802" spans="14:14">
      <c r="N15802" s="113"/>
    </row>
    <row r="15803" spans="14:14">
      <c r="N15803" s="113"/>
    </row>
    <row r="15804" spans="14:14">
      <c r="N15804" s="113"/>
    </row>
    <row r="15805" spans="14:14">
      <c r="N15805" s="113"/>
    </row>
    <row r="15806" spans="14:14">
      <c r="N15806" s="113"/>
    </row>
    <row r="15807" spans="14:14">
      <c r="N15807" s="113"/>
    </row>
    <row r="15808" spans="14:14">
      <c r="N15808" s="113"/>
    </row>
    <row r="15809" spans="14:14">
      <c r="N15809" s="113"/>
    </row>
    <row r="15810" spans="14:14">
      <c r="N15810" s="113"/>
    </row>
    <row r="15811" spans="14:14">
      <c r="N15811" s="113"/>
    </row>
    <row r="15812" spans="14:14">
      <c r="N15812" s="113"/>
    </row>
    <row r="15813" spans="14:14">
      <c r="N15813" s="113"/>
    </row>
    <row r="15814" spans="14:14">
      <c r="N15814" s="113"/>
    </row>
    <row r="15815" spans="14:14">
      <c r="N15815" s="113"/>
    </row>
    <row r="15816" spans="14:14">
      <c r="N15816" s="113"/>
    </row>
    <row r="15817" spans="14:14">
      <c r="N15817" s="113"/>
    </row>
    <row r="15818" spans="14:14">
      <c r="N15818" s="113"/>
    </row>
    <row r="15819" spans="14:14">
      <c r="N15819" s="113"/>
    </row>
    <row r="15820" spans="14:14">
      <c r="N15820" s="113"/>
    </row>
    <row r="15821" spans="14:14">
      <c r="N15821" s="113"/>
    </row>
    <row r="15822" spans="14:14">
      <c r="N15822" s="113"/>
    </row>
    <row r="15823" spans="14:14">
      <c r="N15823" s="113"/>
    </row>
    <row r="15824" spans="14:14">
      <c r="N15824" s="113"/>
    </row>
    <row r="15825" spans="14:14">
      <c r="N15825" s="113"/>
    </row>
    <row r="15826" spans="14:14">
      <c r="N15826" s="113"/>
    </row>
    <row r="15827" spans="14:14">
      <c r="N15827" s="113"/>
    </row>
    <row r="15828" spans="14:14">
      <c r="N15828" s="113"/>
    </row>
    <row r="15829" spans="14:14">
      <c r="N15829" s="113"/>
    </row>
    <row r="15830" spans="14:14">
      <c r="N15830" s="113"/>
    </row>
    <row r="15831" spans="14:14">
      <c r="N15831" s="113"/>
    </row>
    <row r="15832" spans="14:14">
      <c r="N15832" s="113"/>
    </row>
    <row r="15833" spans="14:14">
      <c r="N15833" s="113"/>
    </row>
    <row r="15834" spans="14:14">
      <c r="N15834" s="113"/>
    </row>
    <row r="15835" spans="14:14">
      <c r="N15835" s="113"/>
    </row>
    <row r="15836" spans="14:14">
      <c r="N15836" s="113"/>
    </row>
    <row r="15837" spans="14:14">
      <c r="N15837" s="113"/>
    </row>
    <row r="15838" spans="14:14">
      <c r="N15838" s="113"/>
    </row>
    <row r="15839" spans="14:14">
      <c r="N15839" s="113"/>
    </row>
    <row r="15840" spans="14:14">
      <c r="N15840" s="113"/>
    </row>
    <row r="15841" spans="14:14">
      <c r="N15841" s="113"/>
    </row>
    <row r="15842" spans="14:14">
      <c r="N15842" s="113"/>
    </row>
    <row r="15843" spans="14:14">
      <c r="N15843" s="113"/>
    </row>
    <row r="15844" spans="14:14">
      <c r="N15844" s="113"/>
    </row>
    <row r="15845" spans="14:14">
      <c r="N15845" s="113"/>
    </row>
    <row r="15846" spans="14:14">
      <c r="N15846" s="113"/>
    </row>
    <row r="15847" spans="14:14">
      <c r="N15847" s="113"/>
    </row>
    <row r="15848" spans="14:14">
      <c r="N15848" s="113"/>
    </row>
    <row r="15849" spans="14:14">
      <c r="N15849" s="113"/>
    </row>
    <row r="15850" spans="14:14">
      <c r="N15850" s="113"/>
    </row>
    <row r="15851" spans="14:14">
      <c r="N15851" s="113"/>
    </row>
    <row r="15852" spans="14:14">
      <c r="N15852" s="113"/>
    </row>
    <row r="15853" spans="14:14">
      <c r="N15853" s="113"/>
    </row>
    <row r="15854" spans="14:14">
      <c r="N15854" s="113"/>
    </row>
    <row r="15855" spans="14:14">
      <c r="N15855" s="113"/>
    </row>
    <row r="15856" spans="14:14">
      <c r="N15856" s="113"/>
    </row>
    <row r="15857" spans="14:14">
      <c r="N15857" s="113"/>
    </row>
    <row r="15858" spans="14:14">
      <c r="N15858" s="113"/>
    </row>
    <row r="15859" spans="14:14">
      <c r="N15859" s="113"/>
    </row>
    <row r="15860" spans="14:14">
      <c r="N15860" s="113"/>
    </row>
    <row r="15861" spans="14:14">
      <c r="N15861" s="113"/>
    </row>
    <row r="15862" spans="14:14">
      <c r="N15862" s="113"/>
    </row>
    <row r="15863" spans="14:14">
      <c r="N15863" s="113"/>
    </row>
    <row r="15864" spans="14:14">
      <c r="N15864" s="113"/>
    </row>
    <row r="15865" spans="14:14">
      <c r="N15865" s="113"/>
    </row>
    <row r="15866" spans="14:14">
      <c r="N15866" s="113"/>
    </row>
    <row r="15867" spans="14:14">
      <c r="N15867" s="113"/>
    </row>
    <row r="15868" spans="14:14">
      <c r="N15868" s="113"/>
    </row>
    <row r="15869" spans="14:14">
      <c r="N15869" s="113"/>
    </row>
    <row r="15870" spans="14:14">
      <c r="N15870" s="113"/>
    </row>
    <row r="15871" spans="14:14">
      <c r="N15871" s="113"/>
    </row>
    <row r="15872" spans="14:14">
      <c r="N15872" s="113"/>
    </row>
    <row r="15873" spans="14:14">
      <c r="N15873" s="113"/>
    </row>
    <row r="15874" spans="14:14">
      <c r="N15874" s="113"/>
    </row>
    <row r="15875" spans="14:14">
      <c r="N15875" s="113"/>
    </row>
    <row r="15876" spans="14:14">
      <c r="N15876" s="113"/>
    </row>
    <row r="15877" spans="14:14">
      <c r="N15877" s="113"/>
    </row>
    <row r="15878" spans="14:14">
      <c r="N15878" s="113"/>
    </row>
    <row r="15879" spans="14:14">
      <c r="N15879" s="113"/>
    </row>
    <row r="15880" spans="14:14">
      <c r="N15880" s="113"/>
    </row>
    <row r="15881" spans="14:14">
      <c r="N15881" s="113"/>
    </row>
    <row r="15882" spans="14:14">
      <c r="N15882" s="113"/>
    </row>
    <row r="15883" spans="14:14">
      <c r="N15883" s="113"/>
    </row>
    <row r="15884" spans="14:14">
      <c r="N15884" s="113"/>
    </row>
    <row r="15885" spans="14:14">
      <c r="N15885" s="113"/>
    </row>
    <row r="15886" spans="14:14">
      <c r="N15886" s="113"/>
    </row>
    <row r="15887" spans="14:14">
      <c r="N15887" s="113"/>
    </row>
    <row r="15888" spans="14:14">
      <c r="N15888" s="113"/>
    </row>
    <row r="15889" spans="14:14">
      <c r="N15889" s="113"/>
    </row>
    <row r="15890" spans="14:14">
      <c r="N15890" s="113"/>
    </row>
    <row r="15891" spans="14:14">
      <c r="N15891" s="113"/>
    </row>
    <row r="15892" spans="14:14">
      <c r="N15892" s="113"/>
    </row>
    <row r="15893" spans="14:14">
      <c r="N15893" s="113"/>
    </row>
    <row r="15894" spans="14:14">
      <c r="N15894" s="113"/>
    </row>
    <row r="15895" spans="14:14">
      <c r="N15895" s="113"/>
    </row>
    <row r="15896" spans="14:14">
      <c r="N15896" s="113"/>
    </row>
    <row r="15897" spans="14:14">
      <c r="N15897" s="113"/>
    </row>
    <row r="15898" spans="14:14">
      <c r="N15898" s="113"/>
    </row>
    <row r="15899" spans="14:14">
      <c r="N15899" s="113"/>
    </row>
    <row r="15900" spans="14:14">
      <c r="N15900" s="113"/>
    </row>
    <row r="15901" spans="14:14">
      <c r="N15901" s="113"/>
    </row>
    <row r="15902" spans="14:14">
      <c r="N15902" s="113"/>
    </row>
    <row r="15903" spans="14:14">
      <c r="N15903" s="113"/>
    </row>
    <row r="15904" spans="14:14">
      <c r="N15904" s="113"/>
    </row>
    <row r="15905" spans="14:14">
      <c r="N15905" s="113"/>
    </row>
    <row r="15906" spans="14:14">
      <c r="N15906" s="113"/>
    </row>
    <row r="15907" spans="14:14">
      <c r="N15907" s="113"/>
    </row>
    <row r="15908" spans="14:14">
      <c r="N15908" s="113"/>
    </row>
    <row r="15909" spans="14:14">
      <c r="N15909" s="113"/>
    </row>
    <row r="15910" spans="14:14">
      <c r="N15910" s="113"/>
    </row>
    <row r="15911" spans="14:14">
      <c r="N15911" s="113"/>
    </row>
    <row r="15912" spans="14:14">
      <c r="N15912" s="113"/>
    </row>
    <row r="15913" spans="14:14">
      <c r="N15913" s="113"/>
    </row>
    <row r="15914" spans="14:14">
      <c r="N15914" s="113"/>
    </row>
    <row r="15915" spans="14:14">
      <c r="N15915" s="113"/>
    </row>
    <row r="15916" spans="14:14">
      <c r="N15916" s="113"/>
    </row>
    <row r="15917" spans="14:14">
      <c r="N15917" s="113"/>
    </row>
    <row r="15918" spans="14:14">
      <c r="N15918" s="113"/>
    </row>
    <row r="15919" spans="14:14">
      <c r="N15919" s="113"/>
    </row>
    <row r="15920" spans="14:14">
      <c r="N15920" s="113"/>
    </row>
    <row r="15921" spans="14:14">
      <c r="N15921" s="113"/>
    </row>
    <row r="15922" spans="14:14">
      <c r="N15922" s="113"/>
    </row>
    <row r="15923" spans="14:14">
      <c r="N15923" s="113"/>
    </row>
    <row r="15924" spans="14:14">
      <c r="N15924" s="113"/>
    </row>
    <row r="15925" spans="14:14">
      <c r="N15925" s="113"/>
    </row>
    <row r="15926" spans="14:14">
      <c r="N15926" s="113"/>
    </row>
    <row r="15927" spans="14:14">
      <c r="N15927" s="113"/>
    </row>
    <row r="15928" spans="14:14">
      <c r="N15928" s="113"/>
    </row>
    <row r="15929" spans="14:14">
      <c r="N15929" s="113"/>
    </row>
    <row r="15930" spans="14:14">
      <c r="N15930" s="113"/>
    </row>
    <row r="15931" spans="14:14">
      <c r="N15931" s="113"/>
    </row>
    <row r="15932" spans="14:14">
      <c r="N15932" s="113"/>
    </row>
    <row r="15933" spans="14:14">
      <c r="N15933" s="113"/>
    </row>
    <row r="15934" spans="14:14">
      <c r="N15934" s="113"/>
    </row>
    <row r="15935" spans="14:14">
      <c r="N15935" s="113"/>
    </row>
    <row r="15936" spans="14:14">
      <c r="N15936" s="113"/>
    </row>
    <row r="15937" spans="14:14">
      <c r="N15937" s="113"/>
    </row>
    <row r="15938" spans="14:14">
      <c r="N15938" s="113"/>
    </row>
    <row r="15939" spans="14:14">
      <c r="N15939" s="113"/>
    </row>
    <row r="15940" spans="14:14">
      <c r="N15940" s="113"/>
    </row>
    <row r="15941" spans="14:14">
      <c r="N15941" s="113"/>
    </row>
    <row r="15942" spans="14:14">
      <c r="N15942" s="113"/>
    </row>
    <row r="15943" spans="14:14">
      <c r="N15943" s="113"/>
    </row>
    <row r="15944" spans="14:14">
      <c r="N15944" s="113"/>
    </row>
    <row r="15945" spans="14:14">
      <c r="N15945" s="113"/>
    </row>
    <row r="15946" spans="14:14">
      <c r="N15946" s="113"/>
    </row>
    <row r="15947" spans="14:14">
      <c r="N15947" s="113"/>
    </row>
    <row r="15948" spans="14:14">
      <c r="N15948" s="113"/>
    </row>
    <row r="15949" spans="14:14">
      <c r="N15949" s="113"/>
    </row>
    <row r="15950" spans="14:14">
      <c r="N15950" s="113"/>
    </row>
    <row r="15951" spans="14:14">
      <c r="N15951" s="113"/>
    </row>
    <row r="15952" spans="14:14">
      <c r="N15952" s="113"/>
    </row>
    <row r="15953" spans="14:14">
      <c r="N15953" s="113"/>
    </row>
    <row r="15954" spans="14:14">
      <c r="N15954" s="113"/>
    </row>
    <row r="15955" spans="14:14">
      <c r="N15955" s="113"/>
    </row>
    <row r="15956" spans="14:14">
      <c r="N15956" s="113"/>
    </row>
    <row r="15957" spans="14:14">
      <c r="N15957" s="113"/>
    </row>
    <row r="15958" spans="14:14">
      <c r="N15958" s="113"/>
    </row>
    <row r="15959" spans="14:14">
      <c r="N15959" s="113"/>
    </row>
    <row r="15960" spans="14:14">
      <c r="N15960" s="113"/>
    </row>
    <row r="15961" spans="14:14">
      <c r="N15961" s="113"/>
    </row>
    <row r="15962" spans="14:14">
      <c r="N15962" s="113"/>
    </row>
    <row r="15963" spans="14:14">
      <c r="N15963" s="113"/>
    </row>
    <row r="15964" spans="14:14">
      <c r="N15964" s="113"/>
    </row>
    <row r="15965" spans="14:14">
      <c r="N15965" s="113"/>
    </row>
    <row r="15966" spans="14:14">
      <c r="N15966" s="113"/>
    </row>
    <row r="15967" spans="14:14">
      <c r="N15967" s="113"/>
    </row>
    <row r="15968" spans="14:14">
      <c r="N15968" s="113"/>
    </row>
    <row r="15969" spans="14:14">
      <c r="N15969" s="113"/>
    </row>
    <row r="15970" spans="14:14">
      <c r="N15970" s="113"/>
    </row>
    <row r="15971" spans="14:14">
      <c r="N15971" s="113"/>
    </row>
    <row r="15972" spans="14:14">
      <c r="N15972" s="113"/>
    </row>
    <row r="15973" spans="14:14">
      <c r="N15973" s="113"/>
    </row>
    <row r="15974" spans="14:14">
      <c r="N15974" s="113"/>
    </row>
    <row r="15975" spans="14:14">
      <c r="N15975" s="113"/>
    </row>
    <row r="15976" spans="14:14">
      <c r="N15976" s="113"/>
    </row>
    <row r="15977" spans="14:14">
      <c r="N15977" s="113"/>
    </row>
    <row r="15978" spans="14:14">
      <c r="N15978" s="113"/>
    </row>
    <row r="15979" spans="14:14">
      <c r="N15979" s="113"/>
    </row>
    <row r="15980" spans="14:14">
      <c r="N15980" s="113"/>
    </row>
    <row r="15981" spans="14:14">
      <c r="N15981" s="113"/>
    </row>
    <row r="15982" spans="14:14">
      <c r="N15982" s="113"/>
    </row>
    <row r="15983" spans="14:14">
      <c r="N15983" s="113"/>
    </row>
    <row r="15984" spans="14:14">
      <c r="N15984" s="113"/>
    </row>
    <row r="15985" spans="14:14">
      <c r="N15985" s="113"/>
    </row>
    <row r="15986" spans="14:14">
      <c r="N15986" s="113"/>
    </row>
    <row r="15987" spans="14:14">
      <c r="N15987" s="113"/>
    </row>
    <row r="15988" spans="14:14">
      <c r="N15988" s="113"/>
    </row>
    <row r="15989" spans="14:14">
      <c r="N15989" s="113"/>
    </row>
    <row r="15990" spans="14:14">
      <c r="N15990" s="113"/>
    </row>
    <row r="15991" spans="14:14">
      <c r="N15991" s="113"/>
    </row>
    <row r="15992" spans="14:14">
      <c r="N15992" s="113"/>
    </row>
    <row r="15993" spans="14:14">
      <c r="N15993" s="113"/>
    </row>
    <row r="15994" spans="14:14">
      <c r="N15994" s="113"/>
    </row>
    <row r="15995" spans="14:14">
      <c r="N15995" s="113"/>
    </row>
    <row r="15996" spans="14:14">
      <c r="N15996" s="113"/>
    </row>
    <row r="15997" spans="14:14">
      <c r="N15997" s="113"/>
    </row>
    <row r="15998" spans="14:14">
      <c r="N15998" s="113"/>
    </row>
    <row r="15999" spans="14:14">
      <c r="N15999" s="113"/>
    </row>
    <row r="16000" spans="14:14">
      <c r="N16000" s="113"/>
    </row>
    <row r="16001" spans="14:14">
      <c r="N16001" s="113"/>
    </row>
    <row r="16002" spans="14:14">
      <c r="N16002" s="113"/>
    </row>
    <row r="16003" spans="14:14">
      <c r="N16003" s="113"/>
    </row>
    <row r="16004" spans="14:14">
      <c r="N16004" s="113"/>
    </row>
    <row r="16005" spans="14:14">
      <c r="N16005" s="113"/>
    </row>
    <row r="16006" spans="14:14">
      <c r="N16006" s="113"/>
    </row>
    <row r="16007" spans="14:14">
      <c r="N16007" s="113"/>
    </row>
    <row r="16008" spans="14:14">
      <c r="N16008" s="113"/>
    </row>
    <row r="16009" spans="14:14">
      <c r="N16009" s="113"/>
    </row>
    <row r="16010" spans="14:14">
      <c r="N16010" s="113"/>
    </row>
    <row r="16011" spans="14:14">
      <c r="N16011" s="113"/>
    </row>
    <row r="16012" spans="14:14">
      <c r="N16012" s="113"/>
    </row>
    <row r="16013" spans="14:14">
      <c r="N16013" s="113"/>
    </row>
    <row r="16014" spans="14:14">
      <c r="N16014" s="113"/>
    </row>
    <row r="16015" spans="14:14">
      <c r="N16015" s="113"/>
    </row>
    <row r="16016" spans="14:14">
      <c r="N16016" s="113"/>
    </row>
    <row r="16017" spans="14:14">
      <c r="N16017" s="113"/>
    </row>
    <row r="16018" spans="14:14">
      <c r="N16018" s="113"/>
    </row>
    <row r="16019" spans="14:14">
      <c r="N16019" s="113"/>
    </row>
    <row r="16020" spans="14:14">
      <c r="N16020" s="113"/>
    </row>
    <row r="16021" spans="14:14">
      <c r="N16021" s="113"/>
    </row>
    <row r="16022" spans="14:14">
      <c r="N16022" s="113"/>
    </row>
    <row r="16023" spans="14:14">
      <c r="N16023" s="113"/>
    </row>
    <row r="16024" spans="14:14">
      <c r="N16024" s="113"/>
    </row>
    <row r="16025" spans="14:14">
      <c r="N16025" s="113"/>
    </row>
    <row r="16026" spans="14:14">
      <c r="N16026" s="113"/>
    </row>
    <row r="16027" spans="14:14">
      <c r="N16027" s="113"/>
    </row>
    <row r="16028" spans="14:14">
      <c r="N16028" s="113"/>
    </row>
    <row r="16029" spans="14:14">
      <c r="N16029" s="113"/>
    </row>
    <row r="16030" spans="14:14">
      <c r="N16030" s="113"/>
    </row>
    <row r="16031" spans="14:14">
      <c r="N16031" s="113"/>
    </row>
    <row r="16032" spans="14:14">
      <c r="N16032" s="113"/>
    </row>
    <row r="16033" spans="14:14">
      <c r="N16033" s="113"/>
    </row>
    <row r="16034" spans="14:14">
      <c r="N16034" s="113"/>
    </row>
    <row r="16035" spans="14:14">
      <c r="N16035" s="113"/>
    </row>
    <row r="16036" spans="14:14">
      <c r="N16036" s="113"/>
    </row>
    <row r="16037" spans="14:14">
      <c r="N16037" s="113"/>
    </row>
    <row r="16038" spans="14:14">
      <c r="N16038" s="113"/>
    </row>
    <row r="16039" spans="14:14">
      <c r="N16039" s="113"/>
    </row>
    <row r="16040" spans="14:14">
      <c r="N16040" s="113"/>
    </row>
    <row r="16041" spans="14:14">
      <c r="N16041" s="113"/>
    </row>
    <row r="16042" spans="14:14">
      <c r="N16042" s="113"/>
    </row>
    <row r="16043" spans="14:14">
      <c r="N16043" s="113"/>
    </row>
    <row r="16044" spans="14:14">
      <c r="N16044" s="113"/>
    </row>
    <row r="16045" spans="14:14">
      <c r="N16045" s="113"/>
    </row>
    <row r="16046" spans="14:14">
      <c r="N16046" s="113"/>
    </row>
    <row r="16047" spans="14:14">
      <c r="N16047" s="113"/>
    </row>
    <row r="16048" spans="14:14">
      <c r="N16048" s="113"/>
    </row>
    <row r="16049" spans="14:14">
      <c r="N16049" s="113"/>
    </row>
    <row r="16050" spans="14:14">
      <c r="N16050" s="113"/>
    </row>
    <row r="16051" spans="14:14">
      <c r="N16051" s="113"/>
    </row>
    <row r="16052" spans="14:14">
      <c r="N16052" s="113"/>
    </row>
    <row r="16053" spans="14:14">
      <c r="N16053" s="113"/>
    </row>
    <row r="16054" spans="14:14">
      <c r="N16054" s="113"/>
    </row>
    <row r="16055" spans="14:14">
      <c r="N16055" s="113"/>
    </row>
    <row r="16056" spans="14:14">
      <c r="N16056" s="113"/>
    </row>
    <row r="16057" spans="14:14">
      <c r="N16057" s="113"/>
    </row>
    <row r="16058" spans="14:14">
      <c r="N16058" s="113"/>
    </row>
    <row r="16059" spans="14:14">
      <c r="N16059" s="113"/>
    </row>
    <row r="16060" spans="14:14">
      <c r="N16060" s="113"/>
    </row>
    <row r="16061" spans="14:14">
      <c r="N16061" s="113"/>
    </row>
    <row r="16062" spans="14:14">
      <c r="N16062" s="113"/>
    </row>
    <row r="16063" spans="14:14">
      <c r="N16063" s="113"/>
    </row>
    <row r="16064" spans="14:14">
      <c r="N16064" s="113"/>
    </row>
    <row r="16065" spans="14:14">
      <c r="N16065" s="113"/>
    </row>
    <row r="16066" spans="14:14">
      <c r="N16066" s="113"/>
    </row>
    <row r="16067" spans="14:14">
      <c r="N16067" s="113"/>
    </row>
    <row r="16068" spans="14:14">
      <c r="N16068" s="113"/>
    </row>
    <row r="16069" spans="14:14">
      <c r="N16069" s="113"/>
    </row>
    <row r="16070" spans="14:14">
      <c r="N16070" s="113"/>
    </row>
    <row r="16071" spans="14:14">
      <c r="N16071" s="113"/>
    </row>
    <row r="16072" spans="14:14">
      <c r="N16072" s="113"/>
    </row>
    <row r="16073" spans="14:14">
      <c r="N16073" s="113"/>
    </row>
    <row r="16074" spans="14:14">
      <c r="N16074" s="113"/>
    </row>
    <row r="16075" spans="14:14">
      <c r="N16075" s="113"/>
    </row>
    <row r="16076" spans="14:14">
      <c r="N16076" s="113"/>
    </row>
    <row r="16077" spans="14:14">
      <c r="N16077" s="113"/>
    </row>
    <row r="16078" spans="14:14">
      <c r="N16078" s="113"/>
    </row>
    <row r="16079" spans="14:14">
      <c r="N16079" s="113"/>
    </row>
    <row r="16080" spans="14:14">
      <c r="N16080" s="113"/>
    </row>
    <row r="16081" spans="14:14">
      <c r="N16081" s="113"/>
    </row>
    <row r="16082" spans="14:14">
      <c r="N16082" s="113"/>
    </row>
    <row r="16083" spans="14:14">
      <c r="N16083" s="113"/>
    </row>
    <row r="16084" spans="14:14">
      <c r="N16084" s="113"/>
    </row>
    <row r="16085" spans="14:14">
      <c r="N16085" s="113"/>
    </row>
    <row r="16086" spans="14:14">
      <c r="N16086" s="113"/>
    </row>
    <row r="16087" spans="14:14">
      <c r="N16087" s="113"/>
    </row>
    <row r="16088" spans="14:14">
      <c r="N16088" s="113"/>
    </row>
    <row r="16089" spans="14:14">
      <c r="N16089" s="113"/>
    </row>
    <row r="16090" spans="14:14">
      <c r="N16090" s="113"/>
    </row>
    <row r="16091" spans="14:14">
      <c r="N16091" s="113"/>
    </row>
    <row r="16092" spans="14:14">
      <c r="N16092" s="113"/>
    </row>
    <row r="16093" spans="14:14">
      <c r="N16093" s="113"/>
    </row>
    <row r="16094" spans="14:14">
      <c r="N16094" s="113"/>
    </row>
    <row r="16095" spans="14:14">
      <c r="N16095" s="113"/>
    </row>
    <row r="16096" spans="14:14">
      <c r="N16096" s="113"/>
    </row>
    <row r="16097" spans="14:14">
      <c r="N16097" s="113"/>
    </row>
    <row r="16098" spans="14:14">
      <c r="N16098" s="113"/>
    </row>
    <row r="16099" spans="14:14">
      <c r="N16099" s="113"/>
    </row>
    <row r="16100" spans="14:14">
      <c r="N16100" s="113"/>
    </row>
    <row r="16101" spans="14:14">
      <c r="N16101" s="113"/>
    </row>
    <row r="16102" spans="14:14">
      <c r="N16102" s="113"/>
    </row>
    <row r="16103" spans="14:14">
      <c r="N16103" s="113"/>
    </row>
    <row r="16104" spans="14:14">
      <c r="N16104" s="113"/>
    </row>
    <row r="16105" spans="14:14">
      <c r="N16105" s="113"/>
    </row>
    <row r="16106" spans="14:14">
      <c r="N16106" s="113"/>
    </row>
    <row r="16107" spans="14:14">
      <c r="N16107" s="113"/>
    </row>
    <row r="16108" spans="14:14">
      <c r="N16108" s="113"/>
    </row>
    <row r="16109" spans="14:14">
      <c r="N16109" s="113"/>
    </row>
    <row r="16110" spans="14:14">
      <c r="N16110" s="113"/>
    </row>
    <row r="16111" spans="14:14">
      <c r="N16111" s="113"/>
    </row>
    <row r="16112" spans="14:14">
      <c r="N16112" s="113"/>
    </row>
    <row r="16113" spans="14:14">
      <c r="N16113" s="113"/>
    </row>
    <row r="16114" spans="14:14">
      <c r="N16114" s="113"/>
    </row>
    <row r="16115" spans="14:14">
      <c r="N16115" s="113"/>
    </row>
    <row r="16116" spans="14:14">
      <c r="N16116" s="113"/>
    </row>
    <row r="16117" spans="14:14">
      <c r="N16117" s="113"/>
    </row>
    <row r="16118" spans="14:14">
      <c r="N16118" s="113"/>
    </row>
    <row r="16119" spans="14:14">
      <c r="N16119" s="113"/>
    </row>
    <row r="16120" spans="14:14">
      <c r="N16120" s="113"/>
    </row>
    <row r="16121" spans="14:14">
      <c r="N16121" s="113"/>
    </row>
    <row r="16122" spans="14:14">
      <c r="N16122" s="113"/>
    </row>
    <row r="16123" spans="14:14">
      <c r="N16123" s="113"/>
    </row>
    <row r="16124" spans="14:14">
      <c r="N16124" s="113"/>
    </row>
    <row r="16125" spans="14:14">
      <c r="N16125" s="113"/>
    </row>
    <row r="16126" spans="14:14">
      <c r="N16126" s="113"/>
    </row>
    <row r="16127" spans="14:14">
      <c r="N16127" s="113"/>
    </row>
    <row r="16128" spans="14:14">
      <c r="N16128" s="113"/>
    </row>
    <row r="16129" spans="14:14">
      <c r="N16129" s="113"/>
    </row>
    <row r="16130" spans="14:14">
      <c r="N16130" s="113"/>
    </row>
    <row r="16131" spans="14:14">
      <c r="N16131" s="113"/>
    </row>
    <row r="16132" spans="14:14">
      <c r="N16132" s="113"/>
    </row>
    <row r="16133" spans="14:14">
      <c r="N16133" s="113"/>
    </row>
    <row r="16134" spans="14:14">
      <c r="N16134" s="113"/>
    </row>
    <row r="16135" spans="14:14">
      <c r="N16135" s="113"/>
    </row>
    <row r="16136" spans="14:14">
      <c r="N16136" s="113"/>
    </row>
    <row r="16137" spans="14:14">
      <c r="N16137" s="113"/>
    </row>
    <row r="16138" spans="14:14">
      <c r="N16138" s="113"/>
    </row>
    <row r="16139" spans="14:14">
      <c r="N16139" s="113"/>
    </row>
    <row r="16140" spans="14:14">
      <c r="N16140" s="113"/>
    </row>
    <row r="16141" spans="14:14">
      <c r="N16141" s="113"/>
    </row>
    <row r="16142" spans="14:14">
      <c r="N16142" s="113"/>
    </row>
    <row r="16143" spans="14:14">
      <c r="N16143" s="113"/>
    </row>
    <row r="16144" spans="14:14">
      <c r="N16144" s="113"/>
    </row>
    <row r="16145" spans="14:14">
      <c r="N16145" s="113"/>
    </row>
    <row r="16146" spans="14:14">
      <c r="N16146" s="113"/>
    </row>
    <row r="16147" spans="14:14">
      <c r="N16147" s="113"/>
    </row>
    <row r="16148" spans="14:14">
      <c r="N16148" s="113"/>
    </row>
    <row r="16149" spans="14:14">
      <c r="N16149" s="113"/>
    </row>
    <row r="16150" spans="14:14">
      <c r="N16150" s="113"/>
    </row>
    <row r="16151" spans="14:14">
      <c r="N16151" s="113"/>
    </row>
    <row r="16152" spans="14:14">
      <c r="N16152" s="113"/>
    </row>
    <row r="16153" spans="14:14">
      <c r="N16153" s="113"/>
    </row>
    <row r="16154" spans="14:14">
      <c r="N16154" s="113"/>
    </row>
    <row r="16155" spans="14:14">
      <c r="N16155" s="113"/>
    </row>
    <row r="16156" spans="14:14">
      <c r="N16156" s="113"/>
    </row>
    <row r="16157" spans="14:14">
      <c r="N16157" s="113"/>
    </row>
    <row r="16158" spans="14:14">
      <c r="N16158" s="113"/>
    </row>
    <row r="16159" spans="14:14">
      <c r="N16159" s="113"/>
    </row>
    <row r="16160" spans="14:14">
      <c r="N16160" s="113"/>
    </row>
    <row r="16161" spans="14:14">
      <c r="N16161" s="113"/>
    </row>
    <row r="16162" spans="14:14">
      <c r="N16162" s="113"/>
    </row>
    <row r="16163" spans="14:14">
      <c r="N16163" s="113"/>
    </row>
    <row r="16164" spans="14:14">
      <c r="N16164" s="113"/>
    </row>
    <row r="16165" spans="14:14">
      <c r="N16165" s="113"/>
    </row>
    <row r="16166" spans="14:14">
      <c r="N16166" s="113"/>
    </row>
    <row r="16167" spans="14:14">
      <c r="N16167" s="113"/>
    </row>
    <row r="16168" spans="14:14">
      <c r="N16168" s="113"/>
    </row>
    <row r="16169" spans="14:14">
      <c r="N16169" s="113"/>
    </row>
    <row r="16170" spans="14:14">
      <c r="N16170" s="113"/>
    </row>
    <row r="16171" spans="14:14">
      <c r="N16171" s="113"/>
    </row>
    <row r="16172" spans="14:14">
      <c r="N16172" s="113"/>
    </row>
    <row r="16173" spans="14:14">
      <c r="N16173" s="113"/>
    </row>
    <row r="16174" spans="14:14">
      <c r="N16174" s="113"/>
    </row>
    <row r="16175" spans="14:14">
      <c r="N16175" s="113"/>
    </row>
    <row r="16176" spans="14:14">
      <c r="N16176" s="113"/>
    </row>
    <row r="16177" spans="14:14">
      <c r="N16177" s="113"/>
    </row>
    <row r="16178" spans="14:14">
      <c r="N16178" s="113"/>
    </row>
    <row r="16179" spans="14:14">
      <c r="N16179" s="113"/>
    </row>
    <row r="16180" spans="14:14">
      <c r="N16180" s="113"/>
    </row>
    <row r="16181" spans="14:14">
      <c r="N16181" s="113"/>
    </row>
    <row r="16182" spans="14:14">
      <c r="N16182" s="113"/>
    </row>
    <row r="16183" spans="14:14">
      <c r="N16183" s="113"/>
    </row>
    <row r="16184" spans="14:14">
      <c r="N16184" s="113"/>
    </row>
    <row r="16185" spans="14:14">
      <c r="N16185" s="113"/>
    </row>
    <row r="16186" spans="14:14">
      <c r="N16186" s="113"/>
    </row>
    <row r="16187" spans="14:14">
      <c r="N16187" s="113"/>
    </row>
    <row r="16188" spans="14:14">
      <c r="N16188" s="113"/>
    </row>
    <row r="16189" spans="14:14">
      <c r="N16189" s="113"/>
    </row>
    <row r="16190" spans="14:14">
      <c r="N16190" s="113"/>
    </row>
    <row r="16191" spans="14:14">
      <c r="N16191" s="113"/>
    </row>
    <row r="16192" spans="14:14">
      <c r="N16192" s="113"/>
    </row>
    <row r="16193" spans="14:14">
      <c r="N16193" s="113"/>
    </row>
    <row r="16194" spans="14:14">
      <c r="N16194" s="113"/>
    </row>
    <row r="16195" spans="14:14">
      <c r="N16195" s="113"/>
    </row>
    <row r="16196" spans="14:14">
      <c r="N16196" s="113"/>
    </row>
    <row r="16197" spans="14:14">
      <c r="N16197" s="113"/>
    </row>
    <row r="16198" spans="14:14">
      <c r="N16198" s="113"/>
    </row>
    <row r="16199" spans="14:14">
      <c r="N16199" s="113"/>
    </row>
    <row r="16200" spans="14:14">
      <c r="N16200" s="113"/>
    </row>
    <row r="16201" spans="14:14">
      <c r="N16201" s="113"/>
    </row>
    <row r="16202" spans="14:14">
      <c r="N16202" s="113"/>
    </row>
    <row r="16203" spans="14:14">
      <c r="N16203" s="113"/>
    </row>
    <row r="16204" spans="14:14">
      <c r="N16204" s="113"/>
    </row>
    <row r="16205" spans="14:14">
      <c r="N16205" s="113"/>
    </row>
    <row r="16206" spans="14:14">
      <c r="N16206" s="113"/>
    </row>
    <row r="16207" spans="14:14">
      <c r="N16207" s="113"/>
    </row>
    <row r="16208" spans="14:14">
      <c r="N16208" s="113"/>
    </row>
    <row r="16209" spans="14:14">
      <c r="N16209" s="113"/>
    </row>
    <row r="16210" spans="14:14">
      <c r="N16210" s="113"/>
    </row>
    <row r="16211" spans="14:14">
      <c r="N16211" s="113"/>
    </row>
    <row r="16212" spans="14:14">
      <c r="N16212" s="113"/>
    </row>
    <row r="16213" spans="14:14">
      <c r="N16213" s="113"/>
    </row>
    <row r="16214" spans="14:14">
      <c r="N16214" s="113"/>
    </row>
    <row r="16215" spans="14:14">
      <c r="N16215" s="113"/>
    </row>
    <row r="16216" spans="14:14">
      <c r="N16216" s="113"/>
    </row>
    <row r="16217" spans="14:14">
      <c r="N16217" s="113"/>
    </row>
    <row r="16218" spans="14:14">
      <c r="N16218" s="113"/>
    </row>
    <row r="16219" spans="14:14">
      <c r="N16219" s="113"/>
    </row>
    <row r="16220" spans="14:14">
      <c r="N16220" s="113"/>
    </row>
    <row r="16221" spans="14:14">
      <c r="N16221" s="113"/>
    </row>
    <row r="16222" spans="14:14">
      <c r="N16222" s="113"/>
    </row>
    <row r="16223" spans="14:14">
      <c r="N16223" s="113"/>
    </row>
    <row r="16224" spans="14:14">
      <c r="N16224" s="113"/>
    </row>
    <row r="16225" spans="14:14">
      <c r="N16225" s="113"/>
    </row>
    <row r="16226" spans="14:14">
      <c r="N16226" s="113"/>
    </row>
    <row r="16227" spans="14:14">
      <c r="N16227" s="113"/>
    </row>
    <row r="16228" spans="14:14">
      <c r="N16228" s="113"/>
    </row>
    <row r="16229" spans="14:14">
      <c r="N16229" s="113"/>
    </row>
    <row r="16230" spans="14:14">
      <c r="N16230" s="113"/>
    </row>
    <row r="16231" spans="14:14">
      <c r="N16231" s="113"/>
    </row>
    <row r="16232" spans="14:14">
      <c r="N16232" s="113"/>
    </row>
    <row r="16233" spans="14:14">
      <c r="N16233" s="113"/>
    </row>
    <row r="16234" spans="14:14">
      <c r="N16234" s="113"/>
    </row>
    <row r="16235" spans="14:14">
      <c r="N16235" s="113"/>
    </row>
    <row r="16236" spans="14:14">
      <c r="N16236" s="113"/>
    </row>
    <row r="16237" spans="14:14">
      <c r="N16237" s="113"/>
    </row>
    <row r="16238" spans="14:14">
      <c r="N16238" s="113"/>
    </row>
    <row r="16239" spans="14:14">
      <c r="N16239" s="113"/>
    </row>
    <row r="16240" spans="14:14">
      <c r="N16240" s="113"/>
    </row>
    <row r="16241" spans="14:14">
      <c r="N16241" s="113"/>
    </row>
    <row r="16242" spans="14:14">
      <c r="N16242" s="113"/>
    </row>
    <row r="16243" spans="14:14">
      <c r="N16243" s="113"/>
    </row>
    <row r="16244" spans="14:14">
      <c r="N16244" s="113"/>
    </row>
    <row r="16245" spans="14:14">
      <c r="N16245" s="113"/>
    </row>
    <row r="16246" spans="14:14">
      <c r="N16246" s="113"/>
    </row>
    <row r="16247" spans="14:14">
      <c r="N16247" s="113"/>
    </row>
    <row r="16248" spans="14:14">
      <c r="N16248" s="113"/>
    </row>
    <row r="16249" spans="14:14">
      <c r="N16249" s="113"/>
    </row>
    <row r="16250" spans="14:14">
      <c r="N16250" s="113"/>
    </row>
    <row r="16251" spans="14:14">
      <c r="N16251" s="113"/>
    </row>
    <row r="16252" spans="14:14">
      <c r="N16252" s="113"/>
    </row>
    <row r="16253" spans="14:14">
      <c r="N16253" s="113"/>
    </row>
    <row r="16254" spans="14:14">
      <c r="N16254" s="113"/>
    </row>
    <row r="16255" spans="14:14">
      <c r="N16255" s="113"/>
    </row>
    <row r="16256" spans="14:14">
      <c r="N16256" s="113"/>
    </row>
    <row r="16257" spans="14:14">
      <c r="N16257" s="113"/>
    </row>
    <row r="16258" spans="14:14">
      <c r="N16258" s="113"/>
    </row>
    <row r="16259" spans="14:14">
      <c r="N16259" s="113"/>
    </row>
    <row r="16260" spans="14:14">
      <c r="N16260" s="113"/>
    </row>
    <row r="16261" spans="14:14">
      <c r="N16261" s="113"/>
    </row>
    <row r="16262" spans="14:14">
      <c r="N16262" s="113"/>
    </row>
    <row r="16263" spans="14:14">
      <c r="N16263" s="113"/>
    </row>
    <row r="16264" spans="14:14">
      <c r="N16264" s="113"/>
    </row>
    <row r="16265" spans="14:14">
      <c r="N16265" s="113"/>
    </row>
    <row r="16266" spans="14:14">
      <c r="N16266" s="113"/>
    </row>
    <row r="16267" spans="14:14">
      <c r="N16267" s="113"/>
    </row>
    <row r="16268" spans="14:14">
      <c r="N16268" s="113"/>
    </row>
    <row r="16269" spans="14:14">
      <c r="N16269" s="113"/>
    </row>
    <row r="16270" spans="14:14">
      <c r="N16270" s="113"/>
    </row>
    <row r="16271" spans="14:14">
      <c r="N16271" s="113"/>
    </row>
    <row r="16272" spans="14:14">
      <c r="N16272" s="113"/>
    </row>
    <row r="16273" spans="14:14">
      <c r="N16273" s="113"/>
    </row>
    <row r="16274" spans="14:14">
      <c r="N16274" s="113"/>
    </row>
    <row r="16275" spans="14:14">
      <c r="N16275" s="113"/>
    </row>
    <row r="16276" spans="14:14">
      <c r="N16276" s="113"/>
    </row>
    <row r="16277" spans="14:14">
      <c r="N16277" s="113"/>
    </row>
    <row r="16278" spans="14:14">
      <c r="N16278" s="113"/>
    </row>
    <row r="16279" spans="14:14">
      <c r="N16279" s="113"/>
    </row>
    <row r="16280" spans="14:14">
      <c r="N16280" s="113"/>
    </row>
    <row r="16281" spans="14:14">
      <c r="N16281" s="113"/>
    </row>
    <row r="16282" spans="14:14">
      <c r="N16282" s="113"/>
    </row>
    <row r="16283" spans="14:14">
      <c r="N16283" s="113"/>
    </row>
    <row r="16284" spans="14:14">
      <c r="N16284" s="113"/>
    </row>
    <row r="16285" spans="14:14">
      <c r="N16285" s="113"/>
    </row>
    <row r="16286" spans="14:14">
      <c r="N16286" s="113"/>
    </row>
    <row r="16287" spans="14:14">
      <c r="N16287" s="113"/>
    </row>
    <row r="16288" spans="14:14">
      <c r="N16288" s="113"/>
    </row>
    <row r="16289" spans="14:14">
      <c r="N16289" s="113"/>
    </row>
    <row r="16290" spans="14:14">
      <c r="N16290" s="113"/>
    </row>
    <row r="16291" spans="14:14">
      <c r="N16291" s="113"/>
    </row>
    <row r="16292" spans="14:14">
      <c r="N16292" s="113"/>
    </row>
    <row r="16293" spans="14:14">
      <c r="N16293" s="113"/>
    </row>
    <row r="16294" spans="14:14">
      <c r="N16294" s="113"/>
    </row>
    <row r="16295" spans="14:14">
      <c r="N16295" s="113"/>
    </row>
    <row r="16296" spans="14:14">
      <c r="N16296" s="113"/>
    </row>
    <row r="16297" spans="14:14">
      <c r="N16297" s="113"/>
    </row>
    <row r="16298" spans="14:14">
      <c r="N16298" s="113"/>
    </row>
    <row r="16299" spans="14:14">
      <c r="N16299" s="113"/>
    </row>
    <row r="16300" spans="14:14">
      <c r="N16300" s="113"/>
    </row>
    <row r="16301" spans="14:14">
      <c r="N16301" s="113"/>
    </row>
    <row r="16302" spans="14:14">
      <c r="N16302" s="113"/>
    </row>
    <row r="16303" spans="14:14">
      <c r="N16303" s="113"/>
    </row>
    <row r="16304" spans="14:14">
      <c r="N16304" s="113"/>
    </row>
    <row r="16305" spans="14:14">
      <c r="N16305" s="113"/>
    </row>
    <row r="16306" spans="14:14">
      <c r="N16306" s="113"/>
    </row>
    <row r="16307" spans="14:14">
      <c r="N16307" s="113"/>
    </row>
    <row r="16308" spans="14:14">
      <c r="N16308" s="113"/>
    </row>
    <row r="16309" spans="14:14">
      <c r="N16309" s="113"/>
    </row>
    <row r="16310" spans="14:14">
      <c r="N16310" s="113"/>
    </row>
    <row r="16311" spans="14:14">
      <c r="N16311" s="113"/>
    </row>
    <row r="16312" spans="14:14">
      <c r="N16312" s="113"/>
    </row>
    <row r="16313" spans="14:14">
      <c r="N16313" s="113"/>
    </row>
    <row r="16314" spans="14:14">
      <c r="N16314" s="113"/>
    </row>
    <row r="16315" spans="14:14">
      <c r="N16315" s="113"/>
    </row>
    <row r="16316" spans="14:14">
      <c r="N16316" s="113"/>
    </row>
    <row r="16317" spans="14:14">
      <c r="N16317" s="113"/>
    </row>
    <row r="16318" spans="14:14">
      <c r="N16318" s="113"/>
    </row>
    <row r="16319" spans="14:14">
      <c r="N16319" s="113"/>
    </row>
    <row r="16320" spans="14:14">
      <c r="N16320" s="113"/>
    </row>
    <row r="16321" spans="14:14">
      <c r="N16321" s="113"/>
    </row>
    <row r="16322" spans="14:14">
      <c r="N16322" s="113"/>
    </row>
    <row r="16323" spans="14:14">
      <c r="N16323" s="113"/>
    </row>
    <row r="16324" spans="14:14">
      <c r="N16324" s="113"/>
    </row>
    <row r="16325" spans="14:14">
      <c r="N16325" s="113"/>
    </row>
    <row r="16326" spans="14:14">
      <c r="N16326" s="113"/>
    </row>
    <row r="16327" spans="14:14">
      <c r="N16327" s="113"/>
    </row>
    <row r="16328" spans="14:14">
      <c r="N16328" s="113"/>
    </row>
    <row r="16329" spans="14:14">
      <c r="N16329" s="113"/>
    </row>
    <row r="16330" spans="14:14">
      <c r="N16330" s="113"/>
    </row>
    <row r="16331" spans="14:14">
      <c r="N16331" s="113"/>
    </row>
    <row r="16332" spans="14:14">
      <c r="N16332" s="113"/>
    </row>
    <row r="16333" spans="14:14">
      <c r="N16333" s="113"/>
    </row>
    <row r="16334" spans="14:14">
      <c r="N16334" s="113"/>
    </row>
    <row r="16335" spans="14:14">
      <c r="N16335" s="113"/>
    </row>
    <row r="16336" spans="14:14">
      <c r="N16336" s="113"/>
    </row>
    <row r="16337" spans="14:14">
      <c r="N16337" s="113"/>
    </row>
    <row r="16338" spans="14:14">
      <c r="N16338" s="113"/>
    </row>
    <row r="16339" spans="14:14">
      <c r="N16339" s="113"/>
    </row>
    <row r="16340" spans="14:14">
      <c r="N16340" s="113"/>
    </row>
    <row r="16341" spans="14:14">
      <c r="N16341" s="113"/>
    </row>
    <row r="16342" spans="14:14">
      <c r="N16342" s="113"/>
    </row>
    <row r="16343" spans="14:14">
      <c r="N16343" s="113"/>
    </row>
    <row r="16344" spans="14:14">
      <c r="N16344" s="113"/>
    </row>
    <row r="16345" spans="14:14">
      <c r="N16345" s="113"/>
    </row>
    <row r="16346" spans="14:14">
      <c r="N16346" s="113"/>
    </row>
    <row r="16347" spans="14:14">
      <c r="N16347" s="113"/>
    </row>
    <row r="16348" spans="14:14">
      <c r="N16348" s="113"/>
    </row>
    <row r="16349" spans="14:14">
      <c r="N16349" s="113"/>
    </row>
    <row r="16350" spans="14:14">
      <c r="N16350" s="113"/>
    </row>
    <row r="16351" spans="14:14">
      <c r="N16351" s="113"/>
    </row>
    <row r="16352" spans="14:14">
      <c r="N16352" s="113"/>
    </row>
    <row r="16353" spans="14:14">
      <c r="N16353" s="113"/>
    </row>
    <row r="16354" spans="14:14">
      <c r="N16354" s="113"/>
    </row>
    <row r="16355" spans="14:14">
      <c r="N16355" s="113"/>
    </row>
    <row r="16356" spans="14:14">
      <c r="N16356" s="113"/>
    </row>
    <row r="16357" spans="14:14">
      <c r="N16357" s="113"/>
    </row>
    <row r="16358" spans="14:14">
      <c r="N16358" s="113"/>
    </row>
    <row r="16359" spans="14:14">
      <c r="N16359" s="113"/>
    </row>
    <row r="16360" spans="14:14">
      <c r="N16360" s="113"/>
    </row>
    <row r="16361" spans="14:14">
      <c r="N16361" s="113"/>
    </row>
    <row r="16362" spans="14:14">
      <c r="N16362" s="113"/>
    </row>
    <row r="16363" spans="14:14">
      <c r="N16363" s="113"/>
    </row>
    <row r="16364" spans="14:14">
      <c r="N16364" s="113"/>
    </row>
    <row r="16365" spans="14:14">
      <c r="N16365" s="113"/>
    </row>
    <row r="16366" spans="14:14">
      <c r="N16366" s="113"/>
    </row>
    <row r="16367" spans="14:14">
      <c r="N16367" s="113"/>
    </row>
    <row r="16368" spans="14:14">
      <c r="N16368" s="113"/>
    </row>
    <row r="16369" spans="14:14">
      <c r="N16369" s="113"/>
    </row>
    <row r="16370" spans="14:14">
      <c r="N16370" s="113"/>
    </row>
    <row r="16371" spans="14:14">
      <c r="N16371" s="113"/>
    </row>
    <row r="16372" spans="14:14">
      <c r="N16372" s="113"/>
    </row>
    <row r="16373" spans="14:14">
      <c r="N16373" s="113"/>
    </row>
    <row r="16374" spans="14:14">
      <c r="N16374" s="113"/>
    </row>
    <row r="16375" spans="14:14">
      <c r="N16375" s="113"/>
    </row>
    <row r="16376" spans="14:14">
      <c r="N16376" s="113"/>
    </row>
    <row r="16377" spans="14:14">
      <c r="N16377" s="113"/>
    </row>
    <row r="16378" spans="14:14">
      <c r="N16378" s="113"/>
    </row>
    <row r="16379" spans="14:14">
      <c r="N16379" s="113"/>
    </row>
    <row r="16380" spans="14:14">
      <c r="N16380" s="113"/>
    </row>
    <row r="16381" spans="14:14">
      <c r="N16381" s="113"/>
    </row>
    <row r="16382" spans="14:14">
      <c r="N16382" s="113"/>
    </row>
    <row r="16383" spans="14:14">
      <c r="N16383" s="113"/>
    </row>
    <row r="16384" spans="14:14">
      <c r="N16384" s="113"/>
    </row>
    <row r="16385" spans="14:14">
      <c r="N16385" s="113"/>
    </row>
    <row r="16386" spans="14:14">
      <c r="N16386" s="113"/>
    </row>
    <row r="16387" spans="14:14">
      <c r="N16387" s="113"/>
    </row>
    <row r="16388" spans="14:14">
      <c r="N16388" s="113"/>
    </row>
  </sheetData>
  <autoFilter ref="Q5:W138" xr:uid="{D017EB3D-3C12-41F2-86CF-59028D1AF3EC}"/>
  <pageMargins left="0.15748031496062992" right="0.11811023622047245" top="0.11811023622047245" bottom="0.15748031496062992" header="0.11811023622047245" footer="0.11811023622047245"/>
  <pageSetup scale="30" fitToHeight="0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EFDF1-5AEF-4C6F-A6D2-DA9E6B04EE57}">
  <sheetPr codeName="Sheet7">
    <pageSetUpPr fitToPage="1"/>
  </sheetPr>
  <dimension ref="A1:AB1024"/>
  <sheetViews>
    <sheetView topLeftCell="F2" zoomScale="62" workbookViewId="0">
      <pane ySplit="3" topLeftCell="A48" activePane="bottomLeft" state="frozen"/>
      <selection activeCell="W5" sqref="W5"/>
      <selection pane="bottomLeft" activeCell="W5" sqref="W5"/>
    </sheetView>
  </sheetViews>
  <sheetFormatPr defaultColWidth="14.1796875" defaultRowHeight="14.5"/>
  <cols>
    <col min="1" max="1" width="18.6328125" style="9" customWidth="1"/>
    <col min="2" max="2" width="53.7265625" style="9" bestFit="1" customWidth="1"/>
    <col min="3" max="3" width="19.453125" style="32" bestFit="1" customWidth="1"/>
    <col min="4" max="4" width="19" style="33" hidden="1" customWidth="1"/>
    <col min="5" max="5" width="24.54296875" style="33" hidden="1" customWidth="1"/>
    <col min="6" max="6" width="19.453125" style="9" bestFit="1" customWidth="1"/>
    <col min="7" max="7" width="24.54296875" style="9" hidden="1" customWidth="1"/>
    <col min="8" max="8" width="19" style="9" hidden="1" customWidth="1"/>
    <col min="9" max="9" width="19.453125" style="9" bestFit="1" customWidth="1"/>
    <col min="10" max="10" width="19" style="9" hidden="1" customWidth="1"/>
    <col min="11" max="11" width="24.54296875" style="9" hidden="1" customWidth="1"/>
    <col min="12" max="12" width="19.453125" style="9" bestFit="1" customWidth="1"/>
    <col min="13" max="14" width="19" style="9" hidden="1" customWidth="1"/>
    <col min="15" max="15" width="13.6328125" style="9" bestFit="1" customWidth="1"/>
    <col min="16" max="16" width="13.6328125" style="9" hidden="1" customWidth="1"/>
    <col min="17" max="17" width="17.1796875" style="9" bestFit="1" customWidth="1"/>
    <col min="18" max="18" width="14.1796875" style="9"/>
    <col min="19" max="19" width="21.453125" style="9" bestFit="1" customWidth="1"/>
    <col min="20" max="20" width="53.7265625" style="9" customWidth="1"/>
    <col min="21" max="21" width="11.26953125" style="9" bestFit="1" customWidth="1"/>
    <col min="22" max="22" width="10.1796875" style="9" bestFit="1" customWidth="1"/>
    <col min="23" max="23" width="9.90625" style="9" bestFit="1" customWidth="1"/>
    <col min="24" max="24" width="9.90625" style="9" customWidth="1"/>
    <col min="25" max="25" width="10.08984375" style="9" bestFit="1" customWidth="1"/>
    <col min="26" max="26" width="9" style="9" bestFit="1" customWidth="1"/>
    <col min="27" max="28" width="12.81640625" style="9" customWidth="1"/>
    <col min="29" max="16384" width="14.1796875" style="9"/>
  </cols>
  <sheetData>
    <row r="1" spans="1:28">
      <c r="A1" s="6"/>
      <c r="B1" s="6"/>
      <c r="C1" s="7"/>
      <c r="D1" s="8"/>
      <c r="E1" s="8"/>
      <c r="F1" s="6"/>
    </row>
    <row r="2" spans="1:28" s="13" customFormat="1">
      <c r="A2" s="3"/>
      <c r="B2" s="11">
        <f ca="1">TODAY()-1</f>
        <v>46153</v>
      </c>
      <c r="C2" s="12" t="s">
        <v>18</v>
      </c>
      <c r="E2" s="14"/>
      <c r="F2" s="15" t="s">
        <v>19</v>
      </c>
      <c r="I2" s="34" t="s">
        <v>133</v>
      </c>
      <c r="O2" s="15">
        <f>GETPIVOTDATA("Total Kgs",$A$3)</f>
        <v>800045.49600000004</v>
      </c>
      <c r="P2" s="15">
        <f>Q2/O2</f>
        <v>197.58400963737188</v>
      </c>
      <c r="Q2" s="15">
        <f>GETPIVOTDATA("Sum of Value",$A$3)</f>
        <v>158076196.99199998</v>
      </c>
    </row>
    <row r="3" spans="1:28" s="13" customFormat="1" ht="15.5">
      <c r="A3" s="85"/>
      <c r="B3" s="85"/>
      <c r="C3" s="80" t="s">
        <v>1</v>
      </c>
      <c r="D3" s="82" t="s">
        <v>22</v>
      </c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S3" s="109" t="s">
        <v>765</v>
      </c>
      <c r="T3" s="11">
        <f ca="1">TODAY()-1</f>
        <v>46153</v>
      </c>
      <c r="U3" s="12" t="s">
        <v>18</v>
      </c>
      <c r="V3" s="35" t="s">
        <v>19</v>
      </c>
      <c r="W3" s="15" t="s">
        <v>133</v>
      </c>
      <c r="X3" s="16"/>
      <c r="Y3" s="108">
        <f ca="1">Y4+'Pivot Other'!U4</f>
        <v>850229.00599999994</v>
      </c>
      <c r="Z3" s="17" t="s">
        <v>23</v>
      </c>
      <c r="AA3" s="108">
        <f ca="1">AA4+'Pivot Other'!W4</f>
        <v>186246006.5636</v>
      </c>
    </row>
    <row r="4" spans="1:28" s="13" customFormat="1" ht="43" customHeight="1">
      <c r="A4" s="85"/>
      <c r="B4" s="85"/>
      <c r="C4" s="77" t="s">
        <v>5</v>
      </c>
      <c r="D4" s="77"/>
      <c r="E4" s="77"/>
      <c r="F4" s="77" t="s">
        <v>6</v>
      </c>
      <c r="G4" s="77"/>
      <c r="H4" s="77"/>
      <c r="I4" s="77" t="s">
        <v>24</v>
      </c>
      <c r="J4" s="77"/>
      <c r="K4" s="77"/>
      <c r="L4" s="77" t="s">
        <v>4</v>
      </c>
      <c r="M4" s="77"/>
      <c r="N4" s="77"/>
      <c r="O4" s="92" t="s">
        <v>25</v>
      </c>
      <c r="P4" s="91" t="s">
        <v>26</v>
      </c>
      <c r="Q4" s="92" t="s">
        <v>27</v>
      </c>
      <c r="S4" s="107">
        <f ca="1">TODAY()-1</f>
        <v>46153</v>
      </c>
      <c r="T4" s="19" t="s">
        <v>1</v>
      </c>
      <c r="U4" s="19" t="s">
        <v>5</v>
      </c>
      <c r="V4" s="19" t="s">
        <v>6</v>
      </c>
      <c r="W4" s="20" t="s">
        <v>24</v>
      </c>
      <c r="X4" s="19" t="s">
        <v>4</v>
      </c>
      <c r="Y4" s="36">
        <f ca="1">Y7+Y13+Y17+Y23+Y55+Y67+Y98</f>
        <v>800045.49599999993</v>
      </c>
      <c r="Z4" s="37">
        <f ca="1">AA4/Y4</f>
        <v>197.58400963737196</v>
      </c>
      <c r="AA4" s="36">
        <f ca="1">AA7+AA13+AA17+AA23+AA55+AA67+AA98</f>
        <v>158076196.99200001</v>
      </c>
      <c r="AB4" s="96"/>
    </row>
    <row r="5" spans="1:28" s="13" customFormat="1" ht="29">
      <c r="A5" s="84" t="s">
        <v>0</v>
      </c>
      <c r="B5" s="84" t="s">
        <v>2</v>
      </c>
      <c r="C5" s="77" t="s">
        <v>28</v>
      </c>
      <c r="D5" s="81" t="s">
        <v>29</v>
      </c>
      <c r="E5" s="77" t="s">
        <v>30</v>
      </c>
      <c r="F5" s="77" t="s">
        <v>28</v>
      </c>
      <c r="G5" s="81" t="s">
        <v>29</v>
      </c>
      <c r="H5" s="77" t="s">
        <v>30</v>
      </c>
      <c r="I5" s="77" t="s">
        <v>28</v>
      </c>
      <c r="J5" s="81" t="s">
        <v>29</v>
      </c>
      <c r="K5" s="77" t="s">
        <v>30</v>
      </c>
      <c r="L5" s="77" t="s">
        <v>28</v>
      </c>
      <c r="M5" s="81" t="s">
        <v>29</v>
      </c>
      <c r="N5" s="81" t="s">
        <v>30</v>
      </c>
      <c r="O5" s="92"/>
      <c r="P5" s="91"/>
      <c r="Q5" s="92"/>
      <c r="S5" s="19" t="s">
        <v>0</v>
      </c>
      <c r="T5" s="19" t="s">
        <v>2</v>
      </c>
      <c r="U5" s="19" t="s">
        <v>28</v>
      </c>
      <c r="V5" s="19" t="s">
        <v>28</v>
      </c>
      <c r="W5" s="19" t="s">
        <v>28</v>
      </c>
      <c r="X5" s="19" t="s">
        <v>28</v>
      </c>
      <c r="Y5" s="19" t="s">
        <v>28</v>
      </c>
      <c r="Z5" s="19" t="s">
        <v>871</v>
      </c>
      <c r="AA5" s="19" t="s">
        <v>31</v>
      </c>
      <c r="AB5" s="97"/>
    </row>
    <row r="6" spans="1:28">
      <c r="A6" s="81" t="s">
        <v>134</v>
      </c>
      <c r="B6" s="81" t="s">
        <v>880</v>
      </c>
      <c r="C6" s="83"/>
      <c r="D6" s="83"/>
      <c r="E6" s="83"/>
      <c r="F6" s="83">
        <v>6912.5</v>
      </c>
      <c r="G6" s="83">
        <v>85</v>
      </c>
      <c r="H6" s="83">
        <v>587562.5</v>
      </c>
      <c r="I6" s="83">
        <v>52000</v>
      </c>
      <c r="J6" s="83">
        <v>85</v>
      </c>
      <c r="K6" s="83">
        <v>4420000</v>
      </c>
      <c r="L6" s="83"/>
      <c r="M6" s="83"/>
      <c r="N6" s="83"/>
      <c r="O6" s="86">
        <v>58912.5</v>
      </c>
      <c r="P6" s="83">
        <v>85</v>
      </c>
      <c r="Q6" s="86">
        <v>5007562.5</v>
      </c>
      <c r="S6" s="1" t="s">
        <v>134</v>
      </c>
      <c r="T6" s="81" t="s">
        <v>461</v>
      </c>
      <c r="U6" s="4">
        <f ca="1">VLOOKUP(T6,B:L,2,0)</f>
        <v>0</v>
      </c>
      <c r="V6" s="4">
        <f ca="1">VLOOKUP(T6,B:L,5,0)</f>
        <v>6912.5</v>
      </c>
      <c r="W6" s="4">
        <f t="shared" ref="W6" ca="1" si="0">VLOOKUP(T6,B:L,8,0)</f>
        <v>52000</v>
      </c>
      <c r="X6" s="4">
        <f ca="1">VLOOKUP(T6,B:L,11,0)</f>
        <v>0</v>
      </c>
      <c r="Y6" s="5">
        <f t="shared" ref="Y6" ca="1" si="1">SUBTOTAL(9,U6:X6)</f>
        <v>58912.5</v>
      </c>
      <c r="Z6" s="26">
        <f t="shared" ref="Z6" ca="1" si="2">AA6/Y6</f>
        <v>85</v>
      </c>
      <c r="AA6" s="5">
        <f t="shared" ref="AA6" ca="1" si="3">VLOOKUP(T6,B:Q,16,0)</f>
        <v>5007562.5</v>
      </c>
      <c r="AB6" s="25"/>
    </row>
    <row r="7" spans="1:28">
      <c r="A7" s="89" t="s">
        <v>135</v>
      </c>
      <c r="B7" s="89"/>
      <c r="C7" s="90"/>
      <c r="D7" s="90"/>
      <c r="E7" s="90"/>
      <c r="F7" s="90">
        <v>6912.5</v>
      </c>
      <c r="G7" s="90">
        <v>85</v>
      </c>
      <c r="H7" s="90">
        <v>587562.5</v>
      </c>
      <c r="I7" s="90">
        <v>52000</v>
      </c>
      <c r="J7" s="90">
        <v>85</v>
      </c>
      <c r="K7" s="90">
        <v>4420000</v>
      </c>
      <c r="L7" s="90"/>
      <c r="M7" s="90"/>
      <c r="N7" s="90"/>
      <c r="O7" s="93">
        <v>58912.5</v>
      </c>
      <c r="P7" s="90">
        <v>85</v>
      </c>
      <c r="Q7" s="93">
        <v>5007562.5</v>
      </c>
      <c r="S7" s="28" t="s">
        <v>135</v>
      </c>
      <c r="T7" s="28"/>
      <c r="U7" s="29">
        <f t="shared" ref="U7:X7" ca="1" si="4">SUM(U6)</f>
        <v>0</v>
      </c>
      <c r="V7" s="29">
        <f t="shared" ca="1" si="4"/>
        <v>6912.5</v>
      </c>
      <c r="W7" s="29">
        <f t="shared" ca="1" si="4"/>
        <v>52000</v>
      </c>
      <c r="X7" s="29">
        <f t="shared" ca="1" si="4"/>
        <v>0</v>
      </c>
      <c r="Y7" s="29">
        <f ca="1">SUBTOTAL(9,U7:X7)</f>
        <v>58912.5</v>
      </c>
      <c r="Z7" s="30">
        <f ca="1">AA7/Y7</f>
        <v>85</v>
      </c>
      <c r="AA7" s="29">
        <f ca="1">SUM(AA6)</f>
        <v>5007562.5</v>
      </c>
      <c r="AB7" s="31"/>
    </row>
    <row r="8" spans="1:28">
      <c r="A8" s="81" t="s">
        <v>136</v>
      </c>
      <c r="B8" s="81" t="s">
        <v>137</v>
      </c>
      <c r="C8" s="83"/>
      <c r="D8" s="83"/>
      <c r="E8" s="83"/>
      <c r="F8" s="83">
        <v>66040</v>
      </c>
      <c r="G8" s="83">
        <v>272.5</v>
      </c>
      <c r="H8" s="83">
        <v>18090900</v>
      </c>
      <c r="I8" s="83"/>
      <c r="J8" s="83"/>
      <c r="K8" s="83"/>
      <c r="L8" s="83"/>
      <c r="M8" s="83"/>
      <c r="N8" s="83"/>
      <c r="O8" s="86">
        <v>66040</v>
      </c>
      <c r="P8" s="83">
        <v>272.5</v>
      </c>
      <c r="Q8" s="86">
        <v>18090900</v>
      </c>
      <c r="S8" s="1" t="s">
        <v>136</v>
      </c>
      <c r="T8" s="81" t="s">
        <v>137</v>
      </c>
      <c r="U8" s="4">
        <f ca="1">VLOOKUP(T8,B:L,2,0)</f>
        <v>0</v>
      </c>
      <c r="V8" s="4">
        <f ca="1">VLOOKUP(T8,B:L,5,0)</f>
        <v>66040</v>
      </c>
      <c r="W8" s="4">
        <f t="shared" ref="W8:W12" ca="1" si="5">VLOOKUP(T8,B:L,8,0)</f>
        <v>0</v>
      </c>
      <c r="X8" s="4">
        <f ca="1">VLOOKUP(T8,B:L,11,0)</f>
        <v>0</v>
      </c>
      <c r="Y8" s="5">
        <f t="shared" ref="Y8:Y12" ca="1" si="6">SUBTOTAL(9,U8:X8)</f>
        <v>66040</v>
      </c>
      <c r="Z8" s="26">
        <f t="shared" ref="Z8:Z12" ca="1" si="7">AA8/Y8</f>
        <v>273.93852210781347</v>
      </c>
      <c r="AA8" s="5">
        <f t="shared" ref="AA8:AA12" ca="1" si="8">VLOOKUP(T8,B:Q,16,0)</f>
        <v>18090900</v>
      </c>
      <c r="AB8" s="25"/>
    </row>
    <row r="9" spans="1:28">
      <c r="A9" s="81"/>
      <c r="B9" s="81" t="s">
        <v>140</v>
      </c>
      <c r="C9" s="83"/>
      <c r="D9" s="83"/>
      <c r="E9" s="83"/>
      <c r="F9" s="83">
        <v>500</v>
      </c>
      <c r="G9" s="83">
        <v>270</v>
      </c>
      <c r="H9" s="83">
        <v>135000</v>
      </c>
      <c r="I9" s="83"/>
      <c r="J9" s="83"/>
      <c r="K9" s="83"/>
      <c r="L9" s="83"/>
      <c r="M9" s="83"/>
      <c r="N9" s="83"/>
      <c r="O9" s="86">
        <v>500</v>
      </c>
      <c r="P9" s="83">
        <v>270</v>
      </c>
      <c r="Q9" s="86">
        <v>135000</v>
      </c>
      <c r="S9" s="1"/>
      <c r="T9" s="81" t="s">
        <v>140</v>
      </c>
      <c r="U9" s="4">
        <f t="shared" ref="U9:U12" ca="1" si="9">VLOOKUP(T9,B:L,2,0)</f>
        <v>0</v>
      </c>
      <c r="V9" s="4">
        <f t="shared" ref="V9:V12" ca="1" si="10">VLOOKUP(T9,B:L,5,0)</f>
        <v>500</v>
      </c>
      <c r="W9" s="4">
        <f t="shared" ca="1" si="5"/>
        <v>0</v>
      </c>
      <c r="X9" s="4">
        <f t="shared" ref="X9:X12" ca="1" si="11">VLOOKUP(T9,B:L,11,0)</f>
        <v>0</v>
      </c>
      <c r="Y9" s="5">
        <f t="shared" ca="1" si="6"/>
        <v>500</v>
      </c>
      <c r="Z9" s="26">
        <f t="shared" ca="1" si="7"/>
        <v>270</v>
      </c>
      <c r="AA9" s="5">
        <f t="shared" ca="1" si="8"/>
        <v>135000</v>
      </c>
      <c r="AB9" s="25"/>
    </row>
    <row r="10" spans="1:28">
      <c r="A10" s="81"/>
      <c r="B10" s="81" t="s">
        <v>138</v>
      </c>
      <c r="C10" s="83"/>
      <c r="D10" s="83"/>
      <c r="E10" s="83"/>
      <c r="F10" s="83">
        <v>11670</v>
      </c>
      <c r="G10" s="83">
        <v>215</v>
      </c>
      <c r="H10" s="83">
        <v>2509050</v>
      </c>
      <c r="I10" s="83"/>
      <c r="J10" s="83"/>
      <c r="K10" s="83"/>
      <c r="L10" s="83"/>
      <c r="M10" s="83"/>
      <c r="N10" s="83"/>
      <c r="O10" s="86">
        <v>11670</v>
      </c>
      <c r="P10" s="83">
        <v>215</v>
      </c>
      <c r="Q10" s="86">
        <v>2509050</v>
      </c>
      <c r="S10" s="1"/>
      <c r="T10" s="81" t="s">
        <v>138</v>
      </c>
      <c r="U10" s="4">
        <f t="shared" ca="1" si="9"/>
        <v>0</v>
      </c>
      <c r="V10" s="4">
        <f t="shared" ca="1" si="10"/>
        <v>11670</v>
      </c>
      <c r="W10" s="4">
        <f t="shared" ca="1" si="5"/>
        <v>0</v>
      </c>
      <c r="X10" s="4">
        <f t="shared" ca="1" si="11"/>
        <v>0</v>
      </c>
      <c r="Y10" s="5">
        <f t="shared" ca="1" si="6"/>
        <v>11670</v>
      </c>
      <c r="Z10" s="26">
        <f t="shared" ca="1" si="7"/>
        <v>215</v>
      </c>
      <c r="AA10" s="5">
        <f t="shared" ca="1" si="8"/>
        <v>2509050</v>
      </c>
      <c r="AB10" s="25"/>
    </row>
    <row r="11" spans="1:28">
      <c r="A11" s="81"/>
      <c r="B11" s="81" t="s">
        <v>139</v>
      </c>
      <c r="C11" s="83"/>
      <c r="D11" s="83"/>
      <c r="E11" s="83"/>
      <c r="F11" s="83">
        <v>27700</v>
      </c>
      <c r="G11" s="83">
        <v>270</v>
      </c>
      <c r="H11" s="83">
        <v>7479000</v>
      </c>
      <c r="I11" s="83"/>
      <c r="J11" s="83"/>
      <c r="K11" s="83"/>
      <c r="L11" s="83"/>
      <c r="M11" s="83"/>
      <c r="N11" s="83"/>
      <c r="O11" s="86">
        <v>27700</v>
      </c>
      <c r="P11" s="83">
        <v>270</v>
      </c>
      <c r="Q11" s="86">
        <v>7479000</v>
      </c>
      <c r="S11" s="1"/>
      <c r="T11" s="81" t="s">
        <v>139</v>
      </c>
      <c r="U11" s="4">
        <f t="shared" ca="1" si="9"/>
        <v>0</v>
      </c>
      <c r="V11" s="4">
        <f t="shared" ca="1" si="10"/>
        <v>27700</v>
      </c>
      <c r="W11" s="4">
        <f t="shared" ca="1" si="5"/>
        <v>0</v>
      </c>
      <c r="X11" s="4">
        <f t="shared" ca="1" si="11"/>
        <v>0</v>
      </c>
      <c r="Y11" s="5">
        <f t="shared" ca="1" si="6"/>
        <v>27700</v>
      </c>
      <c r="Z11" s="26">
        <f t="shared" ca="1" si="7"/>
        <v>270</v>
      </c>
      <c r="AA11" s="5">
        <f t="shared" ca="1" si="8"/>
        <v>7479000</v>
      </c>
      <c r="AB11" s="25"/>
    </row>
    <row r="12" spans="1:28">
      <c r="A12" s="81"/>
      <c r="B12" s="81" t="s">
        <v>141</v>
      </c>
      <c r="C12" s="83"/>
      <c r="D12" s="83"/>
      <c r="E12" s="83"/>
      <c r="F12" s="83"/>
      <c r="G12" s="83"/>
      <c r="H12" s="83"/>
      <c r="I12" s="83"/>
      <c r="J12" s="83"/>
      <c r="K12" s="83"/>
      <c r="L12" s="83">
        <v>80</v>
      </c>
      <c r="M12" s="83">
        <v>270</v>
      </c>
      <c r="N12" s="83">
        <v>21600</v>
      </c>
      <c r="O12" s="86">
        <v>80</v>
      </c>
      <c r="P12" s="83">
        <v>270</v>
      </c>
      <c r="Q12" s="86">
        <v>21600</v>
      </c>
      <c r="S12" s="1"/>
      <c r="T12" s="81" t="s">
        <v>141</v>
      </c>
      <c r="U12" s="4">
        <f t="shared" ca="1" si="9"/>
        <v>0</v>
      </c>
      <c r="V12" s="4">
        <f t="shared" ca="1" si="10"/>
        <v>0</v>
      </c>
      <c r="W12" s="4">
        <f t="shared" ca="1" si="5"/>
        <v>0</v>
      </c>
      <c r="X12" s="4">
        <f t="shared" ca="1" si="11"/>
        <v>80</v>
      </c>
      <c r="Y12" s="5">
        <f t="shared" ca="1" si="6"/>
        <v>80</v>
      </c>
      <c r="Z12" s="26">
        <f t="shared" ca="1" si="7"/>
        <v>270</v>
      </c>
      <c r="AA12" s="5">
        <f t="shared" ca="1" si="8"/>
        <v>21600</v>
      </c>
      <c r="AB12" s="25"/>
    </row>
    <row r="13" spans="1:28">
      <c r="A13" s="89" t="s">
        <v>142</v>
      </c>
      <c r="B13" s="89"/>
      <c r="C13" s="90"/>
      <c r="D13" s="90"/>
      <c r="E13" s="90"/>
      <c r="F13" s="90">
        <v>105910</v>
      </c>
      <c r="G13" s="90">
        <v>251.07142857142858</v>
      </c>
      <c r="H13" s="90">
        <v>28213950</v>
      </c>
      <c r="I13" s="90"/>
      <c r="J13" s="90"/>
      <c r="K13" s="90"/>
      <c r="L13" s="90">
        <v>80</v>
      </c>
      <c r="M13" s="90">
        <v>270</v>
      </c>
      <c r="N13" s="90">
        <v>21600</v>
      </c>
      <c r="O13" s="93">
        <v>105990</v>
      </c>
      <c r="P13" s="90">
        <v>252.33333333333334</v>
      </c>
      <c r="Q13" s="93">
        <v>28235550</v>
      </c>
      <c r="S13" s="28" t="s">
        <v>142</v>
      </c>
      <c r="T13" s="28"/>
      <c r="U13" s="29">
        <f ca="1">SUM(U8:U12)</f>
        <v>0</v>
      </c>
      <c r="V13" s="29">
        <f ca="1">SUM(V8:V12)</f>
        <v>105910</v>
      </c>
      <c r="W13" s="29">
        <f ca="1">SUM(W8:W12)</f>
        <v>0</v>
      </c>
      <c r="X13" s="29">
        <f t="shared" ref="X13" ca="1" si="12">SUM(X12)</f>
        <v>80</v>
      </c>
      <c r="Y13" s="29">
        <f ca="1">SUBTOTAL(9,U13:X13)</f>
        <v>105990</v>
      </c>
      <c r="Z13" s="30">
        <f ca="1">AA13/Y13</f>
        <v>266.39824511746389</v>
      </c>
      <c r="AA13" s="29">
        <f ca="1">SUM(AA8:AA12)</f>
        <v>28235550</v>
      </c>
      <c r="AB13" s="31"/>
    </row>
    <row r="14" spans="1:28">
      <c r="A14" s="81" t="s">
        <v>143</v>
      </c>
      <c r="B14" s="81" t="s">
        <v>780</v>
      </c>
      <c r="C14" s="83"/>
      <c r="D14" s="83"/>
      <c r="E14" s="83"/>
      <c r="F14" s="83"/>
      <c r="G14" s="83"/>
      <c r="H14" s="83"/>
      <c r="I14" s="83"/>
      <c r="J14" s="83"/>
      <c r="K14" s="83"/>
      <c r="L14" s="83">
        <v>2472</v>
      </c>
      <c r="M14" s="83">
        <v>190</v>
      </c>
      <c r="N14" s="83">
        <v>469680</v>
      </c>
      <c r="O14" s="86">
        <v>2472</v>
      </c>
      <c r="P14" s="83">
        <v>190</v>
      </c>
      <c r="Q14" s="86">
        <v>469680</v>
      </c>
      <c r="S14" s="1" t="s">
        <v>143</v>
      </c>
      <c r="T14" s="81" t="s">
        <v>780</v>
      </c>
      <c r="U14" s="4">
        <f t="shared" ref="U14:U16" ca="1" si="13">VLOOKUP(T14,B:L,2,0)</f>
        <v>0</v>
      </c>
      <c r="V14" s="4">
        <f t="shared" ref="V14:V16" ca="1" si="14">VLOOKUP(T14,B:L,5,0)</f>
        <v>0</v>
      </c>
      <c r="W14" s="4">
        <f ca="1">VLOOKUP(T14,B:L,8,0)</f>
        <v>0</v>
      </c>
      <c r="X14" s="4">
        <f ca="1">VLOOKUP(T14,B:L,11,0)</f>
        <v>2472</v>
      </c>
      <c r="Y14" s="5">
        <f t="shared" ref="Y14:Y16" ca="1" si="15">SUBTOTAL(9,U14:X14)</f>
        <v>2472</v>
      </c>
      <c r="Z14" s="26">
        <f t="shared" ref="Z14:Z16" ca="1" si="16">AA14/Y14</f>
        <v>190</v>
      </c>
      <c r="AA14" s="5">
        <f t="shared" ref="AA14:AA16" ca="1" si="17">VLOOKUP(T14,B:Q,16,0)</f>
        <v>469680</v>
      </c>
      <c r="AB14" s="25"/>
    </row>
    <row r="15" spans="1:28">
      <c r="A15" s="81"/>
      <c r="B15" s="81" t="s">
        <v>144</v>
      </c>
      <c r="C15" s="83">
        <v>200</v>
      </c>
      <c r="D15" s="83">
        <v>105.8</v>
      </c>
      <c r="E15" s="83">
        <v>21160</v>
      </c>
      <c r="F15" s="83">
        <v>45575</v>
      </c>
      <c r="G15" s="83">
        <v>108.46666666666665</v>
      </c>
      <c r="H15" s="83">
        <v>4975335</v>
      </c>
      <c r="I15" s="83"/>
      <c r="J15" s="83"/>
      <c r="K15" s="83"/>
      <c r="L15" s="83"/>
      <c r="M15" s="83"/>
      <c r="N15" s="83"/>
      <c r="O15" s="86">
        <v>45775</v>
      </c>
      <c r="P15" s="83">
        <v>107.8</v>
      </c>
      <c r="Q15" s="86">
        <v>4996495</v>
      </c>
      <c r="S15" s="1"/>
      <c r="T15" s="81" t="s">
        <v>144</v>
      </c>
      <c r="U15" s="4">
        <f t="shared" ca="1" si="13"/>
        <v>200</v>
      </c>
      <c r="V15" s="4">
        <f t="shared" ca="1" si="14"/>
        <v>45575</v>
      </c>
      <c r="W15" s="4">
        <f ca="1">VLOOKUP(T15,B:L,8,0)</f>
        <v>0</v>
      </c>
      <c r="X15" s="4">
        <f t="shared" ref="X15:X16" ca="1" si="18">VLOOKUP(T15,B:L,11,0)</f>
        <v>0</v>
      </c>
      <c r="Y15" s="5">
        <f t="shared" ca="1" si="15"/>
        <v>45775</v>
      </c>
      <c r="Z15" s="26">
        <f t="shared" ca="1" si="16"/>
        <v>109.15335882031677</v>
      </c>
      <c r="AA15" s="5">
        <f t="shared" ca="1" si="17"/>
        <v>4996495</v>
      </c>
      <c r="AB15" s="25"/>
    </row>
    <row r="16" spans="1:28">
      <c r="A16" s="81"/>
      <c r="B16" s="81" t="s">
        <v>146</v>
      </c>
      <c r="C16" s="83"/>
      <c r="D16" s="83"/>
      <c r="E16" s="83"/>
      <c r="F16" s="83">
        <v>5006.3999999999996</v>
      </c>
      <c r="G16" s="83">
        <v>344.86666666666662</v>
      </c>
      <c r="H16" s="83">
        <v>1737276.48</v>
      </c>
      <c r="I16" s="83"/>
      <c r="J16" s="83"/>
      <c r="K16" s="83"/>
      <c r="L16" s="83"/>
      <c r="M16" s="83"/>
      <c r="N16" s="83"/>
      <c r="O16" s="86">
        <v>5006.3999999999996</v>
      </c>
      <c r="P16" s="83">
        <v>344.86666666666662</v>
      </c>
      <c r="Q16" s="86">
        <v>1737276.48</v>
      </c>
      <c r="S16" s="1"/>
      <c r="T16" s="81" t="s">
        <v>146</v>
      </c>
      <c r="U16" s="4">
        <f t="shared" ca="1" si="13"/>
        <v>0</v>
      </c>
      <c r="V16" s="4">
        <f t="shared" ca="1" si="14"/>
        <v>5006.3999999999996</v>
      </c>
      <c r="W16" s="4">
        <f ca="1">VLOOKUP(T16,B:L,8,0)</f>
        <v>0</v>
      </c>
      <c r="X16" s="4">
        <f t="shared" ca="1" si="18"/>
        <v>0</v>
      </c>
      <c r="Y16" s="5">
        <f t="shared" ca="1" si="15"/>
        <v>5006.3999999999996</v>
      </c>
      <c r="Z16" s="26">
        <f t="shared" ca="1" si="16"/>
        <v>347.01112176414193</v>
      </c>
      <c r="AA16" s="5">
        <f t="shared" ca="1" si="17"/>
        <v>1737276.48</v>
      </c>
      <c r="AB16" s="25"/>
    </row>
    <row r="17" spans="1:28">
      <c r="A17" s="89" t="s">
        <v>147</v>
      </c>
      <c r="B17" s="89"/>
      <c r="C17" s="90">
        <v>200</v>
      </c>
      <c r="D17" s="90">
        <v>105.8</v>
      </c>
      <c r="E17" s="90">
        <v>21160</v>
      </c>
      <c r="F17" s="90">
        <v>50581.4</v>
      </c>
      <c r="G17" s="90">
        <v>226.66666666666666</v>
      </c>
      <c r="H17" s="90">
        <v>6712611.4799999995</v>
      </c>
      <c r="I17" s="90"/>
      <c r="J17" s="90"/>
      <c r="K17" s="90"/>
      <c r="L17" s="90">
        <v>2472</v>
      </c>
      <c r="M17" s="90">
        <v>190</v>
      </c>
      <c r="N17" s="90">
        <v>469680</v>
      </c>
      <c r="O17" s="93">
        <v>53253.4</v>
      </c>
      <c r="P17" s="90">
        <v>206.97499999999999</v>
      </c>
      <c r="Q17" s="93">
        <v>7203451.4800000004</v>
      </c>
      <c r="S17" s="28" t="s">
        <v>147</v>
      </c>
      <c r="T17" s="28"/>
      <c r="U17" s="29">
        <f ca="1">SUM(U14:U16)</f>
        <v>200</v>
      </c>
      <c r="V17" s="29">
        <f ca="1">SUM(V14:V16)</f>
        <v>50581.4</v>
      </c>
      <c r="W17" s="29">
        <f ca="1">SUM(W14:W16)</f>
        <v>0</v>
      </c>
      <c r="X17" s="29">
        <f ca="1">SUM(X14:X16)</f>
        <v>2472</v>
      </c>
      <c r="Y17" s="29">
        <f ca="1">SUM(Y14:Y16)</f>
        <v>53253.4</v>
      </c>
      <c r="Z17" s="30">
        <f ca="1">AA17/Y17</f>
        <v>135.26744733669588</v>
      </c>
      <c r="AA17" s="29">
        <f ca="1">SUM(AA14:AA16)</f>
        <v>7203451.4800000004</v>
      </c>
      <c r="AB17" s="31"/>
    </row>
    <row r="18" spans="1:28">
      <c r="A18" s="81" t="s">
        <v>148</v>
      </c>
      <c r="B18" s="81" t="s">
        <v>149</v>
      </c>
      <c r="C18" s="83"/>
      <c r="D18" s="83"/>
      <c r="E18" s="83"/>
      <c r="F18" s="83">
        <v>980</v>
      </c>
      <c r="G18" s="83">
        <v>110</v>
      </c>
      <c r="H18" s="83">
        <v>107800</v>
      </c>
      <c r="I18" s="83"/>
      <c r="J18" s="83"/>
      <c r="K18" s="83"/>
      <c r="L18" s="83"/>
      <c r="M18" s="83"/>
      <c r="N18" s="83"/>
      <c r="O18" s="86">
        <v>980</v>
      </c>
      <c r="P18" s="83">
        <v>110</v>
      </c>
      <c r="Q18" s="86">
        <v>107800</v>
      </c>
      <c r="S18" s="1" t="s">
        <v>148</v>
      </c>
      <c r="T18" s="81" t="s">
        <v>149</v>
      </c>
      <c r="U18" s="4">
        <f t="shared" ref="U18:U22" ca="1" si="19">VLOOKUP(T18,B:L,2,0)</f>
        <v>0</v>
      </c>
      <c r="V18" s="4">
        <f t="shared" ref="V18:V22" ca="1" si="20">VLOOKUP(T18,B:L,5,0)</f>
        <v>980</v>
      </c>
      <c r="W18" s="4">
        <f t="shared" ref="W18:W22" ca="1" si="21">VLOOKUP(T18,B:L,8,0)</f>
        <v>0</v>
      </c>
      <c r="X18" s="4">
        <f t="shared" ref="X18:X22" ca="1" si="22">VLOOKUP(T18,B:L,11,0)</f>
        <v>0</v>
      </c>
      <c r="Y18" s="5">
        <f t="shared" ref="Y18:Y22" ca="1" si="23">SUBTOTAL(9,U18:X18)</f>
        <v>980</v>
      </c>
      <c r="Z18" s="26">
        <f t="shared" ref="Z18:Z22" ca="1" si="24">AA18/Y18</f>
        <v>110</v>
      </c>
      <c r="AA18" s="5">
        <f t="shared" ref="AA18:AA22" ca="1" si="25">VLOOKUP(T18,B:Q,16,0)</f>
        <v>107800</v>
      </c>
      <c r="AB18" s="25"/>
    </row>
    <row r="19" spans="1:28">
      <c r="A19" s="81"/>
      <c r="B19" s="81" t="s">
        <v>150</v>
      </c>
      <c r="C19" s="83"/>
      <c r="D19" s="83"/>
      <c r="E19" s="83"/>
      <c r="F19" s="83">
        <v>630</v>
      </c>
      <c r="G19" s="83">
        <v>121.8</v>
      </c>
      <c r="H19" s="83">
        <v>73770</v>
      </c>
      <c r="I19" s="83"/>
      <c r="J19" s="83"/>
      <c r="K19" s="83"/>
      <c r="L19" s="83"/>
      <c r="M19" s="83"/>
      <c r="N19" s="83"/>
      <c r="O19" s="86">
        <v>630</v>
      </c>
      <c r="P19" s="83">
        <v>121.8</v>
      </c>
      <c r="Q19" s="86">
        <v>73770</v>
      </c>
      <c r="S19" s="1"/>
      <c r="T19" s="81" t="s">
        <v>150</v>
      </c>
      <c r="U19" s="4">
        <f t="shared" ca="1" si="19"/>
        <v>0</v>
      </c>
      <c r="V19" s="4">
        <f t="shared" ca="1" si="20"/>
        <v>630</v>
      </c>
      <c r="W19" s="4">
        <f t="shared" ca="1" si="21"/>
        <v>0</v>
      </c>
      <c r="X19" s="4">
        <f t="shared" ca="1" si="22"/>
        <v>0</v>
      </c>
      <c r="Y19" s="5">
        <f t="shared" ca="1" si="23"/>
        <v>630</v>
      </c>
      <c r="Z19" s="26">
        <f t="shared" ca="1" si="24"/>
        <v>117.0952380952381</v>
      </c>
      <c r="AA19" s="5">
        <f t="shared" ca="1" si="25"/>
        <v>73770</v>
      </c>
      <c r="AB19" s="25"/>
    </row>
    <row r="20" spans="1:28">
      <c r="A20" s="81"/>
      <c r="B20" s="81" t="s">
        <v>11</v>
      </c>
      <c r="C20" s="83">
        <v>370</v>
      </c>
      <c r="D20" s="83">
        <v>241</v>
      </c>
      <c r="E20" s="83">
        <v>89170</v>
      </c>
      <c r="F20" s="83">
        <v>546</v>
      </c>
      <c r="G20" s="83">
        <v>241</v>
      </c>
      <c r="H20" s="83">
        <v>131586</v>
      </c>
      <c r="I20" s="83"/>
      <c r="J20" s="83"/>
      <c r="K20" s="83"/>
      <c r="L20" s="83">
        <v>3549</v>
      </c>
      <c r="M20" s="83">
        <v>241</v>
      </c>
      <c r="N20" s="83">
        <v>855309</v>
      </c>
      <c r="O20" s="86">
        <v>4465</v>
      </c>
      <c r="P20" s="83">
        <v>241</v>
      </c>
      <c r="Q20" s="86">
        <v>1076065</v>
      </c>
      <c r="S20" s="1"/>
      <c r="T20" s="81" t="s">
        <v>11</v>
      </c>
      <c r="U20" s="4">
        <f t="shared" ca="1" si="19"/>
        <v>370</v>
      </c>
      <c r="V20" s="4">
        <f t="shared" ca="1" si="20"/>
        <v>546</v>
      </c>
      <c r="W20" s="4">
        <f t="shared" ca="1" si="21"/>
        <v>0</v>
      </c>
      <c r="X20" s="4">
        <f t="shared" ca="1" si="22"/>
        <v>3549</v>
      </c>
      <c r="Y20" s="5">
        <f t="shared" ca="1" si="23"/>
        <v>4465</v>
      </c>
      <c r="Z20" s="26">
        <f t="shared" ca="1" si="24"/>
        <v>241</v>
      </c>
      <c r="AA20" s="5">
        <f t="shared" ca="1" si="25"/>
        <v>1076065</v>
      </c>
      <c r="AB20" s="25"/>
    </row>
    <row r="21" spans="1:28">
      <c r="A21" s="81"/>
      <c r="B21" s="81" t="s">
        <v>14</v>
      </c>
      <c r="C21" s="83">
        <v>588</v>
      </c>
      <c r="D21" s="83">
        <v>250</v>
      </c>
      <c r="E21" s="83">
        <v>147000</v>
      </c>
      <c r="F21" s="83"/>
      <c r="G21" s="83"/>
      <c r="H21" s="83"/>
      <c r="I21" s="83"/>
      <c r="J21" s="83"/>
      <c r="K21" s="83"/>
      <c r="L21" s="83"/>
      <c r="M21" s="83"/>
      <c r="N21" s="83"/>
      <c r="O21" s="86">
        <v>588</v>
      </c>
      <c r="P21" s="83">
        <v>250</v>
      </c>
      <c r="Q21" s="86">
        <v>147000</v>
      </c>
      <c r="S21" s="1"/>
      <c r="T21" s="81" t="s">
        <v>14</v>
      </c>
      <c r="U21" s="4">
        <f t="shared" ca="1" si="19"/>
        <v>588</v>
      </c>
      <c r="V21" s="4">
        <f t="shared" ca="1" si="20"/>
        <v>0</v>
      </c>
      <c r="W21" s="4">
        <f t="shared" ca="1" si="21"/>
        <v>0</v>
      </c>
      <c r="X21" s="4">
        <f t="shared" ca="1" si="22"/>
        <v>0</v>
      </c>
      <c r="Y21" s="5">
        <f t="shared" ca="1" si="23"/>
        <v>588</v>
      </c>
      <c r="Z21" s="26">
        <f t="shared" ca="1" si="24"/>
        <v>250</v>
      </c>
      <c r="AA21" s="5">
        <f t="shared" ca="1" si="25"/>
        <v>147000</v>
      </c>
      <c r="AB21" s="25"/>
    </row>
    <row r="22" spans="1:28">
      <c r="A22" s="81"/>
      <c r="B22" s="81" t="s">
        <v>16</v>
      </c>
      <c r="C22" s="83"/>
      <c r="D22" s="83"/>
      <c r="E22" s="83"/>
      <c r="F22" s="83">
        <v>90</v>
      </c>
      <c r="G22" s="83">
        <v>250</v>
      </c>
      <c r="H22" s="83">
        <v>22500</v>
      </c>
      <c r="I22" s="83"/>
      <c r="J22" s="83"/>
      <c r="K22" s="83"/>
      <c r="L22" s="83">
        <v>87</v>
      </c>
      <c r="M22" s="83">
        <v>250</v>
      </c>
      <c r="N22" s="83">
        <v>21750</v>
      </c>
      <c r="O22" s="86">
        <v>177</v>
      </c>
      <c r="P22" s="83">
        <v>250</v>
      </c>
      <c r="Q22" s="86">
        <v>44250</v>
      </c>
      <c r="S22" s="1"/>
      <c r="T22" s="81" t="s">
        <v>16</v>
      </c>
      <c r="U22" s="4">
        <f t="shared" ca="1" si="19"/>
        <v>0</v>
      </c>
      <c r="V22" s="4">
        <f t="shared" ca="1" si="20"/>
        <v>90</v>
      </c>
      <c r="W22" s="4">
        <f t="shared" ca="1" si="21"/>
        <v>0</v>
      </c>
      <c r="X22" s="4">
        <f t="shared" ca="1" si="22"/>
        <v>87</v>
      </c>
      <c r="Y22" s="5">
        <f t="shared" ca="1" si="23"/>
        <v>177</v>
      </c>
      <c r="Z22" s="26">
        <f t="shared" ca="1" si="24"/>
        <v>250</v>
      </c>
      <c r="AA22" s="5">
        <f t="shared" ca="1" si="25"/>
        <v>44250</v>
      </c>
      <c r="AB22" s="25"/>
    </row>
    <row r="23" spans="1:28">
      <c r="A23" s="89" t="s">
        <v>151</v>
      </c>
      <c r="B23" s="89"/>
      <c r="C23" s="90">
        <v>958</v>
      </c>
      <c r="D23" s="90">
        <v>245.5</v>
      </c>
      <c r="E23" s="90">
        <v>236170</v>
      </c>
      <c r="F23" s="90">
        <v>2246</v>
      </c>
      <c r="G23" s="90">
        <v>200.95555555555555</v>
      </c>
      <c r="H23" s="90">
        <v>335656</v>
      </c>
      <c r="I23" s="90"/>
      <c r="J23" s="90"/>
      <c r="K23" s="90"/>
      <c r="L23" s="90">
        <v>3636</v>
      </c>
      <c r="M23" s="90">
        <v>245.5</v>
      </c>
      <c r="N23" s="90">
        <v>877059</v>
      </c>
      <c r="O23" s="93">
        <v>6840</v>
      </c>
      <c r="P23" s="90">
        <v>214.66153846153844</v>
      </c>
      <c r="Q23" s="93">
        <v>1448885</v>
      </c>
      <c r="S23" s="28" t="s">
        <v>151</v>
      </c>
      <c r="T23" s="28"/>
      <c r="U23" s="29">
        <f ca="1">SUM(U18:U22)</f>
        <v>958</v>
      </c>
      <c r="V23" s="29">
        <f ca="1">SUM(V18:V22)</f>
        <v>2246</v>
      </c>
      <c r="W23" s="29">
        <f ca="1">SUM(W18:W22)</f>
        <v>0</v>
      </c>
      <c r="X23" s="29">
        <f ca="1">SUM(X18:X22)</f>
        <v>3636</v>
      </c>
      <c r="Y23" s="29">
        <f ca="1">SUM(Y18:Y22)</f>
        <v>6840</v>
      </c>
      <c r="Z23" s="30">
        <f ca="1">AA23/Y23</f>
        <v>211.82529239766083</v>
      </c>
      <c r="AA23" s="29">
        <f ca="1">SUM(AA18:AA22)</f>
        <v>1448885</v>
      </c>
      <c r="AB23" s="31"/>
    </row>
    <row r="24" spans="1:28">
      <c r="A24" s="81" t="s">
        <v>152</v>
      </c>
      <c r="B24" s="81" t="s">
        <v>153</v>
      </c>
      <c r="C24" s="83"/>
      <c r="D24" s="83"/>
      <c r="E24" s="83"/>
      <c r="F24" s="83">
        <v>20</v>
      </c>
      <c r="G24" s="83">
        <v>172</v>
      </c>
      <c r="H24" s="83">
        <v>3440</v>
      </c>
      <c r="I24" s="83"/>
      <c r="J24" s="83"/>
      <c r="K24" s="83"/>
      <c r="L24" s="83"/>
      <c r="M24" s="83"/>
      <c r="N24" s="83"/>
      <c r="O24" s="86">
        <v>20</v>
      </c>
      <c r="P24" s="83">
        <v>172</v>
      </c>
      <c r="Q24" s="86">
        <v>3440</v>
      </c>
      <c r="S24" s="1" t="s">
        <v>152</v>
      </c>
      <c r="T24" s="81" t="s">
        <v>153</v>
      </c>
      <c r="U24" s="4">
        <f t="shared" ref="U24:U52" ca="1" si="26">VLOOKUP(T24,B:L,2,0)</f>
        <v>0</v>
      </c>
      <c r="V24" s="4">
        <f t="shared" ref="V24:V52" ca="1" si="27">VLOOKUP(T24,B:L,5,0)</f>
        <v>20</v>
      </c>
      <c r="W24" s="4">
        <f t="shared" ref="W24:W52" ca="1" si="28">VLOOKUP(T24,B:L,8,0)</f>
        <v>0</v>
      </c>
      <c r="X24" s="4">
        <f t="shared" ref="X24:X52" ca="1" si="29">VLOOKUP(T24,B:L,11,0)</f>
        <v>0</v>
      </c>
      <c r="Y24" s="5">
        <f t="shared" ref="Y24:Y52" ca="1" si="30">SUBTOTAL(9,U24:X24)</f>
        <v>20</v>
      </c>
      <c r="Z24" s="26">
        <f t="shared" ref="Z24:Z49" ca="1" si="31">AA24/Y24</f>
        <v>172</v>
      </c>
      <c r="AA24" s="5">
        <f t="shared" ref="AA24:AA52" ca="1" si="32">VLOOKUP(T24,B:Q,16,0)</f>
        <v>3440</v>
      </c>
      <c r="AB24" s="25"/>
    </row>
    <row r="25" spans="1:28">
      <c r="A25" s="81"/>
      <c r="B25" s="81" t="s">
        <v>154</v>
      </c>
      <c r="C25" s="83"/>
      <c r="D25" s="83"/>
      <c r="E25" s="83"/>
      <c r="F25" s="83">
        <v>10890</v>
      </c>
      <c r="G25" s="83">
        <v>180.6</v>
      </c>
      <c r="H25" s="83">
        <v>1966734</v>
      </c>
      <c r="I25" s="83"/>
      <c r="J25" s="83"/>
      <c r="K25" s="83"/>
      <c r="L25" s="83"/>
      <c r="M25" s="83"/>
      <c r="N25" s="83"/>
      <c r="O25" s="86">
        <v>10890</v>
      </c>
      <c r="P25" s="83">
        <v>180.6</v>
      </c>
      <c r="Q25" s="86">
        <v>1966734</v>
      </c>
      <c r="S25" s="1"/>
      <c r="T25" s="81" t="s">
        <v>154</v>
      </c>
      <c r="U25" s="4">
        <f t="shared" ca="1" si="26"/>
        <v>0</v>
      </c>
      <c r="V25" s="4">
        <f t="shared" ca="1" si="27"/>
        <v>10890</v>
      </c>
      <c r="W25" s="4">
        <f t="shared" ca="1" si="28"/>
        <v>0</v>
      </c>
      <c r="X25" s="4">
        <f t="shared" ca="1" si="29"/>
        <v>0</v>
      </c>
      <c r="Y25" s="5">
        <f t="shared" ca="1" si="30"/>
        <v>10890</v>
      </c>
      <c r="Z25" s="26">
        <f t="shared" ca="1" si="31"/>
        <v>180.6</v>
      </c>
      <c r="AA25" s="5">
        <f t="shared" ca="1" si="32"/>
        <v>1966734</v>
      </c>
      <c r="AB25" s="25"/>
    </row>
    <row r="26" spans="1:28">
      <c r="A26" s="81"/>
      <c r="B26" s="81" t="s">
        <v>173</v>
      </c>
      <c r="C26" s="83">
        <v>31700</v>
      </c>
      <c r="D26" s="83">
        <v>90.5</v>
      </c>
      <c r="E26" s="83">
        <v>2868850</v>
      </c>
      <c r="F26" s="83"/>
      <c r="G26" s="83"/>
      <c r="H26" s="83"/>
      <c r="I26" s="83"/>
      <c r="J26" s="83"/>
      <c r="K26" s="83"/>
      <c r="L26" s="83"/>
      <c r="M26" s="83"/>
      <c r="N26" s="83"/>
      <c r="O26" s="86">
        <v>31700</v>
      </c>
      <c r="P26" s="83">
        <v>90.5</v>
      </c>
      <c r="Q26" s="86">
        <v>2868850</v>
      </c>
      <c r="S26" s="1"/>
      <c r="T26" s="81" t="s">
        <v>173</v>
      </c>
      <c r="U26" s="4">
        <f t="shared" ca="1" si="26"/>
        <v>31700</v>
      </c>
      <c r="V26" s="4">
        <f t="shared" ca="1" si="27"/>
        <v>0</v>
      </c>
      <c r="W26" s="4">
        <f t="shared" ca="1" si="28"/>
        <v>0</v>
      </c>
      <c r="X26" s="4">
        <f t="shared" ca="1" si="29"/>
        <v>0</v>
      </c>
      <c r="Y26" s="5">
        <f t="shared" ca="1" si="30"/>
        <v>31700</v>
      </c>
      <c r="Z26" s="26">
        <f t="shared" ca="1" si="31"/>
        <v>90.5</v>
      </c>
      <c r="AA26" s="5">
        <f t="shared" ca="1" si="32"/>
        <v>2868850</v>
      </c>
      <c r="AB26" s="25"/>
    </row>
    <row r="27" spans="1:28">
      <c r="A27" s="81"/>
      <c r="B27" s="81" t="s">
        <v>902</v>
      </c>
      <c r="C27" s="83">
        <v>690</v>
      </c>
      <c r="D27" s="83">
        <v>90.5</v>
      </c>
      <c r="E27" s="83">
        <v>62445</v>
      </c>
      <c r="F27" s="83"/>
      <c r="G27" s="83"/>
      <c r="H27" s="83"/>
      <c r="I27" s="83"/>
      <c r="J27" s="83"/>
      <c r="K27" s="83"/>
      <c r="L27" s="83"/>
      <c r="M27" s="83"/>
      <c r="N27" s="83"/>
      <c r="O27" s="86">
        <v>690</v>
      </c>
      <c r="P27" s="83">
        <v>90.5</v>
      </c>
      <c r="Q27" s="86">
        <v>62445</v>
      </c>
      <c r="S27" s="1"/>
      <c r="T27" s="81" t="s">
        <v>902</v>
      </c>
      <c r="U27" s="4">
        <f t="shared" ref="U27" ca="1" si="33">VLOOKUP(T27,B:L,2,0)</f>
        <v>690</v>
      </c>
      <c r="V27" s="4">
        <f t="shared" ref="V27" ca="1" si="34">VLOOKUP(T27,B:L,5,0)</f>
        <v>0</v>
      </c>
      <c r="W27" s="4">
        <f t="shared" ref="W27" ca="1" si="35">VLOOKUP(T27,B:L,8,0)</f>
        <v>0</v>
      </c>
      <c r="X27" s="4">
        <f t="shared" ref="X27" ca="1" si="36">VLOOKUP(T27,B:L,11,0)</f>
        <v>0</v>
      </c>
      <c r="Y27" s="5">
        <f t="shared" ref="Y27" ca="1" si="37">SUBTOTAL(9,U27:X27)</f>
        <v>690</v>
      </c>
      <c r="Z27" s="26">
        <f t="shared" ref="Z27" ca="1" si="38">AA27/Y27</f>
        <v>90.5</v>
      </c>
      <c r="AA27" s="5">
        <f t="shared" ref="AA27" ca="1" si="39">VLOOKUP(T27,B:Q,16,0)</f>
        <v>62445</v>
      </c>
      <c r="AB27" s="25"/>
    </row>
    <row r="28" spans="1:28">
      <c r="A28" s="81"/>
      <c r="B28" s="81" t="s">
        <v>155</v>
      </c>
      <c r="C28" s="83">
        <v>102970</v>
      </c>
      <c r="D28" s="83">
        <v>233</v>
      </c>
      <c r="E28" s="83">
        <v>23992010</v>
      </c>
      <c r="F28" s="83">
        <v>10</v>
      </c>
      <c r="G28" s="83">
        <v>233</v>
      </c>
      <c r="H28" s="83">
        <v>2330</v>
      </c>
      <c r="I28" s="83"/>
      <c r="J28" s="83"/>
      <c r="K28" s="83"/>
      <c r="L28" s="83"/>
      <c r="M28" s="83"/>
      <c r="N28" s="83"/>
      <c r="O28" s="86">
        <v>102980</v>
      </c>
      <c r="P28" s="83">
        <v>233</v>
      </c>
      <c r="Q28" s="86">
        <v>23994340</v>
      </c>
      <c r="S28" s="1"/>
      <c r="T28" s="81" t="s">
        <v>155</v>
      </c>
      <c r="U28" s="4">
        <f t="shared" ca="1" si="26"/>
        <v>102970</v>
      </c>
      <c r="V28" s="4">
        <f t="shared" ca="1" si="27"/>
        <v>10</v>
      </c>
      <c r="W28" s="4">
        <f t="shared" ca="1" si="28"/>
        <v>0</v>
      </c>
      <c r="X28" s="4">
        <f t="shared" ca="1" si="29"/>
        <v>0</v>
      </c>
      <c r="Y28" s="5">
        <f t="shared" ca="1" si="30"/>
        <v>102980</v>
      </c>
      <c r="Z28" s="26">
        <f t="shared" ca="1" si="31"/>
        <v>233</v>
      </c>
      <c r="AA28" s="5">
        <f t="shared" ca="1" si="32"/>
        <v>23994340</v>
      </c>
      <c r="AB28" s="25"/>
    </row>
    <row r="29" spans="1:28">
      <c r="A29" s="81"/>
      <c r="B29" s="81" t="s">
        <v>883</v>
      </c>
      <c r="C29" s="83">
        <v>3000</v>
      </c>
      <c r="D29" s="83">
        <v>233</v>
      </c>
      <c r="E29" s="83">
        <v>699000</v>
      </c>
      <c r="F29" s="83"/>
      <c r="G29" s="83"/>
      <c r="H29" s="83"/>
      <c r="I29" s="83"/>
      <c r="J29" s="83"/>
      <c r="K29" s="83"/>
      <c r="L29" s="83"/>
      <c r="M29" s="83"/>
      <c r="N29" s="83"/>
      <c r="O29" s="86">
        <v>3000</v>
      </c>
      <c r="P29" s="83">
        <v>233</v>
      </c>
      <c r="Q29" s="86">
        <v>699000</v>
      </c>
      <c r="S29" s="1"/>
      <c r="T29" s="81" t="s">
        <v>883</v>
      </c>
      <c r="U29" s="4">
        <f t="shared" ref="U29" ca="1" si="40">VLOOKUP(T29,B:L,2,0)</f>
        <v>3000</v>
      </c>
      <c r="V29" s="4">
        <f t="shared" ref="V29" ca="1" si="41">VLOOKUP(T29,B:L,5,0)</f>
        <v>0</v>
      </c>
      <c r="W29" s="4">
        <f t="shared" ref="W29" ca="1" si="42">VLOOKUP(T29,B:L,8,0)</f>
        <v>0</v>
      </c>
      <c r="X29" s="4">
        <f t="shared" ref="X29" ca="1" si="43">VLOOKUP(T29,B:L,11,0)</f>
        <v>0</v>
      </c>
      <c r="Y29" s="5">
        <f t="shared" ref="Y29" ca="1" si="44">SUBTOTAL(9,U29:X29)</f>
        <v>3000</v>
      </c>
      <c r="Z29" s="26">
        <f t="shared" ref="Z29" ca="1" si="45">AA29/Y29</f>
        <v>233</v>
      </c>
      <c r="AA29" s="5">
        <f t="shared" ref="AA29" ca="1" si="46">VLOOKUP(T29,B:Q,16,0)</f>
        <v>699000</v>
      </c>
      <c r="AB29" s="25"/>
    </row>
    <row r="30" spans="1:28">
      <c r="A30" s="81"/>
      <c r="B30" s="81" t="s">
        <v>156</v>
      </c>
      <c r="C30" s="83">
        <v>62460</v>
      </c>
      <c r="D30" s="83">
        <v>208</v>
      </c>
      <c r="E30" s="83">
        <v>12991680</v>
      </c>
      <c r="F30" s="83">
        <v>150</v>
      </c>
      <c r="G30" s="83">
        <v>208</v>
      </c>
      <c r="H30" s="83">
        <v>31200</v>
      </c>
      <c r="I30" s="83"/>
      <c r="J30" s="83"/>
      <c r="K30" s="83"/>
      <c r="L30" s="83"/>
      <c r="M30" s="83"/>
      <c r="N30" s="83"/>
      <c r="O30" s="86">
        <v>62610</v>
      </c>
      <c r="P30" s="83">
        <v>208</v>
      </c>
      <c r="Q30" s="86">
        <v>13022880</v>
      </c>
      <c r="S30" s="1"/>
      <c r="T30" s="81" t="s">
        <v>156</v>
      </c>
      <c r="U30" s="4">
        <f t="shared" ca="1" si="26"/>
        <v>62460</v>
      </c>
      <c r="V30" s="4">
        <f t="shared" ca="1" si="27"/>
        <v>150</v>
      </c>
      <c r="W30" s="4">
        <f t="shared" ca="1" si="28"/>
        <v>0</v>
      </c>
      <c r="X30" s="4">
        <f t="shared" ca="1" si="29"/>
        <v>0</v>
      </c>
      <c r="Y30" s="5">
        <f t="shared" ca="1" si="30"/>
        <v>62610</v>
      </c>
      <c r="Z30" s="26">
        <f t="shared" ca="1" si="31"/>
        <v>208</v>
      </c>
      <c r="AA30" s="5">
        <f t="shared" ca="1" si="32"/>
        <v>13022880</v>
      </c>
      <c r="AB30" s="25"/>
    </row>
    <row r="31" spans="1:28">
      <c r="A31" s="81"/>
      <c r="B31" s="81" t="s">
        <v>157</v>
      </c>
      <c r="C31" s="83"/>
      <c r="D31" s="83"/>
      <c r="E31" s="83"/>
      <c r="F31" s="83">
        <v>110</v>
      </c>
      <c r="G31" s="83">
        <v>116</v>
      </c>
      <c r="H31" s="83">
        <v>12760</v>
      </c>
      <c r="I31" s="83"/>
      <c r="J31" s="83"/>
      <c r="K31" s="83"/>
      <c r="L31" s="83"/>
      <c r="M31" s="83"/>
      <c r="N31" s="83"/>
      <c r="O31" s="86">
        <v>110</v>
      </c>
      <c r="P31" s="83">
        <v>116</v>
      </c>
      <c r="Q31" s="86">
        <v>12760</v>
      </c>
      <c r="S31" s="1"/>
      <c r="T31" s="81" t="s">
        <v>157</v>
      </c>
      <c r="U31" s="4">
        <f t="shared" ca="1" si="26"/>
        <v>0</v>
      </c>
      <c r="V31" s="4">
        <f t="shared" ca="1" si="27"/>
        <v>110</v>
      </c>
      <c r="W31" s="4">
        <f t="shared" ca="1" si="28"/>
        <v>0</v>
      </c>
      <c r="X31" s="4">
        <f t="shared" ca="1" si="29"/>
        <v>0</v>
      </c>
      <c r="Y31" s="5">
        <f t="shared" ca="1" si="30"/>
        <v>110</v>
      </c>
      <c r="Z31" s="26">
        <f t="shared" ca="1" si="31"/>
        <v>116</v>
      </c>
      <c r="AA31" s="5">
        <f t="shared" ca="1" si="32"/>
        <v>12760</v>
      </c>
      <c r="AB31" s="25"/>
    </row>
    <row r="32" spans="1:28">
      <c r="A32" s="81"/>
      <c r="B32" s="81" t="s">
        <v>158</v>
      </c>
      <c r="C32" s="83">
        <v>188720</v>
      </c>
      <c r="D32" s="83">
        <v>116</v>
      </c>
      <c r="E32" s="83">
        <v>21891520</v>
      </c>
      <c r="F32" s="83"/>
      <c r="G32" s="83"/>
      <c r="H32" s="83"/>
      <c r="I32" s="83"/>
      <c r="J32" s="83"/>
      <c r="K32" s="83"/>
      <c r="L32" s="83">
        <v>57.7</v>
      </c>
      <c r="M32" s="83">
        <v>116</v>
      </c>
      <c r="N32" s="83">
        <v>6693.2000000000007</v>
      </c>
      <c r="O32" s="86">
        <v>188777.7</v>
      </c>
      <c r="P32" s="83">
        <v>116</v>
      </c>
      <c r="Q32" s="86">
        <v>21898213.199999999</v>
      </c>
      <c r="S32" s="1"/>
      <c r="T32" s="81" t="s">
        <v>158</v>
      </c>
      <c r="U32" s="4">
        <f t="shared" ca="1" si="26"/>
        <v>188720</v>
      </c>
      <c r="V32" s="4">
        <f t="shared" ca="1" si="27"/>
        <v>0</v>
      </c>
      <c r="W32" s="4">
        <f t="shared" ca="1" si="28"/>
        <v>0</v>
      </c>
      <c r="X32" s="4">
        <f t="shared" ca="1" si="29"/>
        <v>57.7</v>
      </c>
      <c r="Y32" s="5">
        <f t="shared" ca="1" si="30"/>
        <v>188777.7</v>
      </c>
      <c r="Z32" s="26">
        <f t="shared" ca="1" si="31"/>
        <v>115.99999999999999</v>
      </c>
      <c r="AA32" s="5">
        <f t="shared" ca="1" si="32"/>
        <v>21898213.199999999</v>
      </c>
      <c r="AB32" s="25"/>
    </row>
    <row r="33" spans="1:28">
      <c r="A33" s="81"/>
      <c r="B33" s="81" t="s">
        <v>882</v>
      </c>
      <c r="C33" s="83">
        <v>0</v>
      </c>
      <c r="D33" s="83">
        <v>116</v>
      </c>
      <c r="E33" s="83">
        <v>0</v>
      </c>
      <c r="F33" s="83"/>
      <c r="G33" s="83"/>
      <c r="H33" s="83"/>
      <c r="I33" s="83"/>
      <c r="J33" s="83"/>
      <c r="K33" s="83"/>
      <c r="L33" s="83"/>
      <c r="M33" s="83"/>
      <c r="N33" s="83"/>
      <c r="O33" s="86">
        <v>0</v>
      </c>
      <c r="P33" s="83">
        <v>116</v>
      </c>
      <c r="Q33" s="86">
        <v>0</v>
      </c>
      <c r="S33" s="1"/>
      <c r="T33" s="81" t="s">
        <v>882</v>
      </c>
      <c r="U33" s="4">
        <f t="shared" ref="U33" ca="1" si="47">VLOOKUP(T33,B:L,2,0)</f>
        <v>0</v>
      </c>
      <c r="V33" s="4">
        <f t="shared" ref="V33" ca="1" si="48">VLOOKUP(T33,B:L,5,0)</f>
        <v>0</v>
      </c>
      <c r="W33" s="4">
        <f t="shared" ref="W33" ca="1" si="49">VLOOKUP(T33,B:L,8,0)</f>
        <v>0</v>
      </c>
      <c r="X33" s="4">
        <f t="shared" ref="X33" ca="1" si="50">VLOOKUP(T33,B:L,11,0)</f>
        <v>0</v>
      </c>
      <c r="Y33" s="5">
        <f t="shared" ref="Y33" ca="1" si="51">SUBTOTAL(9,U33:X33)</f>
        <v>0</v>
      </c>
      <c r="Z33" s="26" t="e">
        <f t="shared" ref="Z33" ca="1" si="52">AA33/Y33</f>
        <v>#DIV/0!</v>
      </c>
      <c r="AA33" s="5">
        <f t="shared" ref="AA33" ca="1" si="53">VLOOKUP(T33,B:Q,16,0)</f>
        <v>0</v>
      </c>
      <c r="AB33" s="25"/>
    </row>
    <row r="34" spans="1:28">
      <c r="A34" s="81"/>
      <c r="B34" s="81" t="s">
        <v>159</v>
      </c>
      <c r="C34" s="83">
        <v>2855</v>
      </c>
      <c r="D34" s="83">
        <v>126</v>
      </c>
      <c r="E34" s="83">
        <v>359730</v>
      </c>
      <c r="F34" s="83"/>
      <c r="G34" s="83"/>
      <c r="H34" s="83"/>
      <c r="I34" s="83"/>
      <c r="J34" s="83"/>
      <c r="K34" s="83"/>
      <c r="L34" s="83"/>
      <c r="M34" s="83"/>
      <c r="N34" s="83"/>
      <c r="O34" s="86">
        <v>2855</v>
      </c>
      <c r="P34" s="83">
        <v>126</v>
      </c>
      <c r="Q34" s="86">
        <v>359730</v>
      </c>
      <c r="S34" s="1"/>
      <c r="T34" s="81" t="s">
        <v>159</v>
      </c>
      <c r="U34" s="4">
        <f t="shared" ca="1" si="26"/>
        <v>2855</v>
      </c>
      <c r="V34" s="4">
        <f t="shared" ca="1" si="27"/>
        <v>0</v>
      </c>
      <c r="W34" s="4">
        <f t="shared" ca="1" si="28"/>
        <v>0</v>
      </c>
      <c r="X34" s="4">
        <f t="shared" ca="1" si="29"/>
        <v>0</v>
      </c>
      <c r="Y34" s="5">
        <f t="shared" ca="1" si="30"/>
        <v>2855</v>
      </c>
      <c r="Z34" s="26">
        <f t="shared" ca="1" si="31"/>
        <v>126</v>
      </c>
      <c r="AA34" s="5">
        <f t="shared" ca="1" si="32"/>
        <v>359730</v>
      </c>
      <c r="AB34" s="25"/>
    </row>
    <row r="35" spans="1:28">
      <c r="A35" s="81"/>
      <c r="B35" s="81" t="s">
        <v>160</v>
      </c>
      <c r="C35" s="83"/>
      <c r="D35" s="83"/>
      <c r="E35" s="83"/>
      <c r="F35" s="83">
        <v>10</v>
      </c>
      <c r="G35" s="83">
        <v>205</v>
      </c>
      <c r="H35" s="83">
        <v>2050</v>
      </c>
      <c r="I35" s="83"/>
      <c r="J35" s="83"/>
      <c r="K35" s="83"/>
      <c r="L35" s="83"/>
      <c r="M35" s="83"/>
      <c r="N35" s="83"/>
      <c r="O35" s="86">
        <v>10</v>
      </c>
      <c r="P35" s="83">
        <v>205</v>
      </c>
      <c r="Q35" s="86">
        <v>2050</v>
      </c>
      <c r="S35" s="1"/>
      <c r="T35" s="81" t="s">
        <v>160</v>
      </c>
      <c r="U35" s="4">
        <f t="shared" ca="1" si="26"/>
        <v>0</v>
      </c>
      <c r="V35" s="4">
        <f t="shared" ca="1" si="27"/>
        <v>10</v>
      </c>
      <c r="W35" s="4">
        <f t="shared" ca="1" si="28"/>
        <v>0</v>
      </c>
      <c r="X35" s="4">
        <f t="shared" ca="1" si="29"/>
        <v>0</v>
      </c>
      <c r="Y35" s="5">
        <f t="shared" ca="1" si="30"/>
        <v>10</v>
      </c>
      <c r="Z35" s="26">
        <f t="shared" ca="1" si="31"/>
        <v>205</v>
      </c>
      <c r="AA35" s="5">
        <f t="shared" ca="1" si="32"/>
        <v>2050</v>
      </c>
      <c r="AB35" s="25"/>
    </row>
    <row r="36" spans="1:28">
      <c r="A36" s="81"/>
      <c r="B36" s="81" t="s">
        <v>161</v>
      </c>
      <c r="C36" s="83"/>
      <c r="D36" s="83"/>
      <c r="E36" s="83"/>
      <c r="F36" s="83">
        <v>170</v>
      </c>
      <c r="G36" s="83">
        <v>182</v>
      </c>
      <c r="H36" s="83">
        <v>30940</v>
      </c>
      <c r="I36" s="83"/>
      <c r="J36" s="83"/>
      <c r="K36" s="83"/>
      <c r="L36" s="83"/>
      <c r="M36" s="83"/>
      <c r="N36" s="83"/>
      <c r="O36" s="86">
        <v>170</v>
      </c>
      <c r="P36" s="83">
        <v>182</v>
      </c>
      <c r="Q36" s="86">
        <v>30940</v>
      </c>
      <c r="S36" s="1"/>
      <c r="T36" s="81" t="s">
        <v>161</v>
      </c>
      <c r="U36" s="4">
        <f t="shared" ca="1" si="26"/>
        <v>0</v>
      </c>
      <c r="V36" s="4">
        <f t="shared" ca="1" si="27"/>
        <v>170</v>
      </c>
      <c r="W36" s="4">
        <f t="shared" ca="1" si="28"/>
        <v>0</v>
      </c>
      <c r="X36" s="4">
        <f t="shared" ca="1" si="29"/>
        <v>0</v>
      </c>
      <c r="Y36" s="5">
        <f t="shared" ca="1" si="30"/>
        <v>170</v>
      </c>
      <c r="Z36" s="26">
        <f t="shared" ca="1" si="31"/>
        <v>182</v>
      </c>
      <c r="AA36" s="5">
        <f t="shared" ca="1" si="32"/>
        <v>30940</v>
      </c>
      <c r="AB36" s="25"/>
    </row>
    <row r="37" spans="1:28">
      <c r="A37" s="81"/>
      <c r="B37" s="81" t="s">
        <v>162</v>
      </c>
      <c r="C37" s="83"/>
      <c r="D37" s="83"/>
      <c r="E37" s="83"/>
      <c r="F37" s="83">
        <v>2410</v>
      </c>
      <c r="G37" s="83">
        <v>157</v>
      </c>
      <c r="H37" s="83">
        <v>378370</v>
      </c>
      <c r="I37" s="83"/>
      <c r="J37" s="83"/>
      <c r="K37" s="83"/>
      <c r="L37" s="83"/>
      <c r="M37" s="83"/>
      <c r="N37" s="83"/>
      <c r="O37" s="86">
        <v>2410</v>
      </c>
      <c r="P37" s="83">
        <v>157</v>
      </c>
      <c r="Q37" s="86">
        <v>378370</v>
      </c>
      <c r="S37" s="1"/>
      <c r="T37" s="81" t="s">
        <v>162</v>
      </c>
      <c r="U37" s="4">
        <f t="shared" ca="1" si="26"/>
        <v>0</v>
      </c>
      <c r="V37" s="4">
        <f t="shared" ca="1" si="27"/>
        <v>2410</v>
      </c>
      <c r="W37" s="4">
        <f t="shared" ca="1" si="28"/>
        <v>0</v>
      </c>
      <c r="X37" s="4">
        <f t="shared" ca="1" si="29"/>
        <v>0</v>
      </c>
      <c r="Y37" s="5">
        <f t="shared" ca="1" si="30"/>
        <v>2410</v>
      </c>
      <c r="Z37" s="26">
        <f t="shared" ca="1" si="31"/>
        <v>157</v>
      </c>
      <c r="AA37" s="5">
        <f t="shared" ca="1" si="32"/>
        <v>378370</v>
      </c>
      <c r="AB37" s="25"/>
    </row>
    <row r="38" spans="1:28">
      <c r="A38" s="81"/>
      <c r="B38" s="81" t="s">
        <v>163</v>
      </c>
      <c r="C38" s="83">
        <v>8950</v>
      </c>
      <c r="D38" s="83">
        <v>87.7</v>
      </c>
      <c r="E38" s="83">
        <v>784915</v>
      </c>
      <c r="F38" s="83"/>
      <c r="G38" s="83"/>
      <c r="H38" s="83"/>
      <c r="I38" s="83"/>
      <c r="J38" s="83"/>
      <c r="K38" s="83"/>
      <c r="L38" s="83"/>
      <c r="M38" s="83"/>
      <c r="N38" s="83"/>
      <c r="O38" s="86">
        <v>8950</v>
      </c>
      <c r="P38" s="83">
        <v>87.7</v>
      </c>
      <c r="Q38" s="86">
        <v>784915</v>
      </c>
      <c r="S38" s="1"/>
      <c r="T38" s="81" t="s">
        <v>163</v>
      </c>
      <c r="U38" s="4">
        <f t="shared" ca="1" si="26"/>
        <v>8950</v>
      </c>
      <c r="V38" s="4">
        <f t="shared" ca="1" si="27"/>
        <v>0</v>
      </c>
      <c r="W38" s="4">
        <f t="shared" ca="1" si="28"/>
        <v>0</v>
      </c>
      <c r="X38" s="4">
        <f t="shared" ca="1" si="29"/>
        <v>0</v>
      </c>
      <c r="Y38" s="5">
        <f t="shared" ca="1" si="30"/>
        <v>8950</v>
      </c>
      <c r="Z38" s="26">
        <f t="shared" ca="1" si="31"/>
        <v>87.7</v>
      </c>
      <c r="AA38" s="5">
        <f t="shared" ca="1" si="32"/>
        <v>784915</v>
      </c>
      <c r="AB38" s="25"/>
    </row>
    <row r="39" spans="1:28">
      <c r="A39" s="81"/>
      <c r="B39" s="81" t="s">
        <v>164</v>
      </c>
      <c r="C39" s="83">
        <v>3400</v>
      </c>
      <c r="D39" s="83">
        <v>114</v>
      </c>
      <c r="E39" s="83">
        <v>387600</v>
      </c>
      <c r="F39" s="83"/>
      <c r="G39" s="83"/>
      <c r="H39" s="83"/>
      <c r="I39" s="83"/>
      <c r="J39" s="83"/>
      <c r="K39" s="83"/>
      <c r="L39" s="83"/>
      <c r="M39" s="83"/>
      <c r="N39" s="83"/>
      <c r="O39" s="86">
        <v>3400</v>
      </c>
      <c r="P39" s="83">
        <v>114</v>
      </c>
      <c r="Q39" s="86">
        <v>387600</v>
      </c>
      <c r="S39" s="1"/>
      <c r="T39" s="81" t="s">
        <v>164</v>
      </c>
      <c r="U39" s="4">
        <f t="shared" ca="1" si="26"/>
        <v>3400</v>
      </c>
      <c r="V39" s="4">
        <f t="shared" ca="1" si="27"/>
        <v>0</v>
      </c>
      <c r="W39" s="4">
        <f t="shared" ca="1" si="28"/>
        <v>0</v>
      </c>
      <c r="X39" s="4">
        <f t="shared" ca="1" si="29"/>
        <v>0</v>
      </c>
      <c r="Y39" s="5">
        <f t="shared" ca="1" si="30"/>
        <v>3400</v>
      </c>
      <c r="Z39" s="26">
        <f t="shared" ca="1" si="31"/>
        <v>114</v>
      </c>
      <c r="AA39" s="5">
        <f t="shared" ca="1" si="32"/>
        <v>387600</v>
      </c>
      <c r="AB39" s="25"/>
    </row>
    <row r="40" spans="1:28">
      <c r="A40" s="81"/>
      <c r="B40" s="81" t="s">
        <v>165</v>
      </c>
      <c r="C40" s="83"/>
      <c r="D40" s="83"/>
      <c r="E40" s="83"/>
      <c r="F40" s="83">
        <v>30</v>
      </c>
      <c r="G40" s="83">
        <v>98.6</v>
      </c>
      <c r="H40" s="83">
        <v>2958</v>
      </c>
      <c r="I40" s="83"/>
      <c r="J40" s="83"/>
      <c r="K40" s="83"/>
      <c r="L40" s="83"/>
      <c r="M40" s="83"/>
      <c r="N40" s="83"/>
      <c r="O40" s="86">
        <v>30</v>
      </c>
      <c r="P40" s="83">
        <v>98.6</v>
      </c>
      <c r="Q40" s="86">
        <v>2958</v>
      </c>
      <c r="S40" s="1"/>
      <c r="T40" s="81" t="s">
        <v>165</v>
      </c>
      <c r="U40" s="4">
        <f t="shared" ca="1" si="26"/>
        <v>0</v>
      </c>
      <c r="V40" s="4">
        <f t="shared" ca="1" si="27"/>
        <v>30</v>
      </c>
      <c r="W40" s="4">
        <f t="shared" ca="1" si="28"/>
        <v>0</v>
      </c>
      <c r="X40" s="4">
        <f t="shared" ca="1" si="29"/>
        <v>0</v>
      </c>
      <c r="Y40" s="5">
        <f t="shared" ca="1" si="30"/>
        <v>30</v>
      </c>
      <c r="Z40" s="26">
        <f t="shared" ca="1" si="31"/>
        <v>98.6</v>
      </c>
      <c r="AA40" s="5">
        <f t="shared" ca="1" si="32"/>
        <v>2958</v>
      </c>
      <c r="AB40" s="25"/>
    </row>
    <row r="41" spans="1:28">
      <c r="A41" s="81"/>
      <c r="B41" s="81" t="s">
        <v>791</v>
      </c>
      <c r="C41" s="83">
        <v>20064</v>
      </c>
      <c r="D41" s="83">
        <v>116</v>
      </c>
      <c r="E41" s="83">
        <v>2327424</v>
      </c>
      <c r="F41" s="83"/>
      <c r="G41" s="83"/>
      <c r="H41" s="83"/>
      <c r="I41" s="83"/>
      <c r="J41" s="83"/>
      <c r="K41" s="83"/>
      <c r="L41" s="83"/>
      <c r="M41" s="83"/>
      <c r="N41" s="83"/>
      <c r="O41" s="86">
        <v>20064</v>
      </c>
      <c r="P41" s="83">
        <v>116</v>
      </c>
      <c r="Q41" s="86">
        <v>2327424</v>
      </c>
      <c r="S41" s="1"/>
      <c r="T41" s="81" t="s">
        <v>791</v>
      </c>
      <c r="U41" s="4">
        <f t="shared" ca="1" si="26"/>
        <v>20064</v>
      </c>
      <c r="V41" s="4">
        <f t="shared" ca="1" si="27"/>
        <v>0</v>
      </c>
      <c r="W41" s="4">
        <f t="shared" ca="1" si="28"/>
        <v>0</v>
      </c>
      <c r="X41" s="4">
        <f t="shared" ca="1" si="29"/>
        <v>0</v>
      </c>
      <c r="Y41" s="5">
        <f t="shared" ca="1" si="30"/>
        <v>20064</v>
      </c>
      <c r="Z41" s="26">
        <f t="shared" ca="1" si="31"/>
        <v>116</v>
      </c>
      <c r="AA41" s="5">
        <f t="shared" ca="1" si="32"/>
        <v>2327424</v>
      </c>
      <c r="AB41" s="25"/>
    </row>
    <row r="42" spans="1:28">
      <c r="A42" s="81"/>
      <c r="B42" s="81" t="s">
        <v>166</v>
      </c>
      <c r="C42" s="83"/>
      <c r="D42" s="83"/>
      <c r="E42" s="83"/>
      <c r="F42" s="83">
        <v>5345</v>
      </c>
      <c r="G42" s="83">
        <v>303</v>
      </c>
      <c r="H42" s="83">
        <v>1619535</v>
      </c>
      <c r="I42" s="83"/>
      <c r="J42" s="83"/>
      <c r="K42" s="83"/>
      <c r="L42" s="83"/>
      <c r="M42" s="83"/>
      <c r="N42" s="83"/>
      <c r="O42" s="86">
        <v>5345</v>
      </c>
      <c r="P42" s="83">
        <v>303</v>
      </c>
      <c r="Q42" s="86">
        <v>1619535</v>
      </c>
      <c r="S42" s="1"/>
      <c r="T42" s="81" t="s">
        <v>166</v>
      </c>
      <c r="U42" s="4">
        <f t="shared" ca="1" si="26"/>
        <v>0</v>
      </c>
      <c r="V42" s="4">
        <f t="shared" ca="1" si="27"/>
        <v>5345</v>
      </c>
      <c r="W42" s="4">
        <f t="shared" ca="1" si="28"/>
        <v>0</v>
      </c>
      <c r="X42" s="4">
        <f t="shared" ca="1" si="29"/>
        <v>0</v>
      </c>
      <c r="Y42" s="5">
        <f t="shared" ca="1" si="30"/>
        <v>5345</v>
      </c>
      <c r="Z42" s="26">
        <f t="shared" ca="1" si="31"/>
        <v>303</v>
      </c>
      <c r="AA42" s="5">
        <f t="shared" ca="1" si="32"/>
        <v>1619535</v>
      </c>
      <c r="AB42" s="25"/>
    </row>
    <row r="43" spans="1:28">
      <c r="A43" s="81"/>
      <c r="B43" s="81" t="s">
        <v>174</v>
      </c>
      <c r="C43" s="83"/>
      <c r="D43" s="83"/>
      <c r="E43" s="83"/>
      <c r="F43" s="83">
        <v>310</v>
      </c>
      <c r="G43" s="83">
        <v>208</v>
      </c>
      <c r="H43" s="83">
        <v>64480</v>
      </c>
      <c r="I43" s="83"/>
      <c r="J43" s="83"/>
      <c r="K43" s="83"/>
      <c r="L43" s="83"/>
      <c r="M43" s="83"/>
      <c r="N43" s="83"/>
      <c r="O43" s="86">
        <v>310</v>
      </c>
      <c r="P43" s="83">
        <v>208</v>
      </c>
      <c r="Q43" s="86">
        <v>64480</v>
      </c>
      <c r="S43" s="1"/>
      <c r="T43" s="81" t="s">
        <v>174</v>
      </c>
      <c r="U43" s="4">
        <f t="shared" ca="1" si="26"/>
        <v>0</v>
      </c>
      <c r="V43" s="4">
        <f t="shared" ca="1" si="27"/>
        <v>310</v>
      </c>
      <c r="W43" s="4">
        <f t="shared" ca="1" si="28"/>
        <v>0</v>
      </c>
      <c r="X43" s="4">
        <f t="shared" ca="1" si="29"/>
        <v>0</v>
      </c>
      <c r="Y43" s="5">
        <f t="shared" ca="1" si="30"/>
        <v>310</v>
      </c>
      <c r="Z43" s="26">
        <f t="shared" ca="1" si="31"/>
        <v>208</v>
      </c>
      <c r="AA43" s="5">
        <f t="shared" ca="1" si="32"/>
        <v>64480</v>
      </c>
      <c r="AB43" s="25"/>
    </row>
    <row r="44" spans="1:28">
      <c r="A44" s="81"/>
      <c r="B44" s="81" t="s">
        <v>891</v>
      </c>
      <c r="C44" s="83">
        <v>26310</v>
      </c>
      <c r="D44" s="83">
        <v>195</v>
      </c>
      <c r="E44" s="83">
        <v>5130450</v>
      </c>
      <c r="F44" s="83"/>
      <c r="G44" s="83"/>
      <c r="H44" s="83"/>
      <c r="I44" s="83"/>
      <c r="J44" s="83"/>
      <c r="K44" s="83"/>
      <c r="L44" s="83"/>
      <c r="M44" s="83"/>
      <c r="N44" s="83"/>
      <c r="O44" s="86">
        <v>26310</v>
      </c>
      <c r="P44" s="83">
        <v>195</v>
      </c>
      <c r="Q44" s="86">
        <v>5130450</v>
      </c>
      <c r="S44" s="1"/>
      <c r="T44" s="81" t="s">
        <v>891</v>
      </c>
      <c r="U44" s="4">
        <f t="shared" ref="U44" ca="1" si="54">VLOOKUP(T44,B:L,2,0)</f>
        <v>26310</v>
      </c>
      <c r="V44" s="4">
        <f t="shared" ref="V44" ca="1" si="55">VLOOKUP(T44,B:L,5,0)</f>
        <v>0</v>
      </c>
      <c r="W44" s="4">
        <f t="shared" ref="W44" ca="1" si="56">VLOOKUP(T44,B:L,8,0)</f>
        <v>0</v>
      </c>
      <c r="X44" s="4">
        <f t="shared" ref="X44" ca="1" si="57">VLOOKUP(T44,B:L,11,0)</f>
        <v>0</v>
      </c>
      <c r="Y44" s="5">
        <f t="shared" ref="Y44" ca="1" si="58">SUBTOTAL(9,U44:X44)</f>
        <v>26310</v>
      </c>
      <c r="Z44" s="26">
        <f t="shared" ref="Z44" ca="1" si="59">AA44/Y44</f>
        <v>195</v>
      </c>
      <c r="AA44" s="5">
        <f t="shared" ref="AA44" ca="1" si="60">VLOOKUP(T44,B:Q,16,0)</f>
        <v>5130450</v>
      </c>
      <c r="AB44" s="25"/>
    </row>
    <row r="45" spans="1:28">
      <c r="A45" s="81"/>
      <c r="B45" s="81" t="s">
        <v>743</v>
      </c>
      <c r="C45" s="83"/>
      <c r="D45" s="83"/>
      <c r="E45" s="83"/>
      <c r="F45" s="83"/>
      <c r="G45" s="83"/>
      <c r="H45" s="83"/>
      <c r="I45" s="83"/>
      <c r="J45" s="83"/>
      <c r="K45" s="83"/>
      <c r="L45" s="83">
        <v>29.5</v>
      </c>
      <c r="M45" s="83">
        <v>142</v>
      </c>
      <c r="N45" s="83">
        <v>4189</v>
      </c>
      <c r="O45" s="86">
        <v>29.5</v>
      </c>
      <c r="P45" s="83">
        <v>142</v>
      </c>
      <c r="Q45" s="86">
        <v>4189</v>
      </c>
      <c r="S45" s="1"/>
      <c r="T45" s="81" t="s">
        <v>743</v>
      </c>
      <c r="U45" s="4">
        <f t="shared" ca="1" si="26"/>
        <v>0</v>
      </c>
      <c r="V45" s="4">
        <f t="shared" ca="1" si="27"/>
        <v>0</v>
      </c>
      <c r="W45" s="4">
        <f t="shared" ca="1" si="28"/>
        <v>0</v>
      </c>
      <c r="X45" s="4">
        <f t="shared" ca="1" si="29"/>
        <v>29.5</v>
      </c>
      <c r="Y45" s="5">
        <f t="shared" ca="1" si="30"/>
        <v>29.5</v>
      </c>
      <c r="Z45" s="26">
        <f t="shared" ca="1" si="31"/>
        <v>142</v>
      </c>
      <c r="AA45" s="5">
        <f t="shared" ca="1" si="32"/>
        <v>4189</v>
      </c>
      <c r="AB45" s="25"/>
    </row>
    <row r="46" spans="1:28">
      <c r="A46" s="81"/>
      <c r="B46" s="81" t="s">
        <v>167</v>
      </c>
      <c r="C46" s="83">
        <v>19740</v>
      </c>
      <c r="D46" s="83">
        <v>219</v>
      </c>
      <c r="E46" s="83">
        <v>4051950</v>
      </c>
      <c r="F46" s="83"/>
      <c r="G46" s="83"/>
      <c r="H46" s="83"/>
      <c r="I46" s="83"/>
      <c r="J46" s="83"/>
      <c r="K46" s="83"/>
      <c r="L46" s="83"/>
      <c r="M46" s="83"/>
      <c r="N46" s="83"/>
      <c r="O46" s="86">
        <v>19740</v>
      </c>
      <c r="P46" s="83">
        <v>219</v>
      </c>
      <c r="Q46" s="86">
        <v>4051950</v>
      </c>
      <c r="S46" s="1"/>
      <c r="T46" s="81" t="s">
        <v>167</v>
      </c>
      <c r="U46" s="4">
        <f t="shared" ca="1" si="26"/>
        <v>19740</v>
      </c>
      <c r="V46" s="4">
        <f t="shared" ca="1" si="27"/>
        <v>0</v>
      </c>
      <c r="W46" s="4">
        <f t="shared" ca="1" si="28"/>
        <v>0</v>
      </c>
      <c r="X46" s="4">
        <f t="shared" ca="1" si="29"/>
        <v>0</v>
      </c>
      <c r="Y46" s="5">
        <f t="shared" ca="1" si="30"/>
        <v>19740</v>
      </c>
      <c r="Z46" s="26">
        <f t="shared" ca="1" si="31"/>
        <v>205.2659574468085</v>
      </c>
      <c r="AA46" s="5">
        <f t="shared" ca="1" si="32"/>
        <v>4051950</v>
      </c>
      <c r="AB46" s="25"/>
    </row>
    <row r="47" spans="1:28">
      <c r="A47" s="81"/>
      <c r="B47" s="81" t="s">
        <v>175</v>
      </c>
      <c r="C47" s="83"/>
      <c r="D47" s="83"/>
      <c r="E47" s="83"/>
      <c r="F47" s="83"/>
      <c r="G47" s="83"/>
      <c r="H47" s="83"/>
      <c r="I47" s="83"/>
      <c r="J47" s="83"/>
      <c r="K47" s="83"/>
      <c r="L47" s="83">
        <v>100</v>
      </c>
      <c r="M47" s="83">
        <v>303</v>
      </c>
      <c r="N47" s="83">
        <v>30300</v>
      </c>
      <c r="O47" s="86">
        <v>100</v>
      </c>
      <c r="P47" s="83">
        <v>303</v>
      </c>
      <c r="Q47" s="86">
        <v>30300</v>
      </c>
      <c r="S47" s="1"/>
      <c r="T47" s="81" t="s">
        <v>175</v>
      </c>
      <c r="U47" s="4">
        <f t="shared" ca="1" si="26"/>
        <v>0</v>
      </c>
      <c r="V47" s="4">
        <f t="shared" ca="1" si="27"/>
        <v>0</v>
      </c>
      <c r="W47" s="4">
        <f t="shared" ca="1" si="28"/>
        <v>0</v>
      </c>
      <c r="X47" s="4">
        <f t="shared" ca="1" si="29"/>
        <v>100</v>
      </c>
      <c r="Y47" s="5">
        <f t="shared" ca="1" si="30"/>
        <v>100</v>
      </c>
      <c r="Z47" s="26">
        <f t="shared" ca="1" si="31"/>
        <v>303</v>
      </c>
      <c r="AA47" s="5">
        <f t="shared" ca="1" si="32"/>
        <v>30300</v>
      </c>
      <c r="AB47" s="25"/>
    </row>
    <row r="48" spans="1:28">
      <c r="A48" s="81"/>
      <c r="B48" s="81" t="s">
        <v>168</v>
      </c>
      <c r="C48" s="83"/>
      <c r="D48" s="83"/>
      <c r="E48" s="83"/>
      <c r="F48" s="83">
        <v>495</v>
      </c>
      <c r="G48" s="83">
        <v>187.5</v>
      </c>
      <c r="H48" s="83">
        <v>92812.5</v>
      </c>
      <c r="I48" s="83"/>
      <c r="J48" s="83"/>
      <c r="K48" s="83"/>
      <c r="L48" s="83"/>
      <c r="M48" s="83"/>
      <c r="N48" s="83"/>
      <c r="O48" s="86">
        <v>495</v>
      </c>
      <c r="P48" s="83">
        <v>187.5</v>
      </c>
      <c r="Q48" s="86">
        <v>92812.5</v>
      </c>
      <c r="S48" s="1"/>
      <c r="T48" s="81" t="s">
        <v>168</v>
      </c>
      <c r="U48" s="4">
        <f t="shared" ca="1" si="26"/>
        <v>0</v>
      </c>
      <c r="V48" s="4">
        <f t="shared" ca="1" si="27"/>
        <v>495</v>
      </c>
      <c r="W48" s="4">
        <f t="shared" ca="1" si="28"/>
        <v>0</v>
      </c>
      <c r="X48" s="4">
        <f t="shared" ca="1" si="29"/>
        <v>0</v>
      </c>
      <c r="Y48" s="5">
        <f t="shared" ca="1" si="30"/>
        <v>495</v>
      </c>
      <c r="Z48" s="26">
        <f t="shared" ca="1" si="31"/>
        <v>187.5</v>
      </c>
      <c r="AA48" s="5">
        <f t="shared" ca="1" si="32"/>
        <v>92812.5</v>
      </c>
      <c r="AB48" s="25"/>
    </row>
    <row r="49" spans="1:28">
      <c r="A49" s="81"/>
      <c r="B49" s="81" t="s">
        <v>172</v>
      </c>
      <c r="C49" s="83"/>
      <c r="D49" s="83"/>
      <c r="E49" s="83"/>
      <c r="F49" s="83">
        <v>80</v>
      </c>
      <c r="G49" s="83">
        <v>116</v>
      </c>
      <c r="H49" s="83">
        <v>9280</v>
      </c>
      <c r="I49" s="83"/>
      <c r="J49" s="83"/>
      <c r="K49" s="83"/>
      <c r="L49" s="83"/>
      <c r="M49" s="83"/>
      <c r="N49" s="83"/>
      <c r="O49" s="86">
        <v>80</v>
      </c>
      <c r="P49" s="83">
        <v>116</v>
      </c>
      <c r="Q49" s="86">
        <v>9280</v>
      </c>
      <c r="S49" s="1"/>
      <c r="T49" s="81" t="s">
        <v>172</v>
      </c>
      <c r="U49" s="4">
        <f t="shared" ca="1" si="26"/>
        <v>0</v>
      </c>
      <c r="V49" s="4">
        <f t="shared" ca="1" si="27"/>
        <v>80</v>
      </c>
      <c r="W49" s="4">
        <f t="shared" ca="1" si="28"/>
        <v>0</v>
      </c>
      <c r="X49" s="4">
        <f t="shared" ca="1" si="29"/>
        <v>0</v>
      </c>
      <c r="Y49" s="5">
        <f t="shared" ca="1" si="30"/>
        <v>80</v>
      </c>
      <c r="Z49" s="26">
        <f t="shared" ca="1" si="31"/>
        <v>116</v>
      </c>
      <c r="AA49" s="5">
        <f t="shared" ca="1" si="32"/>
        <v>9280</v>
      </c>
      <c r="AB49" s="25"/>
    </row>
    <row r="50" spans="1:28">
      <c r="A50" s="81"/>
      <c r="B50" s="81" t="s">
        <v>169</v>
      </c>
      <c r="C50" s="83"/>
      <c r="D50" s="83"/>
      <c r="E50" s="83"/>
      <c r="F50" s="83">
        <v>115</v>
      </c>
      <c r="G50" s="83">
        <v>233</v>
      </c>
      <c r="H50" s="83">
        <v>26795</v>
      </c>
      <c r="I50" s="83"/>
      <c r="J50" s="83"/>
      <c r="K50" s="83"/>
      <c r="L50" s="83"/>
      <c r="M50" s="83"/>
      <c r="N50" s="83"/>
      <c r="O50" s="86">
        <v>115</v>
      </c>
      <c r="P50" s="83">
        <v>233</v>
      </c>
      <c r="Q50" s="86">
        <v>26795</v>
      </c>
      <c r="S50" s="1"/>
      <c r="T50" s="81" t="s">
        <v>169</v>
      </c>
      <c r="U50" s="4">
        <f t="shared" ca="1" si="26"/>
        <v>0</v>
      </c>
      <c r="V50" s="4">
        <f t="shared" ca="1" si="27"/>
        <v>115</v>
      </c>
      <c r="W50" s="4">
        <f t="shared" ca="1" si="28"/>
        <v>0</v>
      </c>
      <c r="X50" s="4">
        <f t="shared" ca="1" si="29"/>
        <v>0</v>
      </c>
      <c r="Y50" s="5">
        <f t="shared" ca="1" si="30"/>
        <v>115</v>
      </c>
      <c r="Z50" s="26">
        <v>0</v>
      </c>
      <c r="AA50" s="5">
        <f t="shared" ca="1" si="32"/>
        <v>26795</v>
      </c>
      <c r="AB50" s="25"/>
    </row>
    <row r="51" spans="1:28">
      <c r="A51" s="81"/>
      <c r="B51" s="81" t="s">
        <v>728</v>
      </c>
      <c r="C51" s="83"/>
      <c r="D51" s="83"/>
      <c r="E51" s="83"/>
      <c r="F51" s="83"/>
      <c r="G51" s="83"/>
      <c r="H51" s="83"/>
      <c r="I51" s="83">
        <v>26000</v>
      </c>
      <c r="J51" s="83">
        <v>99</v>
      </c>
      <c r="K51" s="83">
        <v>2574000</v>
      </c>
      <c r="L51" s="83"/>
      <c r="M51" s="83"/>
      <c r="N51" s="83"/>
      <c r="O51" s="86">
        <v>26000</v>
      </c>
      <c r="P51" s="83">
        <v>99</v>
      </c>
      <c r="Q51" s="86">
        <v>2574000</v>
      </c>
      <c r="S51" s="1"/>
      <c r="T51" s="81" t="s">
        <v>728</v>
      </c>
      <c r="U51" s="4">
        <f t="shared" ca="1" si="26"/>
        <v>0</v>
      </c>
      <c r="V51" s="4">
        <f t="shared" ca="1" si="27"/>
        <v>0</v>
      </c>
      <c r="W51" s="4">
        <f t="shared" ca="1" si="28"/>
        <v>26000</v>
      </c>
      <c r="X51" s="4">
        <f t="shared" ca="1" si="29"/>
        <v>0</v>
      </c>
      <c r="Y51" s="5">
        <f t="shared" ca="1" si="30"/>
        <v>26000</v>
      </c>
      <c r="Z51" s="26"/>
      <c r="AA51" s="5">
        <f t="shared" ca="1" si="32"/>
        <v>2574000</v>
      </c>
      <c r="AB51" s="25"/>
    </row>
    <row r="52" spans="1:28">
      <c r="A52" s="81"/>
      <c r="B52" s="81" t="s">
        <v>170</v>
      </c>
      <c r="C52" s="83"/>
      <c r="D52" s="83"/>
      <c r="E52" s="83"/>
      <c r="F52" s="83"/>
      <c r="G52" s="83"/>
      <c r="H52" s="83"/>
      <c r="I52" s="83"/>
      <c r="J52" s="83"/>
      <c r="K52" s="83"/>
      <c r="L52" s="83">
        <v>10</v>
      </c>
      <c r="M52" s="83">
        <v>100</v>
      </c>
      <c r="N52" s="83">
        <v>1000</v>
      </c>
      <c r="O52" s="86">
        <v>10</v>
      </c>
      <c r="P52" s="83">
        <v>100</v>
      </c>
      <c r="Q52" s="86">
        <v>1000</v>
      </c>
      <c r="S52" s="1"/>
      <c r="T52" s="81" t="s">
        <v>170</v>
      </c>
      <c r="U52" s="4">
        <f t="shared" ca="1" si="26"/>
        <v>0</v>
      </c>
      <c r="V52" s="4">
        <f t="shared" ca="1" si="27"/>
        <v>0</v>
      </c>
      <c r="W52" s="4">
        <f t="shared" ca="1" si="28"/>
        <v>0</v>
      </c>
      <c r="X52" s="4">
        <f t="shared" ca="1" si="29"/>
        <v>10</v>
      </c>
      <c r="Y52" s="5">
        <f t="shared" ca="1" si="30"/>
        <v>10</v>
      </c>
      <c r="Z52" s="26">
        <f t="shared" ref="Z52" ca="1" si="61">AA52/Y52</f>
        <v>100</v>
      </c>
      <c r="AA52" s="5">
        <f t="shared" ca="1" si="32"/>
        <v>1000</v>
      </c>
      <c r="AB52" s="25"/>
    </row>
    <row r="53" spans="1:28">
      <c r="A53" s="81"/>
      <c r="B53" s="81" t="s">
        <v>723</v>
      </c>
      <c r="C53" s="83">
        <v>4400</v>
      </c>
      <c r="D53" s="83">
        <v>115</v>
      </c>
      <c r="E53" s="83">
        <v>506000</v>
      </c>
      <c r="F53" s="83"/>
      <c r="G53" s="83"/>
      <c r="H53" s="83"/>
      <c r="I53" s="83"/>
      <c r="J53" s="83"/>
      <c r="K53" s="83"/>
      <c r="L53" s="83"/>
      <c r="M53" s="83"/>
      <c r="N53" s="83"/>
      <c r="O53" s="86">
        <v>4400</v>
      </c>
      <c r="P53" s="83">
        <v>115</v>
      </c>
      <c r="Q53" s="86">
        <v>506000</v>
      </c>
      <c r="S53" s="1"/>
      <c r="T53" s="81" t="s">
        <v>723</v>
      </c>
      <c r="U53" s="4">
        <f t="shared" ref="U53" ca="1" si="62">VLOOKUP(T53,B:L,2,0)</f>
        <v>4400</v>
      </c>
      <c r="V53" s="4">
        <f t="shared" ref="V53" ca="1" si="63">VLOOKUP(T53,B:L,5,0)</f>
        <v>0</v>
      </c>
      <c r="W53" s="4">
        <f t="shared" ref="W53" ca="1" si="64">VLOOKUP(T53,B:L,8,0)</f>
        <v>0</v>
      </c>
      <c r="X53" s="4">
        <f t="shared" ref="X53" ca="1" si="65">VLOOKUP(T53,B:L,11,0)</f>
        <v>0</v>
      </c>
      <c r="Y53" s="5">
        <f t="shared" ref="Y53" ca="1" si="66">SUBTOTAL(9,U53:X53)</f>
        <v>4400</v>
      </c>
      <c r="Z53" s="26">
        <f t="shared" ref="Z53" ca="1" si="67">AA53/Y53</f>
        <v>115</v>
      </c>
      <c r="AA53" s="5">
        <f t="shared" ref="AA53" ca="1" si="68">VLOOKUP(T53,B:Q,16,0)</f>
        <v>506000</v>
      </c>
      <c r="AB53" s="25"/>
    </row>
    <row r="54" spans="1:28">
      <c r="A54" s="81"/>
      <c r="B54" s="81" t="s">
        <v>171</v>
      </c>
      <c r="C54" s="83"/>
      <c r="D54" s="83"/>
      <c r="E54" s="83"/>
      <c r="F54" s="83">
        <v>1402</v>
      </c>
      <c r="G54" s="83">
        <v>350</v>
      </c>
      <c r="H54" s="83">
        <v>490700</v>
      </c>
      <c r="I54" s="83"/>
      <c r="J54" s="83"/>
      <c r="K54" s="83"/>
      <c r="L54" s="83"/>
      <c r="M54" s="83"/>
      <c r="N54" s="83"/>
      <c r="O54" s="86">
        <v>1402</v>
      </c>
      <c r="P54" s="83">
        <v>350</v>
      </c>
      <c r="Q54" s="86">
        <v>490700</v>
      </c>
      <c r="S54" s="1"/>
      <c r="T54" s="81" t="s">
        <v>171</v>
      </c>
      <c r="U54" s="4">
        <f t="shared" ref="U54" ca="1" si="69">VLOOKUP(T54,B:L,2,0)</f>
        <v>0</v>
      </c>
      <c r="V54" s="4">
        <f t="shared" ref="V54" ca="1" si="70">VLOOKUP(T54,B:L,5,0)</f>
        <v>1402</v>
      </c>
      <c r="W54" s="4">
        <f t="shared" ref="W54" ca="1" si="71">VLOOKUP(T54,B:L,8,0)</f>
        <v>0</v>
      </c>
      <c r="X54" s="4">
        <f t="shared" ref="X54" ca="1" si="72">VLOOKUP(T54,B:L,11,0)</f>
        <v>0</v>
      </c>
      <c r="Y54" s="5">
        <f t="shared" ref="Y54" ca="1" si="73">SUBTOTAL(9,U54:X54)</f>
        <v>1402</v>
      </c>
      <c r="Z54" s="26">
        <f t="shared" ref="Z54" ca="1" si="74">AA54/Y54</f>
        <v>350</v>
      </c>
      <c r="AA54" s="5">
        <f t="shared" ref="AA54" ca="1" si="75">VLOOKUP(T54,B:Q,16,0)</f>
        <v>490700</v>
      </c>
      <c r="AB54" s="25"/>
    </row>
    <row r="55" spans="1:28">
      <c r="A55" s="89" t="s">
        <v>176</v>
      </c>
      <c r="B55" s="89"/>
      <c r="C55" s="90">
        <v>475259</v>
      </c>
      <c r="D55" s="90">
        <v>153.48358208955224</v>
      </c>
      <c r="E55" s="90">
        <v>76053574</v>
      </c>
      <c r="F55" s="90">
        <v>21547</v>
      </c>
      <c r="G55" s="90">
        <v>226.78275862068966</v>
      </c>
      <c r="H55" s="90">
        <v>4734384.5</v>
      </c>
      <c r="I55" s="90">
        <v>26000</v>
      </c>
      <c r="J55" s="90">
        <v>99</v>
      </c>
      <c r="K55" s="90">
        <v>2574000</v>
      </c>
      <c r="L55" s="90">
        <v>197.2</v>
      </c>
      <c r="M55" s="90">
        <v>165.25</v>
      </c>
      <c r="N55" s="90">
        <v>42182.2</v>
      </c>
      <c r="O55" s="93">
        <v>523003.2</v>
      </c>
      <c r="P55" s="90">
        <v>173.71666666666664</v>
      </c>
      <c r="Q55" s="93">
        <v>83404140.700000003</v>
      </c>
      <c r="S55" s="28" t="s">
        <v>176</v>
      </c>
      <c r="T55" s="28"/>
      <c r="U55" s="29">
        <f ca="1">SUM(U24:U54)</f>
        <v>475259</v>
      </c>
      <c r="V55" s="29">
        <f ca="1">SUM(V24:V54)</f>
        <v>21547</v>
      </c>
      <c r="W55" s="29">
        <f ca="1">SUM(W24:W54)</f>
        <v>26000</v>
      </c>
      <c r="X55" s="29">
        <f ca="1">SUM(X24:X54)</f>
        <v>197.2</v>
      </c>
      <c r="Y55" s="29">
        <f ca="1">SUM(Y24:Y54)</f>
        <v>523003.2</v>
      </c>
      <c r="Z55" s="30">
        <f ca="1">AA55/Y55</f>
        <v>159.47156862520154</v>
      </c>
      <c r="AA55" s="29">
        <f ca="1">SUM(AA24:AA54)</f>
        <v>83404140.700000003</v>
      </c>
      <c r="AB55" s="31"/>
    </row>
    <row r="56" spans="1:28">
      <c r="A56" s="81" t="s">
        <v>177</v>
      </c>
      <c r="B56" s="81" t="s">
        <v>178</v>
      </c>
      <c r="C56" s="83"/>
      <c r="D56" s="83"/>
      <c r="E56" s="83"/>
      <c r="F56" s="83">
        <v>5</v>
      </c>
      <c r="G56" s="83">
        <v>789</v>
      </c>
      <c r="H56" s="83">
        <v>3945</v>
      </c>
      <c r="I56" s="83"/>
      <c r="J56" s="83"/>
      <c r="K56" s="83"/>
      <c r="L56" s="83"/>
      <c r="M56" s="83"/>
      <c r="N56" s="83"/>
      <c r="O56" s="86">
        <v>5</v>
      </c>
      <c r="P56" s="83">
        <v>789</v>
      </c>
      <c r="Q56" s="86">
        <v>3945</v>
      </c>
      <c r="S56" s="1" t="s">
        <v>177</v>
      </c>
      <c r="T56" s="81" t="s">
        <v>178</v>
      </c>
      <c r="U56" s="4">
        <f t="shared" ref="U56:U66" ca="1" si="76">VLOOKUP(T56,B:L,2,0)</f>
        <v>0</v>
      </c>
      <c r="V56" s="4">
        <f t="shared" ref="V56:V66" ca="1" si="77">VLOOKUP(T56,B:L,5,0)</f>
        <v>5</v>
      </c>
      <c r="W56" s="4">
        <f t="shared" ref="W56:W66" ca="1" si="78">VLOOKUP(T56,B:L,8,0)</f>
        <v>0</v>
      </c>
      <c r="X56" s="4">
        <f t="shared" ref="X56:X66" ca="1" si="79">VLOOKUP(T56,B:L,11,0)</f>
        <v>0</v>
      </c>
      <c r="Y56" s="5">
        <f t="shared" ref="Y56:Y66" ca="1" si="80">SUBTOTAL(9,U56:X56)</f>
        <v>5</v>
      </c>
      <c r="Z56" s="26">
        <f t="shared" ref="Z56:Z66" ca="1" si="81">AA56/Y56</f>
        <v>789</v>
      </c>
      <c r="AA56" s="5">
        <f t="shared" ref="AA56:AA66" ca="1" si="82">VLOOKUP(T56,B:Q,16,0)</f>
        <v>3945</v>
      </c>
      <c r="AB56" s="25"/>
    </row>
    <row r="57" spans="1:28">
      <c r="A57" s="81"/>
      <c r="B57" s="81" t="s">
        <v>186</v>
      </c>
      <c r="C57" s="83"/>
      <c r="D57" s="83"/>
      <c r="E57" s="83"/>
      <c r="F57" s="83">
        <v>24</v>
      </c>
      <c r="G57" s="83">
        <v>462</v>
      </c>
      <c r="H57" s="83">
        <v>11088</v>
      </c>
      <c r="I57" s="83"/>
      <c r="J57" s="83"/>
      <c r="K57" s="83"/>
      <c r="L57" s="83"/>
      <c r="M57" s="83"/>
      <c r="N57" s="83"/>
      <c r="O57" s="86">
        <v>24</v>
      </c>
      <c r="P57" s="83">
        <v>462</v>
      </c>
      <c r="Q57" s="86">
        <v>11088</v>
      </c>
      <c r="S57" s="1"/>
      <c r="T57" s="81" t="s">
        <v>186</v>
      </c>
      <c r="U57" s="4">
        <f t="shared" ca="1" si="76"/>
        <v>0</v>
      </c>
      <c r="V57" s="4">
        <f t="shared" ca="1" si="77"/>
        <v>24</v>
      </c>
      <c r="W57" s="4">
        <f t="shared" ca="1" si="78"/>
        <v>0</v>
      </c>
      <c r="X57" s="4">
        <f t="shared" ca="1" si="79"/>
        <v>0</v>
      </c>
      <c r="Y57" s="5">
        <f t="shared" ca="1" si="80"/>
        <v>24</v>
      </c>
      <c r="Z57" s="26">
        <f t="shared" ca="1" si="81"/>
        <v>462</v>
      </c>
      <c r="AA57" s="5">
        <f t="shared" ca="1" si="82"/>
        <v>11088</v>
      </c>
      <c r="AB57" s="25"/>
    </row>
    <row r="58" spans="1:28">
      <c r="A58" s="81"/>
      <c r="B58" s="81" t="s">
        <v>179</v>
      </c>
      <c r="C58" s="83"/>
      <c r="D58" s="83"/>
      <c r="E58" s="83"/>
      <c r="F58" s="83">
        <v>562.5</v>
      </c>
      <c r="G58" s="83">
        <v>462</v>
      </c>
      <c r="H58" s="83">
        <v>259875</v>
      </c>
      <c r="I58" s="83"/>
      <c r="J58" s="83"/>
      <c r="K58" s="83"/>
      <c r="L58" s="83"/>
      <c r="M58" s="83"/>
      <c r="N58" s="83"/>
      <c r="O58" s="86">
        <v>562.5</v>
      </c>
      <c r="P58" s="83">
        <v>462</v>
      </c>
      <c r="Q58" s="86">
        <v>259875</v>
      </c>
      <c r="S58" s="1"/>
      <c r="T58" s="81" t="s">
        <v>179</v>
      </c>
      <c r="U58" s="4">
        <f t="shared" ca="1" si="76"/>
        <v>0</v>
      </c>
      <c r="V58" s="4">
        <f t="shared" ca="1" si="77"/>
        <v>562.5</v>
      </c>
      <c r="W58" s="4">
        <f t="shared" ca="1" si="78"/>
        <v>0</v>
      </c>
      <c r="X58" s="4">
        <f t="shared" ca="1" si="79"/>
        <v>0</v>
      </c>
      <c r="Y58" s="5">
        <f t="shared" ca="1" si="80"/>
        <v>562.5</v>
      </c>
      <c r="Z58" s="26">
        <f t="shared" ca="1" si="81"/>
        <v>462</v>
      </c>
      <c r="AA58" s="5">
        <f t="shared" ca="1" si="82"/>
        <v>259875</v>
      </c>
      <c r="AB58" s="25"/>
    </row>
    <row r="59" spans="1:28">
      <c r="A59" s="81"/>
      <c r="B59" s="81" t="s">
        <v>180</v>
      </c>
      <c r="C59" s="83"/>
      <c r="D59" s="83"/>
      <c r="E59" s="83"/>
      <c r="F59" s="83">
        <v>1125</v>
      </c>
      <c r="G59" s="83">
        <v>403</v>
      </c>
      <c r="H59" s="83">
        <v>453375</v>
      </c>
      <c r="I59" s="83"/>
      <c r="J59" s="83"/>
      <c r="K59" s="83"/>
      <c r="L59" s="83"/>
      <c r="M59" s="83"/>
      <c r="N59" s="83"/>
      <c r="O59" s="86">
        <v>1125</v>
      </c>
      <c r="P59" s="83">
        <v>403</v>
      </c>
      <c r="Q59" s="86">
        <v>453375</v>
      </c>
      <c r="S59" s="1"/>
      <c r="T59" s="81" t="s">
        <v>180</v>
      </c>
      <c r="U59" s="4">
        <f t="shared" ca="1" si="76"/>
        <v>0</v>
      </c>
      <c r="V59" s="4">
        <f t="shared" ca="1" si="77"/>
        <v>1125</v>
      </c>
      <c r="W59" s="4">
        <f t="shared" ca="1" si="78"/>
        <v>0</v>
      </c>
      <c r="X59" s="4">
        <f t="shared" ca="1" si="79"/>
        <v>0</v>
      </c>
      <c r="Y59" s="5">
        <f t="shared" ca="1" si="80"/>
        <v>1125</v>
      </c>
      <c r="Z59" s="26">
        <f t="shared" ca="1" si="81"/>
        <v>403</v>
      </c>
      <c r="AA59" s="5">
        <f t="shared" ca="1" si="82"/>
        <v>453375</v>
      </c>
      <c r="AB59" s="25"/>
    </row>
    <row r="60" spans="1:28">
      <c r="A60" s="81"/>
      <c r="B60" s="81" t="s">
        <v>181</v>
      </c>
      <c r="C60" s="83"/>
      <c r="D60" s="83"/>
      <c r="E60" s="83"/>
      <c r="F60" s="83">
        <v>412.5</v>
      </c>
      <c r="G60" s="83">
        <v>821</v>
      </c>
      <c r="H60" s="83">
        <v>338662.5</v>
      </c>
      <c r="I60" s="83"/>
      <c r="J60" s="83"/>
      <c r="K60" s="83"/>
      <c r="L60" s="83"/>
      <c r="M60" s="83"/>
      <c r="N60" s="83"/>
      <c r="O60" s="86">
        <v>412.5</v>
      </c>
      <c r="P60" s="83">
        <v>821</v>
      </c>
      <c r="Q60" s="86">
        <v>338662.5</v>
      </c>
      <c r="S60" s="1"/>
      <c r="T60" s="81" t="s">
        <v>181</v>
      </c>
      <c r="U60" s="4">
        <f t="shared" ca="1" si="76"/>
        <v>0</v>
      </c>
      <c r="V60" s="4">
        <f t="shared" ca="1" si="77"/>
        <v>412.5</v>
      </c>
      <c r="W60" s="4">
        <f t="shared" ca="1" si="78"/>
        <v>0</v>
      </c>
      <c r="X60" s="4">
        <f t="shared" ca="1" si="79"/>
        <v>0</v>
      </c>
      <c r="Y60" s="5">
        <f t="shared" ca="1" si="80"/>
        <v>412.5</v>
      </c>
      <c r="Z60" s="26">
        <f t="shared" ca="1" si="81"/>
        <v>821</v>
      </c>
      <c r="AA60" s="5">
        <f t="shared" ca="1" si="82"/>
        <v>338662.5</v>
      </c>
      <c r="AB60" s="25"/>
    </row>
    <row r="61" spans="1:28">
      <c r="A61" s="81"/>
      <c r="B61" s="81" t="s">
        <v>182</v>
      </c>
      <c r="C61" s="83"/>
      <c r="D61" s="83"/>
      <c r="E61" s="83"/>
      <c r="F61" s="83">
        <v>80</v>
      </c>
      <c r="G61" s="83">
        <v>730</v>
      </c>
      <c r="H61" s="83">
        <v>58400</v>
      </c>
      <c r="I61" s="83"/>
      <c r="J61" s="83"/>
      <c r="K61" s="83"/>
      <c r="L61" s="83"/>
      <c r="M61" s="83"/>
      <c r="N61" s="83"/>
      <c r="O61" s="86">
        <v>80</v>
      </c>
      <c r="P61" s="83">
        <v>730</v>
      </c>
      <c r="Q61" s="86">
        <v>58400</v>
      </c>
      <c r="S61" s="1"/>
      <c r="T61" s="81" t="s">
        <v>182</v>
      </c>
      <c r="U61" s="4">
        <f t="shared" ca="1" si="76"/>
        <v>0</v>
      </c>
      <c r="V61" s="4">
        <f t="shared" ca="1" si="77"/>
        <v>80</v>
      </c>
      <c r="W61" s="4">
        <f t="shared" ca="1" si="78"/>
        <v>0</v>
      </c>
      <c r="X61" s="4">
        <f t="shared" ca="1" si="79"/>
        <v>0</v>
      </c>
      <c r="Y61" s="5">
        <f t="shared" ca="1" si="80"/>
        <v>80</v>
      </c>
      <c r="Z61" s="26">
        <f t="shared" ca="1" si="81"/>
        <v>730</v>
      </c>
      <c r="AA61" s="5">
        <f t="shared" ca="1" si="82"/>
        <v>58400</v>
      </c>
      <c r="AB61" s="25"/>
    </row>
    <row r="62" spans="1:28">
      <c r="A62" s="81"/>
      <c r="B62" s="81" t="s">
        <v>183</v>
      </c>
      <c r="C62" s="83"/>
      <c r="D62" s="83"/>
      <c r="E62" s="83"/>
      <c r="F62" s="83">
        <v>187.5</v>
      </c>
      <c r="G62" s="83">
        <v>641</v>
      </c>
      <c r="H62" s="83">
        <v>120187.5</v>
      </c>
      <c r="I62" s="83"/>
      <c r="J62" s="83"/>
      <c r="K62" s="83"/>
      <c r="L62" s="83"/>
      <c r="M62" s="83"/>
      <c r="N62" s="83"/>
      <c r="O62" s="86">
        <v>187.5</v>
      </c>
      <c r="P62" s="83">
        <v>641</v>
      </c>
      <c r="Q62" s="86">
        <v>120187.5</v>
      </c>
      <c r="S62" s="1"/>
      <c r="T62" s="81" t="s">
        <v>183</v>
      </c>
      <c r="U62" s="4">
        <f t="shared" ca="1" si="76"/>
        <v>0</v>
      </c>
      <c r="V62" s="4">
        <f t="shared" ca="1" si="77"/>
        <v>187.5</v>
      </c>
      <c r="W62" s="4">
        <f t="shared" ca="1" si="78"/>
        <v>0</v>
      </c>
      <c r="X62" s="4">
        <f t="shared" ca="1" si="79"/>
        <v>0</v>
      </c>
      <c r="Y62" s="5">
        <f t="shared" ca="1" si="80"/>
        <v>187.5</v>
      </c>
      <c r="Z62" s="26">
        <f t="shared" ca="1" si="81"/>
        <v>641</v>
      </c>
      <c r="AA62" s="5">
        <f t="shared" ca="1" si="82"/>
        <v>120187.5</v>
      </c>
      <c r="AB62" s="25"/>
    </row>
    <row r="63" spans="1:28">
      <c r="A63" s="81"/>
      <c r="B63" s="81" t="s">
        <v>187</v>
      </c>
      <c r="C63" s="83"/>
      <c r="D63" s="83"/>
      <c r="E63" s="83"/>
      <c r="F63" s="83">
        <v>12</v>
      </c>
      <c r="G63" s="83">
        <v>641</v>
      </c>
      <c r="H63" s="83">
        <v>7692</v>
      </c>
      <c r="I63" s="83"/>
      <c r="J63" s="83"/>
      <c r="K63" s="83"/>
      <c r="L63" s="83"/>
      <c r="M63" s="83"/>
      <c r="N63" s="83"/>
      <c r="O63" s="86">
        <v>12</v>
      </c>
      <c r="P63" s="83">
        <v>641</v>
      </c>
      <c r="Q63" s="86">
        <v>7692</v>
      </c>
      <c r="S63" s="1"/>
      <c r="T63" s="81" t="s">
        <v>187</v>
      </c>
      <c r="U63" s="4">
        <f t="shared" ca="1" si="76"/>
        <v>0</v>
      </c>
      <c r="V63" s="4">
        <f t="shared" ca="1" si="77"/>
        <v>12</v>
      </c>
      <c r="W63" s="4">
        <f t="shared" ca="1" si="78"/>
        <v>0</v>
      </c>
      <c r="X63" s="4">
        <f t="shared" ca="1" si="79"/>
        <v>0</v>
      </c>
      <c r="Y63" s="5">
        <f t="shared" ca="1" si="80"/>
        <v>12</v>
      </c>
      <c r="Z63" s="26">
        <f t="shared" ca="1" si="81"/>
        <v>641</v>
      </c>
      <c r="AA63" s="5">
        <f t="shared" ca="1" si="82"/>
        <v>7692</v>
      </c>
      <c r="AB63" s="25"/>
    </row>
    <row r="64" spans="1:28">
      <c r="A64" s="81"/>
      <c r="B64" s="81" t="s">
        <v>184</v>
      </c>
      <c r="C64" s="83"/>
      <c r="D64" s="83"/>
      <c r="E64" s="83"/>
      <c r="F64" s="83">
        <v>550</v>
      </c>
      <c r="G64" s="83">
        <v>938</v>
      </c>
      <c r="H64" s="83">
        <v>515900</v>
      </c>
      <c r="I64" s="83"/>
      <c r="J64" s="83"/>
      <c r="K64" s="83"/>
      <c r="L64" s="83"/>
      <c r="M64" s="83"/>
      <c r="N64" s="83"/>
      <c r="O64" s="86">
        <v>550</v>
      </c>
      <c r="P64" s="83">
        <v>938</v>
      </c>
      <c r="Q64" s="86">
        <v>515900</v>
      </c>
      <c r="S64" s="1"/>
      <c r="T64" s="81" t="s">
        <v>184</v>
      </c>
      <c r="U64" s="4">
        <f t="shared" ca="1" si="76"/>
        <v>0</v>
      </c>
      <c r="V64" s="4">
        <f t="shared" ca="1" si="77"/>
        <v>550</v>
      </c>
      <c r="W64" s="4">
        <f t="shared" ca="1" si="78"/>
        <v>0</v>
      </c>
      <c r="X64" s="4">
        <f t="shared" ca="1" si="79"/>
        <v>0</v>
      </c>
      <c r="Y64" s="5">
        <f t="shared" ca="1" si="80"/>
        <v>550</v>
      </c>
      <c r="Z64" s="26">
        <f t="shared" ca="1" si="81"/>
        <v>938</v>
      </c>
      <c r="AA64" s="5">
        <f t="shared" ca="1" si="82"/>
        <v>515900</v>
      </c>
      <c r="AB64" s="25"/>
    </row>
    <row r="65" spans="1:28">
      <c r="A65" s="81"/>
      <c r="B65" s="81" t="s">
        <v>185</v>
      </c>
      <c r="C65" s="83"/>
      <c r="D65" s="83"/>
      <c r="E65" s="83"/>
      <c r="F65" s="83">
        <v>400</v>
      </c>
      <c r="G65" s="83">
        <v>715</v>
      </c>
      <c r="H65" s="83">
        <v>286000</v>
      </c>
      <c r="I65" s="83"/>
      <c r="J65" s="83"/>
      <c r="K65" s="83"/>
      <c r="L65" s="83"/>
      <c r="M65" s="83"/>
      <c r="N65" s="83"/>
      <c r="O65" s="86">
        <v>400</v>
      </c>
      <c r="P65" s="83">
        <v>715</v>
      </c>
      <c r="Q65" s="86">
        <v>286000</v>
      </c>
      <c r="S65" s="1"/>
      <c r="T65" s="81" t="s">
        <v>185</v>
      </c>
      <c r="U65" s="4">
        <f t="shared" ca="1" si="76"/>
        <v>0</v>
      </c>
      <c r="V65" s="4">
        <f t="shared" ca="1" si="77"/>
        <v>400</v>
      </c>
      <c r="W65" s="4">
        <f t="shared" ca="1" si="78"/>
        <v>0</v>
      </c>
      <c r="X65" s="4">
        <f t="shared" ca="1" si="79"/>
        <v>0</v>
      </c>
      <c r="Y65" s="5">
        <f t="shared" ca="1" si="80"/>
        <v>400</v>
      </c>
      <c r="Z65" s="26">
        <f t="shared" ca="1" si="81"/>
        <v>715</v>
      </c>
      <c r="AA65" s="5">
        <f t="shared" ca="1" si="82"/>
        <v>286000</v>
      </c>
      <c r="AB65" s="25"/>
    </row>
    <row r="66" spans="1:28">
      <c r="A66" s="81"/>
      <c r="B66" s="81" t="s">
        <v>188</v>
      </c>
      <c r="C66" s="83"/>
      <c r="D66" s="83"/>
      <c r="E66" s="83"/>
      <c r="F66" s="83">
        <v>12</v>
      </c>
      <c r="G66" s="83">
        <v>715</v>
      </c>
      <c r="H66" s="83">
        <v>8580</v>
      </c>
      <c r="I66" s="83"/>
      <c r="J66" s="83"/>
      <c r="K66" s="83"/>
      <c r="L66" s="83"/>
      <c r="M66" s="83"/>
      <c r="N66" s="83"/>
      <c r="O66" s="86">
        <v>12</v>
      </c>
      <c r="P66" s="83">
        <v>715</v>
      </c>
      <c r="Q66" s="86">
        <v>8580</v>
      </c>
      <c r="S66" s="1"/>
      <c r="T66" s="81" t="s">
        <v>188</v>
      </c>
      <c r="U66" s="4">
        <f t="shared" ca="1" si="76"/>
        <v>0</v>
      </c>
      <c r="V66" s="4">
        <f t="shared" ca="1" si="77"/>
        <v>12</v>
      </c>
      <c r="W66" s="4">
        <f t="shared" ca="1" si="78"/>
        <v>0</v>
      </c>
      <c r="X66" s="4">
        <f t="shared" ca="1" si="79"/>
        <v>0</v>
      </c>
      <c r="Y66" s="5">
        <f t="shared" ca="1" si="80"/>
        <v>12</v>
      </c>
      <c r="Z66" s="26">
        <f t="shared" ca="1" si="81"/>
        <v>715</v>
      </c>
      <c r="AA66" s="5">
        <f t="shared" ca="1" si="82"/>
        <v>8580</v>
      </c>
      <c r="AB66" s="25"/>
    </row>
    <row r="67" spans="1:28">
      <c r="A67" s="89" t="s">
        <v>189</v>
      </c>
      <c r="B67" s="89"/>
      <c r="C67" s="90"/>
      <c r="D67" s="90"/>
      <c r="E67" s="90"/>
      <c r="F67" s="90">
        <v>3370.5</v>
      </c>
      <c r="G67" s="90">
        <v>613.44000000000005</v>
      </c>
      <c r="H67" s="90">
        <v>2063705</v>
      </c>
      <c r="I67" s="90"/>
      <c r="J67" s="90"/>
      <c r="K67" s="90"/>
      <c r="L67" s="90"/>
      <c r="M67" s="90"/>
      <c r="N67" s="90"/>
      <c r="O67" s="93">
        <v>3370.5</v>
      </c>
      <c r="P67" s="90">
        <v>613.44000000000005</v>
      </c>
      <c r="Q67" s="93">
        <v>2063705</v>
      </c>
      <c r="S67" s="28" t="s">
        <v>189</v>
      </c>
      <c r="T67" s="28"/>
      <c r="U67" s="29">
        <f ca="1">SUM(U56:U66)</f>
        <v>0</v>
      </c>
      <c r="V67" s="29">
        <f ca="1">SUM(V56:V66)</f>
        <v>3370.5</v>
      </c>
      <c r="W67" s="29">
        <f ca="1">SUM(W56:W66)</f>
        <v>0</v>
      </c>
      <c r="X67" s="29">
        <f t="shared" ref="X67" ca="1" si="83">SUM(X66)</f>
        <v>0</v>
      </c>
      <c r="Y67" s="29">
        <f ca="1">SUBTOTAL(9,U67:X67)</f>
        <v>3370.5</v>
      </c>
      <c r="Z67" s="30">
        <f ca="1">AA67/Y67</f>
        <v>612.28452751817235</v>
      </c>
      <c r="AA67" s="29">
        <f ca="1">SUM(AA56:AA66)</f>
        <v>2063705</v>
      </c>
      <c r="AB67" s="31"/>
    </row>
    <row r="68" spans="1:28">
      <c r="A68" s="81" t="s">
        <v>190</v>
      </c>
      <c r="B68" s="81" t="s">
        <v>191</v>
      </c>
      <c r="C68" s="83"/>
      <c r="D68" s="83"/>
      <c r="E68" s="83"/>
      <c r="F68" s="83">
        <v>675</v>
      </c>
      <c r="G68" s="83">
        <v>970</v>
      </c>
      <c r="H68" s="83">
        <v>660900</v>
      </c>
      <c r="I68" s="83"/>
      <c r="J68" s="83"/>
      <c r="K68" s="83"/>
      <c r="L68" s="83"/>
      <c r="M68" s="83"/>
      <c r="N68" s="83"/>
      <c r="O68" s="86">
        <v>675</v>
      </c>
      <c r="P68" s="83">
        <v>970</v>
      </c>
      <c r="Q68" s="86">
        <v>660900</v>
      </c>
      <c r="S68" s="1" t="s">
        <v>190</v>
      </c>
      <c r="T68" s="81" t="s">
        <v>191</v>
      </c>
      <c r="U68" s="4">
        <f t="shared" ref="U68:U97" ca="1" si="84">VLOOKUP(T68,B:L,2,0)</f>
        <v>0</v>
      </c>
      <c r="V68" s="4">
        <f t="shared" ref="V68:V97" ca="1" si="85">VLOOKUP(T68,B:L,5,0)</f>
        <v>675</v>
      </c>
      <c r="W68" s="4">
        <f t="shared" ref="W68:W97" ca="1" si="86">VLOOKUP(T68,B:L,8,0)</f>
        <v>0</v>
      </c>
      <c r="X68" s="4">
        <f t="shared" ref="X68:X97" ca="1" si="87">VLOOKUP(T68,B:L,11,0)</f>
        <v>0</v>
      </c>
      <c r="Y68" s="5">
        <f t="shared" ref="Y68:Y97" ca="1" si="88">SUBTOTAL(9,U68:X68)</f>
        <v>675</v>
      </c>
      <c r="Z68" s="26">
        <f t="shared" ref="Z68:Z97" ca="1" si="89">AA68/Y68</f>
        <v>979.11111111111109</v>
      </c>
      <c r="AA68" s="5">
        <f t="shared" ref="AA68:AA97" ca="1" si="90">VLOOKUP(T68,B:Q,16,0)</f>
        <v>660900</v>
      </c>
      <c r="AB68" s="25"/>
    </row>
    <row r="69" spans="1:28">
      <c r="A69" s="81"/>
      <c r="B69" s="81" t="s">
        <v>900</v>
      </c>
      <c r="C69" s="83">
        <v>0</v>
      </c>
      <c r="D69" s="83">
        <v>445</v>
      </c>
      <c r="E69" s="83">
        <v>0</v>
      </c>
      <c r="F69" s="83"/>
      <c r="G69" s="83"/>
      <c r="H69" s="83"/>
      <c r="I69" s="83"/>
      <c r="J69" s="83"/>
      <c r="K69" s="83"/>
      <c r="L69" s="83"/>
      <c r="M69" s="83"/>
      <c r="N69" s="83"/>
      <c r="O69" s="86">
        <v>0</v>
      </c>
      <c r="P69" s="83">
        <v>445</v>
      </c>
      <c r="Q69" s="86">
        <v>0</v>
      </c>
      <c r="S69" s="1"/>
      <c r="T69" s="81" t="s">
        <v>192</v>
      </c>
      <c r="U69" s="4">
        <f t="shared" ca="1" si="84"/>
        <v>10</v>
      </c>
      <c r="V69" s="4">
        <f t="shared" ca="1" si="85"/>
        <v>0</v>
      </c>
      <c r="W69" s="4">
        <f t="shared" ca="1" si="86"/>
        <v>0</v>
      </c>
      <c r="X69" s="4">
        <f t="shared" ca="1" si="87"/>
        <v>0</v>
      </c>
      <c r="Y69" s="5">
        <f t="shared" ca="1" si="88"/>
        <v>10</v>
      </c>
      <c r="Z69" s="26">
        <f t="shared" ca="1" si="89"/>
        <v>445</v>
      </c>
      <c r="AA69" s="5">
        <f t="shared" ca="1" si="90"/>
        <v>4450</v>
      </c>
      <c r="AB69" s="25"/>
    </row>
    <row r="70" spans="1:28">
      <c r="A70" s="81"/>
      <c r="B70" s="81" t="s">
        <v>192</v>
      </c>
      <c r="C70" s="83">
        <v>10</v>
      </c>
      <c r="D70" s="83">
        <v>445</v>
      </c>
      <c r="E70" s="83">
        <v>4450</v>
      </c>
      <c r="F70" s="83"/>
      <c r="G70" s="83"/>
      <c r="H70" s="83"/>
      <c r="I70" s="83"/>
      <c r="J70" s="83"/>
      <c r="K70" s="83"/>
      <c r="L70" s="83"/>
      <c r="M70" s="83"/>
      <c r="N70" s="83"/>
      <c r="O70" s="86">
        <v>10</v>
      </c>
      <c r="P70" s="83">
        <v>445</v>
      </c>
      <c r="Q70" s="86">
        <v>4450</v>
      </c>
      <c r="S70" s="1"/>
      <c r="T70" s="81" t="s">
        <v>193</v>
      </c>
      <c r="U70" s="4">
        <f t="shared" ca="1" si="84"/>
        <v>0</v>
      </c>
      <c r="V70" s="4">
        <f t="shared" ca="1" si="85"/>
        <v>32</v>
      </c>
      <c r="W70" s="4">
        <f t="shared" ca="1" si="86"/>
        <v>0</v>
      </c>
      <c r="X70" s="4">
        <f t="shared" ca="1" si="87"/>
        <v>0</v>
      </c>
      <c r="Y70" s="5">
        <f t="shared" ca="1" si="88"/>
        <v>32</v>
      </c>
      <c r="Z70" s="26">
        <f t="shared" ca="1" si="89"/>
        <v>401</v>
      </c>
      <c r="AA70" s="5">
        <f t="shared" ca="1" si="90"/>
        <v>12832</v>
      </c>
      <c r="AB70" s="25"/>
    </row>
    <row r="71" spans="1:28">
      <c r="A71" s="81"/>
      <c r="B71" s="81" t="s">
        <v>193</v>
      </c>
      <c r="C71" s="83"/>
      <c r="D71" s="83"/>
      <c r="E71" s="83"/>
      <c r="F71" s="83">
        <v>32</v>
      </c>
      <c r="G71" s="83">
        <v>401</v>
      </c>
      <c r="H71" s="83">
        <v>12832</v>
      </c>
      <c r="I71" s="83"/>
      <c r="J71" s="83"/>
      <c r="K71" s="83"/>
      <c r="L71" s="83"/>
      <c r="M71" s="83"/>
      <c r="N71" s="83"/>
      <c r="O71" s="86">
        <v>32</v>
      </c>
      <c r="P71" s="83">
        <v>401</v>
      </c>
      <c r="Q71" s="86">
        <v>12832</v>
      </c>
      <c r="S71" s="1"/>
      <c r="T71" s="81" t="s">
        <v>194</v>
      </c>
      <c r="U71" s="4">
        <f t="shared" ca="1" si="84"/>
        <v>0</v>
      </c>
      <c r="V71" s="4">
        <f t="shared" ca="1" si="85"/>
        <v>7435</v>
      </c>
      <c r="W71" s="4">
        <f t="shared" ca="1" si="86"/>
        <v>0</v>
      </c>
      <c r="X71" s="4">
        <f t="shared" ca="1" si="87"/>
        <v>0</v>
      </c>
      <c r="Y71" s="5">
        <f t="shared" ca="1" si="88"/>
        <v>7435</v>
      </c>
      <c r="Z71" s="26">
        <f t="shared" ca="1" si="89"/>
        <v>401</v>
      </c>
      <c r="AA71" s="5">
        <f t="shared" ca="1" si="90"/>
        <v>2981435</v>
      </c>
      <c r="AB71" s="25"/>
    </row>
    <row r="72" spans="1:28">
      <c r="A72" s="81"/>
      <c r="B72" s="81" t="s">
        <v>194</v>
      </c>
      <c r="C72" s="83"/>
      <c r="D72" s="83"/>
      <c r="E72" s="83"/>
      <c r="F72" s="83">
        <v>7435</v>
      </c>
      <c r="G72" s="83">
        <v>401</v>
      </c>
      <c r="H72" s="83">
        <v>2981435</v>
      </c>
      <c r="I72" s="83"/>
      <c r="J72" s="83"/>
      <c r="K72" s="83"/>
      <c r="L72" s="83"/>
      <c r="M72" s="83"/>
      <c r="N72" s="83"/>
      <c r="O72" s="86">
        <v>7435</v>
      </c>
      <c r="P72" s="83">
        <v>401</v>
      </c>
      <c r="Q72" s="86">
        <v>2981435</v>
      </c>
      <c r="S72" s="1"/>
      <c r="T72" s="81" t="s">
        <v>215</v>
      </c>
      <c r="U72" s="4">
        <f t="shared" ca="1" si="84"/>
        <v>0</v>
      </c>
      <c r="V72" s="4">
        <f t="shared" ca="1" si="85"/>
        <v>30</v>
      </c>
      <c r="W72" s="4">
        <f t="shared" ca="1" si="86"/>
        <v>0</v>
      </c>
      <c r="X72" s="4">
        <f t="shared" ca="1" si="87"/>
        <v>0</v>
      </c>
      <c r="Y72" s="5">
        <f t="shared" ca="1" si="88"/>
        <v>30</v>
      </c>
      <c r="Z72" s="26">
        <f t="shared" ca="1" si="89"/>
        <v>700</v>
      </c>
      <c r="AA72" s="5">
        <f t="shared" ca="1" si="90"/>
        <v>21000</v>
      </c>
      <c r="AB72" s="25"/>
    </row>
    <row r="73" spans="1:28">
      <c r="A73" s="81"/>
      <c r="B73" s="81" t="s">
        <v>215</v>
      </c>
      <c r="C73" s="83"/>
      <c r="D73" s="83"/>
      <c r="E73" s="83"/>
      <c r="F73" s="83">
        <v>30</v>
      </c>
      <c r="G73" s="83">
        <v>700</v>
      </c>
      <c r="H73" s="83">
        <v>21000</v>
      </c>
      <c r="I73" s="83"/>
      <c r="J73" s="83"/>
      <c r="K73" s="83"/>
      <c r="L73" s="83"/>
      <c r="M73" s="83"/>
      <c r="N73" s="83"/>
      <c r="O73" s="86">
        <v>30</v>
      </c>
      <c r="P73" s="83">
        <v>700</v>
      </c>
      <c r="Q73" s="86">
        <v>21000</v>
      </c>
      <c r="S73" s="1"/>
      <c r="T73" s="81" t="s">
        <v>195</v>
      </c>
      <c r="U73" s="4">
        <f t="shared" ca="1" si="84"/>
        <v>0</v>
      </c>
      <c r="V73" s="4">
        <f t="shared" ca="1" si="85"/>
        <v>190</v>
      </c>
      <c r="W73" s="4">
        <f t="shared" ca="1" si="86"/>
        <v>0</v>
      </c>
      <c r="X73" s="4">
        <f t="shared" ca="1" si="87"/>
        <v>0</v>
      </c>
      <c r="Y73" s="5">
        <f t="shared" ca="1" si="88"/>
        <v>190</v>
      </c>
      <c r="Z73" s="26">
        <f t="shared" ca="1" si="89"/>
        <v>550</v>
      </c>
      <c r="AA73" s="5">
        <f t="shared" ca="1" si="90"/>
        <v>104500</v>
      </c>
      <c r="AB73" s="25"/>
    </row>
    <row r="74" spans="1:28">
      <c r="A74" s="81"/>
      <c r="B74" s="81" t="s">
        <v>195</v>
      </c>
      <c r="C74" s="83"/>
      <c r="D74" s="83"/>
      <c r="E74" s="83"/>
      <c r="F74" s="83">
        <v>190</v>
      </c>
      <c r="G74" s="83">
        <v>550</v>
      </c>
      <c r="H74" s="83">
        <v>104500</v>
      </c>
      <c r="I74" s="83"/>
      <c r="J74" s="83"/>
      <c r="K74" s="83"/>
      <c r="L74" s="83"/>
      <c r="M74" s="83"/>
      <c r="N74" s="83"/>
      <c r="O74" s="86">
        <v>190</v>
      </c>
      <c r="P74" s="83">
        <v>550</v>
      </c>
      <c r="Q74" s="86">
        <v>104500</v>
      </c>
      <c r="S74" s="1"/>
      <c r="T74" s="81" t="s">
        <v>196</v>
      </c>
      <c r="U74" s="4">
        <f t="shared" ca="1" si="84"/>
        <v>0</v>
      </c>
      <c r="V74" s="4">
        <f t="shared" ca="1" si="85"/>
        <v>3675.8959999999997</v>
      </c>
      <c r="W74" s="4">
        <f t="shared" ca="1" si="86"/>
        <v>0</v>
      </c>
      <c r="X74" s="4">
        <f t="shared" ca="1" si="87"/>
        <v>0</v>
      </c>
      <c r="Y74" s="5">
        <f t="shared" ca="1" si="88"/>
        <v>3675.8959999999997</v>
      </c>
      <c r="Z74" s="26">
        <f t="shared" ca="1" si="89"/>
        <v>519.19252122475723</v>
      </c>
      <c r="AA74" s="5">
        <f t="shared" ca="1" si="90"/>
        <v>1908497.7120000001</v>
      </c>
      <c r="AB74" s="25"/>
    </row>
    <row r="75" spans="1:28">
      <c r="A75" s="81"/>
      <c r="B75" s="81" t="s">
        <v>196</v>
      </c>
      <c r="C75" s="83"/>
      <c r="D75" s="83"/>
      <c r="E75" s="83"/>
      <c r="F75" s="83">
        <v>3675.8959999999997</v>
      </c>
      <c r="G75" s="83">
        <v>517.66666666666663</v>
      </c>
      <c r="H75" s="83">
        <v>1908497.7120000001</v>
      </c>
      <c r="I75" s="83"/>
      <c r="J75" s="83"/>
      <c r="K75" s="83"/>
      <c r="L75" s="83"/>
      <c r="M75" s="83"/>
      <c r="N75" s="83"/>
      <c r="O75" s="86">
        <v>3675.8959999999997</v>
      </c>
      <c r="P75" s="83">
        <v>517.66666666666663</v>
      </c>
      <c r="Q75" s="86">
        <v>1908497.7120000001</v>
      </c>
      <c r="S75" s="1"/>
      <c r="T75" s="81" t="s">
        <v>197</v>
      </c>
      <c r="U75" s="4">
        <f t="shared" ca="1" si="84"/>
        <v>0</v>
      </c>
      <c r="V75" s="4">
        <f t="shared" ca="1" si="85"/>
        <v>75</v>
      </c>
      <c r="W75" s="4">
        <f t="shared" ca="1" si="86"/>
        <v>0</v>
      </c>
      <c r="X75" s="4">
        <f t="shared" ca="1" si="87"/>
        <v>0</v>
      </c>
      <c r="Y75" s="5">
        <f t="shared" ca="1" si="88"/>
        <v>75</v>
      </c>
      <c r="Z75" s="26">
        <f t="shared" ca="1" si="89"/>
        <v>510</v>
      </c>
      <c r="AA75" s="5">
        <f t="shared" ca="1" si="90"/>
        <v>38250</v>
      </c>
      <c r="AB75" s="25"/>
    </row>
    <row r="76" spans="1:28">
      <c r="A76" s="81"/>
      <c r="B76" s="81" t="s">
        <v>197</v>
      </c>
      <c r="C76" s="83"/>
      <c r="D76" s="83"/>
      <c r="E76" s="83"/>
      <c r="F76" s="83">
        <v>75</v>
      </c>
      <c r="G76" s="83">
        <v>510</v>
      </c>
      <c r="H76" s="83">
        <v>38250</v>
      </c>
      <c r="I76" s="83"/>
      <c r="J76" s="83"/>
      <c r="K76" s="83"/>
      <c r="L76" s="83"/>
      <c r="M76" s="83"/>
      <c r="N76" s="83"/>
      <c r="O76" s="86">
        <v>75</v>
      </c>
      <c r="P76" s="83">
        <v>510</v>
      </c>
      <c r="Q76" s="86">
        <v>38250</v>
      </c>
      <c r="S76" s="1"/>
      <c r="T76" s="81" t="s">
        <v>198</v>
      </c>
      <c r="U76" s="4">
        <f t="shared" ca="1" si="84"/>
        <v>0</v>
      </c>
      <c r="V76" s="4">
        <f t="shared" ca="1" si="85"/>
        <v>335</v>
      </c>
      <c r="W76" s="4">
        <f t="shared" ca="1" si="86"/>
        <v>0</v>
      </c>
      <c r="X76" s="4">
        <f t="shared" ca="1" si="87"/>
        <v>0</v>
      </c>
      <c r="Y76" s="5">
        <f t="shared" ca="1" si="88"/>
        <v>335</v>
      </c>
      <c r="Z76" s="26">
        <f t="shared" ca="1" si="89"/>
        <v>1000</v>
      </c>
      <c r="AA76" s="5">
        <f t="shared" ca="1" si="90"/>
        <v>335000</v>
      </c>
      <c r="AB76" s="25"/>
    </row>
    <row r="77" spans="1:28">
      <c r="A77" s="81"/>
      <c r="B77" s="81" t="s">
        <v>198</v>
      </c>
      <c r="C77" s="83"/>
      <c r="D77" s="83"/>
      <c r="E77" s="83"/>
      <c r="F77" s="83">
        <v>335</v>
      </c>
      <c r="G77" s="83">
        <v>1000</v>
      </c>
      <c r="H77" s="83">
        <v>335000</v>
      </c>
      <c r="I77" s="83"/>
      <c r="J77" s="83"/>
      <c r="K77" s="83"/>
      <c r="L77" s="83"/>
      <c r="M77" s="83"/>
      <c r="N77" s="83"/>
      <c r="O77" s="86">
        <v>335</v>
      </c>
      <c r="P77" s="83">
        <v>1000</v>
      </c>
      <c r="Q77" s="86">
        <v>335000</v>
      </c>
      <c r="S77" s="1"/>
      <c r="T77" s="81" t="s">
        <v>199</v>
      </c>
      <c r="U77" s="4">
        <f t="shared" ca="1" si="84"/>
        <v>0</v>
      </c>
      <c r="V77" s="4">
        <f t="shared" ca="1" si="85"/>
        <v>2215</v>
      </c>
      <c r="W77" s="4">
        <f t="shared" ca="1" si="86"/>
        <v>0</v>
      </c>
      <c r="X77" s="4">
        <f t="shared" ca="1" si="87"/>
        <v>0</v>
      </c>
      <c r="Y77" s="5">
        <f t="shared" ca="1" si="88"/>
        <v>2215</v>
      </c>
      <c r="Z77" s="26">
        <f t="shared" ca="1" si="89"/>
        <v>477</v>
      </c>
      <c r="AA77" s="5">
        <f t="shared" ca="1" si="90"/>
        <v>1056555</v>
      </c>
      <c r="AB77" s="25"/>
    </row>
    <row r="78" spans="1:28">
      <c r="A78" s="81"/>
      <c r="B78" s="81" t="s">
        <v>199</v>
      </c>
      <c r="C78" s="83"/>
      <c r="D78" s="83"/>
      <c r="E78" s="83"/>
      <c r="F78" s="83">
        <v>2215</v>
      </c>
      <c r="G78" s="83">
        <v>477</v>
      </c>
      <c r="H78" s="83">
        <v>1056555</v>
      </c>
      <c r="I78" s="83"/>
      <c r="J78" s="83"/>
      <c r="K78" s="83"/>
      <c r="L78" s="83"/>
      <c r="M78" s="83"/>
      <c r="N78" s="83"/>
      <c r="O78" s="86">
        <v>2215</v>
      </c>
      <c r="P78" s="83">
        <v>477</v>
      </c>
      <c r="Q78" s="86">
        <v>1056555</v>
      </c>
      <c r="S78" s="1"/>
      <c r="T78" s="81" t="s">
        <v>200</v>
      </c>
      <c r="U78" s="4">
        <f t="shared" ca="1" si="84"/>
        <v>0</v>
      </c>
      <c r="V78" s="4">
        <f t="shared" ca="1" si="85"/>
        <v>1875</v>
      </c>
      <c r="W78" s="4">
        <f t="shared" ca="1" si="86"/>
        <v>0</v>
      </c>
      <c r="X78" s="4">
        <f t="shared" ca="1" si="87"/>
        <v>0</v>
      </c>
      <c r="Y78" s="5">
        <f t="shared" ca="1" si="88"/>
        <v>1875</v>
      </c>
      <c r="Z78" s="26">
        <f t="shared" ca="1" si="89"/>
        <v>1103.7917866666667</v>
      </c>
      <c r="AA78" s="5">
        <f t="shared" ca="1" si="90"/>
        <v>2069609.6</v>
      </c>
      <c r="AB78" s="25"/>
    </row>
    <row r="79" spans="1:28">
      <c r="A79" s="81"/>
      <c r="B79" s="81" t="s">
        <v>200</v>
      </c>
      <c r="C79" s="83"/>
      <c r="D79" s="83"/>
      <c r="E79" s="83"/>
      <c r="F79" s="83">
        <v>1875</v>
      </c>
      <c r="G79" s="83">
        <v>1083.8150000000001</v>
      </c>
      <c r="H79" s="83">
        <v>2069609.6</v>
      </c>
      <c r="I79" s="83"/>
      <c r="J79" s="83"/>
      <c r="K79" s="83"/>
      <c r="L79" s="83"/>
      <c r="M79" s="83"/>
      <c r="N79" s="83"/>
      <c r="O79" s="86">
        <v>1875</v>
      </c>
      <c r="P79" s="83">
        <v>1083.8150000000001</v>
      </c>
      <c r="Q79" s="86">
        <v>2069609.6</v>
      </c>
      <c r="S79" s="1"/>
      <c r="T79" s="81" t="s">
        <v>201</v>
      </c>
      <c r="U79" s="4">
        <f t="shared" ca="1" si="84"/>
        <v>0</v>
      </c>
      <c r="V79" s="4">
        <f t="shared" ca="1" si="85"/>
        <v>56</v>
      </c>
      <c r="W79" s="4">
        <f t="shared" ca="1" si="86"/>
        <v>0</v>
      </c>
      <c r="X79" s="4">
        <f t="shared" ca="1" si="87"/>
        <v>0</v>
      </c>
      <c r="Y79" s="5">
        <f t="shared" ca="1" si="88"/>
        <v>56</v>
      </c>
      <c r="Z79" s="26">
        <f t="shared" ca="1" si="89"/>
        <v>1045</v>
      </c>
      <c r="AA79" s="5">
        <f t="shared" ca="1" si="90"/>
        <v>58520</v>
      </c>
      <c r="AB79" s="25"/>
    </row>
    <row r="80" spans="1:28">
      <c r="A80" s="81"/>
      <c r="B80" s="81" t="s">
        <v>201</v>
      </c>
      <c r="C80" s="83"/>
      <c r="D80" s="83"/>
      <c r="E80" s="83"/>
      <c r="F80" s="83">
        <v>56</v>
      </c>
      <c r="G80" s="83">
        <v>1045</v>
      </c>
      <c r="H80" s="83">
        <v>58520</v>
      </c>
      <c r="I80" s="83"/>
      <c r="J80" s="83"/>
      <c r="K80" s="83"/>
      <c r="L80" s="83"/>
      <c r="M80" s="83"/>
      <c r="N80" s="83"/>
      <c r="O80" s="86">
        <v>56</v>
      </c>
      <c r="P80" s="83">
        <v>1045</v>
      </c>
      <c r="Q80" s="86">
        <v>58520</v>
      </c>
      <c r="S80" s="1"/>
      <c r="T80" s="81" t="s">
        <v>202</v>
      </c>
      <c r="U80" s="4">
        <f t="shared" ca="1" si="84"/>
        <v>0</v>
      </c>
      <c r="V80" s="4">
        <f t="shared" ca="1" si="85"/>
        <v>890</v>
      </c>
      <c r="W80" s="4">
        <f t="shared" ca="1" si="86"/>
        <v>0</v>
      </c>
      <c r="X80" s="4">
        <f t="shared" ca="1" si="87"/>
        <v>0</v>
      </c>
      <c r="Y80" s="5">
        <f t="shared" ca="1" si="88"/>
        <v>890</v>
      </c>
      <c r="Z80" s="26">
        <f t="shared" ca="1" si="89"/>
        <v>1260.5775280898877</v>
      </c>
      <c r="AA80" s="5">
        <f t="shared" ca="1" si="90"/>
        <v>1121914</v>
      </c>
      <c r="AB80" s="25"/>
    </row>
    <row r="81" spans="1:28">
      <c r="A81" s="81"/>
      <c r="B81" s="81" t="s">
        <v>202</v>
      </c>
      <c r="C81" s="83"/>
      <c r="D81" s="83"/>
      <c r="E81" s="83"/>
      <c r="F81" s="83">
        <v>890</v>
      </c>
      <c r="G81" s="83">
        <v>1189.8</v>
      </c>
      <c r="H81" s="83">
        <v>1121914</v>
      </c>
      <c r="I81" s="83"/>
      <c r="J81" s="83"/>
      <c r="K81" s="83"/>
      <c r="L81" s="83"/>
      <c r="M81" s="83"/>
      <c r="N81" s="83"/>
      <c r="O81" s="86">
        <v>890</v>
      </c>
      <c r="P81" s="83">
        <v>1189.8</v>
      </c>
      <c r="Q81" s="86">
        <v>1121914</v>
      </c>
      <c r="S81" s="1"/>
      <c r="T81" s="81" t="s">
        <v>203</v>
      </c>
      <c r="U81" s="4">
        <f t="shared" ca="1" si="84"/>
        <v>0</v>
      </c>
      <c r="V81" s="4">
        <f t="shared" ca="1" si="85"/>
        <v>2580</v>
      </c>
      <c r="W81" s="4">
        <f t="shared" ca="1" si="86"/>
        <v>10500</v>
      </c>
      <c r="X81" s="4">
        <f t="shared" ca="1" si="87"/>
        <v>0</v>
      </c>
      <c r="Y81" s="5">
        <f t="shared" ca="1" si="88"/>
        <v>13080</v>
      </c>
      <c r="Z81" s="26">
        <f t="shared" ca="1" si="89"/>
        <v>613</v>
      </c>
      <c r="AA81" s="5">
        <f t="shared" ca="1" si="90"/>
        <v>8018040</v>
      </c>
      <c r="AB81" s="25"/>
    </row>
    <row r="82" spans="1:28">
      <c r="A82" s="81"/>
      <c r="B82" s="81" t="s">
        <v>203</v>
      </c>
      <c r="C82" s="83"/>
      <c r="D82" s="83"/>
      <c r="E82" s="83"/>
      <c r="F82" s="83">
        <v>2580</v>
      </c>
      <c r="G82" s="83">
        <v>613</v>
      </c>
      <c r="H82" s="83">
        <v>1581540</v>
      </c>
      <c r="I82" s="83">
        <v>10500</v>
      </c>
      <c r="J82" s="83">
        <v>613</v>
      </c>
      <c r="K82" s="83">
        <v>6436500</v>
      </c>
      <c r="L82" s="83"/>
      <c r="M82" s="83"/>
      <c r="N82" s="83"/>
      <c r="O82" s="86">
        <v>13080</v>
      </c>
      <c r="P82" s="83">
        <v>613</v>
      </c>
      <c r="Q82" s="86">
        <v>8018040</v>
      </c>
      <c r="S82" s="1"/>
      <c r="T82" s="81" t="s">
        <v>204</v>
      </c>
      <c r="U82" s="4">
        <f t="shared" ca="1" si="84"/>
        <v>0</v>
      </c>
      <c r="V82" s="4">
        <f t="shared" ca="1" si="85"/>
        <v>5572</v>
      </c>
      <c r="W82" s="4">
        <f t="shared" ca="1" si="86"/>
        <v>0</v>
      </c>
      <c r="X82" s="4">
        <f t="shared" ca="1" si="87"/>
        <v>0</v>
      </c>
      <c r="Y82" s="5">
        <f t="shared" ca="1" si="88"/>
        <v>5572</v>
      </c>
      <c r="Z82" s="26">
        <f t="shared" ca="1" si="89"/>
        <v>817</v>
      </c>
      <c r="AA82" s="5">
        <f t="shared" ca="1" si="90"/>
        <v>4552324</v>
      </c>
      <c r="AB82" s="25"/>
    </row>
    <row r="83" spans="1:28">
      <c r="A83" s="81"/>
      <c r="B83" s="81" t="s">
        <v>204</v>
      </c>
      <c r="C83" s="83"/>
      <c r="D83" s="83"/>
      <c r="E83" s="83"/>
      <c r="F83" s="83">
        <v>5572</v>
      </c>
      <c r="G83" s="83">
        <v>817</v>
      </c>
      <c r="H83" s="83">
        <v>4552324</v>
      </c>
      <c r="I83" s="83"/>
      <c r="J83" s="83"/>
      <c r="K83" s="83"/>
      <c r="L83" s="83"/>
      <c r="M83" s="83"/>
      <c r="N83" s="83"/>
      <c r="O83" s="86">
        <v>5572</v>
      </c>
      <c r="P83" s="83">
        <v>817</v>
      </c>
      <c r="Q83" s="86">
        <v>4552324</v>
      </c>
      <c r="S83" s="1"/>
      <c r="T83" s="81" t="s">
        <v>221</v>
      </c>
      <c r="U83" s="4">
        <f t="shared" ca="1" si="84"/>
        <v>0</v>
      </c>
      <c r="V83" s="4">
        <f t="shared" ca="1" si="85"/>
        <v>60</v>
      </c>
      <c r="W83" s="4">
        <f t="shared" ca="1" si="86"/>
        <v>0</v>
      </c>
      <c r="X83" s="4">
        <f t="shared" ca="1" si="87"/>
        <v>0</v>
      </c>
      <c r="Y83" s="5">
        <f t="shared" ca="1" si="88"/>
        <v>60</v>
      </c>
      <c r="Z83" s="26">
        <f t="shared" ca="1" si="89"/>
        <v>712</v>
      </c>
      <c r="AA83" s="5">
        <f t="shared" ca="1" si="90"/>
        <v>42720</v>
      </c>
      <c r="AB83" s="25"/>
    </row>
    <row r="84" spans="1:28">
      <c r="A84" s="81"/>
      <c r="B84" s="81" t="s">
        <v>221</v>
      </c>
      <c r="C84" s="83"/>
      <c r="D84" s="83"/>
      <c r="E84" s="83"/>
      <c r="F84" s="83">
        <v>60</v>
      </c>
      <c r="G84" s="83">
        <v>712</v>
      </c>
      <c r="H84" s="83">
        <v>42720</v>
      </c>
      <c r="I84" s="83"/>
      <c r="J84" s="83"/>
      <c r="K84" s="83"/>
      <c r="L84" s="83"/>
      <c r="M84" s="83"/>
      <c r="N84" s="83"/>
      <c r="O84" s="86">
        <v>60</v>
      </c>
      <c r="P84" s="83">
        <v>712</v>
      </c>
      <c r="Q84" s="86">
        <v>42720</v>
      </c>
      <c r="S84" s="1"/>
      <c r="T84" s="81" t="s">
        <v>205</v>
      </c>
      <c r="U84" s="4">
        <f t="shared" ca="1" si="84"/>
        <v>0</v>
      </c>
      <c r="V84" s="4">
        <f t="shared" ca="1" si="85"/>
        <v>2960</v>
      </c>
      <c r="W84" s="4">
        <f t="shared" ca="1" si="86"/>
        <v>0</v>
      </c>
      <c r="X84" s="4">
        <f t="shared" ca="1" si="87"/>
        <v>0</v>
      </c>
      <c r="Y84" s="5">
        <f t="shared" ca="1" si="88"/>
        <v>2960</v>
      </c>
      <c r="Z84" s="26">
        <f t="shared" ca="1" si="89"/>
        <v>712</v>
      </c>
      <c r="AA84" s="5">
        <f t="shared" ca="1" si="90"/>
        <v>2107520</v>
      </c>
      <c r="AB84" s="25"/>
    </row>
    <row r="85" spans="1:28">
      <c r="A85" s="81"/>
      <c r="B85" s="81" t="s">
        <v>205</v>
      </c>
      <c r="C85" s="83"/>
      <c r="D85" s="83"/>
      <c r="E85" s="83"/>
      <c r="F85" s="83">
        <v>2960</v>
      </c>
      <c r="G85" s="83">
        <v>712</v>
      </c>
      <c r="H85" s="83">
        <v>2107520</v>
      </c>
      <c r="I85" s="83"/>
      <c r="J85" s="83"/>
      <c r="K85" s="83"/>
      <c r="L85" s="83"/>
      <c r="M85" s="83"/>
      <c r="N85" s="83"/>
      <c r="O85" s="86">
        <v>2960</v>
      </c>
      <c r="P85" s="83">
        <v>712</v>
      </c>
      <c r="Q85" s="86">
        <v>2107520</v>
      </c>
      <c r="S85" s="1"/>
      <c r="T85" s="81" t="s">
        <v>219</v>
      </c>
      <c r="U85" s="4">
        <f t="shared" ca="1" si="84"/>
        <v>0</v>
      </c>
      <c r="V85" s="4">
        <f t="shared" ca="1" si="85"/>
        <v>905</v>
      </c>
      <c r="W85" s="4">
        <f t="shared" ca="1" si="86"/>
        <v>0</v>
      </c>
      <c r="X85" s="4">
        <f t="shared" ca="1" si="87"/>
        <v>0</v>
      </c>
      <c r="Y85" s="5">
        <f t="shared" ca="1" si="88"/>
        <v>905</v>
      </c>
      <c r="Z85" s="26">
        <f t="shared" ca="1" si="89"/>
        <v>411.34806629834253</v>
      </c>
      <c r="AA85" s="5">
        <f t="shared" ca="1" si="90"/>
        <v>372270</v>
      </c>
      <c r="AB85" s="25"/>
    </row>
    <row r="86" spans="1:28">
      <c r="A86" s="81"/>
      <c r="B86" s="81" t="s">
        <v>219</v>
      </c>
      <c r="C86" s="83"/>
      <c r="D86" s="83"/>
      <c r="E86" s="83"/>
      <c r="F86" s="83">
        <v>905</v>
      </c>
      <c r="G86" s="83">
        <v>611.33333333333337</v>
      </c>
      <c r="H86" s="83">
        <v>372270</v>
      </c>
      <c r="I86" s="83"/>
      <c r="J86" s="83"/>
      <c r="K86" s="83"/>
      <c r="L86" s="83"/>
      <c r="M86" s="83"/>
      <c r="N86" s="83"/>
      <c r="O86" s="86">
        <v>905</v>
      </c>
      <c r="P86" s="83">
        <v>611.33333333333337</v>
      </c>
      <c r="Q86" s="86">
        <v>372270</v>
      </c>
      <c r="S86" s="1"/>
      <c r="T86" s="81" t="s">
        <v>218</v>
      </c>
      <c r="U86" s="4">
        <f t="shared" ca="1" si="84"/>
        <v>0</v>
      </c>
      <c r="V86" s="4">
        <f t="shared" ca="1" si="85"/>
        <v>595</v>
      </c>
      <c r="W86" s="4">
        <f t="shared" ca="1" si="86"/>
        <v>0</v>
      </c>
      <c r="X86" s="4">
        <f t="shared" ca="1" si="87"/>
        <v>0</v>
      </c>
      <c r="Y86" s="5">
        <f t="shared" ca="1" si="88"/>
        <v>595</v>
      </c>
      <c r="Z86" s="26">
        <f t="shared" ca="1" si="89"/>
        <v>817</v>
      </c>
      <c r="AA86" s="5">
        <f t="shared" ca="1" si="90"/>
        <v>486115</v>
      </c>
      <c r="AB86" s="25"/>
    </row>
    <row r="87" spans="1:28">
      <c r="A87" s="81"/>
      <c r="B87" s="81" t="s">
        <v>218</v>
      </c>
      <c r="C87" s="83"/>
      <c r="D87" s="83"/>
      <c r="E87" s="83"/>
      <c r="F87" s="83">
        <v>595</v>
      </c>
      <c r="G87" s="83">
        <v>817</v>
      </c>
      <c r="H87" s="83">
        <v>486115</v>
      </c>
      <c r="I87" s="83"/>
      <c r="J87" s="83"/>
      <c r="K87" s="83"/>
      <c r="L87" s="83"/>
      <c r="M87" s="83"/>
      <c r="N87" s="83"/>
      <c r="O87" s="86">
        <v>595</v>
      </c>
      <c r="P87" s="83">
        <v>817</v>
      </c>
      <c r="Q87" s="86">
        <v>486115</v>
      </c>
      <c r="S87" s="1"/>
      <c r="T87" s="81" t="s">
        <v>217</v>
      </c>
      <c r="U87" s="4">
        <f t="shared" ca="1" si="84"/>
        <v>0</v>
      </c>
      <c r="V87" s="4">
        <f t="shared" ca="1" si="85"/>
        <v>365</v>
      </c>
      <c r="W87" s="4">
        <f t="shared" ca="1" si="86"/>
        <v>0</v>
      </c>
      <c r="X87" s="4">
        <f t="shared" ca="1" si="87"/>
        <v>0</v>
      </c>
      <c r="Y87" s="5">
        <f t="shared" ca="1" si="88"/>
        <v>365</v>
      </c>
      <c r="Z87" s="26">
        <f t="shared" ca="1" si="89"/>
        <v>980</v>
      </c>
      <c r="AA87" s="5">
        <f t="shared" ca="1" si="90"/>
        <v>357700</v>
      </c>
      <c r="AB87" s="25"/>
    </row>
    <row r="88" spans="1:28">
      <c r="A88" s="81"/>
      <c r="B88" s="81" t="s">
        <v>217</v>
      </c>
      <c r="C88" s="83"/>
      <c r="D88" s="83"/>
      <c r="E88" s="83"/>
      <c r="F88" s="83">
        <v>365</v>
      </c>
      <c r="G88" s="83">
        <v>980</v>
      </c>
      <c r="H88" s="83">
        <v>357700</v>
      </c>
      <c r="I88" s="83"/>
      <c r="J88" s="83"/>
      <c r="K88" s="83"/>
      <c r="L88" s="83"/>
      <c r="M88" s="83"/>
      <c r="N88" s="83"/>
      <c r="O88" s="86">
        <v>365</v>
      </c>
      <c r="P88" s="83">
        <v>980</v>
      </c>
      <c r="Q88" s="86">
        <v>357700</v>
      </c>
      <c r="S88" s="1"/>
      <c r="T88" s="81" t="s">
        <v>216</v>
      </c>
      <c r="U88" s="4">
        <f t="shared" ca="1" si="84"/>
        <v>0</v>
      </c>
      <c r="V88" s="4">
        <f t="shared" ca="1" si="85"/>
        <v>350</v>
      </c>
      <c r="W88" s="4">
        <f t="shared" ca="1" si="86"/>
        <v>0</v>
      </c>
      <c r="X88" s="4">
        <f t="shared" ca="1" si="87"/>
        <v>0</v>
      </c>
      <c r="Y88" s="5">
        <f t="shared" ca="1" si="88"/>
        <v>350</v>
      </c>
      <c r="Z88" s="26">
        <f t="shared" ca="1" si="89"/>
        <v>1000</v>
      </c>
      <c r="AA88" s="5">
        <f t="shared" ca="1" si="90"/>
        <v>350000</v>
      </c>
      <c r="AB88" s="25"/>
    </row>
    <row r="89" spans="1:28">
      <c r="A89" s="81"/>
      <c r="B89" s="81" t="s">
        <v>216</v>
      </c>
      <c r="C89" s="83"/>
      <c r="D89" s="83"/>
      <c r="E89" s="83"/>
      <c r="F89" s="83">
        <v>350</v>
      </c>
      <c r="G89" s="83">
        <v>1000</v>
      </c>
      <c r="H89" s="83">
        <v>350000</v>
      </c>
      <c r="I89" s="83"/>
      <c r="J89" s="83"/>
      <c r="K89" s="83"/>
      <c r="L89" s="83"/>
      <c r="M89" s="83"/>
      <c r="N89" s="83"/>
      <c r="O89" s="86">
        <v>350</v>
      </c>
      <c r="P89" s="83">
        <v>1000</v>
      </c>
      <c r="Q89" s="86">
        <v>350000</v>
      </c>
      <c r="S89" s="1"/>
      <c r="T89" s="81" t="s">
        <v>220</v>
      </c>
      <c r="U89" s="4">
        <f t="shared" ca="1" si="84"/>
        <v>0</v>
      </c>
      <c r="V89" s="4">
        <f t="shared" ca="1" si="85"/>
        <v>250</v>
      </c>
      <c r="W89" s="4">
        <f t="shared" ca="1" si="86"/>
        <v>0</v>
      </c>
      <c r="X89" s="4">
        <f t="shared" ca="1" si="87"/>
        <v>0</v>
      </c>
      <c r="Y89" s="5">
        <f t="shared" ca="1" si="88"/>
        <v>250</v>
      </c>
      <c r="Z89" s="26">
        <f t="shared" ca="1" si="89"/>
        <v>712</v>
      </c>
      <c r="AA89" s="5">
        <f t="shared" ca="1" si="90"/>
        <v>178000</v>
      </c>
      <c r="AB89" s="25"/>
    </row>
    <row r="90" spans="1:28">
      <c r="A90" s="81"/>
      <c r="B90" s="81" t="s">
        <v>220</v>
      </c>
      <c r="C90" s="83"/>
      <c r="D90" s="83"/>
      <c r="E90" s="83"/>
      <c r="F90" s="83">
        <v>250</v>
      </c>
      <c r="G90" s="83">
        <v>712</v>
      </c>
      <c r="H90" s="83">
        <v>178000</v>
      </c>
      <c r="I90" s="83"/>
      <c r="J90" s="83"/>
      <c r="K90" s="83"/>
      <c r="L90" s="83"/>
      <c r="M90" s="83"/>
      <c r="N90" s="83"/>
      <c r="O90" s="86">
        <v>250</v>
      </c>
      <c r="P90" s="83">
        <v>712</v>
      </c>
      <c r="Q90" s="86">
        <v>178000</v>
      </c>
      <c r="S90" s="1"/>
      <c r="T90" s="81" t="s">
        <v>214</v>
      </c>
      <c r="U90" s="4">
        <f t="shared" ca="1" si="84"/>
        <v>0</v>
      </c>
      <c r="V90" s="4">
        <f t="shared" ca="1" si="85"/>
        <v>85</v>
      </c>
      <c r="W90" s="4">
        <f t="shared" ca="1" si="86"/>
        <v>0</v>
      </c>
      <c r="X90" s="4">
        <f t="shared" ca="1" si="87"/>
        <v>0</v>
      </c>
      <c r="Y90" s="5">
        <f t="shared" ca="1" si="88"/>
        <v>85</v>
      </c>
      <c r="Z90" s="26">
        <f t="shared" ca="1" si="89"/>
        <v>550</v>
      </c>
      <c r="AA90" s="5">
        <f t="shared" ca="1" si="90"/>
        <v>46750</v>
      </c>
      <c r="AB90" s="25"/>
    </row>
    <row r="91" spans="1:28">
      <c r="A91" s="81"/>
      <c r="B91" s="81" t="s">
        <v>214</v>
      </c>
      <c r="C91" s="83"/>
      <c r="D91" s="83"/>
      <c r="E91" s="83"/>
      <c r="F91" s="83">
        <v>85</v>
      </c>
      <c r="G91" s="83">
        <v>550</v>
      </c>
      <c r="H91" s="83">
        <v>46750</v>
      </c>
      <c r="I91" s="83"/>
      <c r="J91" s="83"/>
      <c r="K91" s="83"/>
      <c r="L91" s="83"/>
      <c r="M91" s="83"/>
      <c r="N91" s="83"/>
      <c r="O91" s="86">
        <v>85</v>
      </c>
      <c r="P91" s="83">
        <v>550</v>
      </c>
      <c r="Q91" s="86">
        <v>46750</v>
      </c>
      <c r="S91" s="1"/>
      <c r="T91" s="81" t="s">
        <v>207</v>
      </c>
      <c r="U91" s="4">
        <f t="shared" ca="1" si="84"/>
        <v>520</v>
      </c>
      <c r="V91" s="4">
        <f t="shared" ca="1" si="85"/>
        <v>0</v>
      </c>
      <c r="W91" s="4">
        <f t="shared" ca="1" si="86"/>
        <v>0</v>
      </c>
      <c r="X91" s="4">
        <f t="shared" ca="1" si="87"/>
        <v>0</v>
      </c>
      <c r="Y91" s="5">
        <f t="shared" ca="1" si="88"/>
        <v>520</v>
      </c>
      <c r="Z91" s="26">
        <f t="shared" ca="1" si="89"/>
        <v>550</v>
      </c>
      <c r="AA91" s="5">
        <f t="shared" ca="1" si="90"/>
        <v>286000</v>
      </c>
      <c r="AB91" s="25"/>
    </row>
    <row r="92" spans="1:28">
      <c r="A92" s="81"/>
      <c r="B92" s="81" t="s">
        <v>207</v>
      </c>
      <c r="C92" s="83">
        <v>520</v>
      </c>
      <c r="D92" s="83">
        <v>550</v>
      </c>
      <c r="E92" s="83">
        <v>286000</v>
      </c>
      <c r="F92" s="83"/>
      <c r="G92" s="83"/>
      <c r="H92" s="83"/>
      <c r="I92" s="83"/>
      <c r="J92" s="83"/>
      <c r="K92" s="83"/>
      <c r="L92" s="83"/>
      <c r="M92" s="83"/>
      <c r="N92" s="83"/>
      <c r="O92" s="86">
        <v>520</v>
      </c>
      <c r="P92" s="83">
        <v>550</v>
      </c>
      <c r="Q92" s="86">
        <v>286000</v>
      </c>
      <c r="S92" s="1"/>
      <c r="T92" s="81" t="s">
        <v>208</v>
      </c>
      <c r="U92" s="4">
        <f t="shared" ca="1" si="84"/>
        <v>2320</v>
      </c>
      <c r="V92" s="4">
        <f t="shared" ca="1" si="85"/>
        <v>20</v>
      </c>
      <c r="W92" s="4">
        <f t="shared" ca="1" si="86"/>
        <v>0</v>
      </c>
      <c r="X92" s="4">
        <f t="shared" ca="1" si="87"/>
        <v>0</v>
      </c>
      <c r="Y92" s="5">
        <f t="shared" ca="1" si="88"/>
        <v>2340</v>
      </c>
      <c r="Z92" s="26">
        <f t="shared" ca="1" si="89"/>
        <v>550</v>
      </c>
      <c r="AA92" s="5">
        <f t="shared" ca="1" si="90"/>
        <v>1287000</v>
      </c>
      <c r="AB92" s="25"/>
    </row>
    <row r="93" spans="1:28">
      <c r="A93" s="81"/>
      <c r="B93" s="81" t="s">
        <v>208</v>
      </c>
      <c r="C93" s="83">
        <v>2320</v>
      </c>
      <c r="D93" s="83">
        <v>550</v>
      </c>
      <c r="E93" s="83">
        <v>1276000</v>
      </c>
      <c r="F93" s="83">
        <v>20</v>
      </c>
      <c r="G93" s="83">
        <v>550</v>
      </c>
      <c r="H93" s="83">
        <v>11000</v>
      </c>
      <c r="I93" s="83"/>
      <c r="J93" s="83"/>
      <c r="K93" s="83"/>
      <c r="L93" s="83"/>
      <c r="M93" s="83"/>
      <c r="N93" s="83"/>
      <c r="O93" s="86">
        <v>2340</v>
      </c>
      <c r="P93" s="83">
        <v>550</v>
      </c>
      <c r="Q93" s="86">
        <v>1287000</v>
      </c>
      <c r="S93" s="1"/>
      <c r="T93" s="81" t="s">
        <v>209</v>
      </c>
      <c r="U93" s="4">
        <f t="shared" ca="1" si="84"/>
        <v>1880</v>
      </c>
      <c r="V93" s="4">
        <f t="shared" ca="1" si="85"/>
        <v>100</v>
      </c>
      <c r="W93" s="4">
        <f t="shared" ca="1" si="86"/>
        <v>0</v>
      </c>
      <c r="X93" s="4">
        <f t="shared" ca="1" si="87"/>
        <v>0</v>
      </c>
      <c r="Y93" s="5">
        <f t="shared" ca="1" si="88"/>
        <v>1980</v>
      </c>
      <c r="Z93" s="26">
        <f t="shared" ca="1" si="89"/>
        <v>550</v>
      </c>
      <c r="AA93" s="5">
        <f t="shared" ca="1" si="90"/>
        <v>1089000</v>
      </c>
      <c r="AB93" s="25"/>
    </row>
    <row r="94" spans="1:28">
      <c r="A94" s="81"/>
      <c r="B94" s="81" t="s">
        <v>209</v>
      </c>
      <c r="C94" s="83">
        <v>1880</v>
      </c>
      <c r="D94" s="83">
        <v>550</v>
      </c>
      <c r="E94" s="83">
        <v>1034000</v>
      </c>
      <c r="F94" s="83">
        <v>100</v>
      </c>
      <c r="G94" s="83">
        <v>550</v>
      </c>
      <c r="H94" s="83">
        <v>55000</v>
      </c>
      <c r="I94" s="83"/>
      <c r="J94" s="83"/>
      <c r="K94" s="83"/>
      <c r="L94" s="83"/>
      <c r="M94" s="83"/>
      <c r="N94" s="83"/>
      <c r="O94" s="86">
        <v>1980</v>
      </c>
      <c r="P94" s="83">
        <v>550</v>
      </c>
      <c r="Q94" s="86">
        <v>1089000</v>
      </c>
      <c r="S94" s="1"/>
      <c r="T94" s="81" t="s">
        <v>210</v>
      </c>
      <c r="U94" s="4">
        <f t="shared" ca="1" si="84"/>
        <v>0</v>
      </c>
      <c r="V94" s="4">
        <f t="shared" ca="1" si="85"/>
        <v>760</v>
      </c>
      <c r="W94" s="4">
        <f t="shared" ca="1" si="86"/>
        <v>0</v>
      </c>
      <c r="X94" s="4">
        <f t="shared" ca="1" si="87"/>
        <v>0</v>
      </c>
      <c r="Y94" s="5">
        <f t="shared" ca="1" si="88"/>
        <v>760</v>
      </c>
      <c r="Z94" s="26">
        <f t="shared" ca="1" si="89"/>
        <v>550</v>
      </c>
      <c r="AA94" s="5">
        <f t="shared" ca="1" si="90"/>
        <v>418000</v>
      </c>
      <c r="AB94" s="25"/>
    </row>
    <row r="95" spans="1:28">
      <c r="A95" s="81"/>
      <c r="B95" s="81" t="s">
        <v>210</v>
      </c>
      <c r="C95" s="83"/>
      <c r="D95" s="83"/>
      <c r="E95" s="83"/>
      <c r="F95" s="83">
        <v>760</v>
      </c>
      <c r="G95" s="83">
        <v>550</v>
      </c>
      <c r="H95" s="83">
        <v>418000</v>
      </c>
      <c r="I95" s="83"/>
      <c r="J95" s="83"/>
      <c r="K95" s="83"/>
      <c r="L95" s="83"/>
      <c r="M95" s="83"/>
      <c r="N95" s="83"/>
      <c r="O95" s="86">
        <v>760</v>
      </c>
      <c r="P95" s="83">
        <v>550</v>
      </c>
      <c r="Q95" s="86">
        <v>418000</v>
      </c>
      <c r="S95" s="1"/>
      <c r="T95" s="81" t="s">
        <v>211</v>
      </c>
      <c r="U95" s="4">
        <f t="shared" ca="1" si="84"/>
        <v>0</v>
      </c>
      <c r="V95" s="4">
        <f t="shared" ca="1" si="85"/>
        <v>135</v>
      </c>
      <c r="W95" s="4">
        <f t="shared" ca="1" si="86"/>
        <v>0</v>
      </c>
      <c r="X95" s="4">
        <f t="shared" ca="1" si="87"/>
        <v>0</v>
      </c>
      <c r="Y95" s="5">
        <f t="shared" ca="1" si="88"/>
        <v>135</v>
      </c>
      <c r="Z95" s="26">
        <f t="shared" ca="1" si="89"/>
        <v>550</v>
      </c>
      <c r="AA95" s="5">
        <f t="shared" ca="1" si="90"/>
        <v>74250</v>
      </c>
      <c r="AB95" s="25"/>
    </row>
    <row r="96" spans="1:28">
      <c r="A96" s="81"/>
      <c r="B96" s="81" t="s">
        <v>211</v>
      </c>
      <c r="C96" s="83"/>
      <c r="D96" s="83"/>
      <c r="E96" s="83"/>
      <c r="F96" s="83">
        <v>135</v>
      </c>
      <c r="G96" s="83">
        <v>550</v>
      </c>
      <c r="H96" s="83">
        <v>74250</v>
      </c>
      <c r="I96" s="83"/>
      <c r="J96" s="83"/>
      <c r="K96" s="83"/>
      <c r="L96" s="83"/>
      <c r="M96" s="83"/>
      <c r="N96" s="83"/>
      <c r="O96" s="86">
        <v>135</v>
      </c>
      <c r="P96" s="83">
        <v>550</v>
      </c>
      <c r="Q96" s="86">
        <v>74250</v>
      </c>
      <c r="S96" s="1"/>
      <c r="T96" s="81" t="s">
        <v>212</v>
      </c>
      <c r="U96" s="4">
        <f t="shared" ca="1" si="84"/>
        <v>0</v>
      </c>
      <c r="V96" s="4">
        <f t="shared" ca="1" si="85"/>
        <v>340</v>
      </c>
      <c r="W96" s="4">
        <f t="shared" ca="1" si="86"/>
        <v>0</v>
      </c>
      <c r="X96" s="4">
        <f t="shared" ca="1" si="87"/>
        <v>0</v>
      </c>
      <c r="Y96" s="5">
        <f t="shared" ca="1" si="88"/>
        <v>340</v>
      </c>
      <c r="Z96" s="26">
        <f t="shared" ca="1" si="89"/>
        <v>550</v>
      </c>
      <c r="AA96" s="5">
        <f t="shared" ca="1" si="90"/>
        <v>187000</v>
      </c>
      <c r="AB96" s="25"/>
    </row>
    <row r="97" spans="1:28">
      <c r="A97" s="81"/>
      <c r="B97" s="81" t="s">
        <v>212</v>
      </c>
      <c r="C97" s="83"/>
      <c r="D97" s="83"/>
      <c r="E97" s="83"/>
      <c r="F97" s="83">
        <v>340</v>
      </c>
      <c r="G97" s="83">
        <v>550</v>
      </c>
      <c r="H97" s="83">
        <v>187000</v>
      </c>
      <c r="I97" s="83"/>
      <c r="J97" s="83"/>
      <c r="K97" s="83"/>
      <c r="L97" s="83"/>
      <c r="M97" s="83"/>
      <c r="N97" s="83"/>
      <c r="O97" s="86">
        <v>340</v>
      </c>
      <c r="P97" s="83">
        <v>550</v>
      </c>
      <c r="Q97" s="86">
        <v>187000</v>
      </c>
      <c r="S97" s="1"/>
      <c r="T97" s="81" t="s">
        <v>213</v>
      </c>
      <c r="U97" s="4">
        <f t="shared" ca="1" si="84"/>
        <v>0</v>
      </c>
      <c r="V97" s="4">
        <f t="shared" ca="1" si="85"/>
        <v>885</v>
      </c>
      <c r="W97" s="4">
        <f t="shared" ca="1" si="86"/>
        <v>0</v>
      </c>
      <c r="X97" s="4">
        <f t="shared" ca="1" si="87"/>
        <v>0</v>
      </c>
      <c r="Y97" s="5">
        <f t="shared" ca="1" si="88"/>
        <v>885</v>
      </c>
      <c r="Z97" s="26">
        <f t="shared" ca="1" si="89"/>
        <v>550</v>
      </c>
      <c r="AA97" s="5">
        <f t="shared" ca="1" si="90"/>
        <v>486750</v>
      </c>
      <c r="AB97" s="25"/>
    </row>
    <row r="98" spans="1:28">
      <c r="A98" s="81"/>
      <c r="B98" s="81" t="s">
        <v>213</v>
      </c>
      <c r="C98" s="83"/>
      <c r="D98" s="83"/>
      <c r="E98" s="83"/>
      <c r="F98" s="83">
        <v>885</v>
      </c>
      <c r="G98" s="83">
        <v>550</v>
      </c>
      <c r="H98" s="83">
        <v>486750</v>
      </c>
      <c r="I98" s="83"/>
      <c r="J98" s="83"/>
      <c r="K98" s="83"/>
      <c r="L98" s="83"/>
      <c r="M98" s="83"/>
      <c r="N98" s="83"/>
      <c r="O98" s="86">
        <v>885</v>
      </c>
      <c r="P98" s="83">
        <v>550</v>
      </c>
      <c r="Q98" s="86">
        <v>486750</v>
      </c>
      <c r="S98" s="28" t="s">
        <v>222</v>
      </c>
      <c r="T98" s="28"/>
      <c r="U98" s="29">
        <f ca="1">SUM(U68:U97)</f>
        <v>4730</v>
      </c>
      <c r="V98" s="29">
        <f ca="1">SUM(V68:V97)</f>
        <v>33445.896000000001</v>
      </c>
      <c r="W98" s="29">
        <f ca="1">SUM(W68:W97)</f>
        <v>10500</v>
      </c>
      <c r="X98" s="29">
        <f t="shared" ref="X98" ca="1" si="91">SUM(X97)</f>
        <v>0</v>
      </c>
      <c r="Y98" s="29">
        <f ca="1">SUBTOTAL(9,U98:X98)</f>
        <v>48675.896000000001</v>
      </c>
      <c r="Z98" s="30">
        <f ca="1">AA98/Y98</f>
        <v>630.96737473512553</v>
      </c>
      <c r="AA98" s="29">
        <f ca="1">SUM(AA68:AA97)</f>
        <v>30712902.311999999</v>
      </c>
      <c r="AB98" s="31"/>
    </row>
    <row r="99" spans="1:28">
      <c r="A99" s="89" t="s">
        <v>222</v>
      </c>
      <c r="B99" s="89"/>
      <c r="C99" s="90">
        <v>4730</v>
      </c>
      <c r="D99" s="90">
        <v>520</v>
      </c>
      <c r="E99" s="90">
        <v>2600450</v>
      </c>
      <c r="F99" s="90">
        <v>33445.896000000001</v>
      </c>
      <c r="G99" s="90">
        <v>705.46921052631581</v>
      </c>
      <c r="H99" s="90">
        <v>21675952.311999999</v>
      </c>
      <c r="I99" s="90">
        <v>10500</v>
      </c>
      <c r="J99" s="90">
        <v>613</v>
      </c>
      <c r="K99" s="90">
        <v>6436500</v>
      </c>
      <c r="L99" s="90"/>
      <c r="M99" s="90"/>
      <c r="N99" s="90"/>
      <c r="O99" s="93">
        <v>48675.896000000001</v>
      </c>
      <c r="P99" s="90">
        <v>681.56623655913984</v>
      </c>
      <c r="Q99" s="93">
        <v>30712902.311999999</v>
      </c>
    </row>
    <row r="100" spans="1:28">
      <c r="A100" s="81" t="s">
        <v>7</v>
      </c>
      <c r="B100" s="81"/>
      <c r="C100" s="83">
        <v>481147</v>
      </c>
      <c r="D100" s="83">
        <v>188.57402597402597</v>
      </c>
      <c r="E100" s="83">
        <v>78911354</v>
      </c>
      <c r="F100" s="83">
        <v>224013.296</v>
      </c>
      <c r="G100" s="83">
        <v>514.35599999999999</v>
      </c>
      <c r="H100" s="83">
        <v>64323821.792000003</v>
      </c>
      <c r="I100" s="83">
        <v>88500</v>
      </c>
      <c r="J100" s="83">
        <v>464.14285714285717</v>
      </c>
      <c r="K100" s="83">
        <v>13430500</v>
      </c>
      <c r="L100" s="83">
        <v>6385.2</v>
      </c>
      <c r="M100" s="83">
        <v>201.5</v>
      </c>
      <c r="N100" s="83">
        <v>1410521.2</v>
      </c>
      <c r="O100" s="86">
        <v>800045.49600000004</v>
      </c>
      <c r="P100" s="83">
        <v>405.12416988416987</v>
      </c>
      <c r="Q100" s="86">
        <v>158076196.99199998</v>
      </c>
    </row>
    <row r="101" spans="1:28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</row>
    <row r="102" spans="1:28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</row>
    <row r="103" spans="1:28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</row>
    <row r="104" spans="1:28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</row>
    <row r="105" spans="1:28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</row>
    <row r="106" spans="1:28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</row>
    <row r="107" spans="1:28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</row>
    <row r="108" spans="1:28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</row>
    <row r="109" spans="1:28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</row>
    <row r="110" spans="1:28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</row>
    <row r="111" spans="1:28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</row>
    <row r="112" spans="1:28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</row>
    <row r="113" spans="1:17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</row>
    <row r="114" spans="1:17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</row>
    <row r="115" spans="1:17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</row>
    <row r="116" spans="1:17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</row>
    <row r="117" spans="1:17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</row>
    <row r="118" spans="1:17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</row>
    <row r="119" spans="1:17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</row>
    <row r="120" spans="1:17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</row>
    <row r="121" spans="1:17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</row>
    <row r="122" spans="1:17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</row>
    <row r="123" spans="1:17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</row>
    <row r="124" spans="1:17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</row>
    <row r="125" spans="1:17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</row>
    <row r="126" spans="1:17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</row>
    <row r="127" spans="1:17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</row>
    <row r="128" spans="1:17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</row>
    <row r="129" spans="1:17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</row>
    <row r="130" spans="1:17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</row>
    <row r="131" spans="1:17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</row>
    <row r="132" spans="1:17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</row>
    <row r="133" spans="1:17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</row>
    <row r="134" spans="1:17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7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7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7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7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7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7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7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7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7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1: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1: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spans="1: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spans="1: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spans="1: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spans="1: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spans="1: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spans="1: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spans="1: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spans="1: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spans="1: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spans="1: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spans="1: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spans="1: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spans="1: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1: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spans="1: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spans="1: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spans="1: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spans="1: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spans="1: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spans="1: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spans="1: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spans="1: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spans="1: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spans="1: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spans="1: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spans="1: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spans="1: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spans="1: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spans="1: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spans="1: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spans="1: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spans="1: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spans="1: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spans="1: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1: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spans="1: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spans="1: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spans="1: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spans="1: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spans="1: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spans="1: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spans="1: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spans="1: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spans="1: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spans="1: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spans="1: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spans="1: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spans="1: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spans="1: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spans="1: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spans="1: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spans="1: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spans="1: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spans="1: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spans="1: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spans="1: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spans="1: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spans="1: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spans="1: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spans="1: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spans="1:15">
      <c r="A266" s="2"/>
      <c r="B266" s="2"/>
      <c r="C266" s="2"/>
      <c r="D266" s="2"/>
      <c r="E266" s="2"/>
      <c r="F266" s="2"/>
      <c r="G266" s="2"/>
      <c r="H266" s="2"/>
      <c r="I266" s="2"/>
    </row>
    <row r="267" spans="1:15">
      <c r="A267" s="2"/>
      <c r="B267" s="2"/>
      <c r="C267" s="2"/>
      <c r="D267" s="2"/>
      <c r="E267" s="2"/>
      <c r="F267" s="2"/>
      <c r="G267" s="2"/>
      <c r="H267" s="2"/>
      <c r="I267" s="2"/>
    </row>
    <row r="268" spans="1:15">
      <c r="A268" s="2"/>
      <c r="B268" s="2"/>
      <c r="C268" s="2"/>
      <c r="D268" s="2"/>
      <c r="E268" s="2"/>
      <c r="F268" s="2"/>
      <c r="G268" s="2"/>
      <c r="H268" s="2"/>
      <c r="I268" s="2"/>
    </row>
    <row r="269" spans="1:15">
      <c r="A269" s="2"/>
      <c r="B269" s="2"/>
      <c r="C269" s="2"/>
      <c r="D269" s="2"/>
      <c r="E269" s="2"/>
      <c r="F269" s="2"/>
      <c r="G269" s="2"/>
      <c r="H269" s="2"/>
      <c r="I269" s="2"/>
    </row>
    <row r="270" spans="1:15">
      <c r="A270" s="2"/>
      <c r="B270" s="2"/>
      <c r="C270" s="2"/>
      <c r="D270" s="2"/>
      <c r="E270" s="2"/>
      <c r="F270" s="2"/>
      <c r="G270" s="2"/>
      <c r="H270" s="2"/>
      <c r="I270" s="2"/>
    </row>
    <row r="271" spans="1:15">
      <c r="A271" s="2"/>
      <c r="B271" s="2"/>
      <c r="C271" s="2"/>
      <c r="D271" s="2"/>
      <c r="E271" s="2"/>
      <c r="F271" s="2"/>
      <c r="G271" s="2"/>
      <c r="H271" s="2"/>
      <c r="I271" s="2"/>
    </row>
    <row r="272" spans="1:15">
      <c r="A272" s="2"/>
      <c r="B272" s="2"/>
      <c r="C272" s="2"/>
      <c r="D272" s="2"/>
      <c r="E272" s="2"/>
      <c r="F272" s="2"/>
      <c r="G272" s="2"/>
      <c r="H272" s="2"/>
      <c r="I272" s="2"/>
    </row>
    <row r="273" spans="1:9">
      <c r="A273" s="2"/>
      <c r="B273" s="2"/>
      <c r="C273" s="2"/>
      <c r="D273" s="2"/>
      <c r="E273" s="2"/>
      <c r="F273" s="2"/>
      <c r="G273" s="2"/>
      <c r="H273" s="2"/>
      <c r="I273" s="2"/>
    </row>
    <row r="274" spans="1:9">
      <c r="A274" s="2"/>
      <c r="B274" s="2"/>
      <c r="C274" s="2"/>
      <c r="D274" s="2"/>
      <c r="E274" s="2"/>
      <c r="F274" s="2"/>
      <c r="G274" s="2"/>
      <c r="H274" s="2"/>
      <c r="I274" s="2"/>
    </row>
    <row r="275" spans="1:9">
      <c r="A275" s="2"/>
      <c r="B275" s="2"/>
      <c r="C275" s="2"/>
      <c r="D275" s="2"/>
      <c r="E275" s="2"/>
      <c r="F275" s="2"/>
      <c r="G275" s="2"/>
      <c r="H275" s="2"/>
      <c r="I275" s="2"/>
    </row>
    <row r="276" spans="1:9">
      <c r="A276" s="2"/>
      <c r="B276" s="2"/>
      <c r="C276" s="2"/>
      <c r="D276" s="2"/>
      <c r="E276" s="2"/>
      <c r="F276" s="2"/>
      <c r="G276" s="2"/>
      <c r="H276" s="2"/>
      <c r="I276" s="2"/>
    </row>
    <row r="277" spans="1:9">
      <c r="A277" s="2"/>
      <c r="B277" s="2"/>
      <c r="C277" s="2"/>
      <c r="D277" s="2"/>
      <c r="E277" s="2"/>
      <c r="F277" s="2"/>
      <c r="G277" s="2"/>
      <c r="H277" s="2"/>
      <c r="I277" s="2"/>
    </row>
    <row r="278" spans="1:9">
      <c r="A278" s="2"/>
      <c r="B278" s="2"/>
      <c r="C278" s="2"/>
      <c r="D278" s="2"/>
      <c r="E278" s="2"/>
      <c r="F278" s="2"/>
      <c r="G278" s="2"/>
      <c r="H278" s="2"/>
      <c r="I278" s="2"/>
    </row>
    <row r="279" spans="1:9">
      <c r="A279" s="2"/>
      <c r="B279" s="2"/>
      <c r="C279" s="2"/>
      <c r="D279" s="2"/>
      <c r="E279" s="2"/>
      <c r="F279" s="2"/>
      <c r="G279" s="2"/>
      <c r="H279" s="2"/>
      <c r="I279" s="2"/>
    </row>
    <row r="280" spans="1:9">
      <c r="A280" s="2"/>
      <c r="B280" s="2"/>
      <c r="C280" s="2"/>
      <c r="D280" s="2"/>
      <c r="E280" s="2"/>
      <c r="F280" s="2"/>
      <c r="G280" s="2"/>
      <c r="H280" s="2"/>
      <c r="I280" s="2"/>
    </row>
    <row r="281" spans="1:9">
      <c r="A281" s="2"/>
      <c r="B281" s="2"/>
      <c r="C281" s="2"/>
      <c r="D281" s="2"/>
      <c r="E281" s="2"/>
      <c r="F281" s="2"/>
      <c r="G281" s="2"/>
      <c r="H281" s="2"/>
      <c r="I281" s="2"/>
    </row>
    <row r="282" spans="1:9">
      <c r="A282" s="2"/>
      <c r="B282" s="2"/>
      <c r="C282" s="2"/>
      <c r="D282" s="2"/>
      <c r="E282" s="2"/>
      <c r="F282" s="2"/>
      <c r="G282" s="2"/>
      <c r="H282" s="2"/>
      <c r="I282" s="2"/>
    </row>
    <row r="283" spans="1:9">
      <c r="A283" s="2"/>
      <c r="B283" s="2"/>
      <c r="C283" s="2"/>
      <c r="D283" s="2"/>
      <c r="E283" s="2"/>
      <c r="F283" s="2"/>
      <c r="G283" s="2"/>
      <c r="H283" s="2"/>
      <c r="I283" s="2"/>
    </row>
    <row r="284" spans="1:9">
      <c r="A284" s="2"/>
      <c r="B284" s="2"/>
      <c r="C284" s="2"/>
      <c r="D284" s="2"/>
      <c r="E284" s="2"/>
      <c r="F284" s="2"/>
      <c r="G284" s="2"/>
      <c r="H284" s="2"/>
      <c r="I284" s="2"/>
    </row>
    <row r="285" spans="1:9">
      <c r="A285" s="2"/>
      <c r="B285" s="2"/>
      <c r="C285" s="2"/>
      <c r="D285" s="2"/>
      <c r="E285" s="2"/>
      <c r="F285" s="2"/>
      <c r="G285" s="2"/>
      <c r="H285" s="2"/>
      <c r="I285" s="2"/>
    </row>
    <row r="286" spans="1:9">
      <c r="A286" s="2"/>
      <c r="B286" s="2"/>
      <c r="C286" s="2"/>
      <c r="D286" s="2"/>
      <c r="E286" s="2"/>
      <c r="F286" s="2"/>
      <c r="G286" s="2"/>
      <c r="H286" s="2"/>
      <c r="I286" s="2"/>
    </row>
    <row r="287" spans="1:9">
      <c r="A287" s="2"/>
      <c r="B287" s="2"/>
      <c r="C287" s="2"/>
      <c r="D287" s="2"/>
      <c r="E287" s="2"/>
      <c r="F287" s="2"/>
      <c r="G287" s="2"/>
      <c r="H287" s="2"/>
      <c r="I287" s="2"/>
    </row>
    <row r="288" spans="1:9">
      <c r="A288" s="2"/>
      <c r="B288" s="2"/>
      <c r="C288" s="2"/>
      <c r="D288" s="2"/>
      <c r="E288" s="2"/>
      <c r="F288" s="2"/>
      <c r="G288" s="2"/>
      <c r="H288" s="2"/>
      <c r="I288" s="2"/>
    </row>
    <row r="289" spans="1:9">
      <c r="A289" s="2"/>
      <c r="B289" s="2"/>
      <c r="C289" s="2"/>
      <c r="D289" s="2"/>
      <c r="E289" s="2"/>
      <c r="F289" s="2"/>
      <c r="G289" s="2"/>
      <c r="H289" s="2"/>
      <c r="I289" s="2"/>
    </row>
    <row r="290" spans="1:9">
      <c r="A290" s="2"/>
      <c r="B290" s="2"/>
      <c r="C290" s="2"/>
      <c r="D290" s="2"/>
      <c r="E290" s="2"/>
      <c r="F290" s="2"/>
      <c r="G290" s="2"/>
      <c r="H290" s="2"/>
      <c r="I290" s="2"/>
    </row>
    <row r="291" spans="1:9">
      <c r="A291" s="2"/>
      <c r="B291" s="2"/>
      <c r="C291" s="2"/>
      <c r="D291" s="2"/>
      <c r="E291" s="2"/>
      <c r="F291" s="2"/>
      <c r="G291" s="2"/>
      <c r="H291" s="2"/>
      <c r="I291" s="2"/>
    </row>
    <row r="292" spans="1:9">
      <c r="A292" s="2"/>
      <c r="B292" s="2"/>
      <c r="C292" s="2"/>
      <c r="D292" s="2"/>
      <c r="E292" s="2"/>
      <c r="F292" s="2"/>
      <c r="G292" s="2"/>
      <c r="H292" s="2"/>
      <c r="I292" s="2"/>
    </row>
    <row r="293" spans="1:9">
      <c r="A293" s="2"/>
      <c r="B293" s="2"/>
      <c r="C293" s="2"/>
      <c r="D293" s="2"/>
      <c r="E293" s="2"/>
      <c r="F293" s="2"/>
      <c r="G293" s="2"/>
      <c r="H293" s="2"/>
      <c r="I293" s="2"/>
    </row>
    <row r="294" spans="1:9">
      <c r="A294" s="2"/>
      <c r="B294" s="2"/>
      <c r="C294" s="2"/>
      <c r="D294" s="2"/>
      <c r="E294" s="2"/>
      <c r="F294" s="2"/>
      <c r="G294" s="2"/>
      <c r="H294" s="2"/>
      <c r="I294" s="2"/>
    </row>
    <row r="295" spans="1:9">
      <c r="A295" s="2"/>
      <c r="B295" s="2"/>
      <c r="C295" s="2"/>
      <c r="D295" s="2"/>
      <c r="E295" s="2"/>
      <c r="F295" s="2"/>
      <c r="G295" s="2"/>
      <c r="H295" s="2"/>
      <c r="I295" s="2"/>
    </row>
    <row r="296" spans="1:9">
      <c r="A296" s="2"/>
      <c r="B296" s="2"/>
      <c r="C296" s="2"/>
      <c r="D296" s="2"/>
      <c r="E296" s="2"/>
      <c r="F296" s="2"/>
      <c r="G296" s="2"/>
      <c r="H296" s="2"/>
      <c r="I296" s="2"/>
    </row>
    <row r="297" spans="1:9">
      <c r="A297" s="2"/>
      <c r="B297" s="2"/>
      <c r="C297" s="2"/>
      <c r="D297" s="2"/>
      <c r="E297" s="2"/>
      <c r="F297" s="2"/>
      <c r="G297" s="2"/>
      <c r="H297" s="2"/>
      <c r="I297" s="2"/>
    </row>
    <row r="298" spans="1:9">
      <c r="A298" s="2"/>
      <c r="B298" s="2"/>
      <c r="C298" s="2"/>
      <c r="D298" s="2"/>
      <c r="E298" s="2"/>
      <c r="F298" s="2"/>
      <c r="G298" s="2"/>
      <c r="H298" s="2"/>
      <c r="I298" s="2"/>
    </row>
    <row r="299" spans="1:9">
      <c r="A299" s="2"/>
      <c r="B299" s="2"/>
      <c r="C299" s="2"/>
      <c r="D299" s="2"/>
      <c r="E299" s="2"/>
      <c r="F299" s="2"/>
      <c r="G299" s="2"/>
      <c r="H299" s="2"/>
      <c r="I299" s="2"/>
    </row>
    <row r="300" spans="1:9">
      <c r="A300" s="2"/>
      <c r="B300" s="2"/>
      <c r="C300" s="2"/>
      <c r="D300" s="2"/>
      <c r="E300" s="2"/>
      <c r="F300" s="2"/>
      <c r="G300" s="2"/>
      <c r="H300" s="2"/>
      <c r="I300" s="2"/>
    </row>
    <row r="301" spans="1:9">
      <c r="A301" s="2"/>
      <c r="B301" s="2"/>
      <c r="C301" s="2"/>
      <c r="D301" s="2"/>
      <c r="E301" s="2"/>
      <c r="F301" s="2"/>
      <c r="G301" s="2"/>
      <c r="H301" s="2"/>
      <c r="I301" s="2"/>
    </row>
    <row r="302" spans="1:9">
      <c r="A302" s="2"/>
      <c r="B302" s="2"/>
      <c r="C302" s="2"/>
      <c r="D302" s="2"/>
      <c r="E302" s="2"/>
      <c r="F302" s="2"/>
      <c r="G302" s="2"/>
      <c r="H302" s="2"/>
      <c r="I302" s="2"/>
    </row>
    <row r="303" spans="1:9">
      <c r="A303" s="2"/>
      <c r="B303" s="2"/>
      <c r="C303" s="2"/>
      <c r="D303" s="2"/>
      <c r="E303" s="2"/>
      <c r="F303" s="2"/>
      <c r="G303" s="2"/>
      <c r="H303" s="2"/>
      <c r="I303" s="2"/>
    </row>
    <row r="304" spans="1:9">
      <c r="A304" s="2"/>
      <c r="B304" s="2"/>
      <c r="C304" s="2"/>
      <c r="D304" s="2"/>
      <c r="E304" s="2"/>
      <c r="F304" s="2"/>
      <c r="G304" s="2"/>
      <c r="H304" s="2"/>
      <c r="I304" s="2"/>
    </row>
    <row r="305" spans="1:9">
      <c r="A305" s="2"/>
      <c r="B305" s="2"/>
      <c r="C305" s="2"/>
      <c r="D305" s="2"/>
      <c r="E305" s="2"/>
      <c r="F305" s="2"/>
      <c r="G305" s="2"/>
      <c r="H305" s="2"/>
      <c r="I305" s="2"/>
    </row>
    <row r="306" spans="1:9">
      <c r="A306" s="2"/>
      <c r="B306" s="2"/>
      <c r="C306" s="2"/>
      <c r="D306" s="2"/>
      <c r="E306" s="2"/>
      <c r="F306" s="2"/>
      <c r="G306" s="2"/>
      <c r="H306" s="2"/>
      <c r="I306" s="2"/>
    </row>
    <row r="307" spans="1:9">
      <c r="A307" s="2"/>
      <c r="B307" s="2"/>
      <c r="C307" s="2"/>
      <c r="D307" s="2"/>
      <c r="E307" s="2"/>
      <c r="F307" s="2"/>
      <c r="G307" s="2"/>
      <c r="H307" s="2"/>
      <c r="I307" s="2"/>
    </row>
    <row r="308" spans="1:9">
      <c r="A308" s="2"/>
      <c r="B308" s="2"/>
      <c r="C308" s="2"/>
      <c r="D308" s="2"/>
      <c r="E308" s="2"/>
      <c r="F308" s="2"/>
      <c r="G308" s="2"/>
      <c r="H308" s="2"/>
      <c r="I308" s="2"/>
    </row>
    <row r="309" spans="1:9">
      <c r="A309" s="2"/>
      <c r="B309" s="2"/>
      <c r="C309" s="2"/>
      <c r="D309" s="2"/>
      <c r="E309" s="2"/>
      <c r="F309" s="2"/>
      <c r="G309" s="2"/>
      <c r="H309" s="2"/>
      <c r="I309" s="2"/>
    </row>
    <row r="310" spans="1:9">
      <c r="A310" s="2"/>
      <c r="B310" s="2"/>
      <c r="C310" s="2"/>
      <c r="D310" s="2"/>
      <c r="E310" s="2"/>
      <c r="F310" s="2"/>
      <c r="G310" s="2"/>
      <c r="H310" s="2"/>
      <c r="I310" s="2"/>
    </row>
    <row r="311" spans="1:9">
      <c r="A311" s="2"/>
      <c r="B311" s="2"/>
      <c r="C311" s="2"/>
      <c r="D311" s="2"/>
      <c r="E311" s="2"/>
      <c r="F311" s="2"/>
      <c r="G311" s="2"/>
      <c r="H311" s="2"/>
      <c r="I311" s="2"/>
    </row>
    <row r="312" spans="1:9">
      <c r="A312" s="2"/>
      <c r="B312" s="2"/>
      <c r="C312" s="2"/>
      <c r="D312" s="2"/>
      <c r="E312" s="2"/>
      <c r="F312" s="2"/>
      <c r="G312" s="2"/>
      <c r="H312" s="2"/>
      <c r="I312" s="2"/>
    </row>
    <row r="313" spans="1:9">
      <c r="A313" s="2"/>
      <c r="B313" s="2"/>
      <c r="C313" s="2"/>
      <c r="D313" s="2"/>
      <c r="E313" s="2"/>
      <c r="F313" s="2"/>
      <c r="G313" s="2"/>
      <c r="H313" s="2"/>
      <c r="I313" s="2"/>
    </row>
    <row r="314" spans="1:9">
      <c r="A314" s="2"/>
      <c r="B314" s="2"/>
      <c r="C314" s="2"/>
      <c r="D314" s="2"/>
      <c r="E314" s="2"/>
      <c r="F314" s="2"/>
      <c r="G314" s="2"/>
      <c r="H314" s="2"/>
      <c r="I314" s="2"/>
    </row>
    <row r="315" spans="1:9">
      <c r="A315" s="2"/>
      <c r="B315" s="2"/>
      <c r="C315" s="2"/>
      <c r="D315" s="2"/>
      <c r="E315" s="2"/>
      <c r="F315" s="2"/>
      <c r="G315" s="2"/>
      <c r="H315" s="2"/>
      <c r="I315" s="2"/>
    </row>
    <row r="316" spans="1:9">
      <c r="A316" s="2"/>
      <c r="B316" s="2"/>
      <c r="C316" s="2"/>
      <c r="D316" s="2"/>
      <c r="E316" s="2"/>
      <c r="F316" s="2"/>
      <c r="G316" s="2"/>
      <c r="H316" s="2"/>
      <c r="I316" s="2"/>
    </row>
    <row r="317" spans="1:9">
      <c r="A317" s="2"/>
      <c r="B317" s="2"/>
      <c r="C317" s="2"/>
      <c r="D317" s="2"/>
      <c r="E317" s="2"/>
      <c r="F317" s="2"/>
      <c r="G317" s="2"/>
      <c r="H317" s="2"/>
      <c r="I317" s="2"/>
    </row>
    <row r="318" spans="1:9">
      <c r="A318" s="2"/>
      <c r="B318" s="2"/>
      <c r="C318" s="2"/>
      <c r="D318" s="2"/>
      <c r="E318" s="2"/>
      <c r="F318" s="2"/>
      <c r="G318" s="2"/>
      <c r="H318" s="2"/>
      <c r="I318" s="2"/>
    </row>
    <row r="319" spans="1:9">
      <c r="A319" s="2"/>
      <c r="B319" s="2"/>
      <c r="C319" s="2"/>
      <c r="D319" s="2"/>
      <c r="E319" s="2"/>
      <c r="F319" s="2"/>
      <c r="G319" s="2"/>
      <c r="H319" s="2"/>
      <c r="I319" s="2"/>
    </row>
    <row r="320" spans="1:9">
      <c r="A320" s="2"/>
      <c r="B320" s="2"/>
      <c r="C320" s="2"/>
      <c r="D320" s="2"/>
      <c r="E320" s="2"/>
      <c r="F320" s="2"/>
      <c r="G320" s="2"/>
      <c r="H320" s="2"/>
      <c r="I320" s="2"/>
    </row>
    <row r="321" spans="1:9">
      <c r="A321" s="2"/>
      <c r="B321" s="2"/>
      <c r="C321" s="2"/>
      <c r="D321" s="2"/>
      <c r="E321" s="2"/>
      <c r="F321" s="2"/>
      <c r="G321" s="2"/>
      <c r="H321" s="2"/>
      <c r="I321" s="2"/>
    </row>
    <row r="322" spans="1:9">
      <c r="A322" s="2"/>
      <c r="B322" s="2"/>
      <c r="C322" s="2"/>
      <c r="D322" s="2"/>
      <c r="E322" s="2"/>
      <c r="F322" s="2"/>
      <c r="G322" s="2"/>
      <c r="H322" s="2"/>
      <c r="I322" s="2"/>
    </row>
    <row r="323" spans="1:9">
      <c r="A323" s="2"/>
      <c r="B323" s="2"/>
      <c r="C323" s="2"/>
      <c r="D323" s="2"/>
      <c r="E323" s="2"/>
      <c r="F323" s="2"/>
      <c r="G323" s="2"/>
      <c r="H323" s="2"/>
      <c r="I323" s="2"/>
    </row>
    <row r="324" spans="1:9">
      <c r="A324" s="2"/>
      <c r="B324" s="2"/>
      <c r="C324" s="2"/>
      <c r="D324" s="2"/>
      <c r="E324" s="2"/>
      <c r="F324" s="2"/>
      <c r="G324" s="2"/>
      <c r="H324" s="2"/>
      <c r="I324" s="2"/>
    </row>
    <row r="325" spans="1:9">
      <c r="A325" s="2"/>
      <c r="B325" s="2"/>
      <c r="C325" s="2"/>
      <c r="D325" s="2"/>
      <c r="E325" s="2"/>
      <c r="F325" s="2"/>
      <c r="G325" s="2"/>
      <c r="H325" s="2"/>
      <c r="I325" s="2"/>
    </row>
    <row r="326" spans="1:9">
      <c r="A326" s="2"/>
      <c r="B326" s="2"/>
      <c r="C326" s="2"/>
      <c r="D326" s="2"/>
      <c r="E326" s="2"/>
      <c r="F326" s="2"/>
      <c r="G326" s="2"/>
      <c r="H326" s="2"/>
      <c r="I326" s="2"/>
    </row>
    <row r="327" spans="1:9">
      <c r="A327" s="2"/>
      <c r="B327" s="2"/>
      <c r="C327" s="2"/>
      <c r="D327" s="2"/>
      <c r="E327" s="2"/>
      <c r="F327" s="2"/>
      <c r="G327" s="2"/>
      <c r="H327" s="2"/>
      <c r="I327" s="2"/>
    </row>
    <row r="328" spans="1:9">
      <c r="A328" s="2"/>
      <c r="B328" s="2"/>
      <c r="C328" s="2"/>
      <c r="D328" s="2"/>
      <c r="E328" s="2"/>
      <c r="F328" s="2"/>
      <c r="G328" s="2"/>
      <c r="H328" s="2"/>
      <c r="I328" s="2"/>
    </row>
    <row r="329" spans="1:9">
      <c r="A329" s="2"/>
      <c r="B329" s="2"/>
      <c r="C329" s="2"/>
      <c r="D329" s="2"/>
      <c r="E329" s="2"/>
      <c r="F329" s="2"/>
      <c r="G329" s="2"/>
      <c r="H329" s="2"/>
      <c r="I329" s="2"/>
    </row>
    <row r="330" spans="1:9">
      <c r="A330" s="2"/>
      <c r="B330" s="2"/>
      <c r="C330" s="2"/>
      <c r="D330" s="2"/>
      <c r="E330" s="2"/>
      <c r="F330" s="2"/>
      <c r="G330" s="2"/>
      <c r="H330" s="2"/>
      <c r="I330" s="2"/>
    </row>
    <row r="331" spans="1:9">
      <c r="A331" s="2"/>
      <c r="B331" s="2"/>
      <c r="C331" s="2"/>
      <c r="D331" s="2"/>
      <c r="E331" s="2"/>
      <c r="F331" s="2"/>
      <c r="G331" s="2"/>
      <c r="H331" s="2"/>
      <c r="I331" s="2"/>
    </row>
    <row r="332" spans="1:9">
      <c r="A332" s="2"/>
      <c r="B332" s="2"/>
      <c r="C332" s="2"/>
      <c r="D332" s="2"/>
      <c r="E332" s="2"/>
      <c r="F332" s="2"/>
      <c r="G332" s="2"/>
      <c r="H332" s="2"/>
      <c r="I332" s="2"/>
    </row>
    <row r="333" spans="1:9">
      <c r="A333" s="2"/>
      <c r="B333" s="2"/>
      <c r="C333" s="2"/>
      <c r="D333" s="2"/>
      <c r="E333" s="2"/>
      <c r="F333" s="2"/>
      <c r="G333" s="2"/>
      <c r="H333" s="2"/>
      <c r="I333" s="2"/>
    </row>
    <row r="334" spans="1:9">
      <c r="A334" s="2"/>
      <c r="B334" s="2"/>
      <c r="C334" s="2"/>
      <c r="D334" s="2"/>
      <c r="E334" s="2"/>
      <c r="F334" s="2"/>
      <c r="G334" s="2"/>
      <c r="H334" s="2"/>
      <c r="I334" s="2"/>
    </row>
    <row r="335" spans="1:9">
      <c r="A335" s="2"/>
      <c r="B335" s="2"/>
      <c r="C335" s="2"/>
      <c r="D335" s="2"/>
      <c r="E335" s="2"/>
      <c r="F335" s="2"/>
      <c r="G335" s="2"/>
      <c r="H335" s="2"/>
      <c r="I335" s="2"/>
    </row>
    <row r="336" spans="1:9">
      <c r="A336" s="2"/>
      <c r="B336" s="2"/>
      <c r="C336" s="2"/>
      <c r="D336" s="2"/>
      <c r="E336" s="2"/>
      <c r="F336" s="2"/>
      <c r="G336" s="2"/>
      <c r="H336" s="2"/>
      <c r="I336" s="2"/>
    </row>
    <row r="337" spans="1:9">
      <c r="A337" s="2"/>
      <c r="B337" s="2"/>
      <c r="C337" s="2"/>
      <c r="D337" s="2"/>
      <c r="E337" s="2"/>
      <c r="F337" s="2"/>
      <c r="G337" s="2"/>
      <c r="H337" s="2"/>
      <c r="I337" s="2"/>
    </row>
    <row r="338" spans="1:9">
      <c r="A338" s="2"/>
      <c r="B338" s="2"/>
      <c r="C338" s="2"/>
      <c r="D338" s="2"/>
      <c r="E338" s="2"/>
      <c r="F338" s="2"/>
      <c r="G338" s="2"/>
      <c r="H338" s="2"/>
      <c r="I338" s="2"/>
    </row>
    <row r="339" spans="1:9">
      <c r="A339" s="2"/>
      <c r="B339" s="2"/>
      <c r="C339" s="2"/>
      <c r="D339" s="2"/>
      <c r="E339" s="2"/>
      <c r="F339" s="2"/>
      <c r="G339" s="2"/>
      <c r="H339" s="2"/>
      <c r="I339" s="2"/>
    </row>
    <row r="340" spans="1:9">
      <c r="A340" s="2"/>
      <c r="B340" s="2"/>
      <c r="C340" s="2"/>
      <c r="D340" s="2"/>
      <c r="E340" s="2"/>
      <c r="F340" s="2"/>
      <c r="G340" s="2"/>
      <c r="H340" s="2"/>
      <c r="I340" s="2"/>
    </row>
    <row r="341" spans="1:9">
      <c r="A341" s="2"/>
      <c r="B341" s="2"/>
      <c r="C341" s="2"/>
      <c r="D341" s="2"/>
      <c r="E341" s="2"/>
      <c r="F341" s="2"/>
      <c r="G341" s="2"/>
      <c r="H341" s="2"/>
      <c r="I341" s="2"/>
    </row>
    <row r="342" spans="1:9">
      <c r="A342" s="2"/>
      <c r="B342" s="2"/>
      <c r="C342" s="2"/>
      <c r="D342" s="2"/>
      <c r="E342" s="2"/>
      <c r="F342" s="2"/>
      <c r="G342" s="2"/>
      <c r="H342" s="2"/>
      <c r="I342" s="2"/>
    </row>
    <row r="343" spans="1:9">
      <c r="A343" s="2"/>
      <c r="B343" s="2"/>
      <c r="C343" s="2"/>
      <c r="D343" s="2"/>
      <c r="E343" s="2"/>
      <c r="F343" s="2"/>
      <c r="G343" s="2"/>
      <c r="H343" s="2"/>
      <c r="I343" s="2"/>
    </row>
    <row r="344" spans="1:9">
      <c r="A344" s="2"/>
      <c r="B344" s="2"/>
      <c r="C344" s="2"/>
      <c r="D344" s="2"/>
      <c r="E344" s="2"/>
      <c r="F344" s="2"/>
      <c r="G344" s="2"/>
      <c r="H344" s="2"/>
      <c r="I344" s="2"/>
    </row>
    <row r="345" spans="1:9">
      <c r="A345" s="2"/>
      <c r="B345" s="2"/>
      <c r="C345" s="2"/>
      <c r="D345" s="2"/>
      <c r="E345" s="2"/>
      <c r="F345" s="2"/>
      <c r="G345" s="2"/>
      <c r="H345" s="2"/>
      <c r="I345" s="2"/>
    </row>
    <row r="346" spans="1:9">
      <c r="A346" s="2"/>
      <c r="B346" s="2"/>
      <c r="C346" s="2"/>
      <c r="D346" s="2"/>
      <c r="E346" s="2"/>
      <c r="F346" s="2"/>
      <c r="G346" s="2"/>
      <c r="H346" s="2"/>
      <c r="I346" s="2"/>
    </row>
    <row r="347" spans="1:9">
      <c r="A347" s="2"/>
      <c r="B347" s="2"/>
      <c r="C347" s="2"/>
      <c r="D347" s="2"/>
      <c r="E347" s="2"/>
      <c r="F347" s="2"/>
      <c r="G347" s="2"/>
      <c r="H347" s="2"/>
      <c r="I347" s="2"/>
    </row>
    <row r="348" spans="1:9">
      <c r="A348" s="2"/>
      <c r="B348" s="2"/>
      <c r="C348" s="2"/>
      <c r="D348" s="2"/>
      <c r="E348" s="2"/>
      <c r="F348" s="2"/>
      <c r="G348" s="2"/>
      <c r="H348" s="2"/>
      <c r="I348" s="2"/>
    </row>
    <row r="349" spans="1:9">
      <c r="A349" s="2"/>
      <c r="B349" s="2"/>
      <c r="C349" s="2"/>
      <c r="D349" s="2"/>
      <c r="E349" s="2"/>
      <c r="F349" s="2"/>
      <c r="G349" s="2"/>
      <c r="H349" s="2"/>
      <c r="I349" s="2"/>
    </row>
    <row r="350" spans="1:9">
      <c r="A350" s="2"/>
      <c r="B350" s="2"/>
      <c r="C350" s="2"/>
      <c r="D350" s="2"/>
      <c r="E350" s="2"/>
      <c r="F350" s="2"/>
      <c r="G350" s="2"/>
      <c r="H350" s="2"/>
      <c r="I350" s="2"/>
    </row>
    <row r="351" spans="1:9">
      <c r="A351" s="2"/>
      <c r="B351" s="2"/>
      <c r="C351" s="2"/>
      <c r="D351" s="2"/>
      <c r="E351" s="2"/>
      <c r="F351" s="2"/>
      <c r="G351" s="2"/>
      <c r="H351" s="2"/>
      <c r="I351" s="2"/>
    </row>
    <row r="352" spans="1:9">
      <c r="A352" s="2"/>
      <c r="B352" s="2"/>
      <c r="C352" s="2"/>
      <c r="D352" s="2"/>
      <c r="E352" s="2"/>
      <c r="F352" s="2"/>
      <c r="G352" s="2"/>
      <c r="H352" s="2"/>
      <c r="I352" s="2"/>
    </row>
    <row r="353" spans="1:9">
      <c r="A353" s="2"/>
      <c r="B353" s="2"/>
      <c r="C353" s="2"/>
      <c r="D353" s="2"/>
      <c r="E353" s="2"/>
      <c r="F353" s="2"/>
      <c r="G353" s="2"/>
      <c r="H353" s="2"/>
      <c r="I353" s="2"/>
    </row>
    <row r="354" spans="1:9">
      <c r="A354" s="2"/>
      <c r="B354" s="2"/>
      <c r="C354" s="2"/>
      <c r="D354" s="2"/>
      <c r="E354" s="2"/>
      <c r="F354" s="2"/>
      <c r="G354" s="2"/>
      <c r="H354" s="2"/>
      <c r="I354" s="2"/>
    </row>
    <row r="355" spans="1:9">
      <c r="A355" s="2"/>
      <c r="B355" s="2"/>
      <c r="C355" s="2"/>
      <c r="D355" s="2"/>
      <c r="E355" s="2"/>
      <c r="F355" s="2"/>
      <c r="G355" s="2"/>
      <c r="H355" s="2"/>
      <c r="I355" s="2"/>
    </row>
    <row r="356" spans="1:9">
      <c r="A356" s="2"/>
      <c r="B356" s="2"/>
      <c r="C356" s="2"/>
      <c r="D356" s="2"/>
      <c r="E356" s="2"/>
      <c r="F356" s="2"/>
      <c r="G356" s="2"/>
      <c r="H356" s="2"/>
      <c r="I356" s="2"/>
    </row>
    <row r="357" spans="1:9">
      <c r="A357" s="2"/>
      <c r="B357" s="2"/>
      <c r="C357" s="2"/>
      <c r="D357" s="2"/>
      <c r="E357" s="2"/>
      <c r="F357" s="2"/>
      <c r="G357" s="2"/>
      <c r="H357" s="2"/>
      <c r="I357" s="2"/>
    </row>
    <row r="358" spans="1:9">
      <c r="A358" s="2"/>
      <c r="B358" s="2"/>
      <c r="C358" s="2"/>
      <c r="D358" s="2"/>
      <c r="E358" s="2"/>
      <c r="F358" s="2"/>
      <c r="G358" s="2"/>
      <c r="H358" s="2"/>
      <c r="I358" s="2"/>
    </row>
    <row r="359" spans="1:9">
      <c r="A359" s="2"/>
      <c r="B359" s="2"/>
      <c r="C359" s="2"/>
      <c r="D359" s="2"/>
      <c r="E359" s="2"/>
      <c r="F359" s="2"/>
      <c r="G359" s="2"/>
      <c r="H359" s="2"/>
      <c r="I359" s="2"/>
    </row>
    <row r="360" spans="1:9">
      <c r="A360" s="2"/>
      <c r="B360" s="2"/>
      <c r="C360" s="2"/>
      <c r="D360" s="2"/>
      <c r="E360" s="2"/>
      <c r="F360" s="2"/>
      <c r="G360" s="2"/>
      <c r="H360" s="2"/>
      <c r="I360" s="2"/>
    </row>
    <row r="361" spans="1:9">
      <c r="A361" s="2"/>
      <c r="B361" s="2"/>
      <c r="C361" s="2"/>
      <c r="D361" s="2"/>
      <c r="E361" s="2"/>
      <c r="F361" s="2"/>
      <c r="G361" s="2"/>
      <c r="H361" s="2"/>
      <c r="I361" s="2"/>
    </row>
    <row r="362" spans="1:9">
      <c r="A362" s="2"/>
      <c r="B362" s="2"/>
      <c r="C362" s="2"/>
      <c r="D362" s="2"/>
      <c r="E362" s="2"/>
      <c r="F362" s="2"/>
      <c r="G362" s="2"/>
      <c r="H362" s="2"/>
      <c r="I362" s="2"/>
    </row>
    <row r="363" spans="1:9">
      <c r="A363" s="2"/>
      <c r="B363" s="2"/>
      <c r="C363" s="2"/>
      <c r="D363" s="2"/>
      <c r="E363" s="2"/>
      <c r="F363" s="2"/>
      <c r="G363" s="2"/>
      <c r="H363" s="2"/>
      <c r="I363" s="2"/>
    </row>
    <row r="364" spans="1:9">
      <c r="A364" s="2"/>
      <c r="B364" s="2"/>
      <c r="C364" s="2"/>
      <c r="D364" s="2"/>
      <c r="E364" s="2"/>
      <c r="F364" s="2"/>
      <c r="G364" s="2"/>
      <c r="H364" s="2"/>
      <c r="I364" s="2"/>
    </row>
    <row r="365" spans="1:9">
      <c r="A365" s="2"/>
      <c r="B365" s="2"/>
      <c r="C365" s="2"/>
      <c r="D365" s="2"/>
      <c r="E365" s="2"/>
      <c r="F365" s="2"/>
      <c r="G365" s="2"/>
      <c r="H365" s="2"/>
      <c r="I365" s="2"/>
    </row>
    <row r="366" spans="1:9">
      <c r="A366" s="2"/>
      <c r="B366" s="2"/>
      <c r="C366" s="2"/>
      <c r="D366" s="2"/>
      <c r="E366" s="2"/>
      <c r="F366" s="2"/>
      <c r="G366" s="2"/>
      <c r="H366" s="2"/>
      <c r="I366" s="2"/>
    </row>
    <row r="367" spans="1:9">
      <c r="A367" s="2"/>
      <c r="B367" s="2"/>
      <c r="C367" s="2"/>
      <c r="D367" s="2"/>
      <c r="E367" s="2"/>
      <c r="F367" s="2"/>
      <c r="G367" s="2"/>
      <c r="H367" s="2"/>
      <c r="I367" s="2"/>
    </row>
    <row r="368" spans="1:9">
      <c r="A368" s="2"/>
      <c r="B368" s="2"/>
      <c r="C368" s="2"/>
      <c r="D368" s="2"/>
      <c r="E368" s="2"/>
      <c r="F368" s="2"/>
      <c r="G368" s="2"/>
      <c r="H368" s="2"/>
      <c r="I368" s="2"/>
    </row>
    <row r="369" spans="1:9">
      <c r="A369" s="2"/>
      <c r="B369" s="2"/>
      <c r="C369" s="2"/>
      <c r="D369" s="2"/>
      <c r="E369" s="2"/>
      <c r="F369" s="2"/>
      <c r="G369" s="2"/>
      <c r="H369" s="2"/>
      <c r="I369" s="2"/>
    </row>
    <row r="370" spans="1:9">
      <c r="A370" s="2"/>
      <c r="B370" s="2"/>
      <c r="C370" s="2"/>
      <c r="D370" s="2"/>
      <c r="E370" s="2"/>
      <c r="F370" s="2"/>
      <c r="G370" s="2"/>
      <c r="H370" s="2"/>
      <c r="I370" s="2"/>
    </row>
    <row r="371" spans="1:9">
      <c r="A371" s="2"/>
      <c r="B371" s="2"/>
      <c r="C371" s="2"/>
      <c r="D371" s="2"/>
      <c r="E371" s="2"/>
      <c r="F371" s="2"/>
      <c r="G371" s="2"/>
      <c r="H371" s="2"/>
      <c r="I371" s="2"/>
    </row>
    <row r="372" spans="1:9">
      <c r="A372" s="2"/>
      <c r="B372" s="2"/>
      <c r="C372" s="2"/>
      <c r="D372" s="2"/>
      <c r="E372" s="2"/>
      <c r="F372" s="2"/>
      <c r="G372" s="2"/>
      <c r="H372" s="2"/>
      <c r="I372" s="2"/>
    </row>
    <row r="373" spans="1:9">
      <c r="A373" s="2"/>
      <c r="B373" s="2"/>
      <c r="C373" s="2"/>
      <c r="D373" s="2"/>
      <c r="E373" s="2"/>
      <c r="F373" s="2"/>
      <c r="G373" s="2"/>
      <c r="H373" s="2"/>
      <c r="I373" s="2"/>
    </row>
    <row r="374" spans="1:9">
      <c r="A374" s="2"/>
      <c r="B374" s="2"/>
      <c r="C374" s="2"/>
      <c r="D374" s="2"/>
      <c r="E374" s="2"/>
      <c r="F374" s="2"/>
      <c r="G374" s="2"/>
      <c r="H374" s="2"/>
      <c r="I374" s="2"/>
    </row>
    <row r="375" spans="1:9">
      <c r="A375" s="2"/>
      <c r="B375" s="2"/>
      <c r="C375" s="2"/>
      <c r="D375" s="2"/>
      <c r="E375" s="2"/>
      <c r="F375" s="2"/>
      <c r="G375" s="2"/>
      <c r="H375" s="2"/>
      <c r="I375" s="2"/>
    </row>
    <row r="376" spans="1:9">
      <c r="A376" s="2"/>
      <c r="B376" s="2"/>
      <c r="C376" s="2"/>
      <c r="D376" s="2"/>
      <c r="E376" s="2"/>
      <c r="F376" s="2"/>
      <c r="G376" s="2"/>
      <c r="H376" s="2"/>
      <c r="I376" s="2"/>
    </row>
    <row r="377" spans="1:9">
      <c r="A377" s="2"/>
      <c r="B377" s="2"/>
      <c r="C377" s="2"/>
      <c r="D377" s="2"/>
      <c r="E377" s="2"/>
      <c r="F377" s="2"/>
      <c r="G377" s="2"/>
      <c r="H377" s="2"/>
      <c r="I377" s="2"/>
    </row>
    <row r="378" spans="1:9">
      <c r="A378" s="2"/>
      <c r="B378" s="2"/>
      <c r="C378" s="2"/>
      <c r="D378" s="2"/>
      <c r="E378" s="2"/>
      <c r="F378" s="2"/>
      <c r="G378" s="2"/>
      <c r="H378" s="2"/>
      <c r="I378" s="2"/>
    </row>
    <row r="379" spans="1:9">
      <c r="A379" s="2"/>
      <c r="B379" s="2"/>
      <c r="C379" s="2"/>
      <c r="D379" s="2"/>
      <c r="E379" s="2"/>
      <c r="F379" s="2"/>
      <c r="G379" s="2"/>
      <c r="H379" s="2"/>
      <c r="I379" s="2"/>
    </row>
    <row r="380" spans="1:9">
      <c r="A380" s="2"/>
      <c r="B380" s="2"/>
      <c r="C380" s="2"/>
      <c r="D380" s="2"/>
      <c r="E380" s="2"/>
      <c r="F380" s="2"/>
      <c r="G380" s="2"/>
      <c r="H380" s="2"/>
      <c r="I380" s="2"/>
    </row>
    <row r="381" spans="1:9">
      <c r="A381" s="2"/>
      <c r="B381" s="2"/>
      <c r="C381" s="2"/>
      <c r="D381" s="2"/>
      <c r="E381" s="2"/>
      <c r="F381" s="2"/>
      <c r="G381" s="2"/>
      <c r="H381" s="2"/>
      <c r="I381" s="2"/>
    </row>
    <row r="382" spans="1:9">
      <c r="A382" s="2"/>
      <c r="B382" s="2"/>
      <c r="C382" s="2"/>
      <c r="D382" s="2"/>
      <c r="E382" s="2"/>
      <c r="F382" s="2"/>
      <c r="G382" s="2"/>
      <c r="H382" s="2"/>
      <c r="I382" s="2"/>
    </row>
    <row r="383" spans="1:9">
      <c r="A383" s="2"/>
      <c r="B383" s="2"/>
      <c r="C383" s="2"/>
      <c r="D383" s="2"/>
      <c r="E383" s="2"/>
      <c r="F383" s="2"/>
      <c r="G383" s="2"/>
      <c r="H383" s="2"/>
      <c r="I383" s="2"/>
    </row>
    <row r="384" spans="1:9">
      <c r="A384" s="2"/>
      <c r="B384" s="2"/>
      <c r="C384" s="2"/>
      <c r="D384" s="2"/>
      <c r="E384" s="2"/>
      <c r="F384" s="2"/>
      <c r="G384" s="2"/>
      <c r="H384" s="2"/>
      <c r="I384" s="2"/>
    </row>
    <row r="385" spans="1:9">
      <c r="A385" s="2"/>
      <c r="B385" s="2"/>
      <c r="C385" s="2"/>
      <c r="D385" s="2"/>
      <c r="E385" s="2"/>
      <c r="F385" s="2"/>
      <c r="G385" s="2"/>
      <c r="H385" s="2"/>
      <c r="I385" s="2"/>
    </row>
    <row r="386" spans="1:9">
      <c r="A386" s="2"/>
      <c r="B386" s="2"/>
      <c r="C386" s="2"/>
      <c r="D386" s="2"/>
      <c r="E386" s="2"/>
      <c r="F386" s="2"/>
      <c r="G386" s="2"/>
      <c r="H386" s="2"/>
      <c r="I386" s="2"/>
    </row>
    <row r="387" spans="1:9">
      <c r="A387" s="2"/>
      <c r="B387" s="2"/>
      <c r="C387" s="2"/>
      <c r="D387" s="2"/>
      <c r="E387" s="2"/>
      <c r="F387" s="2"/>
      <c r="G387" s="2"/>
      <c r="H387" s="2"/>
      <c r="I387" s="2"/>
    </row>
    <row r="388" spans="1:9">
      <c r="A388" s="2"/>
      <c r="B388" s="2"/>
      <c r="C388" s="2"/>
      <c r="D388" s="2"/>
      <c r="E388" s="2"/>
      <c r="F388" s="2"/>
      <c r="G388" s="2"/>
      <c r="H388" s="2"/>
      <c r="I388" s="2"/>
    </row>
    <row r="389" spans="1:9">
      <c r="A389" s="2"/>
      <c r="B389" s="2"/>
      <c r="C389" s="2"/>
      <c r="D389" s="2"/>
      <c r="E389" s="2"/>
      <c r="F389" s="2"/>
      <c r="G389" s="2"/>
      <c r="H389" s="2"/>
      <c r="I389" s="2"/>
    </row>
    <row r="390" spans="1:9">
      <c r="A390" s="2"/>
      <c r="B390" s="2"/>
      <c r="C390" s="2"/>
      <c r="D390" s="2"/>
      <c r="E390" s="2"/>
      <c r="F390" s="2"/>
      <c r="G390" s="2"/>
      <c r="H390" s="2"/>
      <c r="I390" s="2"/>
    </row>
    <row r="391" spans="1:9">
      <c r="A391" s="2"/>
      <c r="B391" s="2"/>
      <c r="C391" s="2"/>
      <c r="D391" s="2"/>
      <c r="E391" s="2"/>
      <c r="F391" s="2"/>
      <c r="G391" s="2"/>
      <c r="H391" s="2"/>
      <c r="I391" s="2"/>
    </row>
    <row r="392" spans="1:9">
      <c r="A392" s="2"/>
      <c r="B392" s="2"/>
      <c r="C392" s="2"/>
      <c r="D392" s="2"/>
      <c r="E392" s="2"/>
      <c r="F392" s="2"/>
      <c r="G392" s="2"/>
      <c r="H392" s="2"/>
      <c r="I392" s="2"/>
    </row>
    <row r="393" spans="1:9">
      <c r="A393" s="2"/>
      <c r="B393" s="2"/>
      <c r="C393" s="2"/>
      <c r="D393" s="2"/>
      <c r="E393" s="2"/>
      <c r="F393" s="2"/>
      <c r="G393" s="2"/>
      <c r="H393" s="2"/>
      <c r="I393" s="2"/>
    </row>
    <row r="394" spans="1:9">
      <c r="A394" s="2"/>
      <c r="B394" s="2"/>
      <c r="C394" s="2"/>
      <c r="D394" s="2"/>
      <c r="E394" s="2"/>
      <c r="F394" s="2"/>
      <c r="G394" s="2"/>
      <c r="H394" s="2"/>
      <c r="I394" s="2"/>
    </row>
    <row r="395" spans="1:9">
      <c r="A395" s="2"/>
      <c r="B395" s="2"/>
      <c r="C395" s="2"/>
      <c r="D395" s="2"/>
      <c r="E395" s="2"/>
      <c r="F395" s="2"/>
      <c r="G395" s="2"/>
      <c r="H395" s="2"/>
      <c r="I395" s="2"/>
    </row>
    <row r="396" spans="1:9">
      <c r="A396" s="2"/>
      <c r="B396" s="2"/>
      <c r="C396" s="2"/>
      <c r="D396" s="2"/>
      <c r="E396" s="2"/>
      <c r="F396" s="2"/>
      <c r="G396" s="2"/>
      <c r="H396" s="2"/>
      <c r="I396" s="2"/>
    </row>
    <row r="397" spans="1:9">
      <c r="A397" s="2"/>
      <c r="B397" s="2"/>
      <c r="C397" s="2"/>
      <c r="D397" s="2"/>
      <c r="E397" s="2"/>
      <c r="F397" s="2"/>
      <c r="G397" s="2"/>
      <c r="H397" s="2"/>
      <c r="I397" s="2"/>
    </row>
    <row r="398" spans="1:9">
      <c r="A398" s="2"/>
      <c r="B398" s="2"/>
      <c r="C398" s="2"/>
      <c r="D398" s="2"/>
      <c r="E398" s="2"/>
      <c r="F398" s="2"/>
      <c r="G398" s="2"/>
      <c r="H398" s="2"/>
      <c r="I398" s="2"/>
    </row>
    <row r="399" spans="1:9">
      <c r="A399" s="2"/>
      <c r="B399" s="2"/>
      <c r="C399" s="2"/>
      <c r="D399" s="2"/>
      <c r="E399" s="2"/>
      <c r="F399" s="2"/>
      <c r="G399" s="2"/>
      <c r="H399" s="2"/>
      <c r="I399" s="2"/>
    </row>
    <row r="400" spans="1:9">
      <c r="A400" s="2"/>
      <c r="B400" s="2"/>
      <c r="C400" s="2"/>
      <c r="D400" s="2"/>
      <c r="E400" s="2"/>
      <c r="F400" s="2"/>
      <c r="G400" s="2"/>
      <c r="H400" s="2"/>
      <c r="I400" s="2"/>
    </row>
    <row r="401" spans="1:9">
      <c r="A401" s="2"/>
      <c r="B401" s="2"/>
      <c r="C401" s="2"/>
      <c r="D401" s="2"/>
      <c r="E401" s="2"/>
      <c r="F401" s="2"/>
      <c r="G401" s="2"/>
      <c r="H401" s="2"/>
      <c r="I401" s="2"/>
    </row>
    <row r="402" spans="1:9">
      <c r="A402" s="2"/>
      <c r="B402" s="2"/>
      <c r="C402" s="2"/>
      <c r="D402" s="2"/>
      <c r="E402" s="2"/>
      <c r="F402" s="2"/>
      <c r="G402" s="2"/>
      <c r="H402" s="2"/>
      <c r="I402" s="2"/>
    </row>
    <row r="403" spans="1:9">
      <c r="A403" s="2"/>
      <c r="B403" s="2"/>
      <c r="C403" s="2"/>
      <c r="D403" s="2"/>
      <c r="E403" s="2"/>
      <c r="F403" s="2"/>
      <c r="G403" s="2"/>
      <c r="H403" s="2"/>
      <c r="I403" s="2"/>
    </row>
    <row r="404" spans="1:9">
      <c r="A404" s="2"/>
      <c r="B404" s="2"/>
      <c r="C404" s="2"/>
      <c r="D404" s="2"/>
      <c r="E404" s="2"/>
      <c r="F404" s="2"/>
      <c r="G404" s="2"/>
      <c r="H404" s="2"/>
      <c r="I404" s="2"/>
    </row>
    <row r="405" spans="1:9">
      <c r="A405" s="2"/>
      <c r="B405" s="2"/>
      <c r="C405" s="2"/>
      <c r="D405" s="2"/>
      <c r="E405" s="2"/>
      <c r="F405" s="2"/>
      <c r="G405" s="2"/>
      <c r="H405" s="2"/>
      <c r="I405" s="2"/>
    </row>
    <row r="406" spans="1:9">
      <c r="A406" s="2"/>
      <c r="B406" s="2"/>
      <c r="C406" s="2"/>
      <c r="D406" s="2"/>
      <c r="E406" s="2"/>
      <c r="F406" s="2"/>
      <c r="G406" s="2"/>
      <c r="H406" s="2"/>
      <c r="I406" s="2"/>
    </row>
    <row r="407" spans="1:9">
      <c r="A407" s="2"/>
      <c r="B407" s="2"/>
      <c r="C407" s="2"/>
      <c r="D407" s="2"/>
      <c r="E407" s="2"/>
      <c r="F407" s="2"/>
      <c r="G407" s="2"/>
      <c r="H407" s="2"/>
      <c r="I407" s="2"/>
    </row>
    <row r="408" spans="1:9">
      <c r="A408" s="2"/>
      <c r="B408" s="2"/>
      <c r="C408" s="2"/>
      <c r="D408" s="2"/>
      <c r="E408" s="2"/>
      <c r="F408" s="2"/>
      <c r="G408" s="2"/>
      <c r="H408" s="2"/>
      <c r="I408" s="2"/>
    </row>
    <row r="409" spans="1:9">
      <c r="A409" s="2"/>
      <c r="B409" s="2"/>
      <c r="C409" s="2"/>
      <c r="D409" s="2"/>
      <c r="E409" s="2"/>
      <c r="F409" s="2"/>
      <c r="G409" s="2"/>
      <c r="H409" s="2"/>
      <c r="I409" s="2"/>
    </row>
    <row r="410" spans="1:9">
      <c r="A410" s="2"/>
      <c r="B410" s="2"/>
      <c r="C410" s="2"/>
      <c r="D410" s="2"/>
      <c r="E410" s="2"/>
      <c r="F410" s="2"/>
      <c r="G410" s="2"/>
      <c r="H410" s="2"/>
      <c r="I410" s="2"/>
    </row>
    <row r="411" spans="1:9">
      <c r="A411" s="2"/>
      <c r="B411" s="2"/>
      <c r="C411" s="2"/>
      <c r="D411" s="2"/>
      <c r="E411" s="2"/>
      <c r="F411" s="2"/>
      <c r="G411" s="2"/>
      <c r="H411" s="2"/>
      <c r="I411" s="2"/>
    </row>
    <row r="412" spans="1:9">
      <c r="A412" s="2"/>
      <c r="B412" s="2"/>
      <c r="C412" s="2"/>
      <c r="D412" s="2"/>
      <c r="E412" s="2"/>
      <c r="F412" s="2"/>
      <c r="G412" s="2"/>
      <c r="H412" s="2"/>
      <c r="I412" s="2"/>
    </row>
    <row r="413" spans="1:9">
      <c r="A413" s="2"/>
      <c r="B413" s="2"/>
      <c r="C413" s="2"/>
      <c r="D413" s="2"/>
      <c r="E413" s="2"/>
      <c r="F413" s="2"/>
      <c r="G413" s="2"/>
      <c r="H413" s="2"/>
      <c r="I413" s="2"/>
    </row>
    <row r="414" spans="1:9">
      <c r="A414" s="2"/>
      <c r="B414" s="2"/>
      <c r="C414" s="2"/>
      <c r="D414" s="2"/>
      <c r="E414" s="2"/>
      <c r="F414" s="2"/>
      <c r="G414" s="2"/>
      <c r="H414" s="2"/>
      <c r="I414" s="2"/>
    </row>
    <row r="415" spans="1:9">
      <c r="A415" s="2"/>
      <c r="B415" s="2"/>
      <c r="C415" s="2"/>
      <c r="D415" s="2"/>
      <c r="E415" s="2"/>
      <c r="F415" s="2"/>
      <c r="G415" s="2"/>
      <c r="H415" s="2"/>
      <c r="I415" s="2"/>
    </row>
    <row r="416" spans="1:9">
      <c r="A416" s="2"/>
      <c r="B416" s="2"/>
      <c r="C416" s="2"/>
      <c r="D416" s="2"/>
      <c r="E416" s="2"/>
      <c r="F416" s="2"/>
      <c r="G416" s="2"/>
      <c r="H416" s="2"/>
      <c r="I416" s="2"/>
    </row>
    <row r="417" spans="1:9">
      <c r="A417" s="2"/>
      <c r="B417" s="2"/>
      <c r="C417" s="2"/>
      <c r="D417" s="2"/>
      <c r="E417" s="2"/>
      <c r="F417" s="2"/>
      <c r="G417" s="2"/>
      <c r="H417" s="2"/>
      <c r="I417" s="2"/>
    </row>
    <row r="418" spans="1:9">
      <c r="A418" s="2"/>
      <c r="B418" s="2"/>
      <c r="C418" s="2"/>
      <c r="D418" s="2"/>
      <c r="E418" s="2"/>
      <c r="F418" s="2"/>
      <c r="G418" s="2"/>
      <c r="H418" s="2"/>
      <c r="I418" s="2"/>
    </row>
    <row r="419" spans="1:9">
      <c r="A419" s="2"/>
      <c r="B419" s="2"/>
      <c r="C419" s="2"/>
      <c r="D419" s="2"/>
      <c r="E419" s="2"/>
      <c r="F419" s="2"/>
      <c r="G419" s="2"/>
      <c r="H419" s="2"/>
      <c r="I419" s="2"/>
    </row>
    <row r="420" spans="1:9">
      <c r="A420" s="2"/>
      <c r="B420" s="2"/>
      <c r="C420" s="2"/>
      <c r="D420" s="2"/>
      <c r="E420" s="2"/>
      <c r="F420" s="2"/>
      <c r="G420" s="2"/>
      <c r="H420" s="2"/>
      <c r="I420" s="2"/>
    </row>
    <row r="421" spans="1:9">
      <c r="A421" s="2"/>
      <c r="B421" s="2"/>
      <c r="C421" s="2"/>
      <c r="D421" s="2"/>
      <c r="E421" s="2"/>
      <c r="F421" s="2"/>
      <c r="G421" s="2"/>
      <c r="H421" s="2"/>
      <c r="I421" s="2"/>
    </row>
    <row r="422" spans="1:9">
      <c r="A422" s="2"/>
      <c r="B422" s="2"/>
      <c r="C422" s="2"/>
      <c r="D422" s="2"/>
      <c r="E422" s="2"/>
      <c r="F422" s="2"/>
      <c r="G422" s="2"/>
      <c r="H422" s="2"/>
      <c r="I422" s="2"/>
    </row>
    <row r="423" spans="1:9">
      <c r="A423" s="2"/>
      <c r="B423" s="2"/>
      <c r="C423" s="2"/>
      <c r="D423" s="2"/>
      <c r="E423" s="2"/>
      <c r="F423" s="2"/>
      <c r="G423" s="2"/>
      <c r="H423" s="2"/>
      <c r="I423" s="2"/>
    </row>
    <row r="424" spans="1:9">
      <c r="A424" s="2"/>
      <c r="B424" s="2"/>
      <c r="C424" s="2"/>
      <c r="D424" s="2"/>
      <c r="E424" s="2"/>
      <c r="F424" s="2"/>
      <c r="G424" s="2"/>
      <c r="H424" s="2"/>
      <c r="I424" s="2"/>
    </row>
    <row r="425" spans="1:9">
      <c r="A425" s="2"/>
      <c r="B425" s="2"/>
      <c r="C425" s="2"/>
      <c r="D425" s="2"/>
      <c r="E425" s="2"/>
      <c r="F425" s="2"/>
      <c r="G425" s="2"/>
      <c r="H425" s="2"/>
      <c r="I425" s="2"/>
    </row>
    <row r="426" spans="1:9">
      <c r="A426" s="2"/>
      <c r="B426" s="2"/>
      <c r="C426" s="2"/>
      <c r="D426" s="2"/>
      <c r="E426" s="2"/>
      <c r="F426" s="2"/>
      <c r="G426" s="2"/>
      <c r="H426" s="2"/>
      <c r="I426" s="2"/>
    </row>
    <row r="427" spans="1:9">
      <c r="A427" s="2"/>
      <c r="B427" s="2"/>
      <c r="C427" s="2"/>
      <c r="D427" s="2"/>
      <c r="E427" s="2"/>
      <c r="F427" s="2"/>
      <c r="G427" s="2"/>
      <c r="H427" s="2"/>
      <c r="I427" s="2"/>
    </row>
    <row r="428" spans="1:9">
      <c r="A428" s="2"/>
      <c r="B428" s="2"/>
      <c r="C428" s="2"/>
      <c r="D428" s="2"/>
      <c r="E428" s="2"/>
      <c r="F428" s="2"/>
      <c r="G428" s="2"/>
      <c r="H428" s="2"/>
      <c r="I428" s="2"/>
    </row>
    <row r="429" spans="1:9">
      <c r="A429" s="2"/>
      <c r="B429" s="2"/>
      <c r="C429" s="2"/>
      <c r="D429" s="2"/>
      <c r="E429" s="2"/>
      <c r="F429" s="2"/>
      <c r="G429" s="2"/>
      <c r="H429" s="2"/>
      <c r="I429" s="2"/>
    </row>
    <row r="430" spans="1:9">
      <c r="A430" s="2"/>
      <c r="B430" s="2"/>
      <c r="C430" s="2"/>
      <c r="D430" s="2"/>
      <c r="E430" s="2"/>
      <c r="F430" s="2"/>
      <c r="G430" s="2"/>
      <c r="H430" s="2"/>
      <c r="I430" s="2"/>
    </row>
    <row r="431" spans="1:9">
      <c r="A431" s="2"/>
      <c r="B431" s="2"/>
      <c r="C431" s="2"/>
      <c r="D431" s="2"/>
      <c r="E431" s="2"/>
      <c r="F431" s="2"/>
      <c r="G431" s="2"/>
      <c r="H431" s="2"/>
      <c r="I431" s="2"/>
    </row>
    <row r="432" spans="1:9">
      <c r="A432" s="2"/>
      <c r="B432" s="2"/>
      <c r="C432" s="2"/>
      <c r="D432" s="2"/>
      <c r="E432" s="2"/>
      <c r="F432" s="2"/>
      <c r="G432" s="2"/>
      <c r="H432" s="2"/>
      <c r="I432" s="2"/>
    </row>
    <row r="433" spans="1:9">
      <c r="A433" s="2"/>
      <c r="B433" s="2"/>
      <c r="C433" s="2"/>
      <c r="D433" s="2"/>
      <c r="E433" s="2"/>
      <c r="F433" s="2"/>
      <c r="G433" s="2"/>
      <c r="H433" s="2"/>
      <c r="I433" s="2"/>
    </row>
    <row r="434" spans="1:9">
      <c r="A434" s="2"/>
      <c r="B434" s="2"/>
      <c r="C434" s="2"/>
      <c r="D434" s="2"/>
      <c r="E434" s="2"/>
      <c r="F434" s="2"/>
      <c r="G434" s="2"/>
      <c r="H434" s="2"/>
      <c r="I434" s="2"/>
    </row>
    <row r="435" spans="1:9">
      <c r="A435" s="2"/>
      <c r="B435" s="2"/>
      <c r="C435" s="2"/>
      <c r="D435" s="2"/>
      <c r="E435" s="2"/>
      <c r="F435" s="2"/>
      <c r="G435" s="2"/>
      <c r="H435" s="2"/>
      <c r="I435" s="2"/>
    </row>
    <row r="436" spans="1:9">
      <c r="A436" s="2"/>
      <c r="B436" s="2"/>
      <c r="C436" s="2"/>
      <c r="D436" s="2"/>
      <c r="E436" s="2"/>
      <c r="F436" s="2"/>
      <c r="G436" s="2"/>
      <c r="H436" s="2"/>
      <c r="I436" s="2"/>
    </row>
    <row r="437" spans="1:9">
      <c r="A437" s="2"/>
      <c r="B437" s="2"/>
      <c r="C437" s="2"/>
      <c r="D437" s="2"/>
      <c r="E437" s="2"/>
      <c r="F437" s="2"/>
      <c r="G437" s="2"/>
      <c r="H437" s="2"/>
      <c r="I437" s="2"/>
    </row>
    <row r="438" spans="1:9">
      <c r="A438" s="2"/>
      <c r="B438" s="2"/>
      <c r="C438" s="2"/>
      <c r="D438" s="2"/>
      <c r="E438" s="2"/>
      <c r="F438" s="2"/>
      <c r="G438" s="2"/>
      <c r="H438" s="2"/>
      <c r="I438" s="2"/>
    </row>
    <row r="439" spans="1:9">
      <c r="A439" s="2"/>
      <c r="B439" s="2"/>
      <c r="C439" s="2"/>
      <c r="D439" s="2"/>
      <c r="E439" s="2"/>
      <c r="F439" s="2"/>
      <c r="G439" s="2"/>
      <c r="H439" s="2"/>
      <c r="I439" s="2"/>
    </row>
    <row r="440" spans="1:9">
      <c r="A440" s="2"/>
      <c r="B440" s="2"/>
      <c r="C440" s="2"/>
      <c r="D440" s="2"/>
      <c r="E440" s="2"/>
      <c r="F440" s="2"/>
      <c r="G440" s="2"/>
      <c r="H440" s="2"/>
      <c r="I440" s="2"/>
    </row>
    <row r="441" spans="1:9">
      <c r="A441" s="2"/>
      <c r="B441" s="2"/>
      <c r="C441" s="2"/>
      <c r="D441" s="2"/>
      <c r="E441" s="2"/>
      <c r="F441" s="2"/>
      <c r="G441" s="2"/>
      <c r="H441" s="2"/>
      <c r="I441" s="2"/>
    </row>
    <row r="442" spans="1:9">
      <c r="A442" s="2"/>
      <c r="B442" s="2"/>
      <c r="C442" s="2"/>
      <c r="D442" s="2"/>
      <c r="E442" s="2"/>
      <c r="F442" s="2"/>
      <c r="G442" s="2"/>
      <c r="H442" s="2"/>
      <c r="I442" s="2"/>
    </row>
    <row r="443" spans="1:9">
      <c r="A443" s="2"/>
      <c r="B443" s="2"/>
      <c r="C443" s="2"/>
      <c r="D443" s="2"/>
      <c r="E443" s="2"/>
      <c r="F443" s="2"/>
      <c r="G443" s="2"/>
      <c r="H443" s="2"/>
      <c r="I443" s="2"/>
    </row>
    <row r="444" spans="1:9">
      <c r="A444" s="2"/>
      <c r="B444" s="2"/>
      <c r="C444" s="2"/>
      <c r="D444" s="2"/>
      <c r="E444" s="2"/>
      <c r="F444" s="2"/>
      <c r="G444" s="2"/>
      <c r="H444" s="2"/>
      <c r="I444" s="2"/>
    </row>
    <row r="445" spans="1:9">
      <c r="A445" s="2"/>
      <c r="B445" s="2"/>
      <c r="C445" s="2"/>
      <c r="D445" s="2"/>
      <c r="E445" s="2"/>
      <c r="F445" s="2"/>
      <c r="G445" s="2"/>
      <c r="H445" s="2"/>
      <c r="I445" s="2"/>
    </row>
    <row r="446" spans="1:9">
      <c r="A446" s="2"/>
      <c r="B446" s="2"/>
      <c r="C446" s="2"/>
      <c r="D446" s="2"/>
      <c r="E446" s="2"/>
      <c r="F446" s="2"/>
      <c r="G446" s="2"/>
      <c r="H446" s="2"/>
      <c r="I446" s="2"/>
    </row>
    <row r="447" spans="1:9">
      <c r="A447" s="2"/>
      <c r="B447" s="2"/>
      <c r="C447" s="2"/>
      <c r="D447" s="2"/>
      <c r="E447" s="2"/>
      <c r="F447" s="2"/>
      <c r="G447" s="2"/>
      <c r="H447" s="2"/>
      <c r="I447" s="2"/>
    </row>
    <row r="448" spans="1:9">
      <c r="A448" s="2"/>
      <c r="B448" s="2"/>
      <c r="C448" s="2"/>
      <c r="D448" s="2"/>
      <c r="E448" s="2"/>
      <c r="F448" s="2"/>
      <c r="G448" s="2"/>
      <c r="H448" s="2"/>
      <c r="I448" s="2"/>
    </row>
    <row r="449" spans="1:9">
      <c r="A449" s="2"/>
      <c r="B449" s="2"/>
      <c r="C449" s="2"/>
      <c r="D449" s="2"/>
      <c r="E449" s="2"/>
      <c r="F449" s="2"/>
      <c r="G449" s="2"/>
      <c r="H449" s="2"/>
      <c r="I449" s="2"/>
    </row>
    <row r="450" spans="1:9">
      <c r="A450" s="2"/>
      <c r="B450" s="2"/>
      <c r="C450" s="2"/>
      <c r="D450" s="2"/>
      <c r="E450" s="2"/>
      <c r="F450" s="2"/>
      <c r="G450" s="2"/>
      <c r="H450" s="2"/>
      <c r="I450" s="2"/>
    </row>
    <row r="451" spans="1:9">
      <c r="A451" s="2"/>
      <c r="B451" s="2"/>
      <c r="C451" s="2"/>
      <c r="D451" s="2"/>
      <c r="E451" s="2"/>
      <c r="F451" s="2"/>
      <c r="G451" s="2"/>
      <c r="H451" s="2"/>
      <c r="I451" s="2"/>
    </row>
    <row r="452" spans="1:9">
      <c r="A452" s="2"/>
      <c r="B452" s="2"/>
      <c r="C452" s="2"/>
      <c r="D452" s="2"/>
      <c r="E452" s="2"/>
      <c r="F452" s="2"/>
      <c r="G452" s="2"/>
      <c r="H452" s="2"/>
      <c r="I452" s="2"/>
    </row>
    <row r="453" spans="1:9">
      <c r="A453" s="2"/>
      <c r="B453" s="2"/>
      <c r="C453" s="2"/>
      <c r="D453" s="2"/>
      <c r="E453" s="2"/>
      <c r="F453" s="2"/>
      <c r="G453" s="2"/>
      <c r="H453" s="2"/>
      <c r="I453" s="2"/>
    </row>
    <row r="454" spans="1:9">
      <c r="A454" s="2"/>
      <c r="B454" s="2"/>
      <c r="C454" s="2"/>
      <c r="D454" s="2"/>
      <c r="E454" s="2"/>
      <c r="F454" s="2"/>
      <c r="G454" s="2"/>
      <c r="H454" s="2"/>
      <c r="I454" s="2"/>
    </row>
    <row r="455" spans="1:9">
      <c r="A455" s="2"/>
      <c r="B455" s="2"/>
      <c r="C455" s="2"/>
      <c r="D455" s="2"/>
      <c r="E455" s="2"/>
      <c r="F455" s="2"/>
      <c r="G455" s="2"/>
      <c r="H455" s="2"/>
      <c r="I455" s="2"/>
    </row>
    <row r="456" spans="1:9">
      <c r="A456" s="2"/>
      <c r="B456" s="2"/>
      <c r="C456" s="2"/>
      <c r="D456" s="2"/>
      <c r="E456" s="2"/>
      <c r="F456" s="2"/>
      <c r="G456" s="2"/>
      <c r="H456" s="2"/>
      <c r="I456" s="2"/>
    </row>
    <row r="457" spans="1:9">
      <c r="A457" s="2"/>
      <c r="B457" s="2"/>
      <c r="C457" s="2"/>
      <c r="D457" s="2"/>
      <c r="E457" s="2"/>
      <c r="F457" s="2"/>
      <c r="G457" s="2"/>
      <c r="H457" s="2"/>
      <c r="I457" s="2"/>
    </row>
    <row r="458" spans="1:9">
      <c r="A458" s="2"/>
      <c r="B458" s="2"/>
      <c r="C458" s="2"/>
      <c r="D458" s="2"/>
      <c r="E458" s="2"/>
      <c r="F458" s="2"/>
      <c r="G458" s="2"/>
      <c r="H458" s="2"/>
      <c r="I458" s="2"/>
    </row>
    <row r="459" spans="1:9">
      <c r="A459" s="2"/>
      <c r="B459" s="2"/>
      <c r="C459" s="2"/>
      <c r="D459" s="2"/>
      <c r="E459" s="2"/>
      <c r="F459" s="2"/>
      <c r="G459" s="2"/>
      <c r="H459" s="2"/>
      <c r="I459" s="2"/>
    </row>
    <row r="460" spans="1:9">
      <c r="A460" s="2"/>
      <c r="B460" s="2"/>
      <c r="C460" s="2"/>
      <c r="D460" s="2"/>
      <c r="E460" s="2"/>
      <c r="F460" s="2"/>
      <c r="G460" s="2"/>
      <c r="H460" s="2"/>
      <c r="I460" s="2"/>
    </row>
    <row r="461" spans="1:9">
      <c r="A461" s="2"/>
      <c r="B461" s="2"/>
      <c r="C461" s="2"/>
      <c r="D461" s="2"/>
      <c r="E461" s="2"/>
      <c r="F461" s="2"/>
      <c r="G461" s="2"/>
      <c r="H461" s="2"/>
      <c r="I461" s="2"/>
    </row>
    <row r="462" spans="1:9">
      <c r="A462" s="2"/>
      <c r="B462" s="2"/>
      <c r="C462" s="2"/>
      <c r="D462" s="2"/>
      <c r="E462" s="2"/>
      <c r="F462" s="2"/>
      <c r="G462" s="2"/>
      <c r="H462" s="2"/>
      <c r="I462" s="2"/>
    </row>
    <row r="463" spans="1:9">
      <c r="A463" s="2"/>
      <c r="B463" s="2"/>
      <c r="C463" s="2"/>
      <c r="D463" s="2"/>
      <c r="E463" s="2"/>
      <c r="F463" s="2"/>
      <c r="G463" s="2"/>
      <c r="H463" s="2"/>
      <c r="I463" s="2"/>
    </row>
    <row r="464" spans="1:9">
      <c r="A464" s="2"/>
      <c r="B464" s="2"/>
      <c r="C464" s="2"/>
      <c r="D464" s="2"/>
      <c r="E464" s="2"/>
      <c r="F464" s="2"/>
      <c r="G464" s="2"/>
      <c r="H464" s="2"/>
      <c r="I464" s="2"/>
    </row>
    <row r="465" spans="1:9">
      <c r="A465" s="2"/>
      <c r="B465" s="2"/>
      <c r="C465" s="2"/>
      <c r="D465" s="2"/>
      <c r="E465" s="2"/>
      <c r="F465" s="2"/>
      <c r="G465" s="2"/>
      <c r="H465" s="2"/>
      <c r="I465" s="2"/>
    </row>
    <row r="466" spans="1:9">
      <c r="A466" s="2"/>
      <c r="B466" s="2"/>
      <c r="C466" s="2"/>
      <c r="D466" s="2"/>
      <c r="E466" s="2"/>
      <c r="F466" s="2"/>
      <c r="G466" s="2"/>
      <c r="H466" s="2"/>
      <c r="I466" s="2"/>
    </row>
    <row r="467" spans="1:9">
      <c r="A467" s="2"/>
      <c r="B467" s="2"/>
      <c r="C467" s="2"/>
      <c r="D467" s="2"/>
      <c r="E467" s="2"/>
      <c r="F467" s="2"/>
      <c r="G467" s="2"/>
      <c r="H467" s="2"/>
      <c r="I467" s="2"/>
    </row>
    <row r="468" spans="1:9">
      <c r="A468" s="2"/>
      <c r="B468" s="2"/>
      <c r="C468" s="2"/>
      <c r="D468" s="2"/>
      <c r="E468" s="2"/>
      <c r="F468" s="2"/>
      <c r="G468" s="2"/>
      <c r="H468" s="2"/>
      <c r="I468" s="2"/>
    </row>
    <row r="469" spans="1:9">
      <c r="A469" s="2"/>
      <c r="B469" s="2"/>
      <c r="C469" s="2"/>
      <c r="D469" s="2"/>
      <c r="E469" s="2"/>
      <c r="F469" s="2"/>
      <c r="G469" s="2"/>
      <c r="H469" s="2"/>
      <c r="I469" s="2"/>
    </row>
    <row r="470" spans="1:9">
      <c r="A470" s="2"/>
      <c r="B470" s="2"/>
      <c r="C470" s="2"/>
      <c r="D470" s="2"/>
      <c r="E470" s="2"/>
      <c r="F470" s="2"/>
      <c r="G470" s="2"/>
      <c r="H470" s="2"/>
      <c r="I470" s="2"/>
    </row>
    <row r="471" spans="1:9">
      <c r="A471" s="2"/>
      <c r="B471" s="2"/>
      <c r="C471" s="2"/>
      <c r="D471" s="2"/>
      <c r="E471" s="2"/>
      <c r="F471" s="2"/>
      <c r="G471" s="2"/>
      <c r="H471" s="2"/>
      <c r="I471" s="2"/>
    </row>
    <row r="472" spans="1:9">
      <c r="A472" s="2"/>
      <c r="B472" s="2"/>
      <c r="C472" s="2"/>
      <c r="D472" s="2"/>
      <c r="E472" s="2"/>
      <c r="F472" s="2"/>
      <c r="G472" s="2"/>
      <c r="H472" s="2"/>
      <c r="I472" s="2"/>
    </row>
    <row r="473" spans="1:9">
      <c r="A473" s="2"/>
      <c r="B473" s="2"/>
      <c r="C473" s="2"/>
      <c r="D473" s="2"/>
      <c r="E473" s="2"/>
      <c r="F473" s="2"/>
      <c r="G473" s="2"/>
      <c r="H473" s="2"/>
      <c r="I473" s="2"/>
    </row>
    <row r="474" spans="1:9">
      <c r="A474" s="2"/>
      <c r="B474" s="2"/>
      <c r="C474" s="2"/>
      <c r="D474" s="2"/>
      <c r="E474" s="2"/>
      <c r="F474" s="2"/>
      <c r="G474" s="2"/>
      <c r="H474" s="2"/>
      <c r="I474" s="2"/>
    </row>
    <row r="475" spans="1:9">
      <c r="A475" s="2"/>
      <c r="B475" s="2"/>
      <c r="C475" s="2"/>
      <c r="D475" s="2"/>
      <c r="E475" s="2"/>
      <c r="F475" s="2"/>
      <c r="G475" s="2"/>
      <c r="H475" s="2"/>
      <c r="I475" s="2"/>
    </row>
    <row r="476" spans="1:9">
      <c r="A476" s="2"/>
      <c r="B476" s="2"/>
      <c r="C476" s="2"/>
      <c r="D476" s="2"/>
      <c r="E476" s="2"/>
      <c r="F476" s="2"/>
      <c r="G476" s="2"/>
      <c r="H476" s="2"/>
      <c r="I476" s="2"/>
    </row>
    <row r="477" spans="1:9">
      <c r="A477" s="2"/>
      <c r="B477" s="2"/>
      <c r="C477" s="2"/>
      <c r="D477" s="2"/>
      <c r="E477" s="2"/>
      <c r="F477" s="2"/>
      <c r="G477" s="2"/>
      <c r="H477" s="2"/>
      <c r="I477" s="2"/>
    </row>
    <row r="478" spans="1:9">
      <c r="A478" s="2"/>
      <c r="B478" s="2"/>
      <c r="C478" s="2"/>
      <c r="D478" s="2"/>
      <c r="E478" s="2"/>
      <c r="F478" s="2"/>
      <c r="G478" s="2"/>
      <c r="H478" s="2"/>
      <c r="I478" s="2"/>
    </row>
    <row r="479" spans="1:9">
      <c r="A479" s="2"/>
      <c r="B479" s="2"/>
      <c r="C479" s="2"/>
      <c r="D479" s="2"/>
      <c r="E479" s="2"/>
      <c r="F479" s="2"/>
      <c r="G479" s="2"/>
      <c r="H479" s="2"/>
      <c r="I479" s="2"/>
    </row>
    <row r="480" spans="1:9">
      <c r="A480" s="2"/>
      <c r="B480" s="2"/>
      <c r="C480" s="2"/>
      <c r="D480" s="2"/>
      <c r="E480" s="2"/>
      <c r="F480" s="2"/>
      <c r="G480" s="2"/>
      <c r="H480" s="2"/>
      <c r="I480" s="2"/>
    </row>
    <row r="481" spans="1:9">
      <c r="A481" s="2"/>
      <c r="B481" s="2"/>
      <c r="C481" s="2"/>
      <c r="D481" s="2"/>
      <c r="E481" s="2"/>
      <c r="F481" s="2"/>
      <c r="G481" s="2"/>
      <c r="H481" s="2"/>
      <c r="I481" s="2"/>
    </row>
    <row r="482" spans="1:9">
      <c r="A482" s="2"/>
      <c r="B482" s="2"/>
      <c r="C482" s="2"/>
      <c r="D482" s="2"/>
      <c r="E482" s="2"/>
      <c r="F482" s="2"/>
      <c r="G482" s="2"/>
      <c r="H482" s="2"/>
      <c r="I482" s="2"/>
    </row>
    <row r="483" spans="1:9">
      <c r="A483" s="2"/>
      <c r="B483" s="2"/>
      <c r="C483" s="2"/>
      <c r="D483" s="2"/>
      <c r="E483" s="2"/>
      <c r="F483" s="2"/>
      <c r="G483" s="2"/>
      <c r="H483" s="2"/>
      <c r="I483" s="2"/>
    </row>
    <row r="484" spans="1:9">
      <c r="A484" s="2"/>
      <c r="B484" s="2"/>
      <c r="C484" s="2"/>
      <c r="D484" s="2"/>
      <c r="E484" s="2"/>
      <c r="F484" s="2"/>
      <c r="G484" s="2"/>
      <c r="H484" s="2"/>
      <c r="I484" s="2"/>
    </row>
    <row r="485" spans="1:9">
      <c r="A485" s="2"/>
      <c r="B485" s="2"/>
      <c r="C485" s="2"/>
      <c r="D485" s="2"/>
      <c r="E485" s="2"/>
      <c r="F485" s="2"/>
      <c r="G485" s="2"/>
      <c r="H485" s="2"/>
      <c r="I485" s="2"/>
    </row>
    <row r="486" spans="1:9">
      <c r="A486" s="2"/>
      <c r="B486" s="2"/>
      <c r="C486" s="2"/>
      <c r="D486" s="2"/>
      <c r="E486" s="2"/>
      <c r="F486" s="2"/>
      <c r="G486" s="2"/>
      <c r="H486" s="2"/>
      <c r="I486" s="2"/>
    </row>
    <row r="487" spans="1:9">
      <c r="A487" s="2"/>
      <c r="B487" s="2"/>
      <c r="C487" s="2"/>
      <c r="D487" s="2"/>
      <c r="E487" s="2"/>
      <c r="F487" s="2"/>
      <c r="G487" s="2"/>
      <c r="H487" s="2"/>
      <c r="I487" s="2"/>
    </row>
    <row r="488" spans="1:9">
      <c r="A488" s="2"/>
      <c r="B488" s="2"/>
      <c r="C488" s="2"/>
      <c r="D488" s="2"/>
      <c r="E488" s="2"/>
      <c r="F488" s="2"/>
      <c r="G488" s="2"/>
      <c r="H488" s="2"/>
      <c r="I488" s="2"/>
    </row>
    <row r="489" spans="1:9">
      <c r="A489" s="2"/>
      <c r="B489" s="2"/>
      <c r="C489" s="2"/>
      <c r="D489" s="2"/>
      <c r="E489" s="2"/>
      <c r="F489" s="2"/>
      <c r="G489" s="2"/>
      <c r="H489" s="2"/>
      <c r="I489" s="2"/>
    </row>
    <row r="490" spans="1:9">
      <c r="A490" s="2"/>
      <c r="B490" s="2"/>
      <c r="C490" s="2"/>
      <c r="D490" s="2"/>
      <c r="E490" s="2"/>
      <c r="F490" s="2"/>
      <c r="G490" s="2"/>
      <c r="H490" s="2"/>
      <c r="I490" s="2"/>
    </row>
    <row r="491" spans="1:9">
      <c r="A491" s="2"/>
      <c r="B491" s="2"/>
      <c r="C491" s="2"/>
      <c r="D491" s="2"/>
      <c r="E491" s="2"/>
      <c r="F491" s="2"/>
      <c r="G491" s="2"/>
      <c r="H491" s="2"/>
      <c r="I491" s="2"/>
    </row>
    <row r="492" spans="1:9">
      <c r="A492" s="2"/>
      <c r="B492" s="2"/>
      <c r="C492" s="2"/>
      <c r="D492" s="2"/>
      <c r="E492" s="2"/>
      <c r="F492" s="2"/>
      <c r="G492" s="2"/>
      <c r="H492" s="2"/>
      <c r="I492" s="2"/>
    </row>
    <row r="493" spans="1:9">
      <c r="A493" s="2"/>
      <c r="B493" s="2"/>
      <c r="C493" s="2"/>
      <c r="D493" s="2"/>
      <c r="E493" s="2"/>
      <c r="F493" s="2"/>
      <c r="G493" s="2"/>
      <c r="H493" s="2"/>
      <c r="I493" s="2"/>
    </row>
    <row r="494" spans="1:9">
      <c r="A494" s="2"/>
      <c r="B494" s="2"/>
      <c r="C494" s="2"/>
      <c r="D494" s="2"/>
      <c r="E494" s="2"/>
      <c r="F494" s="2"/>
      <c r="G494" s="2"/>
      <c r="H494" s="2"/>
      <c r="I494" s="2"/>
    </row>
    <row r="495" spans="1:9">
      <c r="A495" s="2"/>
      <c r="B495" s="2"/>
      <c r="C495" s="2"/>
      <c r="D495" s="2"/>
      <c r="E495" s="2"/>
      <c r="F495" s="2"/>
      <c r="G495" s="2"/>
      <c r="H495" s="2"/>
      <c r="I495" s="2"/>
    </row>
    <row r="496" spans="1:9">
      <c r="A496" s="2"/>
      <c r="B496" s="2"/>
      <c r="C496" s="2"/>
      <c r="D496" s="2"/>
      <c r="E496" s="2"/>
      <c r="F496" s="2"/>
      <c r="G496" s="2"/>
      <c r="H496" s="2"/>
      <c r="I496" s="2"/>
    </row>
    <row r="497" spans="1:9">
      <c r="A497" s="2"/>
      <c r="B497" s="2"/>
      <c r="C497" s="2"/>
      <c r="D497" s="2"/>
      <c r="E497" s="2"/>
      <c r="F497" s="2"/>
      <c r="G497" s="2"/>
      <c r="H497" s="2"/>
      <c r="I497" s="2"/>
    </row>
    <row r="498" spans="1:9">
      <c r="A498" s="2"/>
      <c r="B498" s="2"/>
      <c r="C498" s="2"/>
      <c r="D498" s="2"/>
      <c r="E498" s="2"/>
      <c r="F498" s="2"/>
      <c r="G498" s="2"/>
      <c r="H498" s="2"/>
      <c r="I498" s="2"/>
    </row>
    <row r="499" spans="1:9">
      <c r="A499" s="2"/>
      <c r="B499" s="2"/>
      <c r="C499" s="2"/>
      <c r="D499" s="2"/>
      <c r="E499" s="2"/>
      <c r="F499" s="2"/>
      <c r="G499" s="2"/>
      <c r="H499" s="2"/>
      <c r="I499" s="2"/>
    </row>
    <row r="500" spans="1:9">
      <c r="A500" s="2"/>
      <c r="B500" s="2"/>
      <c r="C500" s="2"/>
      <c r="D500" s="2"/>
      <c r="E500" s="2"/>
      <c r="F500" s="2"/>
      <c r="G500" s="2"/>
      <c r="H500" s="2"/>
      <c r="I500" s="2"/>
    </row>
    <row r="501" spans="1:9">
      <c r="A501" s="2"/>
      <c r="B501" s="2"/>
      <c r="C501" s="2"/>
      <c r="D501" s="2"/>
      <c r="E501" s="2"/>
      <c r="F501" s="2"/>
      <c r="G501" s="2"/>
      <c r="H501" s="2"/>
      <c r="I501" s="2"/>
    </row>
    <row r="502" spans="1:9">
      <c r="A502" s="2"/>
      <c r="B502" s="2"/>
      <c r="C502" s="2"/>
      <c r="D502" s="2"/>
      <c r="E502" s="2"/>
      <c r="F502" s="2"/>
      <c r="G502" s="2"/>
      <c r="H502" s="2"/>
      <c r="I502" s="2"/>
    </row>
    <row r="503" spans="1:9">
      <c r="A503" s="2"/>
      <c r="B503" s="2"/>
      <c r="C503" s="2"/>
      <c r="D503" s="2"/>
      <c r="E503" s="2"/>
      <c r="F503" s="2"/>
      <c r="G503" s="2"/>
      <c r="H503" s="2"/>
      <c r="I503" s="2"/>
    </row>
    <row r="504" spans="1:9">
      <c r="A504" s="2"/>
      <c r="B504" s="2"/>
      <c r="C504" s="2"/>
      <c r="D504" s="2"/>
      <c r="E504" s="2"/>
      <c r="F504" s="2"/>
      <c r="G504" s="2"/>
      <c r="H504" s="2"/>
      <c r="I504" s="2"/>
    </row>
    <row r="505" spans="1:9">
      <c r="A505" s="2"/>
      <c r="B505" s="2"/>
      <c r="C505" s="2"/>
      <c r="D505" s="2"/>
      <c r="E505" s="2"/>
      <c r="F505" s="2"/>
      <c r="G505" s="2"/>
      <c r="H505" s="2"/>
      <c r="I505" s="2"/>
    </row>
    <row r="506" spans="1:9">
      <c r="A506" s="2"/>
      <c r="B506" s="2"/>
      <c r="C506" s="2"/>
      <c r="D506" s="2"/>
      <c r="E506" s="2"/>
      <c r="F506" s="2"/>
      <c r="G506" s="2"/>
      <c r="H506" s="2"/>
      <c r="I506" s="2"/>
    </row>
    <row r="507" spans="1:9">
      <c r="A507" s="2"/>
      <c r="B507" s="2"/>
      <c r="C507" s="2"/>
      <c r="D507" s="2"/>
      <c r="E507" s="2"/>
      <c r="F507" s="2"/>
      <c r="G507" s="2"/>
      <c r="H507" s="2"/>
      <c r="I507" s="2"/>
    </row>
    <row r="508" spans="1:9">
      <c r="A508" s="2"/>
      <c r="B508" s="2"/>
      <c r="C508" s="2"/>
      <c r="D508" s="2"/>
      <c r="E508" s="2"/>
      <c r="F508" s="2"/>
      <c r="G508" s="2"/>
      <c r="H508" s="2"/>
      <c r="I508" s="2"/>
    </row>
    <row r="509" spans="1:9">
      <c r="A509" s="2"/>
      <c r="B509" s="2"/>
      <c r="C509" s="2"/>
      <c r="D509" s="2"/>
      <c r="E509" s="2"/>
      <c r="F509" s="2"/>
      <c r="G509" s="2"/>
      <c r="H509" s="2"/>
      <c r="I509" s="2"/>
    </row>
    <row r="510" spans="1:9">
      <c r="A510" s="2"/>
      <c r="B510" s="2"/>
      <c r="C510" s="2"/>
      <c r="D510" s="2"/>
      <c r="E510" s="2"/>
      <c r="F510" s="2"/>
      <c r="G510" s="2"/>
      <c r="H510" s="2"/>
      <c r="I510" s="2"/>
    </row>
    <row r="511" spans="1:9">
      <c r="A511" s="2"/>
      <c r="B511" s="2"/>
      <c r="C511" s="2"/>
      <c r="D511" s="2"/>
      <c r="E511" s="2"/>
      <c r="F511" s="2"/>
      <c r="G511" s="2"/>
      <c r="H511" s="2"/>
      <c r="I511" s="2"/>
    </row>
    <row r="512" spans="1:9">
      <c r="A512" s="2"/>
      <c r="B512" s="2"/>
      <c r="C512" s="2"/>
      <c r="D512" s="2"/>
      <c r="E512" s="2"/>
      <c r="F512" s="2"/>
      <c r="G512" s="2"/>
      <c r="H512" s="2"/>
      <c r="I512" s="2"/>
    </row>
    <row r="513" spans="1:9">
      <c r="A513" s="2"/>
      <c r="B513" s="2"/>
      <c r="C513" s="2"/>
      <c r="D513" s="2"/>
      <c r="E513" s="2"/>
      <c r="F513" s="2"/>
      <c r="G513" s="2"/>
      <c r="H513" s="2"/>
      <c r="I513" s="2"/>
    </row>
    <row r="514" spans="1:9">
      <c r="A514" s="2"/>
      <c r="B514" s="2"/>
      <c r="C514" s="2"/>
      <c r="D514" s="2"/>
      <c r="E514" s="2"/>
      <c r="F514" s="2"/>
      <c r="G514" s="2"/>
      <c r="H514" s="2"/>
      <c r="I514" s="2"/>
    </row>
    <row r="515" spans="1:9">
      <c r="A515" s="2"/>
      <c r="B515" s="2"/>
      <c r="C515" s="2"/>
      <c r="D515" s="2"/>
      <c r="E515" s="2"/>
      <c r="F515" s="2"/>
      <c r="G515" s="2"/>
      <c r="H515" s="2"/>
      <c r="I515" s="2"/>
    </row>
    <row r="516" spans="1:9">
      <c r="A516" s="2"/>
      <c r="B516" s="2"/>
      <c r="C516" s="2"/>
      <c r="D516" s="2"/>
      <c r="E516" s="2"/>
      <c r="F516" s="2"/>
      <c r="G516" s="2"/>
      <c r="H516" s="2"/>
      <c r="I516" s="2"/>
    </row>
    <row r="517" spans="1:9">
      <c r="A517" s="2"/>
      <c r="B517" s="2"/>
      <c r="C517" s="2"/>
      <c r="D517" s="2"/>
      <c r="E517" s="2"/>
      <c r="F517" s="2"/>
      <c r="G517" s="2"/>
      <c r="H517" s="2"/>
      <c r="I517" s="2"/>
    </row>
    <row r="518" spans="1:9">
      <c r="A518" s="2"/>
      <c r="B518" s="2"/>
      <c r="C518" s="2"/>
      <c r="D518" s="2"/>
      <c r="E518" s="2"/>
      <c r="F518" s="2"/>
      <c r="G518" s="2"/>
      <c r="H518" s="2"/>
      <c r="I518" s="2"/>
    </row>
    <row r="519" spans="1:9">
      <c r="A519" s="2"/>
      <c r="B519" s="2"/>
      <c r="C519" s="2"/>
      <c r="D519" s="2"/>
      <c r="E519" s="2"/>
      <c r="F519" s="2"/>
      <c r="G519" s="2"/>
      <c r="H519" s="2"/>
      <c r="I519" s="2"/>
    </row>
    <row r="520" spans="1:9">
      <c r="A520" s="2"/>
      <c r="B520" s="2"/>
      <c r="C520" s="2"/>
      <c r="D520" s="2"/>
      <c r="E520" s="2"/>
      <c r="F520" s="2"/>
      <c r="G520" s="2"/>
      <c r="H520" s="2"/>
      <c r="I520" s="2"/>
    </row>
    <row r="521" spans="1:9">
      <c r="A521" s="2"/>
      <c r="B521" s="2"/>
      <c r="C521" s="2"/>
      <c r="D521" s="2"/>
      <c r="E521" s="2"/>
      <c r="F521" s="2"/>
      <c r="G521" s="2"/>
      <c r="H521" s="2"/>
      <c r="I521" s="2"/>
    </row>
    <row r="522" spans="1:9">
      <c r="A522" s="2"/>
      <c r="B522" s="2"/>
      <c r="C522" s="2"/>
      <c r="D522" s="2"/>
      <c r="E522" s="2"/>
      <c r="F522" s="2"/>
      <c r="G522" s="2"/>
      <c r="H522" s="2"/>
      <c r="I522" s="2"/>
    </row>
    <row r="523" spans="1:9">
      <c r="A523" s="2"/>
      <c r="B523" s="2"/>
      <c r="C523" s="2"/>
      <c r="D523" s="2"/>
      <c r="E523" s="2"/>
      <c r="F523" s="2"/>
      <c r="G523" s="2"/>
      <c r="H523" s="2"/>
      <c r="I523" s="2"/>
    </row>
    <row r="524" spans="1:9">
      <c r="A524" s="2"/>
      <c r="B524" s="2"/>
      <c r="C524" s="2"/>
      <c r="D524" s="2"/>
      <c r="E524" s="2"/>
      <c r="F524" s="2"/>
      <c r="G524" s="2"/>
      <c r="H524" s="2"/>
      <c r="I524" s="2"/>
    </row>
    <row r="525" spans="1:9">
      <c r="A525" s="2"/>
      <c r="B525" s="2"/>
      <c r="C525" s="2"/>
      <c r="D525" s="2"/>
      <c r="E525" s="2"/>
      <c r="F525" s="2"/>
      <c r="G525" s="2"/>
      <c r="H525" s="2"/>
      <c r="I525" s="2"/>
    </row>
    <row r="526" spans="1:9">
      <c r="A526" s="2"/>
      <c r="B526" s="2"/>
      <c r="C526" s="2"/>
      <c r="D526" s="2"/>
      <c r="E526" s="2"/>
      <c r="F526" s="2"/>
      <c r="G526" s="2"/>
      <c r="H526" s="2"/>
      <c r="I526" s="2"/>
    </row>
    <row r="527" spans="1:9">
      <c r="A527" s="2"/>
      <c r="B527" s="2"/>
      <c r="C527" s="2"/>
      <c r="D527" s="2"/>
      <c r="E527" s="2"/>
      <c r="F527" s="2"/>
      <c r="G527" s="2"/>
      <c r="H527" s="2"/>
      <c r="I527" s="2"/>
    </row>
    <row r="528" spans="1:9">
      <c r="A528" s="2"/>
      <c r="B528" s="2"/>
      <c r="C528" s="2"/>
      <c r="D528" s="2"/>
      <c r="E528" s="2"/>
      <c r="F528" s="2"/>
      <c r="G528" s="2"/>
      <c r="H528" s="2"/>
      <c r="I528" s="2"/>
    </row>
    <row r="529" spans="1:9">
      <c r="A529" s="2"/>
      <c r="B529" s="2"/>
      <c r="C529" s="2"/>
      <c r="D529" s="2"/>
      <c r="E529" s="2"/>
      <c r="F529" s="2"/>
      <c r="G529" s="2"/>
      <c r="H529" s="2"/>
      <c r="I529" s="2"/>
    </row>
    <row r="530" spans="1:9">
      <c r="A530" s="2"/>
      <c r="B530" s="2"/>
      <c r="C530" s="2"/>
      <c r="D530" s="2"/>
      <c r="E530" s="2"/>
      <c r="F530" s="2"/>
      <c r="G530" s="2"/>
      <c r="H530" s="2"/>
      <c r="I530" s="2"/>
    </row>
    <row r="531" spans="1:9">
      <c r="A531" s="2"/>
      <c r="B531" s="2"/>
      <c r="C531" s="2"/>
      <c r="D531" s="2"/>
      <c r="E531" s="2"/>
      <c r="F531" s="2"/>
      <c r="G531" s="2"/>
      <c r="H531" s="2"/>
      <c r="I531" s="2"/>
    </row>
    <row r="532" spans="1:9">
      <c r="A532" s="2"/>
      <c r="B532" s="2"/>
      <c r="C532" s="2"/>
      <c r="D532" s="2"/>
      <c r="E532" s="2"/>
      <c r="F532" s="2"/>
      <c r="G532" s="2"/>
      <c r="H532" s="2"/>
      <c r="I532" s="2"/>
    </row>
    <row r="533" spans="1:9">
      <c r="A533" s="2"/>
      <c r="B533" s="2"/>
      <c r="C533" s="2"/>
      <c r="D533" s="2"/>
      <c r="E533" s="2"/>
      <c r="F533" s="2"/>
      <c r="G533" s="2"/>
      <c r="H533" s="2"/>
      <c r="I533" s="2"/>
    </row>
    <row r="534" spans="1:9">
      <c r="A534" s="2"/>
      <c r="B534" s="2"/>
      <c r="C534" s="2"/>
      <c r="D534" s="2"/>
      <c r="E534" s="2"/>
      <c r="F534" s="2"/>
      <c r="G534" s="2"/>
      <c r="H534" s="2"/>
      <c r="I534" s="2"/>
    </row>
    <row r="535" spans="1:9">
      <c r="A535" s="2"/>
      <c r="B535" s="2"/>
      <c r="C535" s="2"/>
      <c r="D535" s="2"/>
      <c r="E535" s="2"/>
      <c r="F535" s="2"/>
      <c r="G535" s="2"/>
      <c r="H535" s="2"/>
      <c r="I535" s="2"/>
    </row>
    <row r="536" spans="1:9">
      <c r="A536" s="2"/>
      <c r="B536" s="2"/>
      <c r="C536" s="2"/>
      <c r="D536" s="2"/>
      <c r="E536" s="2"/>
      <c r="F536" s="2"/>
      <c r="G536" s="2"/>
      <c r="H536" s="2"/>
      <c r="I536" s="2"/>
    </row>
    <row r="537" spans="1:9">
      <c r="A537" s="2"/>
      <c r="B537" s="2"/>
      <c r="C537" s="2"/>
      <c r="D537" s="2"/>
      <c r="E537" s="2"/>
      <c r="F537" s="2"/>
      <c r="G537" s="2"/>
      <c r="H537" s="2"/>
      <c r="I537" s="2"/>
    </row>
    <row r="538" spans="1:9">
      <c r="A538" s="2"/>
      <c r="B538" s="2"/>
      <c r="C538" s="2"/>
      <c r="D538" s="2"/>
      <c r="E538" s="2"/>
      <c r="F538" s="2"/>
      <c r="G538" s="2"/>
      <c r="H538" s="2"/>
      <c r="I538" s="2"/>
    </row>
    <row r="539" spans="1:9">
      <c r="A539" s="2"/>
      <c r="B539" s="2"/>
      <c r="C539" s="2"/>
      <c r="D539" s="2"/>
      <c r="E539" s="2"/>
      <c r="F539" s="2"/>
      <c r="G539" s="2"/>
      <c r="H539" s="2"/>
      <c r="I539" s="2"/>
    </row>
    <row r="540" spans="1:9">
      <c r="A540" s="2"/>
      <c r="B540" s="2"/>
      <c r="C540" s="2"/>
      <c r="D540" s="2"/>
      <c r="E540" s="2"/>
      <c r="F540" s="2"/>
      <c r="G540" s="2"/>
      <c r="H540" s="2"/>
      <c r="I540" s="2"/>
    </row>
    <row r="541" spans="1:9">
      <c r="A541" s="2"/>
      <c r="B541" s="2"/>
      <c r="C541" s="2"/>
      <c r="D541" s="2"/>
      <c r="E541" s="2"/>
      <c r="F541" s="2"/>
      <c r="G541" s="2"/>
      <c r="H541" s="2"/>
      <c r="I541" s="2"/>
    </row>
    <row r="542" spans="1:9">
      <c r="A542" s="2"/>
      <c r="B542" s="2"/>
      <c r="C542" s="2"/>
      <c r="D542" s="2"/>
      <c r="E542" s="2"/>
      <c r="F542" s="2"/>
      <c r="G542" s="2"/>
      <c r="H542" s="2"/>
      <c r="I542" s="2"/>
    </row>
    <row r="543" spans="1:9">
      <c r="A543" s="2"/>
      <c r="B543" s="2"/>
      <c r="C543" s="2"/>
      <c r="D543" s="2"/>
      <c r="E543" s="2"/>
      <c r="F543" s="2"/>
      <c r="G543" s="2"/>
      <c r="H543" s="2"/>
      <c r="I543" s="2"/>
    </row>
    <row r="544" spans="1:9">
      <c r="A544" s="2"/>
      <c r="B544" s="2"/>
      <c r="C544" s="2"/>
      <c r="D544" s="2"/>
      <c r="E544" s="2"/>
      <c r="F544" s="2"/>
      <c r="G544" s="2"/>
      <c r="H544" s="2"/>
      <c r="I544" s="2"/>
    </row>
    <row r="545" spans="1:9">
      <c r="A545" s="2"/>
      <c r="B545" s="2"/>
      <c r="C545" s="2"/>
      <c r="D545" s="2"/>
      <c r="E545" s="2"/>
      <c r="F545" s="2"/>
      <c r="G545" s="2"/>
      <c r="H545" s="2"/>
      <c r="I545" s="2"/>
    </row>
    <row r="546" spans="1:9">
      <c r="A546" s="2"/>
      <c r="B546" s="2"/>
      <c r="C546" s="2"/>
      <c r="D546" s="2"/>
      <c r="E546" s="2"/>
      <c r="F546" s="2"/>
      <c r="G546" s="2"/>
      <c r="H546" s="2"/>
      <c r="I546" s="2"/>
    </row>
    <row r="547" spans="1:9">
      <c r="A547" s="2"/>
      <c r="B547" s="2"/>
      <c r="C547" s="2"/>
      <c r="D547" s="2"/>
      <c r="E547" s="2"/>
      <c r="F547" s="2"/>
      <c r="G547" s="2"/>
      <c r="H547" s="2"/>
      <c r="I547" s="2"/>
    </row>
    <row r="548" spans="1:9">
      <c r="A548" s="2"/>
      <c r="B548" s="2"/>
      <c r="C548" s="2"/>
      <c r="D548" s="2"/>
      <c r="E548" s="2"/>
      <c r="F548" s="2"/>
      <c r="G548" s="2"/>
      <c r="H548" s="2"/>
      <c r="I548" s="2"/>
    </row>
    <row r="549" spans="1:9">
      <c r="A549" s="2"/>
      <c r="B549" s="2"/>
      <c r="C549" s="2"/>
      <c r="D549" s="2"/>
      <c r="E549" s="2"/>
      <c r="F549" s="2"/>
      <c r="G549" s="2"/>
      <c r="H549" s="2"/>
      <c r="I549" s="2"/>
    </row>
    <row r="550" spans="1:9">
      <c r="A550" s="2"/>
      <c r="B550" s="2"/>
      <c r="C550" s="2"/>
      <c r="D550" s="2"/>
      <c r="E550" s="2"/>
      <c r="F550" s="2"/>
      <c r="G550" s="2"/>
      <c r="H550" s="2"/>
      <c r="I550" s="2"/>
    </row>
    <row r="551" spans="1:9">
      <c r="A551" s="2"/>
      <c r="B551" s="2"/>
      <c r="C551" s="2"/>
      <c r="D551" s="2"/>
      <c r="E551" s="2"/>
      <c r="F551" s="2"/>
      <c r="G551" s="2"/>
      <c r="H551" s="2"/>
      <c r="I551" s="2"/>
    </row>
    <row r="552" spans="1:9">
      <c r="A552" s="2"/>
      <c r="B552" s="2"/>
      <c r="C552" s="2"/>
      <c r="D552" s="2"/>
      <c r="E552" s="2"/>
      <c r="F552" s="2"/>
      <c r="G552" s="2"/>
      <c r="H552" s="2"/>
      <c r="I552" s="2"/>
    </row>
    <row r="553" spans="1:9">
      <c r="A553" s="2"/>
      <c r="B553" s="2"/>
      <c r="C553" s="2"/>
      <c r="D553" s="2"/>
      <c r="E553" s="2"/>
      <c r="F553" s="2"/>
      <c r="G553" s="2"/>
      <c r="H553" s="2"/>
      <c r="I553" s="2"/>
    </row>
    <row r="554" spans="1:9">
      <c r="A554" s="2"/>
      <c r="B554" s="2"/>
      <c r="C554" s="2"/>
      <c r="D554" s="2"/>
      <c r="E554" s="2"/>
      <c r="F554" s="2"/>
      <c r="G554" s="2"/>
      <c r="H554" s="2"/>
      <c r="I554" s="2"/>
    </row>
    <row r="555" spans="1:9">
      <c r="A555" s="2"/>
      <c r="B555" s="2"/>
      <c r="C555" s="2"/>
      <c r="D555" s="2"/>
      <c r="E555" s="2"/>
      <c r="F555" s="2"/>
      <c r="G555" s="2"/>
      <c r="H555" s="2"/>
      <c r="I555" s="2"/>
    </row>
    <row r="556" spans="1:9">
      <c r="A556" s="2"/>
      <c r="B556" s="2"/>
      <c r="C556" s="2"/>
      <c r="D556" s="2"/>
      <c r="E556" s="2"/>
      <c r="F556" s="2"/>
      <c r="G556" s="2"/>
      <c r="H556" s="2"/>
      <c r="I556" s="2"/>
    </row>
    <row r="557" spans="1:9">
      <c r="A557" s="2"/>
      <c r="B557" s="2"/>
      <c r="C557" s="2"/>
      <c r="D557" s="2"/>
      <c r="E557" s="2"/>
      <c r="F557" s="2"/>
      <c r="G557" s="2"/>
      <c r="H557" s="2"/>
      <c r="I557" s="2"/>
    </row>
    <row r="558" spans="1:9">
      <c r="A558" s="2"/>
      <c r="B558" s="2"/>
      <c r="C558" s="2"/>
      <c r="D558" s="2"/>
      <c r="E558" s="2"/>
      <c r="F558" s="2"/>
      <c r="G558" s="2"/>
      <c r="H558" s="2"/>
      <c r="I558" s="2"/>
    </row>
    <row r="559" spans="1:9">
      <c r="A559" s="2"/>
      <c r="B559" s="2"/>
      <c r="C559" s="2"/>
      <c r="D559" s="2"/>
      <c r="E559" s="2"/>
      <c r="F559" s="2"/>
      <c r="G559" s="2"/>
      <c r="H559" s="2"/>
      <c r="I559" s="2"/>
    </row>
    <row r="560" spans="1:9">
      <c r="A560" s="2"/>
      <c r="B560" s="2"/>
      <c r="C560" s="2"/>
      <c r="D560" s="2"/>
      <c r="E560" s="2"/>
      <c r="F560" s="2"/>
      <c r="G560" s="2"/>
      <c r="H560" s="2"/>
      <c r="I560" s="2"/>
    </row>
    <row r="561" spans="1:9">
      <c r="A561" s="2"/>
      <c r="B561" s="2"/>
      <c r="C561" s="2"/>
      <c r="D561" s="2"/>
      <c r="E561" s="2"/>
      <c r="F561" s="2"/>
      <c r="G561" s="2"/>
      <c r="H561" s="2"/>
      <c r="I561" s="2"/>
    </row>
    <row r="562" spans="1:9">
      <c r="A562" s="2"/>
      <c r="B562" s="2"/>
      <c r="C562" s="2"/>
      <c r="D562" s="2"/>
      <c r="E562" s="2"/>
      <c r="F562" s="2"/>
      <c r="G562" s="2"/>
      <c r="H562" s="2"/>
      <c r="I562" s="2"/>
    </row>
    <row r="563" spans="1:9">
      <c r="A563" s="2"/>
      <c r="B563" s="2"/>
      <c r="C563" s="2"/>
      <c r="D563" s="2"/>
      <c r="E563" s="2"/>
      <c r="F563" s="2"/>
      <c r="G563" s="2"/>
      <c r="H563" s="2"/>
      <c r="I563" s="2"/>
    </row>
    <row r="564" spans="1:9">
      <c r="A564" s="2"/>
      <c r="B564" s="2"/>
      <c r="C564" s="2"/>
      <c r="D564" s="2"/>
      <c r="E564" s="2"/>
      <c r="F564" s="2"/>
      <c r="G564" s="2"/>
      <c r="H564" s="2"/>
      <c r="I564" s="2"/>
    </row>
    <row r="565" spans="1:9">
      <c r="A565" s="2"/>
      <c r="B565" s="2"/>
      <c r="C565" s="2"/>
      <c r="D565" s="2"/>
      <c r="E565" s="2"/>
      <c r="F565" s="2"/>
      <c r="G565" s="2"/>
      <c r="H565" s="2"/>
      <c r="I565" s="2"/>
    </row>
    <row r="566" spans="1:9">
      <c r="A566" s="2"/>
      <c r="B566" s="2"/>
      <c r="C566" s="2"/>
      <c r="D566" s="2"/>
      <c r="E566" s="2"/>
      <c r="F566" s="2"/>
      <c r="G566" s="2"/>
      <c r="H566" s="2"/>
      <c r="I566" s="2"/>
    </row>
    <row r="567" spans="1:9">
      <c r="A567" s="2"/>
      <c r="B567" s="2"/>
      <c r="C567" s="2"/>
      <c r="D567" s="2"/>
      <c r="E567" s="2"/>
      <c r="F567" s="2"/>
      <c r="G567" s="2"/>
      <c r="H567" s="2"/>
      <c r="I567" s="2"/>
    </row>
    <row r="568" spans="1:9">
      <c r="A568" s="2"/>
      <c r="B568" s="2"/>
      <c r="C568" s="2"/>
      <c r="D568" s="2"/>
      <c r="E568" s="2"/>
      <c r="F568" s="2"/>
      <c r="G568" s="2"/>
      <c r="H568" s="2"/>
      <c r="I568" s="2"/>
    </row>
    <row r="569" spans="1:9">
      <c r="A569" s="2"/>
      <c r="B569" s="2"/>
      <c r="C569" s="2"/>
      <c r="D569" s="2"/>
      <c r="E569" s="2"/>
      <c r="F569" s="2"/>
      <c r="G569" s="2"/>
      <c r="H569" s="2"/>
      <c r="I569" s="2"/>
    </row>
    <row r="570" spans="1:9">
      <c r="A570" s="2"/>
      <c r="B570" s="2"/>
      <c r="C570" s="2"/>
      <c r="D570" s="2"/>
      <c r="E570" s="2"/>
      <c r="F570" s="2"/>
      <c r="G570" s="2"/>
      <c r="H570" s="2"/>
      <c r="I570" s="2"/>
    </row>
    <row r="571" spans="1:9">
      <c r="A571" s="2"/>
      <c r="B571" s="2"/>
      <c r="C571" s="2"/>
      <c r="D571" s="2"/>
      <c r="E571" s="2"/>
      <c r="F571" s="2"/>
      <c r="G571" s="2"/>
      <c r="H571" s="2"/>
      <c r="I571" s="2"/>
    </row>
    <row r="572" spans="1:9">
      <c r="A572" s="2"/>
      <c r="B572" s="2"/>
      <c r="C572" s="2"/>
      <c r="D572" s="2"/>
      <c r="E572" s="2"/>
      <c r="F572" s="2"/>
      <c r="G572" s="2"/>
      <c r="H572" s="2"/>
      <c r="I572" s="2"/>
    </row>
    <row r="573" spans="1:9">
      <c r="A573" s="2"/>
      <c r="B573" s="2"/>
      <c r="C573" s="2"/>
      <c r="D573" s="2"/>
      <c r="E573" s="2"/>
      <c r="F573" s="2"/>
      <c r="G573" s="2"/>
      <c r="H573" s="2"/>
      <c r="I573" s="2"/>
    </row>
    <row r="574" spans="1:9">
      <c r="A574" s="2"/>
      <c r="B574" s="2"/>
      <c r="C574" s="2"/>
      <c r="D574" s="2"/>
      <c r="E574" s="2"/>
      <c r="F574" s="2"/>
      <c r="G574" s="2"/>
      <c r="H574" s="2"/>
      <c r="I574" s="2"/>
    </row>
    <row r="575" spans="1:9">
      <c r="A575" s="2"/>
      <c r="B575" s="2"/>
      <c r="C575" s="2"/>
      <c r="D575" s="2"/>
      <c r="E575" s="2"/>
      <c r="F575" s="2"/>
      <c r="G575" s="2"/>
      <c r="H575" s="2"/>
      <c r="I575" s="2"/>
    </row>
    <row r="576" spans="1:9">
      <c r="A576" s="2"/>
      <c r="B576" s="2"/>
      <c r="C576" s="2"/>
      <c r="D576" s="2"/>
      <c r="E576" s="2"/>
      <c r="F576" s="2"/>
      <c r="G576" s="2"/>
      <c r="H576" s="2"/>
      <c r="I576" s="2"/>
    </row>
    <row r="577" spans="1:9">
      <c r="A577" s="2"/>
      <c r="B577" s="2"/>
      <c r="C577" s="2"/>
      <c r="D577" s="2"/>
      <c r="E577" s="2"/>
      <c r="F577" s="2"/>
      <c r="G577" s="2"/>
      <c r="H577" s="2"/>
      <c r="I577" s="2"/>
    </row>
    <row r="578" spans="1:9">
      <c r="A578" s="2"/>
      <c r="B578" s="2"/>
      <c r="C578" s="2"/>
      <c r="D578" s="2"/>
      <c r="E578" s="2"/>
      <c r="F578" s="2"/>
      <c r="G578" s="2"/>
      <c r="H578" s="2"/>
      <c r="I578" s="2"/>
    </row>
    <row r="579" spans="1:9">
      <c r="A579" s="2"/>
      <c r="B579" s="2"/>
      <c r="C579" s="2"/>
      <c r="D579" s="2"/>
      <c r="E579" s="2"/>
      <c r="F579" s="2"/>
      <c r="G579" s="2"/>
      <c r="H579" s="2"/>
      <c r="I579" s="2"/>
    </row>
    <row r="580" spans="1:9">
      <c r="A580" s="2"/>
      <c r="B580" s="2"/>
      <c r="C580" s="2"/>
      <c r="D580" s="2"/>
      <c r="E580" s="2"/>
      <c r="F580" s="2"/>
      <c r="G580" s="2"/>
      <c r="H580" s="2"/>
      <c r="I580" s="2"/>
    </row>
    <row r="581" spans="1:9">
      <c r="A581" s="2"/>
      <c r="B581" s="2"/>
      <c r="C581" s="2"/>
      <c r="D581" s="2"/>
      <c r="E581" s="2"/>
      <c r="F581" s="2"/>
      <c r="G581" s="2"/>
      <c r="H581" s="2"/>
      <c r="I581" s="2"/>
    </row>
    <row r="582" spans="1:9">
      <c r="A582" s="2"/>
      <c r="B582" s="2"/>
      <c r="C582" s="2"/>
      <c r="D582" s="2"/>
      <c r="E582" s="2"/>
      <c r="F582" s="2"/>
      <c r="G582" s="2"/>
      <c r="H582" s="2"/>
      <c r="I582" s="2"/>
    </row>
    <row r="583" spans="1:9">
      <c r="A583" s="2"/>
      <c r="B583" s="2"/>
      <c r="C583" s="2"/>
      <c r="D583" s="2"/>
      <c r="E583" s="2"/>
      <c r="F583" s="2"/>
      <c r="G583" s="2"/>
      <c r="H583" s="2"/>
      <c r="I583" s="2"/>
    </row>
    <row r="584" spans="1:9">
      <c r="A584" s="2"/>
      <c r="B584" s="2"/>
      <c r="C584" s="2"/>
      <c r="D584" s="2"/>
      <c r="E584" s="2"/>
      <c r="F584" s="2"/>
      <c r="G584" s="2"/>
      <c r="H584" s="2"/>
      <c r="I584" s="2"/>
    </row>
    <row r="585" spans="1:9">
      <c r="A585" s="2"/>
      <c r="B585" s="2"/>
      <c r="C585" s="2"/>
      <c r="D585" s="2"/>
      <c r="E585" s="2"/>
      <c r="F585" s="2"/>
      <c r="G585" s="2"/>
      <c r="H585" s="2"/>
      <c r="I585" s="2"/>
    </row>
    <row r="586" spans="1:9">
      <c r="A586" s="2"/>
      <c r="B586" s="2"/>
      <c r="C586" s="2"/>
      <c r="D586" s="2"/>
      <c r="E586" s="2"/>
      <c r="F586" s="2"/>
      <c r="G586" s="2"/>
      <c r="H586" s="2"/>
      <c r="I586" s="2"/>
    </row>
    <row r="587" spans="1:9">
      <c r="A587" s="2"/>
      <c r="B587" s="2"/>
      <c r="C587" s="2"/>
      <c r="D587" s="2"/>
      <c r="E587" s="2"/>
      <c r="F587" s="2"/>
      <c r="G587" s="2"/>
      <c r="H587" s="2"/>
      <c r="I587" s="2"/>
    </row>
    <row r="588" spans="1:9">
      <c r="A588" s="2"/>
      <c r="B588" s="2"/>
      <c r="C588" s="2"/>
      <c r="D588" s="2"/>
      <c r="E588" s="2"/>
      <c r="F588" s="2"/>
      <c r="G588" s="2"/>
      <c r="H588" s="2"/>
      <c r="I588" s="2"/>
    </row>
    <row r="589" spans="1:9">
      <c r="A589" s="2"/>
      <c r="B589" s="2"/>
      <c r="C589" s="2"/>
      <c r="D589" s="2"/>
      <c r="E589" s="2"/>
      <c r="F589" s="2"/>
      <c r="G589" s="2"/>
      <c r="H589" s="2"/>
      <c r="I589" s="2"/>
    </row>
    <row r="590" spans="1:9">
      <c r="A590" s="2"/>
      <c r="B590" s="2"/>
      <c r="C590" s="2"/>
      <c r="D590" s="2"/>
      <c r="E590" s="2"/>
      <c r="F590" s="2"/>
      <c r="G590" s="2"/>
      <c r="H590" s="2"/>
      <c r="I590" s="2"/>
    </row>
    <row r="591" spans="1:9">
      <c r="A591" s="2"/>
      <c r="B591" s="2"/>
      <c r="C591" s="2"/>
      <c r="D591" s="2"/>
      <c r="E591" s="2"/>
      <c r="F591" s="2"/>
      <c r="G591" s="2"/>
      <c r="H591" s="2"/>
      <c r="I591" s="2"/>
    </row>
    <row r="592" spans="1:9">
      <c r="A592" s="2"/>
      <c r="B592" s="2"/>
      <c r="C592" s="2"/>
      <c r="D592" s="2"/>
      <c r="E592" s="2"/>
      <c r="F592" s="2"/>
      <c r="G592" s="2"/>
      <c r="H592" s="2"/>
      <c r="I592" s="2"/>
    </row>
    <row r="593" spans="1:9">
      <c r="A593" s="2"/>
      <c r="B593" s="2"/>
      <c r="C593" s="2"/>
      <c r="D593" s="2"/>
      <c r="E593" s="2"/>
      <c r="F593" s="2"/>
      <c r="G593" s="2"/>
      <c r="H593" s="2"/>
      <c r="I593" s="2"/>
    </row>
    <row r="594" spans="1:9">
      <c r="A594" s="2"/>
      <c r="B594" s="2"/>
      <c r="C594" s="2"/>
      <c r="D594" s="2"/>
      <c r="E594" s="2"/>
      <c r="F594" s="2"/>
      <c r="G594" s="2"/>
      <c r="H594" s="2"/>
      <c r="I594" s="2"/>
    </row>
    <row r="595" spans="1:9">
      <c r="A595" s="2"/>
      <c r="B595" s="2"/>
      <c r="C595" s="2"/>
      <c r="D595" s="2"/>
      <c r="E595" s="2"/>
      <c r="F595" s="2"/>
      <c r="G595" s="2"/>
      <c r="H595" s="2"/>
      <c r="I595" s="2"/>
    </row>
    <row r="596" spans="1:9">
      <c r="A596" s="2"/>
      <c r="B596" s="2"/>
      <c r="C596" s="2"/>
      <c r="D596" s="2"/>
      <c r="E596" s="2"/>
      <c r="F596" s="2"/>
      <c r="G596" s="2"/>
      <c r="H596" s="2"/>
      <c r="I596" s="2"/>
    </row>
    <row r="597" spans="1:9">
      <c r="A597" s="2"/>
      <c r="B597" s="2"/>
      <c r="C597" s="2"/>
      <c r="D597" s="2"/>
      <c r="E597" s="2"/>
      <c r="F597" s="2"/>
      <c r="G597" s="2"/>
      <c r="H597" s="2"/>
      <c r="I597" s="2"/>
    </row>
    <row r="598" spans="1:9">
      <c r="A598" s="2"/>
      <c r="B598" s="2"/>
      <c r="C598" s="2"/>
      <c r="D598" s="2"/>
      <c r="E598" s="2"/>
      <c r="F598" s="2"/>
      <c r="G598" s="2"/>
      <c r="H598" s="2"/>
      <c r="I598" s="2"/>
    </row>
    <row r="599" spans="1:9">
      <c r="A599" s="2"/>
      <c r="B599" s="2"/>
      <c r="C599" s="2"/>
      <c r="D599" s="2"/>
      <c r="E599" s="2"/>
      <c r="F599" s="2"/>
      <c r="G599" s="2"/>
      <c r="H599" s="2"/>
      <c r="I599" s="2"/>
    </row>
    <row r="600" spans="1:9">
      <c r="A600" s="2"/>
      <c r="B600" s="2"/>
      <c r="C600" s="2"/>
      <c r="D600" s="2"/>
      <c r="E600" s="2"/>
      <c r="F600" s="2"/>
      <c r="G600" s="2"/>
      <c r="H600" s="2"/>
      <c r="I600" s="2"/>
    </row>
    <row r="601" spans="1:9">
      <c r="A601" s="2"/>
      <c r="B601" s="2"/>
      <c r="C601" s="2"/>
      <c r="D601" s="2"/>
      <c r="E601" s="2"/>
      <c r="F601" s="2"/>
      <c r="G601" s="2"/>
      <c r="H601" s="2"/>
      <c r="I601" s="2"/>
    </row>
    <row r="602" spans="1:9">
      <c r="A602" s="2"/>
      <c r="B602" s="2"/>
      <c r="C602" s="2"/>
      <c r="D602" s="2"/>
      <c r="E602" s="2"/>
      <c r="F602" s="2"/>
      <c r="G602" s="2"/>
      <c r="H602" s="2"/>
      <c r="I602" s="2"/>
    </row>
    <row r="603" spans="1:9">
      <c r="A603" s="2"/>
      <c r="B603" s="2"/>
      <c r="C603" s="2"/>
      <c r="D603" s="2"/>
      <c r="E603" s="2"/>
      <c r="F603" s="2"/>
      <c r="G603" s="2"/>
      <c r="H603" s="2"/>
      <c r="I603" s="2"/>
    </row>
    <row r="604" spans="1:9">
      <c r="A604" s="2"/>
      <c r="B604" s="2"/>
      <c r="C604" s="2"/>
      <c r="D604" s="2"/>
      <c r="E604" s="2"/>
      <c r="F604" s="2"/>
      <c r="G604" s="2"/>
      <c r="H604" s="2"/>
      <c r="I604" s="2"/>
    </row>
    <row r="605" spans="1:9">
      <c r="A605" s="2"/>
      <c r="B605" s="2"/>
      <c r="C605" s="2"/>
      <c r="D605" s="2"/>
      <c r="E605" s="2"/>
      <c r="F605" s="2"/>
      <c r="G605" s="2"/>
      <c r="H605" s="2"/>
      <c r="I605" s="2"/>
    </row>
    <row r="606" spans="1:9">
      <c r="A606" s="2"/>
      <c r="B606" s="2"/>
      <c r="C606" s="2"/>
      <c r="D606" s="2"/>
      <c r="E606" s="2"/>
      <c r="F606" s="2"/>
      <c r="G606" s="2"/>
      <c r="H606" s="2"/>
      <c r="I606" s="2"/>
    </row>
    <row r="607" spans="1:9">
      <c r="A607" s="2"/>
      <c r="B607" s="2"/>
      <c r="C607" s="2"/>
      <c r="D607" s="2"/>
      <c r="E607" s="2"/>
      <c r="F607" s="2"/>
      <c r="G607" s="2"/>
      <c r="H607" s="2"/>
      <c r="I607" s="2"/>
    </row>
    <row r="608" spans="1:9">
      <c r="A608" s="2"/>
      <c r="B608" s="2"/>
      <c r="C608" s="2"/>
      <c r="D608" s="2"/>
      <c r="E608" s="2"/>
      <c r="F608" s="2"/>
      <c r="G608" s="2"/>
      <c r="H608" s="2"/>
      <c r="I608" s="2"/>
    </row>
    <row r="609" spans="1:9">
      <c r="A609" s="2"/>
      <c r="B609" s="2"/>
      <c r="C609" s="2"/>
      <c r="D609" s="2"/>
      <c r="E609" s="2"/>
      <c r="F609" s="2"/>
      <c r="G609" s="2"/>
      <c r="H609" s="2"/>
      <c r="I609" s="2"/>
    </row>
    <row r="610" spans="1:9">
      <c r="A610" s="2"/>
      <c r="B610" s="2"/>
      <c r="C610" s="2"/>
      <c r="D610" s="2"/>
      <c r="E610" s="2"/>
      <c r="F610" s="2"/>
      <c r="G610" s="2"/>
      <c r="H610" s="2"/>
      <c r="I610" s="2"/>
    </row>
    <row r="611" spans="1:9">
      <c r="A611" s="2"/>
      <c r="B611" s="2"/>
      <c r="C611" s="2"/>
      <c r="D611" s="2"/>
      <c r="E611" s="2"/>
      <c r="F611" s="2"/>
      <c r="G611" s="2"/>
      <c r="H611" s="2"/>
      <c r="I611" s="2"/>
    </row>
    <row r="612" spans="1:9">
      <c r="A612" s="2"/>
      <c r="B612" s="2"/>
      <c r="C612" s="2"/>
      <c r="D612" s="2"/>
      <c r="E612" s="2"/>
      <c r="F612" s="2"/>
      <c r="G612" s="2"/>
      <c r="H612" s="2"/>
      <c r="I612" s="2"/>
    </row>
    <row r="613" spans="1:9">
      <c r="A613" s="2"/>
      <c r="B613" s="2"/>
      <c r="C613" s="2"/>
      <c r="D613" s="2"/>
      <c r="E613" s="2"/>
      <c r="F613" s="2"/>
      <c r="G613" s="2"/>
      <c r="H613" s="2"/>
      <c r="I613" s="2"/>
    </row>
    <row r="614" spans="1:9">
      <c r="A614" s="2"/>
      <c r="B614" s="2"/>
      <c r="C614" s="2"/>
      <c r="D614" s="2"/>
      <c r="E614" s="2"/>
      <c r="F614" s="2"/>
      <c r="G614" s="2"/>
      <c r="H614" s="2"/>
      <c r="I614" s="2"/>
    </row>
    <row r="615" spans="1:9">
      <c r="A615" s="2"/>
      <c r="B615" s="2"/>
      <c r="C615" s="2"/>
      <c r="D615" s="2"/>
      <c r="E615" s="2"/>
      <c r="F615" s="2"/>
      <c r="G615" s="2"/>
      <c r="H615" s="2"/>
      <c r="I615" s="2"/>
    </row>
    <row r="616" spans="1:9">
      <c r="A616" s="2"/>
      <c r="B616" s="2"/>
      <c r="C616" s="2"/>
      <c r="D616" s="2"/>
      <c r="E616" s="2"/>
      <c r="F616" s="2"/>
      <c r="G616" s="2"/>
      <c r="H616" s="2"/>
      <c r="I616" s="2"/>
    </row>
    <row r="617" spans="1:9">
      <c r="A617" s="2"/>
      <c r="B617" s="2"/>
      <c r="C617" s="2"/>
      <c r="D617" s="2"/>
      <c r="E617" s="2"/>
      <c r="F617" s="2"/>
      <c r="G617" s="2"/>
      <c r="H617" s="2"/>
      <c r="I617" s="2"/>
    </row>
    <row r="618" spans="1:9">
      <c r="A618" s="2"/>
      <c r="B618" s="2"/>
      <c r="C618" s="2"/>
      <c r="D618" s="2"/>
      <c r="E618" s="2"/>
      <c r="F618" s="2"/>
      <c r="G618" s="2"/>
      <c r="H618" s="2"/>
      <c r="I618" s="2"/>
    </row>
    <row r="619" spans="1:9">
      <c r="A619" s="2"/>
      <c r="B619" s="2"/>
      <c r="C619" s="2"/>
      <c r="D619" s="2"/>
      <c r="E619" s="2"/>
      <c r="F619" s="2"/>
      <c r="G619" s="2"/>
      <c r="H619" s="2"/>
      <c r="I619" s="2"/>
    </row>
    <row r="620" spans="1:9">
      <c r="A620" s="2"/>
      <c r="B620" s="2"/>
      <c r="C620" s="2"/>
      <c r="D620" s="2"/>
      <c r="E620" s="2"/>
      <c r="F620" s="2"/>
      <c r="G620" s="2"/>
      <c r="H620" s="2"/>
      <c r="I620" s="2"/>
    </row>
    <row r="621" spans="1:9">
      <c r="A621" s="2"/>
      <c r="B621" s="2"/>
      <c r="C621" s="2"/>
      <c r="D621" s="2"/>
      <c r="E621" s="2"/>
      <c r="F621" s="2"/>
      <c r="G621" s="2"/>
      <c r="H621" s="2"/>
      <c r="I621" s="2"/>
    </row>
    <row r="622" spans="1:9">
      <c r="A622" s="2"/>
      <c r="B622" s="2"/>
      <c r="C622" s="2"/>
      <c r="D622" s="2"/>
      <c r="E622" s="2"/>
      <c r="F622" s="2"/>
      <c r="G622" s="2"/>
      <c r="H622" s="2"/>
      <c r="I622" s="2"/>
    </row>
    <row r="623" spans="1:9">
      <c r="A623" s="2"/>
      <c r="B623" s="2"/>
      <c r="C623" s="2"/>
      <c r="D623" s="2"/>
      <c r="E623" s="2"/>
      <c r="F623" s="2"/>
      <c r="G623" s="2"/>
      <c r="H623" s="2"/>
      <c r="I623" s="2"/>
    </row>
    <row r="624" spans="1:9">
      <c r="A624" s="2"/>
      <c r="B624" s="2"/>
      <c r="C624" s="2"/>
      <c r="D624" s="2"/>
      <c r="E624" s="2"/>
      <c r="F624" s="2"/>
      <c r="G624" s="2"/>
      <c r="H624" s="2"/>
      <c r="I624" s="2"/>
    </row>
    <row r="625" spans="1:9">
      <c r="A625" s="2"/>
      <c r="B625" s="2"/>
      <c r="C625" s="2"/>
      <c r="D625" s="2"/>
      <c r="E625" s="2"/>
      <c r="F625" s="2"/>
      <c r="G625" s="2"/>
      <c r="H625" s="2"/>
      <c r="I625" s="2"/>
    </row>
    <row r="626" spans="1:9">
      <c r="A626" s="2"/>
      <c r="B626" s="2"/>
      <c r="C626" s="2"/>
      <c r="D626" s="2"/>
      <c r="E626" s="2"/>
      <c r="F626" s="2"/>
      <c r="G626" s="2"/>
      <c r="H626" s="2"/>
      <c r="I626" s="2"/>
    </row>
    <row r="627" spans="1:9">
      <c r="A627" s="2"/>
      <c r="B627" s="2"/>
      <c r="C627" s="2"/>
      <c r="D627" s="2"/>
      <c r="E627" s="2"/>
      <c r="F627" s="2"/>
      <c r="G627" s="2"/>
      <c r="H627" s="2"/>
      <c r="I627" s="2"/>
    </row>
    <row r="628" spans="1:9">
      <c r="A628" s="2"/>
      <c r="B628" s="2"/>
      <c r="C628" s="2"/>
      <c r="D628" s="2"/>
      <c r="E628" s="2"/>
      <c r="F628" s="2"/>
      <c r="G628" s="2"/>
      <c r="H628" s="2"/>
      <c r="I628" s="2"/>
    </row>
    <row r="629" spans="1:9">
      <c r="A629" s="2"/>
      <c r="B629" s="2"/>
      <c r="C629" s="2"/>
      <c r="D629" s="2"/>
      <c r="E629" s="2"/>
      <c r="F629" s="2"/>
      <c r="G629" s="2"/>
      <c r="H629" s="2"/>
      <c r="I629" s="2"/>
    </row>
    <row r="630" spans="1:9">
      <c r="A630" s="2"/>
      <c r="B630" s="2"/>
      <c r="C630" s="2"/>
      <c r="D630" s="2"/>
      <c r="E630" s="2"/>
      <c r="F630" s="2"/>
      <c r="G630" s="2"/>
      <c r="H630" s="2"/>
      <c r="I630" s="2"/>
    </row>
    <row r="631" spans="1:9">
      <c r="A631" s="2"/>
      <c r="B631" s="2"/>
      <c r="C631" s="2"/>
      <c r="D631" s="2"/>
      <c r="E631" s="2"/>
      <c r="F631" s="2"/>
      <c r="G631" s="2"/>
      <c r="H631" s="2"/>
      <c r="I631" s="2"/>
    </row>
    <row r="632" spans="1:9">
      <c r="A632" s="2"/>
      <c r="B632" s="2"/>
      <c r="C632" s="2"/>
      <c r="D632" s="2"/>
      <c r="E632" s="2"/>
      <c r="F632" s="2"/>
      <c r="G632" s="2"/>
      <c r="H632" s="2"/>
      <c r="I632" s="2"/>
    </row>
    <row r="633" spans="1:9">
      <c r="A633" s="2"/>
      <c r="B633" s="2"/>
      <c r="C633" s="2"/>
      <c r="D633" s="2"/>
      <c r="E633" s="2"/>
      <c r="F633" s="2"/>
      <c r="G633" s="2"/>
      <c r="H633" s="2"/>
      <c r="I633" s="2"/>
    </row>
    <row r="634" spans="1:9">
      <c r="A634" s="2"/>
      <c r="B634" s="2"/>
      <c r="C634" s="2"/>
      <c r="D634" s="2"/>
      <c r="E634" s="2"/>
      <c r="F634" s="2"/>
      <c r="G634" s="2"/>
      <c r="H634" s="2"/>
      <c r="I634" s="2"/>
    </row>
    <row r="635" spans="1:9">
      <c r="A635" s="2"/>
      <c r="B635" s="2"/>
      <c r="C635" s="2"/>
      <c r="D635" s="2"/>
      <c r="E635" s="2"/>
      <c r="F635" s="2"/>
      <c r="G635" s="2"/>
      <c r="H635" s="2"/>
      <c r="I635" s="2"/>
    </row>
    <row r="636" spans="1:9">
      <c r="A636" s="2"/>
      <c r="B636" s="2"/>
      <c r="C636" s="2"/>
      <c r="D636" s="2"/>
      <c r="E636" s="2"/>
      <c r="F636" s="2"/>
      <c r="G636" s="2"/>
      <c r="H636" s="2"/>
      <c r="I636" s="2"/>
    </row>
    <row r="637" spans="1:9">
      <c r="A637" s="2"/>
      <c r="B637" s="2"/>
      <c r="C637" s="2"/>
      <c r="D637" s="2"/>
      <c r="E637" s="2"/>
      <c r="F637" s="2"/>
      <c r="G637" s="2"/>
      <c r="H637" s="2"/>
      <c r="I637" s="2"/>
    </row>
    <row r="638" spans="1:9">
      <c r="A638" s="2"/>
      <c r="B638" s="2"/>
      <c r="C638" s="2"/>
      <c r="D638" s="2"/>
      <c r="E638" s="2"/>
      <c r="F638" s="2"/>
      <c r="G638" s="2"/>
      <c r="H638" s="2"/>
      <c r="I638" s="2"/>
    </row>
    <row r="639" spans="1:9">
      <c r="A639" s="2"/>
      <c r="B639" s="2"/>
      <c r="C639" s="2"/>
      <c r="D639" s="2"/>
      <c r="E639" s="2"/>
      <c r="F639" s="2"/>
      <c r="G639" s="2"/>
      <c r="H639" s="2"/>
      <c r="I639" s="2"/>
    </row>
    <row r="640" spans="1:9">
      <c r="A640" s="2"/>
      <c r="B640" s="2"/>
      <c r="C640" s="2"/>
      <c r="D640" s="2"/>
      <c r="E640" s="2"/>
      <c r="F640" s="2"/>
      <c r="G640" s="2"/>
      <c r="H640" s="2"/>
      <c r="I640" s="2"/>
    </row>
    <row r="641" spans="1:9">
      <c r="A641" s="2"/>
      <c r="B641" s="2"/>
      <c r="C641" s="2"/>
      <c r="D641" s="2"/>
      <c r="E641" s="2"/>
      <c r="F641" s="2"/>
      <c r="G641" s="2"/>
      <c r="H641" s="2"/>
      <c r="I641" s="2"/>
    </row>
    <row r="642" spans="1:9">
      <c r="A642" s="2"/>
      <c r="B642" s="2"/>
      <c r="C642" s="2"/>
      <c r="D642" s="2"/>
      <c r="E642" s="2"/>
      <c r="F642" s="2"/>
      <c r="G642" s="2"/>
      <c r="H642" s="2"/>
      <c r="I642" s="2"/>
    </row>
    <row r="643" spans="1:9">
      <c r="A643" s="2"/>
      <c r="B643" s="2"/>
      <c r="C643" s="2"/>
      <c r="D643" s="2"/>
      <c r="E643" s="2"/>
      <c r="F643" s="2"/>
      <c r="G643" s="2"/>
      <c r="H643" s="2"/>
      <c r="I643" s="2"/>
    </row>
    <row r="644" spans="1:9">
      <c r="A644" s="2"/>
      <c r="B644" s="2"/>
      <c r="C644" s="2"/>
      <c r="D644" s="2"/>
      <c r="E644" s="2"/>
      <c r="F644" s="2"/>
      <c r="G644" s="2"/>
      <c r="H644" s="2"/>
      <c r="I644" s="2"/>
    </row>
    <row r="645" spans="1:9">
      <c r="A645" s="2"/>
      <c r="B645" s="2"/>
      <c r="C645" s="2"/>
      <c r="D645" s="2"/>
      <c r="E645" s="2"/>
      <c r="F645" s="2"/>
      <c r="G645" s="2"/>
      <c r="H645" s="2"/>
      <c r="I645" s="2"/>
    </row>
    <row r="646" spans="1:9">
      <c r="A646" s="2"/>
      <c r="B646" s="2"/>
      <c r="C646" s="2"/>
      <c r="D646" s="2"/>
      <c r="E646" s="2"/>
      <c r="F646" s="2"/>
      <c r="G646" s="2"/>
      <c r="H646" s="2"/>
      <c r="I646" s="2"/>
    </row>
    <row r="647" spans="1:9">
      <c r="A647" s="2"/>
      <c r="B647" s="2"/>
      <c r="C647" s="2"/>
      <c r="D647" s="2"/>
      <c r="E647" s="2"/>
      <c r="F647" s="2"/>
      <c r="G647" s="2"/>
      <c r="H647" s="2"/>
      <c r="I647" s="2"/>
    </row>
    <row r="648" spans="1:9">
      <c r="A648" s="2"/>
      <c r="B648" s="2"/>
      <c r="C648" s="2"/>
      <c r="D648" s="2"/>
      <c r="E648" s="2"/>
      <c r="F648" s="2"/>
      <c r="G648" s="2"/>
      <c r="H648" s="2"/>
      <c r="I648" s="2"/>
    </row>
    <row r="649" spans="1:9">
      <c r="A649" s="2"/>
      <c r="B649" s="2"/>
      <c r="C649" s="2"/>
      <c r="D649" s="2"/>
      <c r="E649" s="2"/>
      <c r="F649" s="2"/>
      <c r="G649" s="2"/>
      <c r="H649" s="2"/>
      <c r="I649" s="2"/>
    </row>
    <row r="650" spans="1:9">
      <c r="A650" s="2"/>
      <c r="B650" s="2"/>
      <c r="C650" s="2"/>
      <c r="D650" s="2"/>
      <c r="E650" s="2"/>
      <c r="F650" s="2"/>
      <c r="G650" s="2"/>
      <c r="H650" s="2"/>
      <c r="I650" s="2"/>
    </row>
    <row r="651" spans="1:9">
      <c r="A651" s="2"/>
      <c r="B651" s="2"/>
      <c r="C651" s="2"/>
      <c r="D651" s="2"/>
      <c r="E651" s="2"/>
      <c r="F651" s="2"/>
      <c r="G651" s="2"/>
      <c r="H651" s="2"/>
      <c r="I651" s="2"/>
    </row>
    <row r="652" spans="1:9">
      <c r="A652" s="2"/>
      <c r="B652" s="2"/>
      <c r="C652" s="2"/>
      <c r="D652" s="2"/>
      <c r="E652" s="2"/>
      <c r="F652" s="2"/>
      <c r="G652" s="2"/>
      <c r="H652" s="2"/>
      <c r="I652" s="2"/>
    </row>
    <row r="653" spans="1:9">
      <c r="A653" s="2"/>
      <c r="B653" s="2"/>
      <c r="C653" s="2"/>
      <c r="D653" s="2"/>
      <c r="E653" s="2"/>
      <c r="F653" s="2"/>
      <c r="G653" s="2"/>
      <c r="H653" s="2"/>
      <c r="I653" s="2"/>
    </row>
    <row r="654" spans="1:9">
      <c r="A654" s="2"/>
      <c r="B654" s="2"/>
      <c r="C654" s="2"/>
      <c r="D654" s="2"/>
      <c r="E654" s="2"/>
      <c r="F654" s="2"/>
      <c r="G654" s="2"/>
      <c r="H654" s="2"/>
      <c r="I654" s="2"/>
    </row>
    <row r="655" spans="1:9">
      <c r="A655" s="2"/>
      <c r="B655" s="2"/>
      <c r="C655" s="2"/>
      <c r="D655" s="2"/>
      <c r="E655" s="2"/>
      <c r="F655" s="2"/>
      <c r="G655" s="2"/>
      <c r="H655" s="2"/>
      <c r="I655" s="2"/>
    </row>
    <row r="656" spans="1:9">
      <c r="A656" s="2"/>
      <c r="B656" s="2"/>
      <c r="C656" s="2"/>
      <c r="D656" s="2"/>
      <c r="E656" s="2"/>
      <c r="F656" s="2"/>
      <c r="G656" s="2"/>
      <c r="H656" s="2"/>
      <c r="I656" s="2"/>
    </row>
    <row r="657" spans="1:9">
      <c r="A657" s="2"/>
      <c r="B657" s="2"/>
      <c r="C657" s="2"/>
      <c r="D657" s="2"/>
      <c r="E657" s="2"/>
      <c r="F657" s="2"/>
      <c r="G657" s="2"/>
      <c r="H657" s="2"/>
      <c r="I657" s="2"/>
    </row>
    <row r="658" spans="1:9">
      <c r="A658" s="2"/>
      <c r="B658" s="2"/>
      <c r="C658" s="2"/>
      <c r="D658" s="2"/>
      <c r="E658" s="2"/>
      <c r="F658" s="2"/>
      <c r="G658" s="2"/>
      <c r="H658" s="2"/>
      <c r="I658" s="2"/>
    </row>
    <row r="659" spans="1:9">
      <c r="A659" s="2"/>
      <c r="B659" s="2"/>
      <c r="C659" s="2"/>
      <c r="D659" s="2"/>
      <c r="E659" s="2"/>
      <c r="F659" s="2"/>
      <c r="G659" s="2"/>
      <c r="H659" s="2"/>
      <c r="I659" s="2"/>
    </row>
    <row r="660" spans="1:9">
      <c r="A660" s="2"/>
      <c r="B660" s="2"/>
      <c r="C660" s="2"/>
      <c r="D660" s="2"/>
      <c r="E660" s="2"/>
      <c r="F660" s="2"/>
      <c r="G660" s="2"/>
      <c r="H660" s="2"/>
      <c r="I660" s="2"/>
    </row>
    <row r="661" spans="1:9">
      <c r="A661" s="2"/>
      <c r="B661" s="2"/>
      <c r="C661" s="2"/>
      <c r="D661" s="2"/>
      <c r="E661" s="2"/>
      <c r="F661" s="2"/>
      <c r="G661" s="2"/>
      <c r="H661" s="2"/>
      <c r="I661" s="2"/>
    </row>
    <row r="662" spans="1:9">
      <c r="A662" s="2"/>
      <c r="B662" s="2"/>
      <c r="C662" s="2"/>
      <c r="D662" s="2"/>
      <c r="E662" s="2"/>
      <c r="F662" s="2"/>
      <c r="G662" s="2"/>
      <c r="H662" s="2"/>
      <c r="I662" s="2"/>
    </row>
    <row r="663" spans="1:9">
      <c r="A663" s="2"/>
      <c r="B663" s="2"/>
      <c r="C663" s="2"/>
      <c r="D663" s="2"/>
      <c r="E663" s="2"/>
      <c r="F663" s="2"/>
      <c r="G663" s="2"/>
      <c r="H663" s="2"/>
      <c r="I663" s="2"/>
    </row>
    <row r="664" spans="1:9">
      <c r="A664" s="2"/>
      <c r="B664" s="2"/>
      <c r="C664" s="2"/>
      <c r="D664" s="2"/>
      <c r="E664" s="2"/>
      <c r="F664" s="2"/>
      <c r="G664" s="2"/>
      <c r="H664" s="2"/>
      <c r="I664" s="2"/>
    </row>
    <row r="665" spans="1:9">
      <c r="A665" s="2"/>
      <c r="B665" s="2"/>
      <c r="C665" s="2"/>
      <c r="D665" s="2"/>
      <c r="E665" s="2"/>
      <c r="F665" s="2"/>
      <c r="G665" s="2"/>
      <c r="H665" s="2"/>
      <c r="I665" s="2"/>
    </row>
    <row r="666" spans="1:9">
      <c r="A666" s="2"/>
      <c r="B666" s="2"/>
      <c r="C666" s="2"/>
      <c r="D666" s="2"/>
      <c r="E666" s="2"/>
      <c r="F666" s="2"/>
      <c r="G666" s="2"/>
      <c r="H666" s="2"/>
      <c r="I666" s="2"/>
    </row>
    <row r="667" spans="1:9">
      <c r="A667" s="2"/>
      <c r="B667" s="2"/>
      <c r="C667" s="2"/>
      <c r="D667" s="2"/>
      <c r="E667" s="2"/>
      <c r="F667" s="2"/>
      <c r="G667" s="2"/>
      <c r="H667" s="2"/>
      <c r="I667" s="2"/>
    </row>
    <row r="668" spans="1:9">
      <c r="A668" s="2"/>
      <c r="B668" s="2"/>
      <c r="C668" s="2"/>
      <c r="D668" s="2"/>
      <c r="E668" s="2"/>
      <c r="F668" s="2"/>
      <c r="G668" s="2"/>
      <c r="H668" s="2"/>
      <c r="I668" s="2"/>
    </row>
    <row r="669" spans="1:9">
      <c r="A669" s="2"/>
      <c r="B669" s="2"/>
      <c r="C669" s="2"/>
      <c r="D669" s="2"/>
      <c r="E669" s="2"/>
      <c r="F669" s="2"/>
      <c r="G669" s="2"/>
      <c r="H669" s="2"/>
      <c r="I669" s="2"/>
    </row>
    <row r="670" spans="1:9">
      <c r="A670" s="2"/>
      <c r="B670" s="2"/>
      <c r="C670" s="2"/>
      <c r="D670" s="2"/>
      <c r="E670" s="2"/>
      <c r="F670" s="2"/>
      <c r="G670" s="2"/>
      <c r="H670" s="2"/>
      <c r="I670" s="2"/>
    </row>
    <row r="671" spans="1:9">
      <c r="A671" s="2"/>
      <c r="B671" s="2"/>
      <c r="C671" s="2"/>
      <c r="D671" s="2"/>
      <c r="E671" s="2"/>
      <c r="F671" s="2"/>
      <c r="G671" s="2"/>
      <c r="H671" s="2"/>
      <c r="I671" s="2"/>
    </row>
    <row r="672" spans="1:9">
      <c r="A672" s="2"/>
      <c r="B672" s="2"/>
      <c r="C672" s="2"/>
      <c r="D672" s="2"/>
      <c r="E672" s="2"/>
      <c r="F672" s="2"/>
      <c r="G672" s="2"/>
      <c r="H672" s="2"/>
      <c r="I672" s="2"/>
    </row>
    <row r="673" spans="1:9">
      <c r="A673" s="2"/>
      <c r="B673" s="2"/>
      <c r="C673" s="2"/>
      <c r="D673" s="2"/>
      <c r="E673" s="2"/>
      <c r="F673" s="2"/>
      <c r="G673" s="2"/>
      <c r="H673" s="2"/>
      <c r="I673" s="2"/>
    </row>
    <row r="674" spans="1:9">
      <c r="A674" s="2"/>
      <c r="B674" s="2"/>
      <c r="C674" s="2"/>
      <c r="D674" s="2"/>
      <c r="E674" s="2"/>
      <c r="F674" s="2"/>
      <c r="G674" s="2"/>
      <c r="H674" s="2"/>
      <c r="I674" s="2"/>
    </row>
    <row r="675" spans="1:9">
      <c r="A675" s="2"/>
      <c r="B675" s="2"/>
      <c r="C675" s="2"/>
      <c r="D675" s="2"/>
      <c r="E675" s="2"/>
      <c r="F675" s="2"/>
      <c r="G675" s="2"/>
      <c r="H675" s="2"/>
      <c r="I675" s="2"/>
    </row>
    <row r="676" spans="1:9">
      <c r="A676" s="2"/>
      <c r="B676" s="2"/>
      <c r="C676" s="2"/>
      <c r="D676" s="2"/>
      <c r="E676" s="2"/>
      <c r="F676" s="2"/>
      <c r="G676" s="2"/>
      <c r="H676" s="2"/>
      <c r="I676" s="2"/>
    </row>
    <row r="677" spans="1:9">
      <c r="A677" s="2"/>
      <c r="B677" s="2"/>
      <c r="C677" s="2"/>
      <c r="D677" s="2"/>
      <c r="E677" s="2"/>
      <c r="F677" s="2"/>
      <c r="G677" s="2"/>
      <c r="H677" s="2"/>
      <c r="I677" s="2"/>
    </row>
    <row r="678" spans="1:9">
      <c r="A678" s="2"/>
      <c r="B678" s="2"/>
      <c r="C678" s="2"/>
      <c r="D678" s="2"/>
      <c r="E678" s="2"/>
      <c r="F678" s="2"/>
      <c r="G678" s="2"/>
      <c r="H678" s="2"/>
      <c r="I678" s="2"/>
    </row>
    <row r="679" spans="1:9">
      <c r="A679" s="2"/>
      <c r="B679" s="2"/>
      <c r="C679" s="2"/>
      <c r="D679" s="2"/>
      <c r="E679" s="2"/>
      <c r="F679" s="2"/>
      <c r="G679" s="2"/>
      <c r="H679" s="2"/>
      <c r="I679" s="2"/>
    </row>
    <row r="680" spans="1:9">
      <c r="A680" s="2"/>
      <c r="B680" s="2"/>
      <c r="C680" s="2"/>
      <c r="D680" s="2"/>
      <c r="E680" s="2"/>
      <c r="F680" s="2"/>
      <c r="G680" s="2"/>
      <c r="H680" s="2"/>
      <c r="I680" s="2"/>
    </row>
    <row r="681" spans="1:9">
      <c r="A681" s="2"/>
      <c r="B681" s="2"/>
      <c r="C681" s="2"/>
      <c r="D681" s="2"/>
      <c r="E681" s="2"/>
      <c r="F681" s="2"/>
      <c r="G681" s="2"/>
      <c r="H681" s="2"/>
      <c r="I681" s="2"/>
    </row>
    <row r="682" spans="1:9">
      <c r="A682" s="2"/>
      <c r="B682" s="2"/>
      <c r="C682" s="2"/>
      <c r="D682" s="2"/>
      <c r="E682" s="2"/>
      <c r="F682" s="2"/>
      <c r="G682" s="2"/>
      <c r="H682" s="2"/>
      <c r="I682" s="2"/>
    </row>
    <row r="683" spans="1:9">
      <c r="A683" s="2"/>
      <c r="B683" s="2"/>
      <c r="C683" s="2"/>
      <c r="D683" s="2"/>
      <c r="E683" s="2"/>
      <c r="F683" s="2"/>
      <c r="G683" s="2"/>
      <c r="H683" s="2"/>
      <c r="I683" s="2"/>
    </row>
    <row r="684" spans="1:9">
      <c r="A684" s="2"/>
      <c r="B684" s="2"/>
      <c r="C684" s="2"/>
      <c r="D684" s="2"/>
      <c r="E684" s="2"/>
      <c r="F684" s="2"/>
      <c r="G684" s="2"/>
      <c r="H684" s="2"/>
      <c r="I684" s="2"/>
    </row>
    <row r="685" spans="1:9">
      <c r="A685" s="2"/>
      <c r="B685" s="2"/>
      <c r="C685" s="2"/>
      <c r="D685" s="2"/>
      <c r="E685" s="2"/>
      <c r="F685" s="2"/>
      <c r="G685" s="2"/>
      <c r="H685" s="2"/>
      <c r="I685" s="2"/>
    </row>
    <row r="686" spans="1:9">
      <c r="A686" s="2"/>
      <c r="B686" s="2"/>
      <c r="C686" s="2"/>
      <c r="D686" s="2"/>
      <c r="E686" s="2"/>
      <c r="F686" s="2"/>
      <c r="G686" s="2"/>
      <c r="H686" s="2"/>
      <c r="I686" s="2"/>
    </row>
    <row r="687" spans="1:9">
      <c r="A687" s="2"/>
      <c r="B687" s="2"/>
      <c r="C687" s="2"/>
      <c r="D687" s="2"/>
      <c r="E687" s="2"/>
      <c r="F687" s="2"/>
      <c r="G687" s="2"/>
      <c r="H687" s="2"/>
      <c r="I687" s="2"/>
    </row>
    <row r="688" spans="1:9">
      <c r="A688" s="2"/>
      <c r="B688" s="2"/>
      <c r="C688" s="2"/>
      <c r="D688" s="2"/>
      <c r="E688" s="2"/>
      <c r="F688" s="2"/>
      <c r="G688" s="2"/>
      <c r="H688" s="2"/>
      <c r="I688" s="2"/>
    </row>
    <row r="689" spans="1:9">
      <c r="A689" s="2"/>
      <c r="B689" s="2"/>
      <c r="C689" s="2"/>
      <c r="D689" s="2"/>
      <c r="E689" s="2"/>
      <c r="F689" s="2"/>
      <c r="G689" s="2"/>
      <c r="H689" s="2"/>
      <c r="I689" s="2"/>
    </row>
    <row r="690" spans="1:9">
      <c r="A690" s="2"/>
      <c r="B690" s="2"/>
      <c r="C690" s="2"/>
      <c r="D690" s="2"/>
      <c r="E690" s="2"/>
      <c r="F690" s="2"/>
      <c r="G690" s="2"/>
      <c r="H690" s="2"/>
      <c r="I690" s="2"/>
    </row>
    <row r="691" spans="1:9">
      <c r="A691" s="2"/>
      <c r="B691" s="2"/>
      <c r="C691" s="2"/>
      <c r="D691" s="2"/>
      <c r="E691" s="2"/>
      <c r="F691" s="2"/>
      <c r="G691" s="2"/>
      <c r="H691" s="2"/>
      <c r="I691" s="2"/>
    </row>
    <row r="692" spans="1:9">
      <c r="A692" s="2"/>
      <c r="B692" s="2"/>
      <c r="C692" s="2"/>
      <c r="D692" s="2"/>
      <c r="E692" s="2"/>
      <c r="F692" s="2"/>
      <c r="G692" s="2"/>
      <c r="H692" s="2"/>
      <c r="I692" s="2"/>
    </row>
    <row r="693" spans="1:9">
      <c r="A693" s="2"/>
      <c r="B693" s="2"/>
      <c r="C693" s="2"/>
      <c r="D693" s="2"/>
      <c r="E693" s="2"/>
      <c r="F693" s="2"/>
      <c r="G693" s="2"/>
      <c r="H693" s="2"/>
      <c r="I693" s="2"/>
    </row>
    <row r="694" spans="1:9">
      <c r="A694" s="2"/>
      <c r="B694" s="2"/>
      <c r="C694" s="2"/>
      <c r="D694" s="2"/>
      <c r="E694" s="2"/>
      <c r="F694" s="2"/>
      <c r="G694" s="2"/>
      <c r="H694" s="2"/>
      <c r="I694" s="2"/>
    </row>
    <row r="695" spans="1:9">
      <c r="A695" s="2"/>
      <c r="B695" s="2"/>
      <c r="C695" s="2"/>
      <c r="D695" s="2"/>
      <c r="E695" s="2"/>
      <c r="F695" s="2"/>
      <c r="G695" s="2"/>
      <c r="H695" s="2"/>
      <c r="I695" s="2"/>
    </row>
    <row r="696" spans="1:9">
      <c r="A696" s="2"/>
      <c r="B696" s="2"/>
      <c r="C696" s="2"/>
      <c r="D696" s="2"/>
      <c r="E696" s="2"/>
      <c r="F696" s="2"/>
      <c r="G696" s="2"/>
      <c r="H696" s="2"/>
      <c r="I696" s="2"/>
    </row>
    <row r="697" spans="1:9">
      <c r="A697" s="2"/>
      <c r="B697" s="2"/>
      <c r="C697" s="2"/>
      <c r="D697" s="2"/>
      <c r="E697" s="2"/>
      <c r="F697" s="2"/>
      <c r="G697" s="2"/>
      <c r="H697" s="2"/>
      <c r="I697" s="2"/>
    </row>
    <row r="698" spans="1:9">
      <c r="A698" s="2"/>
      <c r="B698" s="2"/>
      <c r="C698" s="2"/>
      <c r="D698" s="2"/>
      <c r="E698" s="2"/>
      <c r="F698" s="2"/>
      <c r="G698" s="2"/>
      <c r="H698" s="2"/>
      <c r="I698" s="2"/>
    </row>
    <row r="699" spans="1:9">
      <c r="A699" s="2"/>
      <c r="B699" s="2"/>
      <c r="C699" s="2"/>
      <c r="D699" s="2"/>
      <c r="E699" s="2"/>
      <c r="F699" s="2"/>
      <c r="G699" s="2"/>
      <c r="H699" s="2"/>
      <c r="I699" s="2"/>
    </row>
    <row r="700" spans="1:9">
      <c r="A700" s="2"/>
      <c r="B700" s="2"/>
      <c r="C700" s="2"/>
      <c r="D700" s="2"/>
      <c r="E700" s="2"/>
      <c r="F700" s="2"/>
      <c r="G700" s="2"/>
      <c r="H700" s="2"/>
      <c r="I700" s="2"/>
    </row>
    <row r="701" spans="1:9">
      <c r="A701" s="2"/>
      <c r="B701" s="2"/>
      <c r="C701" s="2"/>
      <c r="D701" s="2"/>
      <c r="E701" s="2"/>
      <c r="F701" s="2"/>
      <c r="G701" s="2"/>
      <c r="H701" s="2"/>
      <c r="I701" s="2"/>
    </row>
    <row r="702" spans="1:9">
      <c r="A702" s="2"/>
      <c r="B702" s="2"/>
      <c r="C702" s="2"/>
      <c r="D702" s="2"/>
      <c r="E702" s="2"/>
      <c r="F702" s="2"/>
      <c r="G702" s="2"/>
      <c r="H702" s="2"/>
      <c r="I702" s="2"/>
    </row>
    <row r="703" spans="1:9">
      <c r="A703" s="2"/>
      <c r="B703" s="2"/>
      <c r="C703" s="2"/>
      <c r="D703" s="2"/>
      <c r="E703" s="2"/>
      <c r="F703" s="2"/>
      <c r="G703" s="2"/>
      <c r="H703" s="2"/>
      <c r="I703" s="2"/>
    </row>
    <row r="704" spans="1:9">
      <c r="A704" s="2"/>
      <c r="B704" s="2"/>
      <c r="C704" s="2"/>
      <c r="D704" s="2"/>
      <c r="E704" s="2"/>
      <c r="F704" s="2"/>
      <c r="G704" s="2"/>
      <c r="H704" s="2"/>
      <c r="I704" s="2"/>
    </row>
    <row r="705" spans="1:9">
      <c r="A705" s="2"/>
      <c r="B705" s="2"/>
      <c r="C705" s="2"/>
      <c r="D705" s="2"/>
      <c r="E705" s="2"/>
      <c r="F705" s="2"/>
      <c r="G705" s="2"/>
      <c r="H705" s="2"/>
      <c r="I705" s="2"/>
    </row>
    <row r="706" spans="1:9">
      <c r="A706" s="2"/>
      <c r="B706" s="2"/>
      <c r="C706" s="2"/>
      <c r="D706" s="2"/>
      <c r="E706" s="2"/>
      <c r="F706" s="2"/>
      <c r="G706" s="2"/>
      <c r="H706" s="2"/>
      <c r="I706" s="2"/>
    </row>
    <row r="707" spans="1:9">
      <c r="A707" s="2"/>
      <c r="B707" s="2"/>
      <c r="C707" s="2"/>
      <c r="D707" s="2"/>
      <c r="E707" s="2"/>
      <c r="F707" s="2"/>
      <c r="G707" s="2"/>
      <c r="H707" s="2"/>
      <c r="I707" s="2"/>
    </row>
    <row r="708" spans="1:9">
      <c r="A708" s="2"/>
      <c r="B708" s="2"/>
      <c r="C708" s="2"/>
      <c r="D708" s="2"/>
      <c r="E708" s="2"/>
      <c r="F708" s="2"/>
      <c r="G708" s="2"/>
      <c r="H708" s="2"/>
      <c r="I708" s="2"/>
    </row>
    <row r="709" spans="1:9">
      <c r="A709" s="2"/>
      <c r="B709" s="2"/>
      <c r="C709" s="2"/>
      <c r="D709" s="2"/>
      <c r="E709" s="2"/>
      <c r="F709" s="2"/>
      <c r="G709" s="2"/>
      <c r="H709" s="2"/>
      <c r="I709" s="2"/>
    </row>
    <row r="710" spans="1:9">
      <c r="A710" s="2"/>
      <c r="B710" s="2"/>
      <c r="C710" s="2"/>
      <c r="D710" s="2"/>
      <c r="E710" s="2"/>
      <c r="F710" s="2"/>
      <c r="G710" s="2"/>
      <c r="H710" s="2"/>
      <c r="I710" s="2"/>
    </row>
    <row r="711" spans="1:9">
      <c r="A711" s="2"/>
      <c r="B711" s="2"/>
      <c r="C711" s="2"/>
      <c r="D711" s="2"/>
      <c r="E711" s="2"/>
      <c r="F711" s="2"/>
      <c r="G711" s="2"/>
      <c r="H711" s="2"/>
      <c r="I711" s="2"/>
    </row>
    <row r="712" spans="1:9">
      <c r="A712" s="2"/>
      <c r="B712" s="2"/>
      <c r="C712" s="2"/>
      <c r="D712" s="2"/>
      <c r="E712" s="2"/>
      <c r="F712" s="2"/>
      <c r="G712" s="2"/>
      <c r="H712" s="2"/>
      <c r="I712" s="2"/>
    </row>
    <row r="713" spans="1:9">
      <c r="A713" s="2"/>
      <c r="B713" s="2"/>
      <c r="C713" s="2"/>
      <c r="D713" s="2"/>
      <c r="E713" s="2"/>
      <c r="F713" s="2"/>
      <c r="G713" s="2"/>
      <c r="H713" s="2"/>
      <c r="I713" s="2"/>
    </row>
    <row r="714" spans="1:9">
      <c r="A714" s="2"/>
      <c r="B714" s="2"/>
      <c r="C714" s="2"/>
      <c r="D714" s="2"/>
      <c r="E714" s="2"/>
      <c r="F714" s="2"/>
      <c r="G714" s="2"/>
      <c r="H714" s="2"/>
      <c r="I714" s="2"/>
    </row>
    <row r="715" spans="1:9">
      <c r="A715" s="2"/>
      <c r="B715" s="2"/>
      <c r="C715" s="2"/>
      <c r="D715" s="2"/>
      <c r="E715" s="2"/>
      <c r="F715" s="2"/>
      <c r="G715" s="2"/>
      <c r="H715" s="2"/>
      <c r="I715" s="2"/>
    </row>
    <row r="716" spans="1:9">
      <c r="A716" s="2"/>
      <c r="B716" s="2"/>
      <c r="C716" s="2"/>
      <c r="D716" s="2"/>
      <c r="E716" s="2"/>
      <c r="F716" s="2"/>
      <c r="G716" s="2"/>
      <c r="H716" s="2"/>
      <c r="I716" s="2"/>
    </row>
    <row r="717" spans="1:9">
      <c r="A717" s="2"/>
      <c r="B717" s="2"/>
      <c r="C717" s="2"/>
      <c r="D717" s="2"/>
      <c r="E717" s="2"/>
      <c r="F717" s="2"/>
      <c r="G717" s="2"/>
      <c r="H717" s="2"/>
      <c r="I717" s="2"/>
    </row>
    <row r="718" spans="1:9">
      <c r="A718" s="2"/>
      <c r="B718" s="2"/>
      <c r="C718" s="2"/>
      <c r="D718" s="2"/>
      <c r="E718" s="2"/>
      <c r="F718" s="2"/>
      <c r="G718" s="2"/>
      <c r="H718" s="2"/>
      <c r="I718" s="2"/>
    </row>
    <row r="719" spans="1:9">
      <c r="A719" s="2"/>
      <c r="B719" s="2"/>
      <c r="C719" s="2"/>
      <c r="D719" s="2"/>
      <c r="E719" s="2"/>
      <c r="F719" s="2"/>
      <c r="G719" s="2"/>
      <c r="H719" s="2"/>
      <c r="I719" s="2"/>
    </row>
    <row r="720" spans="1:9">
      <c r="A720" s="2"/>
      <c r="B720" s="2"/>
      <c r="C720" s="2"/>
      <c r="D720" s="2"/>
      <c r="E720" s="2"/>
      <c r="F720" s="2"/>
      <c r="G720" s="2"/>
      <c r="H720" s="2"/>
      <c r="I720" s="2"/>
    </row>
    <row r="721" spans="1:9">
      <c r="A721" s="2"/>
      <c r="B721" s="2"/>
      <c r="C721" s="2"/>
      <c r="D721" s="2"/>
      <c r="E721" s="2"/>
      <c r="F721" s="2"/>
      <c r="G721" s="2"/>
      <c r="H721" s="2"/>
      <c r="I721" s="2"/>
    </row>
    <row r="722" spans="1:9">
      <c r="A722" s="2"/>
      <c r="B722" s="2"/>
      <c r="C722" s="2"/>
      <c r="D722" s="2"/>
      <c r="E722" s="2"/>
      <c r="F722" s="2"/>
      <c r="G722" s="2"/>
      <c r="H722" s="2"/>
      <c r="I722" s="2"/>
    </row>
    <row r="723" spans="1:9">
      <c r="A723" s="2"/>
      <c r="B723" s="2"/>
      <c r="C723" s="2"/>
      <c r="D723" s="2"/>
      <c r="E723" s="2"/>
      <c r="F723" s="2"/>
      <c r="G723" s="2"/>
      <c r="H723" s="2"/>
      <c r="I723" s="2"/>
    </row>
    <row r="724" spans="1:9">
      <c r="A724" s="2"/>
      <c r="B724" s="2"/>
      <c r="C724" s="2"/>
      <c r="D724" s="2"/>
      <c r="E724" s="2"/>
      <c r="F724" s="2"/>
      <c r="G724" s="2"/>
      <c r="H724" s="2"/>
      <c r="I724" s="2"/>
    </row>
    <row r="725" spans="1:9">
      <c r="A725" s="2"/>
      <c r="B725" s="2"/>
      <c r="C725" s="2"/>
      <c r="D725" s="2"/>
      <c r="E725" s="2"/>
      <c r="F725" s="2"/>
      <c r="G725" s="2"/>
      <c r="H725" s="2"/>
      <c r="I725" s="2"/>
    </row>
    <row r="726" spans="1:9">
      <c r="A726" s="2"/>
      <c r="B726" s="2"/>
      <c r="C726" s="2"/>
      <c r="D726" s="2"/>
      <c r="E726" s="2"/>
      <c r="F726" s="2"/>
      <c r="G726" s="2"/>
      <c r="H726" s="2"/>
      <c r="I726" s="2"/>
    </row>
    <row r="727" spans="1:9">
      <c r="A727" s="2"/>
      <c r="B727" s="2"/>
      <c r="C727" s="2"/>
      <c r="D727" s="2"/>
      <c r="E727" s="2"/>
      <c r="F727" s="2"/>
      <c r="G727" s="2"/>
      <c r="H727" s="2"/>
      <c r="I727" s="2"/>
    </row>
    <row r="728" spans="1:9">
      <c r="A728" s="2"/>
      <c r="B728" s="2"/>
      <c r="C728" s="2"/>
      <c r="D728" s="2"/>
      <c r="E728" s="2"/>
      <c r="F728" s="2"/>
      <c r="G728" s="2"/>
      <c r="H728" s="2"/>
      <c r="I728" s="2"/>
    </row>
    <row r="729" spans="1:9">
      <c r="A729" s="2"/>
      <c r="B729" s="2"/>
      <c r="C729" s="2"/>
      <c r="D729" s="2"/>
      <c r="E729" s="2"/>
      <c r="F729" s="2"/>
      <c r="G729" s="2"/>
      <c r="H729" s="2"/>
      <c r="I729" s="2"/>
    </row>
    <row r="730" spans="1:9">
      <c r="A730" s="2"/>
      <c r="B730" s="2"/>
      <c r="C730" s="2"/>
      <c r="D730" s="2"/>
      <c r="E730" s="2"/>
      <c r="F730" s="2"/>
      <c r="G730" s="2"/>
      <c r="H730" s="2"/>
      <c r="I730" s="2"/>
    </row>
    <row r="731" spans="1:9">
      <c r="A731" s="2"/>
      <c r="B731" s="2"/>
      <c r="C731" s="2"/>
      <c r="D731" s="2"/>
      <c r="E731" s="2"/>
      <c r="F731" s="2"/>
      <c r="G731" s="2"/>
      <c r="H731" s="2"/>
      <c r="I731" s="2"/>
    </row>
    <row r="732" spans="1:9">
      <c r="A732" s="2"/>
      <c r="B732" s="2"/>
      <c r="C732" s="2"/>
      <c r="D732" s="2"/>
      <c r="E732" s="2"/>
      <c r="F732" s="2"/>
      <c r="G732" s="2"/>
      <c r="H732" s="2"/>
      <c r="I732" s="2"/>
    </row>
    <row r="733" spans="1:9">
      <c r="A733" s="2"/>
      <c r="B733" s="2"/>
      <c r="C733" s="2"/>
      <c r="D733" s="2"/>
      <c r="E733" s="2"/>
      <c r="F733" s="2"/>
      <c r="G733" s="2"/>
      <c r="H733" s="2"/>
      <c r="I733" s="2"/>
    </row>
    <row r="734" spans="1:9">
      <c r="A734" s="2"/>
      <c r="B734" s="2"/>
      <c r="C734" s="2"/>
      <c r="D734" s="2"/>
      <c r="E734" s="2"/>
      <c r="F734" s="2"/>
      <c r="G734" s="2"/>
      <c r="H734" s="2"/>
      <c r="I734" s="2"/>
    </row>
    <row r="735" spans="1:9">
      <c r="A735" s="2"/>
      <c r="B735" s="2"/>
      <c r="C735" s="2"/>
      <c r="D735" s="2"/>
      <c r="E735" s="2"/>
      <c r="F735" s="2"/>
      <c r="G735" s="2"/>
      <c r="H735" s="2"/>
      <c r="I735" s="2"/>
    </row>
    <row r="736" spans="1:9">
      <c r="A736" s="2"/>
      <c r="B736" s="2"/>
      <c r="C736" s="2"/>
      <c r="D736" s="2"/>
      <c r="E736" s="2"/>
      <c r="F736" s="2"/>
      <c r="G736" s="2"/>
      <c r="H736" s="2"/>
      <c r="I736" s="2"/>
    </row>
    <row r="737" spans="1:9">
      <c r="A737" s="2"/>
      <c r="B737" s="2"/>
      <c r="C737" s="2"/>
      <c r="D737" s="2"/>
      <c r="E737" s="2"/>
      <c r="F737" s="2"/>
      <c r="G737" s="2"/>
      <c r="H737" s="2"/>
      <c r="I737" s="2"/>
    </row>
    <row r="738" spans="1:9">
      <c r="A738" s="2"/>
      <c r="B738" s="2"/>
      <c r="C738" s="2"/>
      <c r="D738" s="2"/>
      <c r="E738" s="2"/>
      <c r="F738" s="2"/>
      <c r="G738" s="2"/>
      <c r="H738" s="2"/>
      <c r="I738" s="2"/>
    </row>
    <row r="739" spans="1:9">
      <c r="A739" s="2"/>
      <c r="B739" s="2"/>
      <c r="C739" s="2"/>
      <c r="D739" s="2"/>
      <c r="E739" s="2"/>
      <c r="F739" s="2"/>
      <c r="G739" s="2"/>
      <c r="H739" s="2"/>
      <c r="I739" s="2"/>
    </row>
    <row r="740" spans="1:9">
      <c r="A740" s="2"/>
      <c r="B740" s="2"/>
      <c r="C740" s="2"/>
      <c r="D740" s="2"/>
      <c r="E740" s="2"/>
      <c r="F740" s="2"/>
      <c r="G740" s="2"/>
      <c r="H740" s="2"/>
      <c r="I740" s="2"/>
    </row>
    <row r="741" spans="1:9">
      <c r="A741" s="2"/>
      <c r="B741" s="2"/>
      <c r="C741" s="2"/>
      <c r="D741" s="2"/>
      <c r="E741" s="2"/>
      <c r="F741" s="2"/>
      <c r="G741" s="2"/>
      <c r="H741" s="2"/>
      <c r="I741" s="2"/>
    </row>
    <row r="742" spans="1:9">
      <c r="A742" s="2"/>
      <c r="B742" s="2"/>
      <c r="C742" s="2"/>
      <c r="D742" s="2"/>
      <c r="E742" s="2"/>
      <c r="F742" s="2"/>
      <c r="G742" s="2"/>
      <c r="H742" s="2"/>
      <c r="I742" s="2"/>
    </row>
    <row r="743" spans="1:9">
      <c r="A743" s="2"/>
      <c r="B743" s="2"/>
      <c r="C743" s="2"/>
      <c r="D743" s="2"/>
      <c r="E743" s="2"/>
      <c r="F743" s="2"/>
      <c r="G743" s="2"/>
      <c r="H743" s="2"/>
      <c r="I743" s="2"/>
    </row>
    <row r="744" spans="1:9">
      <c r="A744" s="2"/>
      <c r="B744" s="2"/>
      <c r="C744" s="2"/>
      <c r="D744" s="2"/>
      <c r="E744" s="2"/>
      <c r="F744" s="2"/>
      <c r="G744" s="2"/>
      <c r="H744" s="2"/>
      <c r="I744" s="2"/>
    </row>
    <row r="745" spans="1:9">
      <c r="A745" s="2"/>
      <c r="B745" s="2"/>
      <c r="C745" s="2"/>
      <c r="D745" s="2"/>
      <c r="E745" s="2"/>
      <c r="F745" s="2"/>
      <c r="G745" s="2"/>
      <c r="H745" s="2"/>
      <c r="I745" s="2"/>
    </row>
    <row r="746" spans="1:9">
      <c r="A746" s="2"/>
      <c r="B746" s="2"/>
      <c r="C746" s="2"/>
      <c r="D746" s="2"/>
      <c r="E746" s="2"/>
      <c r="F746" s="2"/>
      <c r="G746" s="2"/>
      <c r="H746" s="2"/>
      <c r="I746" s="2"/>
    </row>
    <row r="747" spans="1:9">
      <c r="A747" s="2"/>
      <c r="B747" s="2"/>
      <c r="C747" s="2"/>
      <c r="D747" s="2"/>
      <c r="E747" s="2"/>
      <c r="F747" s="2"/>
      <c r="G747" s="2"/>
      <c r="H747" s="2"/>
      <c r="I747" s="2"/>
    </row>
    <row r="748" spans="1:9">
      <c r="A748" s="2"/>
      <c r="B748" s="2"/>
      <c r="C748" s="2"/>
      <c r="D748" s="2"/>
      <c r="E748" s="2"/>
      <c r="F748" s="2"/>
      <c r="G748" s="2"/>
      <c r="H748" s="2"/>
      <c r="I748" s="2"/>
    </row>
    <row r="749" spans="1:9">
      <c r="A749" s="2"/>
      <c r="B749" s="2"/>
      <c r="C749" s="2"/>
      <c r="D749" s="2"/>
      <c r="E749" s="2"/>
      <c r="F749" s="2"/>
      <c r="G749" s="2"/>
      <c r="H749" s="2"/>
      <c r="I749" s="2"/>
    </row>
    <row r="750" spans="1:9">
      <c r="A750" s="2"/>
      <c r="B750" s="2"/>
      <c r="C750" s="2"/>
      <c r="D750" s="2"/>
      <c r="E750" s="2"/>
      <c r="F750" s="2"/>
      <c r="G750" s="2"/>
      <c r="H750" s="2"/>
      <c r="I750" s="2"/>
    </row>
    <row r="751" spans="1:9">
      <c r="A751" s="2"/>
      <c r="B751" s="2"/>
      <c r="C751" s="2"/>
      <c r="D751" s="2"/>
      <c r="E751" s="2"/>
      <c r="F751" s="2"/>
      <c r="G751" s="2"/>
      <c r="H751" s="2"/>
      <c r="I751" s="2"/>
    </row>
    <row r="752" spans="1:9">
      <c r="A752" s="2"/>
      <c r="B752" s="2"/>
      <c r="C752" s="2"/>
      <c r="D752" s="2"/>
      <c r="E752" s="2"/>
      <c r="F752" s="2"/>
      <c r="G752" s="2"/>
      <c r="H752" s="2"/>
      <c r="I752" s="2"/>
    </row>
    <row r="753" spans="1:9">
      <c r="A753" s="2"/>
      <c r="B753" s="2"/>
      <c r="C753" s="2"/>
      <c r="D753" s="2"/>
      <c r="E753" s="2"/>
      <c r="F753" s="2"/>
      <c r="G753" s="2"/>
      <c r="H753" s="2"/>
      <c r="I753" s="2"/>
    </row>
    <row r="754" spans="1:9">
      <c r="A754" s="2"/>
      <c r="B754" s="2"/>
      <c r="C754" s="2"/>
      <c r="D754" s="2"/>
      <c r="E754" s="2"/>
      <c r="F754" s="2"/>
      <c r="G754" s="2"/>
      <c r="H754" s="2"/>
      <c r="I754" s="2"/>
    </row>
    <row r="755" spans="1:9">
      <c r="A755" s="2"/>
      <c r="B755" s="2"/>
      <c r="C755" s="2"/>
      <c r="D755" s="2"/>
      <c r="E755" s="2"/>
      <c r="F755" s="2"/>
      <c r="G755" s="2"/>
      <c r="H755" s="2"/>
      <c r="I755" s="2"/>
    </row>
    <row r="756" spans="1:9">
      <c r="A756" s="2"/>
      <c r="B756" s="2"/>
      <c r="C756" s="2"/>
      <c r="D756" s="2"/>
      <c r="E756" s="2"/>
      <c r="F756" s="2"/>
      <c r="G756" s="2"/>
      <c r="H756" s="2"/>
      <c r="I756" s="2"/>
    </row>
    <row r="757" spans="1:9">
      <c r="A757" s="2"/>
      <c r="B757" s="2"/>
      <c r="C757" s="2"/>
      <c r="D757" s="2"/>
      <c r="E757" s="2"/>
      <c r="F757" s="2"/>
      <c r="G757" s="2"/>
      <c r="H757" s="2"/>
      <c r="I757" s="2"/>
    </row>
    <row r="758" spans="1:9">
      <c r="A758" s="2"/>
      <c r="B758" s="2"/>
      <c r="C758" s="2"/>
      <c r="D758" s="2"/>
      <c r="E758" s="2"/>
      <c r="F758" s="2"/>
      <c r="G758" s="2"/>
      <c r="H758" s="2"/>
      <c r="I758" s="2"/>
    </row>
    <row r="759" spans="1:9">
      <c r="A759" s="2"/>
      <c r="B759" s="2"/>
      <c r="C759" s="2"/>
      <c r="D759" s="2"/>
      <c r="E759" s="2"/>
      <c r="F759" s="2"/>
      <c r="G759" s="2"/>
      <c r="H759" s="2"/>
      <c r="I759" s="2"/>
    </row>
    <row r="760" spans="1:9">
      <c r="A760" s="2"/>
      <c r="B760" s="2"/>
      <c r="C760" s="2"/>
      <c r="D760" s="2"/>
      <c r="E760" s="2"/>
      <c r="F760" s="2"/>
      <c r="G760" s="2"/>
      <c r="H760" s="2"/>
      <c r="I760" s="2"/>
    </row>
    <row r="761" spans="1:9">
      <c r="A761" s="2"/>
      <c r="B761" s="2"/>
      <c r="C761" s="2"/>
      <c r="D761" s="2"/>
      <c r="E761" s="2"/>
      <c r="F761" s="2"/>
      <c r="G761" s="2"/>
      <c r="H761" s="2"/>
      <c r="I761" s="2"/>
    </row>
    <row r="762" spans="1:9">
      <c r="A762" s="2"/>
      <c r="B762" s="2"/>
      <c r="C762" s="2"/>
      <c r="D762" s="2"/>
      <c r="E762" s="2"/>
      <c r="F762" s="2"/>
      <c r="G762" s="2"/>
      <c r="H762" s="2"/>
      <c r="I762" s="2"/>
    </row>
    <row r="763" spans="1:9">
      <c r="A763" s="2"/>
      <c r="B763" s="2"/>
      <c r="C763" s="2"/>
      <c r="D763" s="2"/>
      <c r="E763" s="2"/>
      <c r="F763" s="2"/>
      <c r="G763" s="2"/>
      <c r="H763" s="2"/>
      <c r="I763" s="2"/>
    </row>
    <row r="764" spans="1:9">
      <c r="A764" s="2"/>
      <c r="B764" s="2"/>
      <c r="C764" s="2"/>
      <c r="D764" s="2"/>
      <c r="E764" s="2"/>
      <c r="F764" s="2"/>
      <c r="G764" s="2"/>
      <c r="H764" s="2"/>
      <c r="I764" s="2"/>
    </row>
    <row r="765" spans="1:9">
      <c r="A765" s="2"/>
      <c r="B765" s="2"/>
      <c r="C765" s="2"/>
      <c r="D765" s="2"/>
      <c r="E765" s="2"/>
      <c r="F765" s="2"/>
      <c r="G765" s="2"/>
      <c r="H765" s="2"/>
      <c r="I765" s="2"/>
    </row>
    <row r="766" spans="1:9">
      <c r="A766" s="2"/>
      <c r="B766" s="2"/>
      <c r="C766" s="2"/>
      <c r="D766" s="2"/>
      <c r="E766" s="2"/>
      <c r="F766" s="2"/>
      <c r="G766" s="2"/>
      <c r="H766" s="2"/>
      <c r="I766" s="2"/>
    </row>
    <row r="767" spans="1:9">
      <c r="A767" s="2"/>
      <c r="B767" s="2"/>
      <c r="C767" s="2"/>
      <c r="D767" s="2"/>
      <c r="E767" s="2"/>
      <c r="F767" s="2"/>
      <c r="G767" s="2"/>
      <c r="H767" s="2"/>
      <c r="I767" s="2"/>
    </row>
    <row r="768" spans="1:9">
      <c r="A768" s="2"/>
      <c r="B768" s="2"/>
      <c r="C768" s="2"/>
      <c r="D768" s="2"/>
      <c r="E768" s="2"/>
      <c r="F768" s="2"/>
      <c r="G768" s="2"/>
      <c r="H768" s="2"/>
      <c r="I768" s="2"/>
    </row>
    <row r="769" spans="1:9">
      <c r="A769" s="2"/>
      <c r="B769" s="2"/>
      <c r="C769" s="2"/>
      <c r="D769" s="2"/>
      <c r="E769" s="2"/>
      <c r="F769" s="2"/>
      <c r="G769" s="2"/>
      <c r="H769" s="2"/>
      <c r="I769" s="2"/>
    </row>
    <row r="770" spans="1:9">
      <c r="A770" s="2"/>
      <c r="B770" s="2"/>
      <c r="C770" s="2"/>
      <c r="D770" s="2"/>
      <c r="E770" s="2"/>
      <c r="F770" s="2"/>
      <c r="G770" s="2"/>
      <c r="H770" s="2"/>
      <c r="I770" s="2"/>
    </row>
    <row r="771" spans="1:9">
      <c r="A771" s="2"/>
      <c r="B771" s="2"/>
      <c r="C771" s="2"/>
      <c r="D771" s="2"/>
      <c r="E771" s="2"/>
      <c r="F771" s="2"/>
      <c r="G771" s="2"/>
      <c r="H771" s="2"/>
      <c r="I771" s="2"/>
    </row>
    <row r="772" spans="1:9">
      <c r="A772" s="2"/>
      <c r="B772" s="2"/>
      <c r="C772" s="2"/>
      <c r="D772" s="2"/>
      <c r="E772" s="2"/>
      <c r="F772" s="2"/>
      <c r="G772" s="2"/>
      <c r="H772" s="2"/>
      <c r="I772" s="2"/>
    </row>
    <row r="773" spans="1:9">
      <c r="A773" s="2"/>
      <c r="B773" s="2"/>
      <c r="C773" s="2"/>
      <c r="D773" s="2"/>
      <c r="E773" s="2"/>
      <c r="F773" s="2"/>
      <c r="G773" s="2"/>
      <c r="H773" s="2"/>
      <c r="I773" s="2"/>
    </row>
    <row r="774" spans="1:9">
      <c r="A774" s="2"/>
      <c r="B774" s="2"/>
      <c r="C774" s="2"/>
      <c r="D774" s="2"/>
      <c r="E774" s="2"/>
      <c r="F774" s="2"/>
      <c r="G774" s="2"/>
      <c r="H774" s="2"/>
      <c r="I774" s="2"/>
    </row>
    <row r="775" spans="1:9">
      <c r="A775" s="2"/>
      <c r="B775" s="2"/>
      <c r="C775" s="2"/>
      <c r="D775" s="2"/>
      <c r="E775" s="2"/>
      <c r="F775" s="2"/>
      <c r="G775" s="2"/>
      <c r="H775" s="2"/>
      <c r="I775" s="2"/>
    </row>
    <row r="776" spans="1:9">
      <c r="A776" s="2"/>
      <c r="B776" s="2"/>
      <c r="C776" s="2"/>
      <c r="D776" s="2"/>
      <c r="E776" s="2"/>
      <c r="F776" s="2"/>
      <c r="G776" s="2"/>
      <c r="H776" s="2"/>
      <c r="I776" s="2"/>
    </row>
    <row r="777" spans="1:9">
      <c r="A777" s="2"/>
      <c r="B777" s="2"/>
      <c r="C777" s="2"/>
      <c r="D777" s="2"/>
      <c r="E777" s="2"/>
      <c r="F777" s="2"/>
      <c r="G777" s="2"/>
      <c r="H777" s="2"/>
      <c r="I777" s="2"/>
    </row>
    <row r="778" spans="1:9">
      <c r="A778" s="2"/>
      <c r="B778" s="2"/>
      <c r="C778" s="2"/>
      <c r="D778" s="2"/>
      <c r="E778" s="2"/>
      <c r="F778" s="2"/>
      <c r="G778" s="2"/>
      <c r="H778" s="2"/>
      <c r="I778" s="2"/>
    </row>
    <row r="779" spans="1:9">
      <c r="A779" s="2"/>
      <c r="B779" s="2"/>
      <c r="C779" s="2"/>
      <c r="D779" s="2"/>
      <c r="E779" s="2"/>
      <c r="F779" s="2"/>
      <c r="G779" s="2"/>
      <c r="H779" s="2"/>
      <c r="I779" s="2"/>
    </row>
    <row r="780" spans="1:9">
      <c r="A780" s="2"/>
      <c r="B780" s="2"/>
      <c r="C780" s="2"/>
      <c r="D780" s="2"/>
      <c r="E780" s="2"/>
      <c r="F780" s="2"/>
      <c r="G780" s="2"/>
      <c r="H780" s="2"/>
      <c r="I780" s="2"/>
    </row>
    <row r="781" spans="1:9">
      <c r="A781" s="2"/>
      <c r="B781" s="2"/>
      <c r="C781" s="2"/>
      <c r="D781" s="2"/>
      <c r="E781" s="2"/>
      <c r="F781" s="2"/>
      <c r="G781" s="2"/>
      <c r="H781" s="2"/>
      <c r="I781" s="2"/>
    </row>
    <row r="782" spans="1:9">
      <c r="A782" s="2"/>
      <c r="B782" s="2"/>
      <c r="C782" s="2"/>
      <c r="D782" s="2"/>
      <c r="E782" s="2"/>
      <c r="F782" s="2"/>
      <c r="G782" s="2"/>
      <c r="H782" s="2"/>
      <c r="I782" s="2"/>
    </row>
    <row r="783" spans="1:9">
      <c r="A783" s="2"/>
      <c r="B783" s="2"/>
      <c r="C783" s="2"/>
      <c r="D783" s="2"/>
      <c r="E783" s="2"/>
      <c r="F783" s="2"/>
      <c r="G783" s="2"/>
      <c r="H783" s="2"/>
      <c r="I783" s="2"/>
    </row>
    <row r="784" spans="1:9">
      <c r="A784" s="2"/>
      <c r="B784" s="2"/>
      <c r="C784" s="2"/>
      <c r="D784" s="2"/>
      <c r="E784" s="2"/>
      <c r="F784" s="2"/>
      <c r="G784" s="2"/>
      <c r="H784" s="2"/>
      <c r="I784" s="2"/>
    </row>
    <row r="785" spans="1:9">
      <c r="A785" s="2"/>
      <c r="B785" s="2"/>
      <c r="C785" s="2"/>
      <c r="D785" s="2"/>
      <c r="E785" s="2"/>
      <c r="F785" s="2"/>
      <c r="G785" s="2"/>
      <c r="H785" s="2"/>
      <c r="I785" s="2"/>
    </row>
    <row r="786" spans="1:9">
      <c r="A786" s="2"/>
      <c r="B786" s="2"/>
      <c r="C786" s="2"/>
      <c r="D786" s="2"/>
      <c r="E786" s="2"/>
      <c r="F786" s="2"/>
      <c r="G786" s="2"/>
      <c r="H786" s="2"/>
      <c r="I786" s="2"/>
    </row>
    <row r="787" spans="1:9">
      <c r="A787" s="2"/>
      <c r="B787" s="2"/>
      <c r="C787" s="2"/>
      <c r="D787" s="2"/>
      <c r="E787" s="2"/>
      <c r="F787" s="2"/>
      <c r="G787" s="2"/>
      <c r="H787" s="2"/>
      <c r="I787" s="2"/>
    </row>
    <row r="788" spans="1:9">
      <c r="A788" s="2"/>
      <c r="B788" s="2"/>
      <c r="C788" s="2"/>
      <c r="D788" s="2"/>
      <c r="E788" s="2"/>
      <c r="F788" s="2"/>
      <c r="G788" s="2"/>
      <c r="H788" s="2"/>
      <c r="I788" s="2"/>
    </row>
    <row r="789" spans="1:9">
      <c r="A789" s="2"/>
      <c r="B789" s="2"/>
      <c r="C789" s="2"/>
      <c r="D789" s="2"/>
      <c r="E789" s="2"/>
      <c r="F789" s="2"/>
      <c r="G789" s="2"/>
      <c r="H789" s="2"/>
      <c r="I789" s="2"/>
    </row>
    <row r="790" spans="1:9">
      <c r="A790" s="2"/>
      <c r="B790" s="2"/>
      <c r="C790" s="2"/>
      <c r="D790" s="2"/>
      <c r="E790" s="2"/>
      <c r="F790" s="2"/>
      <c r="G790" s="2"/>
      <c r="H790" s="2"/>
      <c r="I790" s="2"/>
    </row>
    <row r="791" spans="1:9">
      <c r="A791" s="2"/>
      <c r="B791" s="2"/>
      <c r="C791" s="2"/>
      <c r="D791" s="2"/>
      <c r="E791" s="2"/>
      <c r="F791" s="2"/>
      <c r="G791" s="2"/>
      <c r="H791" s="2"/>
      <c r="I791" s="2"/>
    </row>
    <row r="792" spans="1:9">
      <c r="A792" s="2"/>
      <c r="B792" s="2"/>
      <c r="C792" s="2"/>
      <c r="D792" s="2"/>
      <c r="E792" s="2"/>
      <c r="F792" s="2"/>
      <c r="G792" s="2"/>
      <c r="H792" s="2"/>
      <c r="I792" s="2"/>
    </row>
    <row r="793" spans="1:9">
      <c r="A793" s="2"/>
      <c r="B793" s="2"/>
      <c r="C793" s="2"/>
      <c r="D793" s="2"/>
      <c r="E793" s="2"/>
      <c r="F793" s="2"/>
      <c r="G793" s="2"/>
      <c r="H793" s="2"/>
      <c r="I793" s="2"/>
    </row>
    <row r="794" spans="1:9">
      <c r="A794" s="2"/>
      <c r="B794" s="2"/>
      <c r="C794" s="2"/>
      <c r="D794" s="2"/>
      <c r="E794" s="2"/>
      <c r="F794" s="2"/>
      <c r="G794" s="2"/>
      <c r="H794" s="2"/>
      <c r="I794" s="2"/>
    </row>
    <row r="795" spans="1:9">
      <c r="A795" s="2"/>
      <c r="B795" s="2"/>
      <c r="C795" s="2"/>
      <c r="D795" s="2"/>
      <c r="E795" s="2"/>
      <c r="F795" s="2"/>
      <c r="G795" s="2"/>
      <c r="H795" s="2"/>
      <c r="I795" s="2"/>
    </row>
    <row r="796" spans="1:9">
      <c r="A796" s="2"/>
      <c r="B796" s="2"/>
      <c r="C796" s="2"/>
      <c r="D796" s="2"/>
      <c r="E796" s="2"/>
      <c r="F796" s="2"/>
      <c r="G796" s="2"/>
      <c r="H796" s="2"/>
      <c r="I796" s="2"/>
    </row>
    <row r="797" spans="1:9">
      <c r="A797" s="2"/>
      <c r="B797" s="2"/>
      <c r="C797" s="2"/>
      <c r="D797" s="2"/>
      <c r="E797" s="2"/>
      <c r="F797" s="2"/>
      <c r="G797" s="2"/>
      <c r="H797" s="2"/>
      <c r="I797" s="2"/>
    </row>
    <row r="798" spans="1:9">
      <c r="A798" s="2"/>
      <c r="B798" s="2"/>
      <c r="C798" s="2"/>
      <c r="D798" s="2"/>
      <c r="E798" s="2"/>
      <c r="F798" s="2"/>
      <c r="G798" s="2"/>
      <c r="H798" s="2"/>
      <c r="I798" s="2"/>
    </row>
    <row r="799" spans="1:9">
      <c r="A799" s="2"/>
      <c r="B799" s="2"/>
      <c r="C799" s="2"/>
      <c r="D799" s="2"/>
      <c r="E799" s="2"/>
      <c r="F799" s="2"/>
      <c r="G799" s="2"/>
      <c r="H799" s="2"/>
      <c r="I799" s="2"/>
    </row>
    <row r="800" spans="1:9">
      <c r="A800" s="2"/>
      <c r="B800" s="2"/>
      <c r="C800" s="2"/>
      <c r="D800" s="2"/>
      <c r="E800" s="2"/>
      <c r="F800" s="2"/>
      <c r="G800" s="2"/>
      <c r="H800" s="2"/>
      <c r="I800" s="2"/>
    </row>
    <row r="801" spans="1:9">
      <c r="A801" s="2"/>
      <c r="B801" s="2"/>
      <c r="C801" s="2"/>
      <c r="D801" s="2"/>
      <c r="E801" s="2"/>
      <c r="F801" s="2"/>
      <c r="G801" s="2"/>
      <c r="H801" s="2"/>
      <c r="I801" s="2"/>
    </row>
    <row r="802" spans="1:9">
      <c r="A802" s="2"/>
      <c r="B802" s="2"/>
      <c r="C802" s="2"/>
      <c r="D802" s="2"/>
      <c r="E802" s="2"/>
      <c r="F802" s="2"/>
      <c r="G802" s="2"/>
      <c r="H802" s="2"/>
      <c r="I802" s="2"/>
    </row>
    <row r="803" spans="1:9">
      <c r="A803" s="2"/>
      <c r="B803" s="2"/>
      <c r="C803" s="2"/>
      <c r="D803" s="2"/>
      <c r="E803" s="2"/>
      <c r="F803" s="2"/>
      <c r="G803" s="2"/>
      <c r="H803" s="2"/>
      <c r="I803" s="2"/>
    </row>
    <row r="804" spans="1:9">
      <c r="A804" s="2"/>
      <c r="B804" s="2"/>
      <c r="C804" s="2"/>
      <c r="D804" s="2"/>
      <c r="E804" s="2"/>
      <c r="F804" s="2"/>
      <c r="G804" s="2"/>
      <c r="H804" s="2"/>
      <c r="I804" s="2"/>
    </row>
    <row r="805" spans="1:9">
      <c r="A805" s="2"/>
      <c r="B805" s="2"/>
      <c r="C805" s="2"/>
      <c r="D805" s="2"/>
      <c r="E805" s="2"/>
      <c r="F805" s="2"/>
      <c r="G805" s="2"/>
      <c r="H805" s="2"/>
      <c r="I805" s="2"/>
    </row>
    <row r="806" spans="1:9">
      <c r="A806" s="2"/>
      <c r="B806" s="2"/>
      <c r="C806" s="2"/>
      <c r="D806" s="2"/>
      <c r="E806" s="2"/>
      <c r="F806" s="2"/>
      <c r="G806" s="2"/>
      <c r="H806" s="2"/>
      <c r="I806" s="2"/>
    </row>
    <row r="807" spans="1:9">
      <c r="A807" s="2"/>
      <c r="B807" s="2"/>
      <c r="C807" s="2"/>
      <c r="D807" s="2"/>
      <c r="E807" s="2"/>
      <c r="F807" s="2"/>
      <c r="G807" s="2"/>
      <c r="H807" s="2"/>
      <c r="I807" s="2"/>
    </row>
    <row r="808" spans="1:9">
      <c r="A808" s="2"/>
      <c r="B808" s="2"/>
      <c r="C808" s="2"/>
      <c r="D808" s="2"/>
      <c r="E808" s="2"/>
      <c r="F808" s="2"/>
      <c r="G808" s="2"/>
      <c r="H808" s="2"/>
      <c r="I808" s="2"/>
    </row>
    <row r="809" spans="1:9">
      <c r="A809" s="2"/>
      <c r="B809" s="2"/>
      <c r="C809" s="2"/>
      <c r="D809" s="2"/>
      <c r="E809" s="2"/>
      <c r="F809" s="2"/>
      <c r="G809" s="2"/>
      <c r="H809" s="2"/>
      <c r="I809" s="2"/>
    </row>
    <row r="810" spans="1:9">
      <c r="A810" s="2"/>
      <c r="B810" s="2"/>
      <c r="C810" s="2"/>
      <c r="D810" s="2"/>
      <c r="E810" s="2"/>
      <c r="F810" s="2"/>
      <c r="G810" s="2"/>
      <c r="H810" s="2"/>
      <c r="I810" s="2"/>
    </row>
    <row r="811" spans="1:9">
      <c r="A811" s="2"/>
      <c r="B811" s="2"/>
      <c r="C811" s="2"/>
      <c r="D811" s="2"/>
      <c r="E811" s="2"/>
      <c r="F811" s="2"/>
      <c r="G811" s="2"/>
      <c r="H811" s="2"/>
      <c r="I811" s="2"/>
    </row>
    <row r="812" spans="1:9">
      <c r="A812" s="2"/>
      <c r="B812" s="2"/>
      <c r="C812" s="2"/>
      <c r="D812" s="2"/>
      <c r="E812" s="2"/>
      <c r="F812" s="2"/>
      <c r="G812" s="2"/>
      <c r="H812" s="2"/>
      <c r="I812" s="2"/>
    </row>
    <row r="813" spans="1:9">
      <c r="A813" s="2"/>
      <c r="B813" s="2"/>
      <c r="C813" s="2"/>
      <c r="D813" s="2"/>
      <c r="E813" s="2"/>
      <c r="F813" s="2"/>
      <c r="G813" s="2"/>
      <c r="H813" s="2"/>
      <c r="I813" s="2"/>
    </row>
    <row r="814" spans="1:9">
      <c r="A814" s="2"/>
      <c r="B814" s="2"/>
      <c r="C814" s="2"/>
      <c r="D814" s="2"/>
      <c r="E814" s="2"/>
      <c r="F814" s="2"/>
      <c r="G814" s="2"/>
      <c r="H814" s="2"/>
      <c r="I814" s="2"/>
    </row>
    <row r="815" spans="1:9">
      <c r="A815" s="2"/>
      <c r="B815" s="2"/>
      <c r="C815" s="2"/>
      <c r="D815" s="2"/>
      <c r="E815" s="2"/>
      <c r="F815" s="2"/>
      <c r="G815" s="2"/>
      <c r="H815" s="2"/>
      <c r="I815" s="2"/>
    </row>
    <row r="816" spans="1:9">
      <c r="A816" s="2"/>
      <c r="B816" s="2"/>
      <c r="C816" s="2"/>
      <c r="D816" s="2"/>
      <c r="E816" s="2"/>
      <c r="F816" s="2"/>
      <c r="G816" s="2"/>
      <c r="H816" s="2"/>
      <c r="I816" s="2"/>
    </row>
    <row r="817" spans="1:9">
      <c r="A817" s="2"/>
      <c r="B817" s="2"/>
      <c r="C817" s="2"/>
      <c r="D817" s="2"/>
      <c r="E817" s="2"/>
      <c r="F817" s="2"/>
      <c r="G817" s="2"/>
      <c r="H817" s="2"/>
      <c r="I817" s="2"/>
    </row>
    <row r="818" spans="1:9">
      <c r="A818" s="2"/>
      <c r="B818" s="2"/>
      <c r="C818" s="2"/>
      <c r="D818" s="2"/>
      <c r="E818" s="2"/>
      <c r="F818" s="2"/>
      <c r="G818" s="2"/>
      <c r="H818" s="2"/>
      <c r="I818" s="2"/>
    </row>
    <row r="819" spans="1:9">
      <c r="A819" s="2"/>
      <c r="B819" s="2"/>
      <c r="C819" s="2"/>
      <c r="D819" s="2"/>
      <c r="E819" s="2"/>
      <c r="F819" s="2"/>
      <c r="G819" s="2"/>
      <c r="H819" s="2"/>
      <c r="I819" s="2"/>
    </row>
    <row r="820" spans="1:9">
      <c r="A820" s="2"/>
      <c r="B820" s="2"/>
      <c r="C820" s="2"/>
      <c r="D820" s="2"/>
      <c r="E820" s="2"/>
      <c r="F820" s="2"/>
      <c r="G820" s="2"/>
      <c r="H820" s="2"/>
      <c r="I820" s="2"/>
    </row>
    <row r="821" spans="1:9">
      <c r="A821" s="2"/>
      <c r="B821" s="2"/>
      <c r="C821" s="2"/>
      <c r="D821" s="2"/>
      <c r="E821" s="2"/>
      <c r="F821" s="2"/>
      <c r="G821" s="2"/>
      <c r="H821" s="2"/>
      <c r="I821" s="2"/>
    </row>
    <row r="822" spans="1:9">
      <c r="A822" s="2"/>
      <c r="B822" s="2"/>
      <c r="C822" s="2"/>
      <c r="D822" s="2"/>
      <c r="E822" s="2"/>
      <c r="F822" s="2"/>
      <c r="G822" s="2"/>
      <c r="H822" s="2"/>
      <c r="I822" s="2"/>
    </row>
    <row r="823" spans="1:9">
      <c r="A823" s="2"/>
      <c r="B823" s="2"/>
      <c r="C823" s="2"/>
      <c r="D823" s="2"/>
      <c r="E823" s="2"/>
      <c r="F823" s="2"/>
      <c r="G823" s="2"/>
      <c r="H823" s="2"/>
      <c r="I823" s="2"/>
    </row>
    <row r="824" spans="1:9">
      <c r="A824" s="2"/>
      <c r="B824" s="2"/>
      <c r="C824" s="2"/>
      <c r="D824" s="2"/>
      <c r="E824" s="2"/>
      <c r="F824" s="2"/>
      <c r="G824" s="2"/>
      <c r="H824" s="2"/>
      <c r="I824" s="2"/>
    </row>
    <row r="825" spans="1:9">
      <c r="A825" s="2"/>
      <c r="B825" s="2"/>
      <c r="C825" s="2"/>
      <c r="D825" s="2"/>
      <c r="E825" s="2"/>
      <c r="F825" s="2"/>
      <c r="G825" s="2"/>
      <c r="H825" s="2"/>
      <c r="I825" s="2"/>
    </row>
    <row r="826" spans="1:9">
      <c r="A826" s="2"/>
      <c r="B826" s="2"/>
      <c r="C826" s="2"/>
      <c r="D826" s="2"/>
      <c r="E826" s="2"/>
      <c r="F826" s="2"/>
      <c r="G826" s="2"/>
      <c r="H826" s="2"/>
      <c r="I826" s="2"/>
    </row>
    <row r="827" spans="1:9">
      <c r="A827" s="2"/>
      <c r="B827" s="2"/>
      <c r="C827" s="2"/>
      <c r="D827" s="2"/>
      <c r="E827" s="2"/>
      <c r="F827" s="2"/>
      <c r="G827" s="2"/>
      <c r="H827" s="2"/>
      <c r="I827" s="2"/>
    </row>
    <row r="828" spans="1:9">
      <c r="A828" s="2"/>
      <c r="B828" s="2"/>
      <c r="C828" s="2"/>
      <c r="D828" s="2"/>
      <c r="E828" s="2"/>
      <c r="F828" s="2"/>
      <c r="G828" s="2"/>
      <c r="H828" s="2"/>
      <c r="I828" s="2"/>
    </row>
    <row r="829" spans="1:9">
      <c r="A829" s="2"/>
      <c r="B829" s="2"/>
      <c r="C829" s="2"/>
      <c r="D829" s="2"/>
      <c r="E829" s="2"/>
      <c r="F829" s="2"/>
      <c r="G829" s="2"/>
      <c r="H829" s="2"/>
      <c r="I829" s="2"/>
    </row>
    <row r="830" spans="1:9">
      <c r="A830" s="2"/>
      <c r="B830" s="2"/>
      <c r="C830" s="2"/>
      <c r="D830" s="2"/>
      <c r="E830" s="2"/>
      <c r="F830" s="2"/>
      <c r="G830" s="2"/>
      <c r="H830" s="2"/>
      <c r="I830" s="2"/>
    </row>
    <row r="831" spans="1:9">
      <c r="A831" s="2"/>
      <c r="B831" s="2"/>
      <c r="C831" s="2"/>
      <c r="D831" s="2"/>
      <c r="E831" s="2"/>
      <c r="F831" s="2"/>
      <c r="G831" s="2"/>
      <c r="H831" s="2"/>
      <c r="I831" s="2"/>
    </row>
    <row r="832" spans="1:9">
      <c r="A832" s="2"/>
      <c r="B832" s="2"/>
      <c r="C832" s="2"/>
      <c r="D832" s="2"/>
      <c r="E832" s="2"/>
      <c r="F832" s="2"/>
      <c r="G832" s="2"/>
      <c r="H832" s="2"/>
      <c r="I832" s="2"/>
    </row>
    <row r="833" spans="1:9">
      <c r="A833" s="2"/>
      <c r="B833" s="2"/>
      <c r="C833" s="2"/>
      <c r="D833" s="2"/>
      <c r="E833" s="2"/>
      <c r="F833" s="2"/>
      <c r="G833" s="2"/>
      <c r="H833" s="2"/>
      <c r="I833" s="2"/>
    </row>
    <row r="834" spans="1:9">
      <c r="A834" s="2"/>
      <c r="B834" s="2"/>
      <c r="C834" s="2"/>
      <c r="D834" s="2"/>
      <c r="E834" s="2"/>
      <c r="F834" s="2"/>
      <c r="G834" s="2"/>
      <c r="H834" s="2"/>
      <c r="I834" s="2"/>
    </row>
    <row r="835" spans="1:9">
      <c r="A835" s="2"/>
      <c r="B835" s="2"/>
      <c r="C835" s="2"/>
      <c r="D835" s="2"/>
      <c r="E835" s="2"/>
      <c r="F835" s="2"/>
      <c r="G835" s="2"/>
      <c r="H835" s="2"/>
      <c r="I835" s="2"/>
    </row>
    <row r="836" spans="1:9">
      <c r="A836" s="2"/>
      <c r="B836" s="2"/>
      <c r="C836" s="2"/>
      <c r="D836" s="2"/>
      <c r="E836" s="2"/>
      <c r="F836" s="2"/>
      <c r="G836" s="2"/>
      <c r="H836" s="2"/>
      <c r="I836" s="2"/>
    </row>
    <row r="837" spans="1:9">
      <c r="A837" s="2"/>
      <c r="B837" s="2"/>
      <c r="C837" s="2"/>
      <c r="D837" s="2"/>
      <c r="E837" s="2"/>
      <c r="F837" s="2"/>
      <c r="G837" s="2"/>
      <c r="H837" s="2"/>
      <c r="I837" s="2"/>
    </row>
    <row r="838" spans="1:9">
      <c r="A838" s="2"/>
      <c r="B838" s="2"/>
      <c r="C838" s="2"/>
      <c r="D838" s="2"/>
      <c r="E838" s="2"/>
      <c r="F838" s="2"/>
      <c r="G838" s="2"/>
      <c r="H838" s="2"/>
      <c r="I838" s="2"/>
    </row>
    <row r="839" spans="1:9">
      <c r="A839" s="2"/>
      <c r="B839" s="2"/>
      <c r="C839" s="2"/>
      <c r="D839" s="2"/>
      <c r="E839" s="2"/>
      <c r="F839" s="2"/>
      <c r="G839" s="2"/>
      <c r="H839" s="2"/>
      <c r="I839" s="2"/>
    </row>
    <row r="840" spans="1:9">
      <c r="A840" s="2"/>
      <c r="B840" s="2"/>
      <c r="C840" s="2"/>
      <c r="D840" s="2"/>
      <c r="E840" s="2"/>
      <c r="F840" s="2"/>
      <c r="G840" s="2"/>
      <c r="H840" s="2"/>
      <c r="I840" s="2"/>
    </row>
    <row r="841" spans="1:9">
      <c r="A841" s="2"/>
      <c r="B841" s="2"/>
      <c r="C841" s="2"/>
      <c r="D841" s="2"/>
      <c r="E841" s="2"/>
      <c r="F841" s="2"/>
      <c r="G841" s="2"/>
      <c r="H841" s="2"/>
      <c r="I841" s="2"/>
    </row>
    <row r="842" spans="1:9">
      <c r="A842" s="2"/>
      <c r="B842" s="2"/>
      <c r="C842" s="2"/>
      <c r="D842" s="2"/>
      <c r="E842" s="2"/>
      <c r="F842" s="2"/>
      <c r="G842" s="2"/>
      <c r="H842" s="2"/>
      <c r="I842" s="2"/>
    </row>
    <row r="843" spans="1:9">
      <c r="A843" s="2"/>
      <c r="B843" s="2"/>
      <c r="C843" s="2"/>
      <c r="D843" s="2"/>
      <c r="E843" s="2"/>
      <c r="F843" s="2"/>
      <c r="G843" s="2"/>
      <c r="H843" s="2"/>
      <c r="I843" s="2"/>
    </row>
    <row r="844" spans="1:9">
      <c r="A844" s="2"/>
      <c r="B844" s="2"/>
      <c r="C844" s="2"/>
      <c r="D844" s="2"/>
      <c r="E844" s="2"/>
      <c r="F844" s="2"/>
      <c r="G844" s="2"/>
      <c r="H844" s="2"/>
      <c r="I844" s="2"/>
    </row>
    <row r="845" spans="1:9">
      <c r="A845" s="2"/>
      <c r="B845" s="2"/>
      <c r="C845" s="2"/>
      <c r="D845" s="2"/>
      <c r="E845" s="2"/>
      <c r="F845" s="2"/>
      <c r="G845" s="2"/>
      <c r="H845" s="2"/>
      <c r="I845" s="2"/>
    </row>
    <row r="846" spans="1:9">
      <c r="A846" s="2"/>
      <c r="B846" s="2"/>
      <c r="C846" s="2"/>
      <c r="D846" s="2"/>
      <c r="E846" s="2"/>
      <c r="F846" s="2"/>
      <c r="G846" s="2"/>
      <c r="H846" s="2"/>
      <c r="I846" s="2"/>
    </row>
    <row r="847" spans="1:9">
      <c r="A847" s="2"/>
      <c r="B847" s="2"/>
      <c r="C847" s="2"/>
      <c r="D847" s="2"/>
      <c r="E847" s="2"/>
      <c r="F847" s="2"/>
      <c r="G847" s="2"/>
      <c r="H847" s="2"/>
      <c r="I847" s="2"/>
    </row>
    <row r="848" spans="1:9">
      <c r="A848" s="2"/>
      <c r="B848" s="2"/>
      <c r="C848" s="2"/>
      <c r="D848" s="2"/>
      <c r="E848" s="2"/>
      <c r="F848" s="2"/>
      <c r="G848" s="2"/>
      <c r="H848" s="2"/>
      <c r="I848" s="2"/>
    </row>
    <row r="849" spans="1:9">
      <c r="A849" s="2"/>
      <c r="B849" s="2"/>
      <c r="C849" s="2"/>
      <c r="D849" s="2"/>
      <c r="E849" s="2"/>
      <c r="F849" s="2"/>
      <c r="G849" s="2"/>
      <c r="H849" s="2"/>
      <c r="I849" s="2"/>
    </row>
    <row r="850" spans="1:9">
      <c r="A850" s="2"/>
      <c r="B850" s="2"/>
      <c r="C850" s="2"/>
      <c r="D850" s="2"/>
      <c r="E850" s="2"/>
      <c r="F850" s="2"/>
      <c r="G850" s="2"/>
      <c r="H850" s="2"/>
      <c r="I850" s="2"/>
    </row>
    <row r="851" spans="1:9">
      <c r="A851" s="2"/>
      <c r="B851" s="2"/>
      <c r="C851" s="2"/>
      <c r="D851" s="2"/>
      <c r="E851" s="2"/>
      <c r="F851" s="2"/>
      <c r="G851" s="2"/>
      <c r="H851" s="2"/>
      <c r="I851" s="2"/>
    </row>
    <row r="852" spans="1:9">
      <c r="A852" s="2"/>
      <c r="B852" s="2"/>
      <c r="C852" s="2"/>
      <c r="D852" s="2"/>
      <c r="E852" s="2"/>
      <c r="F852" s="2"/>
      <c r="G852" s="2"/>
      <c r="H852" s="2"/>
      <c r="I852" s="2"/>
    </row>
    <row r="853" spans="1:9">
      <c r="A853" s="2"/>
      <c r="B853" s="2"/>
      <c r="C853" s="2"/>
      <c r="D853" s="2"/>
      <c r="E853" s="2"/>
      <c r="F853" s="2"/>
      <c r="G853" s="2"/>
      <c r="H853" s="2"/>
      <c r="I853" s="2"/>
    </row>
    <row r="854" spans="1:9">
      <c r="A854" s="2"/>
      <c r="B854" s="2"/>
      <c r="C854" s="2"/>
      <c r="D854" s="2"/>
      <c r="E854" s="2"/>
      <c r="F854" s="2"/>
      <c r="G854" s="2"/>
      <c r="H854" s="2"/>
      <c r="I854" s="2"/>
    </row>
    <row r="855" spans="1:9">
      <c r="A855" s="2"/>
      <c r="B855" s="2"/>
      <c r="C855" s="2"/>
      <c r="D855" s="2"/>
      <c r="E855" s="2"/>
      <c r="F855" s="2"/>
      <c r="G855" s="2"/>
      <c r="H855" s="2"/>
      <c r="I855" s="2"/>
    </row>
    <row r="856" spans="1:9">
      <c r="A856" s="2"/>
      <c r="B856" s="2"/>
      <c r="C856" s="2"/>
      <c r="D856" s="2"/>
      <c r="E856" s="2"/>
      <c r="F856" s="2"/>
      <c r="G856" s="2"/>
      <c r="H856" s="2"/>
      <c r="I856" s="2"/>
    </row>
    <row r="857" spans="1:9">
      <c r="A857" s="2"/>
      <c r="B857" s="2"/>
      <c r="C857" s="2"/>
      <c r="D857" s="2"/>
      <c r="E857" s="2"/>
      <c r="F857" s="2"/>
      <c r="G857" s="2"/>
      <c r="H857" s="2"/>
      <c r="I857" s="2"/>
    </row>
    <row r="858" spans="1:9">
      <c r="A858" s="2"/>
      <c r="B858" s="2"/>
      <c r="C858" s="2"/>
      <c r="D858" s="2"/>
      <c r="E858" s="2"/>
      <c r="F858" s="2"/>
      <c r="G858" s="2"/>
      <c r="H858" s="2"/>
      <c r="I858" s="2"/>
    </row>
    <row r="859" spans="1:9">
      <c r="A859" s="2"/>
      <c r="B859" s="2"/>
      <c r="C859" s="2"/>
      <c r="D859" s="2"/>
      <c r="E859" s="2"/>
      <c r="F859" s="2"/>
      <c r="G859" s="2"/>
      <c r="H859" s="2"/>
      <c r="I859" s="2"/>
    </row>
    <row r="860" spans="1:9">
      <c r="A860" s="2"/>
      <c r="B860" s="2"/>
      <c r="C860" s="2"/>
      <c r="D860" s="2"/>
      <c r="E860" s="2"/>
      <c r="F860" s="2"/>
      <c r="G860" s="2"/>
      <c r="H860" s="2"/>
      <c r="I860" s="2"/>
    </row>
    <row r="861" spans="1:9">
      <c r="A861" s="2"/>
      <c r="B861" s="2"/>
      <c r="C861" s="2"/>
      <c r="D861" s="2"/>
      <c r="E861" s="2"/>
      <c r="F861" s="2"/>
      <c r="G861" s="2"/>
      <c r="H861" s="2"/>
      <c r="I861" s="2"/>
    </row>
    <row r="862" spans="1:9">
      <c r="A862" s="2"/>
      <c r="B862" s="2"/>
      <c r="C862" s="2"/>
      <c r="D862" s="2"/>
      <c r="E862" s="2"/>
      <c r="F862" s="2"/>
      <c r="G862" s="2"/>
      <c r="H862" s="2"/>
      <c r="I862" s="2"/>
    </row>
    <row r="863" spans="1:9">
      <c r="A863" s="2"/>
      <c r="B863" s="2"/>
      <c r="C863" s="2"/>
      <c r="D863" s="2"/>
      <c r="E863" s="2"/>
      <c r="F863" s="2"/>
      <c r="G863" s="2"/>
      <c r="H863" s="2"/>
      <c r="I863" s="2"/>
    </row>
    <row r="864" spans="1:9">
      <c r="A864" s="2"/>
      <c r="B864" s="2"/>
      <c r="C864" s="2"/>
      <c r="D864" s="2"/>
      <c r="E864" s="2"/>
      <c r="F864" s="2"/>
      <c r="G864" s="2"/>
      <c r="H864" s="2"/>
      <c r="I864" s="2"/>
    </row>
    <row r="865" spans="1:9">
      <c r="A865" s="2"/>
      <c r="B865" s="2"/>
      <c r="C865" s="2"/>
      <c r="D865" s="2"/>
      <c r="E865" s="2"/>
      <c r="F865" s="2"/>
      <c r="G865" s="2"/>
      <c r="H865" s="2"/>
      <c r="I865" s="2"/>
    </row>
    <row r="866" spans="1:9">
      <c r="A866" s="2"/>
      <c r="B866" s="2"/>
      <c r="C866" s="2"/>
      <c r="D866" s="2"/>
      <c r="E866" s="2"/>
      <c r="F866" s="2"/>
      <c r="G866" s="2"/>
      <c r="H866" s="2"/>
      <c r="I866" s="2"/>
    </row>
    <row r="867" spans="1:9">
      <c r="A867" s="2"/>
      <c r="B867" s="2"/>
      <c r="C867" s="2"/>
      <c r="D867" s="2"/>
      <c r="E867" s="2"/>
      <c r="F867" s="2"/>
      <c r="G867" s="2"/>
      <c r="H867" s="2"/>
      <c r="I867" s="2"/>
    </row>
    <row r="868" spans="1:9">
      <c r="A868" s="2"/>
      <c r="B868" s="2"/>
      <c r="C868" s="2"/>
      <c r="D868" s="2"/>
      <c r="E868" s="2"/>
      <c r="F868" s="2"/>
      <c r="G868" s="2"/>
      <c r="H868" s="2"/>
      <c r="I868" s="2"/>
    </row>
    <row r="869" spans="1:9">
      <c r="A869" s="2"/>
      <c r="B869" s="2"/>
      <c r="C869" s="2"/>
      <c r="D869" s="2"/>
      <c r="E869" s="2"/>
      <c r="F869" s="2"/>
      <c r="G869" s="2"/>
      <c r="H869" s="2"/>
      <c r="I869" s="2"/>
    </row>
    <row r="870" spans="1:9">
      <c r="A870" s="2"/>
      <c r="B870" s="2"/>
      <c r="C870" s="2"/>
      <c r="D870" s="2"/>
      <c r="E870" s="2"/>
      <c r="F870" s="2"/>
      <c r="G870" s="2"/>
      <c r="H870" s="2"/>
      <c r="I870" s="2"/>
    </row>
    <row r="871" spans="1:9">
      <c r="A871" s="2"/>
      <c r="B871" s="2"/>
      <c r="C871" s="2"/>
      <c r="D871" s="2"/>
      <c r="E871" s="2"/>
      <c r="F871" s="2"/>
      <c r="G871" s="2"/>
      <c r="H871" s="2"/>
      <c r="I871" s="2"/>
    </row>
    <row r="872" spans="1:9">
      <c r="A872" s="2"/>
      <c r="B872" s="2"/>
      <c r="C872" s="2"/>
      <c r="D872" s="2"/>
      <c r="E872" s="2"/>
      <c r="F872" s="2"/>
      <c r="G872" s="2"/>
      <c r="H872" s="2"/>
      <c r="I872" s="2"/>
    </row>
    <row r="873" spans="1:9">
      <c r="A873" s="2"/>
      <c r="B873" s="2"/>
      <c r="C873" s="2"/>
      <c r="D873" s="2"/>
      <c r="E873" s="2"/>
      <c r="F873" s="2"/>
      <c r="G873" s="2"/>
      <c r="H873" s="2"/>
      <c r="I873" s="2"/>
    </row>
    <row r="874" spans="1:9">
      <c r="A874" s="2"/>
      <c r="B874" s="2"/>
      <c r="C874" s="2"/>
      <c r="D874" s="2"/>
      <c r="E874" s="2"/>
      <c r="F874" s="2"/>
      <c r="G874" s="2"/>
      <c r="H874" s="2"/>
      <c r="I874" s="2"/>
    </row>
    <row r="875" spans="1:9">
      <c r="A875" s="2"/>
      <c r="B875" s="2"/>
      <c r="C875" s="2"/>
      <c r="D875" s="2"/>
      <c r="E875" s="2"/>
      <c r="F875" s="2"/>
      <c r="G875" s="2"/>
      <c r="H875" s="2"/>
      <c r="I875" s="2"/>
    </row>
    <row r="876" spans="1:9">
      <c r="A876" s="2"/>
      <c r="B876" s="2"/>
      <c r="C876" s="2"/>
      <c r="D876" s="2"/>
      <c r="E876" s="2"/>
      <c r="F876" s="2"/>
      <c r="G876" s="2"/>
      <c r="H876" s="2"/>
      <c r="I876" s="2"/>
    </row>
    <row r="877" spans="1:9">
      <c r="A877" s="2"/>
      <c r="B877" s="2"/>
      <c r="C877" s="2"/>
      <c r="D877" s="2"/>
      <c r="E877" s="2"/>
      <c r="F877" s="2"/>
      <c r="G877" s="2"/>
      <c r="H877" s="2"/>
      <c r="I877" s="2"/>
    </row>
    <row r="878" spans="1:9">
      <c r="A878" s="2"/>
      <c r="B878" s="2"/>
      <c r="C878" s="2"/>
      <c r="D878" s="2"/>
      <c r="E878" s="2"/>
      <c r="F878" s="2"/>
      <c r="G878" s="2"/>
      <c r="H878" s="2"/>
      <c r="I878" s="2"/>
    </row>
    <row r="879" spans="1:9">
      <c r="A879" s="2"/>
      <c r="B879" s="2"/>
      <c r="C879" s="2"/>
      <c r="D879" s="2"/>
      <c r="E879" s="2"/>
      <c r="F879" s="2"/>
      <c r="G879" s="2"/>
      <c r="H879" s="2"/>
      <c r="I879" s="2"/>
    </row>
    <row r="880" spans="1:9">
      <c r="A880" s="2"/>
      <c r="B880" s="2"/>
      <c r="C880" s="2"/>
      <c r="D880" s="2"/>
      <c r="E880" s="2"/>
      <c r="F880" s="2"/>
      <c r="G880" s="2"/>
      <c r="H880" s="2"/>
      <c r="I880" s="2"/>
    </row>
    <row r="881" spans="1:9">
      <c r="A881" s="2"/>
      <c r="B881" s="2"/>
      <c r="C881" s="2"/>
      <c r="D881" s="2"/>
      <c r="E881" s="2"/>
      <c r="F881" s="2"/>
      <c r="G881" s="2"/>
      <c r="H881" s="2"/>
      <c r="I881" s="2"/>
    </row>
    <row r="882" spans="1:9">
      <c r="A882" s="2"/>
      <c r="B882" s="2"/>
      <c r="C882" s="2"/>
      <c r="D882" s="2"/>
      <c r="E882" s="2"/>
      <c r="F882" s="2"/>
      <c r="G882" s="2"/>
      <c r="H882" s="2"/>
      <c r="I882" s="2"/>
    </row>
    <row r="883" spans="1:9">
      <c r="A883" s="2"/>
      <c r="B883" s="2"/>
      <c r="C883" s="2"/>
      <c r="D883" s="2"/>
      <c r="E883" s="2"/>
      <c r="F883" s="2"/>
      <c r="G883" s="2"/>
      <c r="H883" s="2"/>
      <c r="I883" s="2"/>
    </row>
    <row r="884" spans="1:9">
      <c r="A884" s="2"/>
      <c r="B884" s="2"/>
      <c r="C884" s="2"/>
      <c r="D884" s="2"/>
      <c r="E884" s="2"/>
      <c r="F884" s="2"/>
      <c r="G884" s="2"/>
      <c r="H884" s="2"/>
      <c r="I884" s="2"/>
    </row>
    <row r="885" spans="1:9">
      <c r="A885" s="2"/>
      <c r="B885" s="2"/>
      <c r="C885" s="2"/>
      <c r="D885" s="2"/>
      <c r="E885" s="2"/>
      <c r="F885" s="2"/>
      <c r="G885" s="2"/>
      <c r="H885" s="2"/>
      <c r="I885" s="2"/>
    </row>
    <row r="886" spans="1:9">
      <c r="A886" s="2"/>
      <c r="B886" s="2"/>
      <c r="C886" s="2"/>
      <c r="D886" s="2"/>
      <c r="E886" s="2"/>
      <c r="F886" s="2"/>
      <c r="G886" s="2"/>
      <c r="H886" s="2"/>
      <c r="I886" s="2"/>
    </row>
    <row r="887" spans="1:9">
      <c r="A887" s="2"/>
      <c r="B887" s="2"/>
      <c r="C887" s="2"/>
      <c r="D887" s="2"/>
      <c r="E887" s="2"/>
      <c r="F887" s="2"/>
      <c r="G887" s="2"/>
      <c r="H887" s="2"/>
      <c r="I887" s="2"/>
    </row>
    <row r="888" spans="1:9">
      <c r="A888" s="2"/>
      <c r="B888" s="2"/>
      <c r="C888" s="2"/>
      <c r="D888" s="2"/>
      <c r="E888" s="2"/>
      <c r="F888" s="2"/>
      <c r="G888" s="2"/>
      <c r="H888" s="2"/>
      <c r="I888" s="2"/>
    </row>
    <row r="889" spans="1:9">
      <c r="A889" s="2"/>
      <c r="B889" s="2"/>
      <c r="C889" s="2"/>
      <c r="D889" s="2"/>
      <c r="E889" s="2"/>
      <c r="F889" s="2"/>
      <c r="G889" s="2"/>
      <c r="H889" s="2"/>
      <c r="I889" s="2"/>
    </row>
    <row r="890" spans="1:9">
      <c r="A890" s="2"/>
      <c r="B890" s="2"/>
      <c r="C890" s="2"/>
      <c r="D890" s="2"/>
      <c r="E890" s="2"/>
      <c r="F890" s="2"/>
      <c r="G890" s="2"/>
      <c r="H890" s="2"/>
      <c r="I890" s="2"/>
    </row>
    <row r="891" spans="1:9">
      <c r="A891" s="2"/>
      <c r="B891" s="2"/>
      <c r="C891" s="2"/>
      <c r="D891" s="2"/>
      <c r="E891" s="2"/>
      <c r="F891" s="2"/>
      <c r="G891" s="2"/>
      <c r="H891" s="2"/>
      <c r="I891" s="2"/>
    </row>
    <row r="892" spans="1:9">
      <c r="A892" s="2"/>
      <c r="B892" s="2"/>
      <c r="C892" s="2"/>
      <c r="D892" s="2"/>
      <c r="E892" s="2"/>
      <c r="F892" s="2"/>
      <c r="G892" s="2"/>
      <c r="H892" s="2"/>
      <c r="I892" s="2"/>
    </row>
    <row r="893" spans="1:9">
      <c r="A893" s="2"/>
      <c r="B893" s="2"/>
      <c r="C893" s="2"/>
      <c r="D893" s="2"/>
      <c r="E893" s="2"/>
      <c r="F893" s="2"/>
      <c r="G893" s="2"/>
      <c r="H893" s="2"/>
      <c r="I893" s="2"/>
    </row>
    <row r="894" spans="1:9">
      <c r="A894" s="2"/>
      <c r="B894" s="2"/>
      <c r="C894" s="2"/>
      <c r="D894" s="2"/>
      <c r="E894" s="2"/>
      <c r="F894" s="2"/>
      <c r="G894" s="2"/>
      <c r="H894" s="2"/>
      <c r="I894" s="2"/>
    </row>
    <row r="895" spans="1:9">
      <c r="A895" s="2"/>
      <c r="B895" s="2"/>
      <c r="C895" s="2"/>
      <c r="D895" s="2"/>
      <c r="E895" s="2"/>
      <c r="F895" s="2"/>
      <c r="G895" s="2"/>
      <c r="H895" s="2"/>
      <c r="I895" s="2"/>
    </row>
    <row r="896" spans="1:9">
      <c r="A896" s="2"/>
      <c r="B896" s="2"/>
      <c r="C896" s="2"/>
      <c r="D896" s="2"/>
      <c r="E896" s="2"/>
      <c r="F896" s="2"/>
      <c r="G896" s="2"/>
      <c r="H896" s="2"/>
      <c r="I896" s="2"/>
    </row>
    <row r="897" spans="1:9">
      <c r="A897" s="2"/>
      <c r="B897" s="2"/>
      <c r="C897" s="2"/>
      <c r="D897" s="2"/>
      <c r="E897" s="2"/>
      <c r="F897" s="2"/>
      <c r="G897" s="2"/>
      <c r="H897" s="2"/>
      <c r="I897" s="2"/>
    </row>
    <row r="898" spans="1:9">
      <c r="A898" s="2"/>
      <c r="B898" s="2"/>
      <c r="C898" s="2"/>
      <c r="D898" s="2"/>
      <c r="E898" s="2"/>
      <c r="F898" s="2"/>
      <c r="G898" s="2"/>
      <c r="H898" s="2"/>
      <c r="I898" s="2"/>
    </row>
    <row r="899" spans="1:9">
      <c r="A899" s="2"/>
      <c r="B899" s="2"/>
      <c r="C899" s="2"/>
      <c r="D899" s="2"/>
      <c r="E899" s="2"/>
      <c r="F899" s="2"/>
      <c r="G899" s="2"/>
      <c r="H899" s="2"/>
      <c r="I899" s="2"/>
    </row>
    <row r="900" spans="1:9">
      <c r="A900" s="2"/>
      <c r="B900" s="2"/>
      <c r="C900" s="2"/>
      <c r="D900" s="2"/>
      <c r="E900" s="2"/>
      <c r="F900" s="2"/>
      <c r="G900" s="2"/>
      <c r="H900" s="2"/>
      <c r="I900" s="2"/>
    </row>
    <row r="901" spans="1:9">
      <c r="A901" s="2"/>
      <c r="B901" s="2"/>
      <c r="C901" s="2"/>
      <c r="D901" s="2"/>
      <c r="E901" s="2"/>
      <c r="F901" s="2"/>
      <c r="G901" s="2"/>
      <c r="H901" s="2"/>
      <c r="I901" s="2"/>
    </row>
    <row r="902" spans="1:9">
      <c r="A902" s="2"/>
      <c r="B902" s="2"/>
      <c r="C902" s="2"/>
      <c r="D902" s="2"/>
      <c r="E902" s="2"/>
      <c r="F902" s="2"/>
      <c r="G902" s="2"/>
      <c r="H902" s="2"/>
      <c r="I902" s="2"/>
    </row>
    <row r="903" spans="1:9">
      <c r="A903" s="2"/>
      <c r="B903" s="2"/>
      <c r="C903" s="2"/>
      <c r="D903" s="2"/>
      <c r="E903" s="2"/>
      <c r="F903" s="2"/>
      <c r="G903" s="2"/>
      <c r="H903" s="2"/>
      <c r="I903" s="2"/>
    </row>
    <row r="904" spans="1:9">
      <c r="A904" s="2"/>
      <c r="B904" s="2"/>
      <c r="C904" s="2"/>
      <c r="D904" s="2"/>
      <c r="E904" s="2"/>
      <c r="F904" s="2"/>
      <c r="G904" s="2"/>
      <c r="H904" s="2"/>
      <c r="I904" s="2"/>
    </row>
    <row r="905" spans="1:9">
      <c r="A905" s="2"/>
      <c r="B905" s="2"/>
      <c r="C905" s="2"/>
      <c r="D905" s="2"/>
      <c r="E905" s="2"/>
      <c r="F905" s="2"/>
      <c r="G905" s="2"/>
      <c r="H905" s="2"/>
      <c r="I905" s="2"/>
    </row>
    <row r="906" spans="1:9">
      <c r="A906" s="2"/>
      <c r="B906" s="2"/>
      <c r="C906" s="2"/>
      <c r="D906" s="2"/>
      <c r="E906" s="2"/>
      <c r="F906" s="2"/>
      <c r="G906" s="2"/>
      <c r="H906" s="2"/>
      <c r="I906" s="2"/>
    </row>
    <row r="907" spans="1:9">
      <c r="A907" s="2"/>
      <c r="B907" s="2"/>
      <c r="C907" s="2"/>
      <c r="D907" s="2"/>
      <c r="E907" s="2"/>
      <c r="F907" s="2"/>
      <c r="G907" s="2"/>
      <c r="H907" s="2"/>
      <c r="I907" s="2"/>
    </row>
    <row r="908" spans="1:9">
      <c r="A908" s="2"/>
      <c r="B908" s="2"/>
      <c r="C908" s="2"/>
      <c r="D908" s="2"/>
      <c r="E908" s="2"/>
      <c r="F908" s="2"/>
      <c r="G908" s="2"/>
      <c r="H908" s="2"/>
      <c r="I908" s="2"/>
    </row>
    <row r="909" spans="1:9">
      <c r="A909" s="2"/>
      <c r="B909" s="2"/>
      <c r="C909" s="2"/>
      <c r="D909" s="2"/>
      <c r="E909" s="2"/>
      <c r="F909" s="2"/>
      <c r="G909" s="2"/>
      <c r="H909" s="2"/>
      <c r="I909" s="2"/>
    </row>
    <row r="910" spans="1:9">
      <c r="A910" s="2"/>
      <c r="B910" s="2"/>
      <c r="C910" s="2"/>
      <c r="D910" s="2"/>
      <c r="E910" s="2"/>
      <c r="F910" s="2"/>
      <c r="G910" s="2"/>
      <c r="H910" s="2"/>
      <c r="I910" s="2"/>
    </row>
    <row r="911" spans="1:9">
      <c r="A911" s="2"/>
      <c r="B911" s="2"/>
      <c r="C911" s="2"/>
      <c r="D911" s="2"/>
      <c r="E911" s="2"/>
      <c r="F911" s="2"/>
      <c r="G911" s="2"/>
      <c r="H911" s="2"/>
      <c r="I911" s="2"/>
    </row>
    <row r="912" spans="1:9">
      <c r="A912" s="2"/>
      <c r="B912" s="2"/>
      <c r="C912" s="2"/>
      <c r="D912" s="2"/>
      <c r="E912" s="2"/>
      <c r="F912" s="2"/>
      <c r="G912" s="2"/>
      <c r="H912" s="2"/>
      <c r="I912" s="2"/>
    </row>
    <row r="913" spans="1:9">
      <c r="A913" s="2"/>
      <c r="B913" s="2"/>
      <c r="C913" s="2"/>
      <c r="D913" s="2"/>
      <c r="E913" s="2"/>
      <c r="F913" s="2"/>
      <c r="G913" s="2"/>
      <c r="H913" s="2"/>
      <c r="I913" s="2"/>
    </row>
    <row r="914" spans="1:9">
      <c r="A914" s="2"/>
      <c r="B914" s="2"/>
      <c r="C914" s="2"/>
      <c r="D914" s="2"/>
      <c r="E914" s="2"/>
      <c r="F914" s="2"/>
      <c r="G914" s="2"/>
      <c r="H914" s="2"/>
      <c r="I914" s="2"/>
    </row>
    <row r="915" spans="1:9">
      <c r="A915" s="2"/>
      <c r="B915" s="2"/>
      <c r="C915" s="2"/>
      <c r="D915" s="2"/>
      <c r="E915" s="2"/>
      <c r="F915" s="2"/>
      <c r="G915" s="2"/>
      <c r="H915" s="2"/>
      <c r="I915" s="2"/>
    </row>
    <row r="916" spans="1:9">
      <c r="A916" s="2"/>
      <c r="B916" s="2"/>
      <c r="C916" s="2"/>
      <c r="D916" s="2"/>
      <c r="E916" s="2"/>
      <c r="F916" s="2"/>
      <c r="G916" s="2"/>
      <c r="H916" s="2"/>
      <c r="I916" s="2"/>
    </row>
    <row r="917" spans="1:9">
      <c r="A917" s="2"/>
      <c r="B917" s="2"/>
      <c r="C917" s="2"/>
      <c r="D917" s="2"/>
      <c r="E917" s="2"/>
      <c r="F917" s="2"/>
      <c r="G917" s="2"/>
      <c r="H917" s="2"/>
      <c r="I917" s="2"/>
    </row>
    <row r="918" spans="1:9">
      <c r="A918" s="2"/>
      <c r="B918" s="2"/>
      <c r="C918" s="2"/>
      <c r="D918" s="2"/>
      <c r="E918" s="2"/>
      <c r="F918" s="2"/>
      <c r="G918" s="2"/>
      <c r="H918" s="2"/>
      <c r="I918" s="2"/>
    </row>
    <row r="919" spans="1:9">
      <c r="A919" s="2"/>
      <c r="B919" s="2"/>
      <c r="C919" s="2"/>
      <c r="D919" s="2"/>
      <c r="E919" s="2"/>
      <c r="F919" s="2"/>
      <c r="G919" s="2"/>
      <c r="H919" s="2"/>
      <c r="I919" s="2"/>
    </row>
    <row r="920" spans="1:9">
      <c r="A920" s="2"/>
      <c r="B920" s="2"/>
      <c r="C920" s="2"/>
      <c r="D920" s="2"/>
      <c r="E920" s="2"/>
      <c r="F920" s="2"/>
      <c r="G920" s="2"/>
      <c r="H920" s="2"/>
      <c r="I920" s="2"/>
    </row>
    <row r="921" spans="1:9">
      <c r="A921" s="2"/>
      <c r="B921" s="2"/>
      <c r="C921" s="2"/>
      <c r="D921" s="2"/>
      <c r="E921" s="2"/>
      <c r="F921" s="2"/>
      <c r="G921" s="2"/>
      <c r="H921" s="2"/>
      <c r="I921" s="2"/>
    </row>
    <row r="922" spans="1:9">
      <c r="A922" s="2"/>
      <c r="B922" s="2"/>
      <c r="C922" s="2"/>
      <c r="D922" s="2"/>
      <c r="E922" s="2"/>
      <c r="F922" s="2"/>
      <c r="G922" s="2"/>
      <c r="H922" s="2"/>
      <c r="I922" s="2"/>
    </row>
    <row r="923" spans="1:9">
      <c r="A923" s="2"/>
      <c r="B923" s="2"/>
      <c r="C923" s="2"/>
      <c r="D923" s="2"/>
      <c r="E923" s="2"/>
      <c r="F923" s="2"/>
      <c r="G923" s="2"/>
      <c r="H923" s="2"/>
      <c r="I923" s="2"/>
    </row>
    <row r="924" spans="1:9">
      <c r="A924" s="2"/>
      <c r="B924" s="2"/>
      <c r="C924" s="2"/>
      <c r="D924" s="2"/>
      <c r="E924" s="2"/>
      <c r="F924" s="2"/>
      <c r="G924" s="2"/>
      <c r="H924" s="2"/>
      <c r="I924" s="2"/>
    </row>
    <row r="925" spans="1:9">
      <c r="A925" s="2"/>
      <c r="B925" s="2"/>
      <c r="C925" s="2"/>
      <c r="D925" s="2"/>
      <c r="E925" s="2"/>
      <c r="F925" s="2"/>
      <c r="G925" s="2"/>
      <c r="H925" s="2"/>
      <c r="I925" s="2"/>
    </row>
    <row r="926" spans="1:9">
      <c r="A926" s="2"/>
      <c r="B926" s="2"/>
      <c r="C926" s="2"/>
      <c r="D926" s="2"/>
      <c r="E926" s="2"/>
      <c r="F926" s="2"/>
      <c r="G926" s="2"/>
      <c r="H926" s="2"/>
      <c r="I926" s="2"/>
    </row>
    <row r="927" spans="1:9">
      <c r="A927" s="2"/>
      <c r="B927" s="2"/>
      <c r="C927" s="2"/>
      <c r="D927" s="2"/>
      <c r="E927" s="2"/>
      <c r="F927" s="2"/>
      <c r="G927" s="2"/>
      <c r="H927" s="2"/>
      <c r="I927" s="2"/>
    </row>
    <row r="928" spans="1:9">
      <c r="A928" s="2"/>
      <c r="B928" s="2"/>
      <c r="C928" s="2"/>
      <c r="D928" s="2"/>
      <c r="E928" s="2"/>
      <c r="F928" s="2"/>
      <c r="G928" s="2"/>
      <c r="H928" s="2"/>
      <c r="I928" s="2"/>
    </row>
    <row r="929" spans="1:9">
      <c r="A929" s="2"/>
      <c r="B929" s="2"/>
      <c r="C929" s="2"/>
      <c r="D929" s="2"/>
      <c r="E929" s="2"/>
      <c r="F929" s="2"/>
      <c r="G929" s="2"/>
      <c r="H929" s="2"/>
      <c r="I929" s="2"/>
    </row>
    <row r="930" spans="1:9">
      <c r="A930" s="2"/>
      <c r="B930" s="2"/>
      <c r="C930" s="2"/>
      <c r="D930" s="2"/>
      <c r="E930" s="2"/>
      <c r="F930" s="2"/>
      <c r="G930" s="2"/>
      <c r="H930" s="2"/>
      <c r="I930" s="2"/>
    </row>
    <row r="931" spans="1:9">
      <c r="A931" s="2"/>
      <c r="B931" s="2"/>
      <c r="C931" s="2"/>
      <c r="D931" s="2"/>
      <c r="E931" s="2"/>
      <c r="F931" s="2"/>
      <c r="G931" s="2"/>
      <c r="H931" s="2"/>
      <c r="I931" s="2"/>
    </row>
    <row r="932" spans="1:9">
      <c r="A932" s="2"/>
      <c r="B932" s="2"/>
      <c r="C932" s="2"/>
      <c r="D932" s="2"/>
      <c r="E932" s="2"/>
      <c r="F932" s="2"/>
      <c r="G932" s="2"/>
      <c r="H932" s="2"/>
      <c r="I932" s="2"/>
    </row>
    <row r="933" spans="1:9">
      <c r="A933" s="2"/>
      <c r="B933" s="2"/>
      <c r="C933" s="2"/>
      <c r="D933" s="2"/>
      <c r="E933" s="2"/>
      <c r="F933" s="2"/>
      <c r="G933" s="2"/>
      <c r="H933" s="2"/>
      <c r="I933" s="2"/>
    </row>
    <row r="934" spans="1:9">
      <c r="A934" s="2"/>
      <c r="B934" s="2"/>
      <c r="C934" s="2"/>
      <c r="D934" s="2"/>
      <c r="E934" s="2"/>
      <c r="F934" s="2"/>
      <c r="G934" s="2"/>
      <c r="H934" s="2"/>
      <c r="I934" s="2"/>
    </row>
    <row r="935" spans="1:9">
      <c r="A935" s="2"/>
      <c r="B935" s="2"/>
      <c r="C935" s="2"/>
      <c r="D935" s="2"/>
      <c r="E935" s="2"/>
      <c r="F935" s="2"/>
      <c r="G935" s="2"/>
      <c r="H935" s="2"/>
      <c r="I935" s="2"/>
    </row>
    <row r="936" spans="1:9">
      <c r="A936" s="2"/>
      <c r="B936" s="2"/>
      <c r="C936" s="2"/>
      <c r="D936" s="2"/>
      <c r="E936" s="2"/>
      <c r="F936" s="2"/>
      <c r="G936" s="2"/>
      <c r="H936" s="2"/>
      <c r="I936" s="2"/>
    </row>
    <row r="937" spans="1:9">
      <c r="A937" s="2"/>
      <c r="B937" s="2"/>
      <c r="C937" s="2"/>
      <c r="D937" s="2"/>
      <c r="E937" s="2"/>
      <c r="F937" s="2"/>
      <c r="G937" s="2"/>
      <c r="H937" s="2"/>
      <c r="I937" s="2"/>
    </row>
    <row r="938" spans="1:9">
      <c r="A938" s="2"/>
      <c r="B938" s="2"/>
      <c r="C938" s="2"/>
      <c r="D938" s="2"/>
      <c r="E938" s="2"/>
      <c r="F938" s="2"/>
      <c r="G938" s="2"/>
      <c r="H938" s="2"/>
      <c r="I938" s="2"/>
    </row>
    <row r="939" spans="1:9">
      <c r="A939" s="2"/>
      <c r="B939" s="2"/>
      <c r="C939" s="2"/>
      <c r="D939" s="2"/>
      <c r="E939" s="2"/>
      <c r="F939" s="2"/>
      <c r="G939" s="2"/>
      <c r="H939" s="2"/>
      <c r="I939" s="2"/>
    </row>
    <row r="940" spans="1:9">
      <c r="A940" s="2"/>
      <c r="B940" s="2"/>
      <c r="C940" s="2"/>
      <c r="D940" s="2"/>
      <c r="E940" s="2"/>
      <c r="F940" s="2"/>
      <c r="G940" s="2"/>
      <c r="H940" s="2"/>
      <c r="I940" s="2"/>
    </row>
    <row r="941" spans="1:9">
      <c r="A941" s="2"/>
      <c r="B941" s="2"/>
      <c r="C941" s="2"/>
      <c r="D941" s="2"/>
      <c r="E941" s="2"/>
      <c r="F941" s="2"/>
      <c r="G941" s="2"/>
      <c r="H941" s="2"/>
      <c r="I941" s="2"/>
    </row>
    <row r="942" spans="1:9">
      <c r="A942" s="2"/>
      <c r="B942" s="2"/>
      <c r="C942" s="2"/>
      <c r="D942" s="2"/>
      <c r="E942" s="2"/>
      <c r="F942" s="2"/>
      <c r="G942" s="2"/>
      <c r="H942" s="2"/>
      <c r="I942" s="2"/>
    </row>
    <row r="943" spans="1:9">
      <c r="A943" s="2"/>
      <c r="B943" s="2"/>
      <c r="C943" s="2"/>
      <c r="D943" s="2"/>
      <c r="E943" s="2"/>
      <c r="F943" s="2"/>
      <c r="G943" s="2"/>
      <c r="H943" s="2"/>
      <c r="I943" s="2"/>
    </row>
    <row r="944" spans="1:9">
      <c r="A944" s="2"/>
      <c r="B944" s="2"/>
      <c r="C944" s="2"/>
      <c r="D944" s="2"/>
      <c r="E944" s="2"/>
      <c r="F944" s="2"/>
      <c r="G944" s="2"/>
      <c r="H944" s="2"/>
      <c r="I944" s="2"/>
    </row>
    <row r="945" spans="1:9">
      <c r="A945" s="2"/>
      <c r="B945" s="2"/>
      <c r="C945" s="2"/>
      <c r="D945" s="2"/>
      <c r="E945" s="2"/>
      <c r="F945" s="2"/>
      <c r="G945" s="2"/>
      <c r="H945" s="2"/>
      <c r="I945" s="2"/>
    </row>
    <row r="946" spans="1:9">
      <c r="A946" s="2"/>
      <c r="B946" s="2"/>
      <c r="C946" s="2"/>
      <c r="D946" s="2"/>
      <c r="E946" s="2"/>
      <c r="F946" s="2"/>
      <c r="G946" s="2"/>
      <c r="H946" s="2"/>
      <c r="I946" s="2"/>
    </row>
    <row r="947" spans="1:9">
      <c r="A947" s="2"/>
      <c r="B947" s="2"/>
      <c r="C947" s="2"/>
      <c r="D947" s="2"/>
      <c r="E947" s="2"/>
      <c r="F947" s="2"/>
      <c r="G947" s="2"/>
      <c r="H947" s="2"/>
      <c r="I947" s="2"/>
    </row>
    <row r="948" spans="1:9">
      <c r="A948" s="2"/>
      <c r="B948" s="2"/>
      <c r="C948" s="2"/>
      <c r="D948" s="2"/>
      <c r="E948" s="2"/>
      <c r="F948" s="2"/>
      <c r="G948" s="2"/>
      <c r="H948" s="2"/>
      <c r="I948" s="2"/>
    </row>
    <row r="949" spans="1:9">
      <c r="A949" s="2"/>
      <c r="B949" s="2"/>
      <c r="C949" s="2"/>
      <c r="D949" s="2"/>
      <c r="E949" s="2"/>
      <c r="F949" s="2"/>
      <c r="G949" s="2"/>
      <c r="H949" s="2"/>
      <c r="I949" s="2"/>
    </row>
    <row r="950" spans="1:9">
      <c r="A950" s="2"/>
      <c r="B950" s="2"/>
      <c r="C950" s="2"/>
      <c r="D950" s="2"/>
      <c r="E950" s="2"/>
      <c r="F950" s="2"/>
      <c r="G950" s="2"/>
      <c r="H950" s="2"/>
      <c r="I950" s="2"/>
    </row>
    <row r="951" spans="1:9">
      <c r="A951" s="2"/>
      <c r="B951" s="2"/>
      <c r="C951" s="2"/>
      <c r="D951" s="2"/>
      <c r="E951" s="2"/>
      <c r="F951" s="2"/>
      <c r="G951" s="2"/>
      <c r="H951" s="2"/>
      <c r="I951" s="2"/>
    </row>
    <row r="952" spans="1:9">
      <c r="A952" s="2"/>
      <c r="B952" s="2"/>
      <c r="C952" s="2"/>
      <c r="D952" s="2"/>
      <c r="E952" s="2"/>
      <c r="F952" s="2"/>
      <c r="G952" s="2"/>
      <c r="H952" s="2"/>
      <c r="I952" s="2"/>
    </row>
    <row r="953" spans="1:9">
      <c r="A953" s="2"/>
      <c r="B953" s="2"/>
      <c r="C953" s="2"/>
      <c r="D953" s="2"/>
      <c r="E953" s="2"/>
      <c r="F953" s="2"/>
      <c r="G953" s="2"/>
      <c r="H953" s="2"/>
      <c r="I953" s="2"/>
    </row>
    <row r="954" spans="1:9">
      <c r="A954" s="2"/>
      <c r="B954" s="2"/>
      <c r="C954" s="2"/>
      <c r="D954" s="2"/>
      <c r="E954" s="2"/>
      <c r="F954" s="2"/>
      <c r="G954" s="2"/>
      <c r="H954" s="2"/>
      <c r="I954" s="2"/>
    </row>
    <row r="955" spans="1:9">
      <c r="A955" s="2"/>
      <c r="B955" s="2"/>
      <c r="C955" s="2"/>
      <c r="D955" s="2"/>
      <c r="E955" s="2"/>
      <c r="F955" s="2"/>
      <c r="G955" s="2"/>
      <c r="H955" s="2"/>
      <c r="I955" s="2"/>
    </row>
    <row r="956" spans="1:9">
      <c r="A956" s="2"/>
      <c r="B956" s="2"/>
      <c r="C956" s="2"/>
      <c r="D956" s="2"/>
      <c r="E956" s="2"/>
      <c r="F956" s="2"/>
      <c r="G956" s="2"/>
      <c r="H956" s="2"/>
      <c r="I956" s="2"/>
    </row>
    <row r="957" spans="1:9">
      <c r="A957" s="2"/>
      <c r="B957" s="2"/>
      <c r="C957" s="2"/>
      <c r="D957" s="2"/>
      <c r="E957" s="2"/>
      <c r="F957" s="2"/>
      <c r="G957" s="2"/>
      <c r="H957" s="2"/>
      <c r="I957" s="2"/>
    </row>
    <row r="958" spans="1:9">
      <c r="A958" s="2"/>
      <c r="B958" s="2"/>
      <c r="C958" s="2"/>
      <c r="D958" s="2"/>
      <c r="E958" s="2"/>
      <c r="F958" s="2"/>
      <c r="G958" s="2"/>
      <c r="H958" s="2"/>
      <c r="I958" s="2"/>
    </row>
    <row r="959" spans="1:9">
      <c r="A959" s="2"/>
      <c r="B959" s="2"/>
      <c r="C959" s="2"/>
      <c r="D959" s="2"/>
      <c r="E959" s="2"/>
      <c r="F959" s="2"/>
      <c r="G959" s="2"/>
      <c r="H959" s="2"/>
      <c r="I959" s="2"/>
    </row>
    <row r="960" spans="1:9">
      <c r="A960" s="2"/>
      <c r="B960" s="2"/>
      <c r="C960" s="2"/>
      <c r="D960" s="2"/>
      <c r="E960" s="2"/>
      <c r="F960" s="2"/>
      <c r="G960" s="2"/>
      <c r="H960" s="2"/>
      <c r="I960" s="2"/>
    </row>
    <row r="961" spans="1:9">
      <c r="A961" s="2"/>
      <c r="B961" s="2"/>
      <c r="C961" s="2"/>
      <c r="D961" s="2"/>
      <c r="E961" s="2"/>
      <c r="F961" s="2"/>
      <c r="G961" s="2"/>
      <c r="H961" s="2"/>
      <c r="I961" s="2"/>
    </row>
    <row r="962" spans="1:9">
      <c r="A962" s="2"/>
      <c r="B962" s="2"/>
      <c r="C962" s="2"/>
      <c r="D962" s="2"/>
      <c r="E962" s="2"/>
      <c r="F962" s="2"/>
      <c r="G962" s="2"/>
      <c r="H962" s="2"/>
      <c r="I962" s="2"/>
    </row>
    <row r="963" spans="1:9">
      <c r="A963" s="2"/>
      <c r="B963" s="2"/>
      <c r="C963" s="2"/>
      <c r="D963" s="2"/>
      <c r="E963" s="2"/>
      <c r="F963" s="2"/>
      <c r="G963" s="2"/>
      <c r="H963" s="2"/>
      <c r="I963" s="2"/>
    </row>
    <row r="964" spans="1:9">
      <c r="A964" s="2"/>
      <c r="B964" s="2"/>
      <c r="C964" s="2"/>
      <c r="D964" s="2"/>
      <c r="E964" s="2"/>
      <c r="F964" s="2"/>
      <c r="G964" s="2"/>
      <c r="H964" s="2"/>
      <c r="I964" s="2"/>
    </row>
    <row r="965" spans="1:9">
      <c r="A965" s="2"/>
      <c r="B965" s="2"/>
      <c r="C965" s="2"/>
      <c r="D965" s="2"/>
      <c r="E965" s="2"/>
      <c r="F965" s="2"/>
      <c r="G965" s="2"/>
      <c r="H965" s="2"/>
      <c r="I965" s="2"/>
    </row>
    <row r="966" spans="1:9">
      <c r="A966" s="2"/>
      <c r="B966" s="2"/>
      <c r="C966" s="2"/>
      <c r="D966" s="2"/>
      <c r="E966" s="2"/>
      <c r="F966" s="2"/>
      <c r="G966" s="2"/>
      <c r="H966" s="2"/>
      <c r="I966" s="2"/>
    </row>
    <row r="967" spans="1:9">
      <c r="A967" s="2"/>
      <c r="B967" s="2"/>
      <c r="C967" s="2"/>
      <c r="D967" s="2"/>
      <c r="E967" s="2"/>
      <c r="F967" s="2"/>
      <c r="G967" s="2"/>
      <c r="H967" s="2"/>
      <c r="I967" s="2"/>
    </row>
    <row r="968" spans="1:9">
      <c r="A968" s="2"/>
      <c r="B968" s="2"/>
      <c r="C968" s="2"/>
      <c r="D968" s="2"/>
      <c r="E968" s="2"/>
      <c r="F968" s="2"/>
      <c r="G968" s="2"/>
      <c r="H968" s="2"/>
      <c r="I968" s="2"/>
    </row>
    <row r="969" spans="1:9">
      <c r="A969" s="2"/>
      <c r="B969" s="2"/>
      <c r="C969" s="2"/>
      <c r="D969" s="2"/>
      <c r="E969" s="2"/>
      <c r="F969" s="2"/>
      <c r="G969" s="2"/>
      <c r="H969" s="2"/>
      <c r="I969" s="2"/>
    </row>
    <row r="970" spans="1:9">
      <c r="A970" s="2"/>
      <c r="B970" s="2"/>
      <c r="C970" s="2"/>
      <c r="D970" s="2"/>
      <c r="E970" s="2"/>
      <c r="F970" s="2"/>
      <c r="G970" s="2"/>
      <c r="H970" s="2"/>
      <c r="I970" s="2"/>
    </row>
    <row r="971" spans="1:9">
      <c r="A971" s="2"/>
      <c r="B971" s="2"/>
      <c r="C971" s="2"/>
      <c r="D971" s="2"/>
      <c r="E971" s="2"/>
      <c r="F971" s="2"/>
      <c r="G971" s="2"/>
      <c r="H971" s="2"/>
      <c r="I971" s="2"/>
    </row>
    <row r="972" spans="1:9">
      <c r="A972" s="2"/>
      <c r="B972" s="2"/>
      <c r="C972" s="2"/>
      <c r="D972" s="2"/>
      <c r="E972" s="2"/>
      <c r="F972" s="2"/>
      <c r="G972" s="2"/>
      <c r="H972" s="2"/>
      <c r="I972" s="2"/>
    </row>
    <row r="973" spans="1:9">
      <c r="A973" s="2"/>
      <c r="B973" s="2"/>
      <c r="C973" s="2"/>
      <c r="D973" s="2"/>
      <c r="E973" s="2"/>
      <c r="F973" s="2"/>
      <c r="G973" s="2"/>
      <c r="H973" s="2"/>
      <c r="I973" s="2"/>
    </row>
    <row r="974" spans="1:9">
      <c r="A974" s="2"/>
      <c r="B974" s="2"/>
      <c r="C974" s="2"/>
      <c r="D974" s="2"/>
      <c r="E974" s="2"/>
      <c r="F974" s="2"/>
      <c r="G974" s="2"/>
      <c r="H974" s="2"/>
      <c r="I974" s="2"/>
    </row>
    <row r="975" spans="1:9">
      <c r="A975" s="2"/>
      <c r="B975" s="2"/>
      <c r="C975" s="2"/>
      <c r="D975" s="2"/>
      <c r="E975" s="2"/>
      <c r="F975" s="2"/>
      <c r="G975" s="2"/>
      <c r="H975" s="2"/>
      <c r="I975" s="2"/>
    </row>
    <row r="976" spans="1:9">
      <c r="A976" s="2"/>
      <c r="B976" s="2"/>
      <c r="C976" s="2"/>
      <c r="D976" s="2"/>
      <c r="E976" s="2"/>
      <c r="F976" s="2"/>
      <c r="G976" s="2"/>
      <c r="H976" s="2"/>
      <c r="I976" s="2"/>
    </row>
    <row r="977" spans="1:9">
      <c r="A977" s="2"/>
      <c r="B977" s="2"/>
      <c r="C977" s="2"/>
      <c r="D977" s="2"/>
      <c r="E977" s="2"/>
      <c r="F977" s="2"/>
      <c r="G977" s="2"/>
      <c r="H977" s="2"/>
      <c r="I977" s="2"/>
    </row>
    <row r="978" spans="1:9">
      <c r="A978" s="2"/>
      <c r="B978" s="2"/>
      <c r="C978" s="2"/>
      <c r="D978" s="2"/>
      <c r="E978" s="2"/>
      <c r="F978" s="2"/>
      <c r="G978" s="2"/>
      <c r="H978" s="2"/>
      <c r="I978" s="2"/>
    </row>
    <row r="979" spans="1:9">
      <c r="A979" s="2"/>
      <c r="B979" s="2"/>
      <c r="C979" s="2"/>
      <c r="D979" s="2"/>
      <c r="E979" s="2"/>
      <c r="F979" s="2"/>
      <c r="G979" s="2"/>
      <c r="H979" s="2"/>
      <c r="I979" s="2"/>
    </row>
    <row r="980" spans="1:9">
      <c r="A980" s="2"/>
      <c r="B980" s="2"/>
      <c r="C980" s="2"/>
      <c r="D980" s="2"/>
      <c r="E980" s="2"/>
      <c r="F980" s="2"/>
      <c r="G980" s="2"/>
      <c r="H980" s="2"/>
      <c r="I980" s="2"/>
    </row>
    <row r="981" spans="1:9">
      <c r="A981" s="2"/>
      <c r="B981" s="2"/>
      <c r="C981" s="2"/>
      <c r="D981" s="2"/>
      <c r="E981" s="2"/>
      <c r="F981" s="2"/>
      <c r="G981" s="2"/>
      <c r="H981" s="2"/>
      <c r="I981" s="2"/>
    </row>
    <row r="982" spans="1:9">
      <c r="A982" s="2"/>
      <c r="B982" s="2"/>
      <c r="C982" s="2"/>
      <c r="D982" s="2"/>
      <c r="E982" s="2"/>
      <c r="F982" s="2"/>
      <c r="G982" s="2"/>
      <c r="H982" s="2"/>
      <c r="I982" s="2"/>
    </row>
    <row r="983" spans="1:9">
      <c r="A983" s="2"/>
      <c r="B983" s="2"/>
      <c r="C983" s="2"/>
      <c r="D983" s="2"/>
      <c r="E983" s="2"/>
      <c r="F983" s="2"/>
      <c r="G983" s="2"/>
      <c r="H983" s="2"/>
      <c r="I983" s="2"/>
    </row>
    <row r="984" spans="1:9">
      <c r="A984" s="2"/>
      <c r="B984" s="2"/>
      <c r="C984" s="2"/>
      <c r="D984" s="2"/>
      <c r="E984" s="2"/>
      <c r="F984" s="2"/>
      <c r="G984" s="2"/>
      <c r="H984" s="2"/>
      <c r="I984" s="2"/>
    </row>
    <row r="985" spans="1:9">
      <c r="A985" s="2"/>
      <c r="B985" s="2"/>
      <c r="C985" s="2"/>
      <c r="D985" s="2"/>
      <c r="E985" s="2"/>
      <c r="F985" s="2"/>
      <c r="G985" s="2"/>
      <c r="H985" s="2"/>
      <c r="I985" s="2"/>
    </row>
    <row r="986" spans="1:9">
      <c r="A986" s="2"/>
      <c r="B986" s="2"/>
      <c r="C986" s="2"/>
      <c r="D986" s="2"/>
      <c r="E986" s="2"/>
      <c r="F986" s="2"/>
      <c r="G986" s="2"/>
      <c r="H986" s="2"/>
      <c r="I986" s="2"/>
    </row>
    <row r="987" spans="1:9">
      <c r="A987" s="2"/>
      <c r="B987" s="2"/>
      <c r="C987" s="2"/>
      <c r="D987" s="2"/>
      <c r="E987" s="2"/>
      <c r="F987" s="2"/>
      <c r="G987" s="2"/>
      <c r="H987" s="2"/>
      <c r="I987" s="2"/>
    </row>
    <row r="988" spans="1:9">
      <c r="A988" s="2"/>
      <c r="B988" s="2"/>
      <c r="C988" s="2"/>
      <c r="D988" s="2"/>
      <c r="E988" s="2"/>
      <c r="F988" s="2"/>
      <c r="G988" s="2"/>
      <c r="H988" s="2"/>
      <c r="I988" s="2"/>
    </row>
    <row r="989" spans="1:9">
      <c r="A989" s="2"/>
      <c r="B989" s="2"/>
      <c r="C989" s="2"/>
      <c r="D989" s="2"/>
      <c r="E989" s="2"/>
      <c r="F989" s="2"/>
      <c r="G989" s="2"/>
      <c r="H989" s="2"/>
      <c r="I989" s="2"/>
    </row>
    <row r="990" spans="1:9">
      <c r="A990" s="2"/>
      <c r="B990" s="2"/>
      <c r="C990" s="2"/>
      <c r="D990" s="2"/>
      <c r="E990" s="2"/>
      <c r="F990" s="2"/>
      <c r="G990" s="2"/>
      <c r="H990" s="2"/>
      <c r="I990" s="2"/>
    </row>
    <row r="991" spans="1:9">
      <c r="A991" s="2"/>
      <c r="B991" s="2"/>
      <c r="C991" s="2"/>
      <c r="D991" s="2"/>
      <c r="E991" s="2"/>
      <c r="F991" s="2"/>
      <c r="G991" s="2"/>
      <c r="H991" s="2"/>
      <c r="I991" s="2"/>
    </row>
    <row r="992" spans="1:9">
      <c r="A992" s="2"/>
      <c r="B992" s="2"/>
      <c r="C992" s="2"/>
      <c r="D992" s="2"/>
      <c r="E992" s="2"/>
      <c r="F992" s="2"/>
      <c r="G992" s="2"/>
      <c r="H992" s="2"/>
      <c r="I992" s="2"/>
    </row>
    <row r="993" spans="1:9">
      <c r="A993" s="2"/>
      <c r="B993" s="2"/>
      <c r="C993" s="2"/>
      <c r="D993" s="2"/>
      <c r="E993" s="2"/>
      <c r="F993" s="2"/>
      <c r="G993" s="2"/>
      <c r="H993" s="2"/>
      <c r="I993" s="2"/>
    </row>
    <row r="994" spans="1:9">
      <c r="A994" s="2"/>
      <c r="B994" s="2"/>
      <c r="C994" s="2"/>
      <c r="D994" s="2"/>
      <c r="E994" s="2"/>
      <c r="F994" s="2"/>
      <c r="G994" s="2"/>
      <c r="H994" s="2"/>
      <c r="I994" s="2"/>
    </row>
    <row r="995" spans="1:9">
      <c r="A995" s="2"/>
      <c r="B995" s="2"/>
      <c r="C995" s="2"/>
      <c r="D995" s="2"/>
      <c r="E995" s="2"/>
      <c r="F995" s="2"/>
      <c r="G995" s="2"/>
      <c r="H995" s="2"/>
      <c r="I995" s="2"/>
    </row>
    <row r="996" spans="1:9">
      <c r="A996" s="2"/>
      <c r="B996" s="2"/>
      <c r="C996" s="2"/>
      <c r="D996" s="2"/>
      <c r="E996" s="2"/>
      <c r="F996" s="2"/>
      <c r="G996" s="2"/>
      <c r="H996" s="2"/>
      <c r="I996" s="2"/>
    </row>
    <row r="997" spans="1:9">
      <c r="A997" s="2"/>
      <c r="B997" s="2"/>
      <c r="C997" s="2"/>
      <c r="D997" s="2"/>
      <c r="E997" s="2"/>
      <c r="F997" s="2"/>
      <c r="G997" s="2"/>
      <c r="H997" s="2"/>
      <c r="I997" s="2"/>
    </row>
    <row r="998" spans="1:9">
      <c r="A998" s="2"/>
      <c r="B998" s="2"/>
      <c r="C998" s="2"/>
      <c r="D998" s="2"/>
      <c r="E998" s="2"/>
      <c r="F998" s="2"/>
      <c r="G998" s="2"/>
      <c r="H998" s="2"/>
      <c r="I998" s="2"/>
    </row>
    <row r="999" spans="1:9">
      <c r="A999" s="2"/>
      <c r="B999" s="2"/>
      <c r="C999" s="2"/>
      <c r="D999" s="2"/>
      <c r="E999" s="2"/>
      <c r="F999" s="2"/>
      <c r="G999" s="2"/>
      <c r="H999" s="2"/>
      <c r="I999" s="2"/>
    </row>
    <row r="1000" spans="1:9">
      <c r="A1000" s="2"/>
      <c r="B1000" s="2"/>
      <c r="C1000" s="2"/>
      <c r="D1000" s="2"/>
      <c r="E1000" s="2"/>
      <c r="F1000" s="2"/>
      <c r="G1000" s="2"/>
      <c r="H1000" s="2"/>
      <c r="I1000" s="2"/>
    </row>
    <row r="1001" spans="1:9">
      <c r="A1001" s="2"/>
      <c r="B1001" s="2"/>
      <c r="C1001" s="2"/>
      <c r="D1001" s="2"/>
      <c r="E1001" s="2"/>
      <c r="F1001" s="2"/>
      <c r="G1001" s="2"/>
      <c r="H1001" s="2"/>
      <c r="I1001" s="2"/>
    </row>
    <row r="1002" spans="1:9">
      <c r="A1002" s="2"/>
      <c r="B1002" s="2"/>
      <c r="C1002" s="2"/>
      <c r="D1002" s="2"/>
      <c r="E1002" s="2"/>
      <c r="F1002" s="2"/>
      <c r="G1002" s="2"/>
      <c r="H1002" s="2"/>
      <c r="I1002" s="2"/>
    </row>
    <row r="1003" spans="1:9">
      <c r="A1003" s="2"/>
      <c r="B1003" s="2"/>
      <c r="C1003" s="2"/>
      <c r="D1003" s="2"/>
      <c r="E1003" s="2"/>
      <c r="F1003" s="2"/>
      <c r="G1003" s="2"/>
      <c r="H1003" s="2"/>
      <c r="I1003" s="2"/>
    </row>
    <row r="1004" spans="1:9">
      <c r="A1004" s="2"/>
      <c r="B1004" s="2"/>
      <c r="C1004" s="2"/>
      <c r="D1004" s="2"/>
      <c r="E1004" s="2"/>
      <c r="F1004" s="2"/>
      <c r="G1004" s="2"/>
      <c r="H1004" s="2"/>
      <c r="I1004" s="2"/>
    </row>
    <row r="1005" spans="1:9">
      <c r="A1005" s="2"/>
      <c r="B1005" s="2"/>
      <c r="C1005" s="2"/>
      <c r="D1005" s="2"/>
      <c r="E1005" s="2"/>
      <c r="F1005" s="2"/>
      <c r="G1005" s="2"/>
      <c r="H1005" s="2"/>
      <c r="I1005" s="2"/>
    </row>
    <row r="1006" spans="1:9">
      <c r="A1006" s="2"/>
      <c r="B1006" s="2"/>
      <c r="C1006" s="2"/>
      <c r="D1006" s="2"/>
      <c r="E1006" s="2"/>
      <c r="F1006" s="2"/>
      <c r="G1006" s="2"/>
      <c r="H1006" s="2"/>
      <c r="I1006" s="2"/>
    </row>
    <row r="1007" spans="1:9">
      <c r="A1007" s="2"/>
      <c r="B1007" s="2"/>
      <c r="C1007" s="2"/>
      <c r="D1007" s="2"/>
      <c r="E1007" s="2"/>
      <c r="F1007" s="2"/>
      <c r="G1007" s="2"/>
      <c r="H1007" s="2"/>
      <c r="I1007" s="2"/>
    </row>
    <row r="1008" spans="1:9">
      <c r="A1008" s="2"/>
      <c r="B1008" s="2"/>
      <c r="C1008" s="2"/>
      <c r="D1008" s="2"/>
      <c r="E1008" s="2"/>
      <c r="F1008" s="2"/>
      <c r="G1008" s="2"/>
      <c r="H1008" s="2"/>
      <c r="I1008" s="2"/>
    </row>
    <row r="1009" spans="1:9">
      <c r="A1009" s="2"/>
      <c r="B1009" s="2"/>
      <c r="C1009" s="2"/>
      <c r="D1009" s="2"/>
      <c r="E1009" s="2"/>
      <c r="F1009" s="2"/>
      <c r="G1009" s="2"/>
      <c r="H1009" s="2"/>
      <c r="I1009" s="2"/>
    </row>
    <row r="1010" spans="1:9">
      <c r="A1010" s="2"/>
      <c r="B1010" s="2"/>
      <c r="C1010" s="2"/>
      <c r="D1010" s="2"/>
      <c r="E1010" s="2"/>
      <c r="F1010" s="2"/>
      <c r="G1010" s="2"/>
      <c r="H1010" s="2"/>
      <c r="I1010" s="2"/>
    </row>
    <row r="1011" spans="1:9">
      <c r="A1011" s="2"/>
      <c r="B1011" s="2"/>
      <c r="C1011" s="2"/>
      <c r="D1011" s="2"/>
      <c r="E1011" s="2"/>
      <c r="F1011" s="2"/>
      <c r="G1011" s="2"/>
      <c r="H1011" s="2"/>
      <c r="I1011" s="2"/>
    </row>
    <row r="1012" spans="1:9">
      <c r="A1012" s="2"/>
      <c r="B1012" s="2"/>
      <c r="C1012" s="2"/>
      <c r="D1012" s="2"/>
      <c r="E1012" s="2"/>
      <c r="F1012" s="2"/>
      <c r="G1012" s="2"/>
      <c r="H1012" s="2"/>
      <c r="I1012" s="2"/>
    </row>
    <row r="1013" spans="1:9">
      <c r="A1013" s="2"/>
      <c r="B1013" s="2"/>
      <c r="C1013" s="2"/>
      <c r="D1013" s="2"/>
      <c r="E1013" s="2"/>
      <c r="F1013" s="2"/>
      <c r="G1013" s="2"/>
      <c r="H1013" s="2"/>
      <c r="I1013" s="2"/>
    </row>
    <row r="1014" spans="1:9">
      <c r="A1014" s="2"/>
      <c r="B1014" s="2"/>
      <c r="C1014" s="2"/>
      <c r="D1014" s="2"/>
      <c r="E1014" s="2"/>
      <c r="F1014" s="2"/>
      <c r="G1014" s="2"/>
      <c r="H1014" s="2"/>
      <c r="I1014" s="2"/>
    </row>
    <row r="1015" spans="1:9">
      <c r="A1015" s="2"/>
      <c r="B1015" s="2"/>
      <c r="C1015" s="2"/>
      <c r="D1015" s="2"/>
      <c r="E1015" s="2"/>
      <c r="F1015" s="2"/>
      <c r="G1015" s="2"/>
      <c r="H1015" s="2"/>
      <c r="I1015" s="2"/>
    </row>
    <row r="1016" spans="1:9">
      <c r="A1016" s="2"/>
      <c r="B1016" s="2"/>
      <c r="C1016" s="2"/>
      <c r="D1016" s="2"/>
      <c r="E1016" s="2"/>
      <c r="F1016" s="2"/>
      <c r="G1016" s="2"/>
      <c r="H1016" s="2"/>
      <c r="I1016" s="2"/>
    </row>
    <row r="1017" spans="1:9">
      <c r="A1017" s="2"/>
      <c r="B1017" s="2"/>
      <c r="C1017" s="2"/>
      <c r="D1017" s="2"/>
      <c r="E1017" s="2"/>
      <c r="F1017" s="2"/>
      <c r="G1017" s="2"/>
      <c r="H1017" s="2"/>
      <c r="I1017" s="2"/>
    </row>
    <row r="1018" spans="1:9">
      <c r="A1018" s="2"/>
      <c r="B1018" s="2"/>
      <c r="C1018" s="2"/>
      <c r="D1018" s="2"/>
      <c r="E1018" s="2"/>
      <c r="F1018" s="2"/>
      <c r="G1018" s="2"/>
      <c r="H1018" s="2"/>
      <c r="I1018" s="2"/>
    </row>
    <row r="1019" spans="1:9">
      <c r="A1019" s="2"/>
      <c r="B1019" s="2"/>
      <c r="C1019" s="2"/>
      <c r="D1019" s="2"/>
      <c r="E1019" s="2"/>
      <c r="F1019" s="2"/>
      <c r="G1019" s="2"/>
      <c r="H1019" s="2"/>
      <c r="I1019" s="2"/>
    </row>
    <row r="1020" spans="1:9">
      <c r="A1020" s="2"/>
      <c r="B1020" s="2"/>
      <c r="C1020" s="2"/>
      <c r="D1020" s="2"/>
      <c r="E1020" s="2"/>
      <c r="F1020" s="2"/>
      <c r="G1020" s="2"/>
      <c r="H1020" s="2"/>
      <c r="I1020" s="2"/>
    </row>
    <row r="1021" spans="1:9">
      <c r="A1021" s="2"/>
      <c r="B1021" s="2"/>
      <c r="C1021" s="2"/>
      <c r="D1021" s="2"/>
      <c r="E1021" s="2"/>
      <c r="F1021" s="2"/>
      <c r="G1021" s="2"/>
      <c r="H1021" s="2"/>
      <c r="I1021" s="2"/>
    </row>
    <row r="1022" spans="1:9">
      <c r="A1022" s="2"/>
      <c r="B1022" s="2"/>
      <c r="C1022" s="2"/>
      <c r="D1022" s="2"/>
      <c r="E1022" s="2"/>
      <c r="F1022" s="2"/>
      <c r="G1022" s="2"/>
      <c r="H1022" s="2"/>
      <c r="I1022" s="2"/>
    </row>
    <row r="1023" spans="1:9">
      <c r="A1023" s="2"/>
      <c r="B1023" s="2"/>
      <c r="C1023" s="2"/>
      <c r="D1023" s="2"/>
      <c r="E1023" s="2"/>
      <c r="F1023" s="2"/>
      <c r="G1023" s="2"/>
      <c r="H1023" s="2"/>
      <c r="I1023" s="2"/>
    </row>
    <row r="1024" spans="1:9">
      <c r="A1024" s="2"/>
      <c r="B1024" s="2"/>
      <c r="C1024" s="2"/>
      <c r="D1024" s="2"/>
      <c r="E1024" s="2"/>
      <c r="F1024" s="2"/>
      <c r="G1024" s="2"/>
      <c r="H1024" s="2"/>
      <c r="I1024" s="2"/>
    </row>
  </sheetData>
  <autoFilter ref="S4:AA97" xr:uid="{5BEEFDF1-5AEF-4C6F-A6D2-DA9E6B04EE57}"/>
  <pageMargins left="0.15748031496062992" right="0.11811023622047245" top="0.11811023622047245" bottom="0.15748031496062992" header="0.11811023622047245" footer="0.11811023622047245"/>
  <pageSetup scale="30" fitToHeight="0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F493A-B0B0-4632-A44E-D2A237930C6F}">
  <sheetPr codeName="Sheet11">
    <pageSetUpPr fitToPage="1"/>
  </sheetPr>
  <dimension ref="A1:AE487"/>
  <sheetViews>
    <sheetView tabSelected="1" topLeftCell="A6" zoomScale="69" zoomScaleNormal="91" workbookViewId="0">
      <pane xSplit="10" topLeftCell="K1" activePane="topRight" state="frozen"/>
      <selection activeCell="H33" sqref="H33"/>
      <selection pane="topRight" activeCell="M6" sqref="M6"/>
    </sheetView>
  </sheetViews>
  <sheetFormatPr defaultColWidth="12.453125" defaultRowHeight="14.5"/>
  <cols>
    <col min="1" max="1" width="13.36328125" style="18" customWidth="1"/>
    <col min="2" max="2" width="9.90625" style="18" customWidth="1"/>
    <col min="3" max="3" width="9.54296875" style="18" customWidth="1"/>
    <col min="4" max="4" width="23.1796875" style="9" customWidth="1"/>
    <col min="5" max="5" width="25" style="9" customWidth="1"/>
    <col min="6" max="6" width="17" style="9" customWidth="1"/>
    <col min="7" max="7" width="8" style="17" bestFit="1" customWidth="1"/>
    <col min="8" max="8" width="10.6328125" style="17" customWidth="1"/>
    <col min="9" max="9" width="9.6328125" style="17" customWidth="1"/>
    <col min="10" max="10" width="10.6328125" style="73" bestFit="1" customWidth="1"/>
    <col min="11" max="11" width="15.81640625" style="9" customWidth="1"/>
    <col min="12" max="14" width="22" style="9" customWidth="1"/>
    <col min="15" max="15" width="14.7265625" style="9" customWidth="1"/>
    <col min="16" max="16" width="38.90625" style="9" customWidth="1"/>
    <col min="17" max="17" width="35.26953125" style="9" customWidth="1"/>
    <col min="18" max="18" width="12.81640625" style="18" customWidth="1"/>
    <col min="19" max="19" width="13.54296875" style="18" customWidth="1"/>
    <col min="20" max="20" width="12.54296875" style="18" customWidth="1"/>
    <col min="21" max="21" width="11.453125" style="9" bestFit="1" customWidth="1"/>
    <col min="22" max="22" width="13.54296875" style="9" bestFit="1" customWidth="1"/>
    <col min="23" max="23" width="9.90625" style="17" bestFit="1" customWidth="1"/>
    <col min="24" max="26" width="12.453125" style="9"/>
    <col min="27" max="27" width="8.6328125" style="9" bestFit="1" customWidth="1"/>
    <col min="28" max="16384" width="12.453125" style="9"/>
  </cols>
  <sheetData>
    <row r="1" spans="1:31">
      <c r="A1" s="58" t="s">
        <v>223</v>
      </c>
      <c r="B1" s="39"/>
      <c r="C1" s="39"/>
      <c r="D1" s="40"/>
      <c r="E1" s="40"/>
      <c r="F1" s="40"/>
      <c r="G1" s="39"/>
      <c r="H1" s="39"/>
      <c r="I1" s="41"/>
      <c r="J1" s="42"/>
      <c r="K1" s="43"/>
      <c r="L1" s="44"/>
      <c r="M1" s="44"/>
      <c r="N1" s="44"/>
      <c r="O1" s="43"/>
      <c r="P1" s="43"/>
      <c r="Q1" s="43"/>
      <c r="R1" s="45"/>
      <c r="S1" s="45"/>
      <c r="T1" s="45"/>
      <c r="U1" s="1"/>
      <c r="V1" s="1"/>
      <c r="W1" s="41"/>
      <c r="X1" s="1"/>
      <c r="AA1" s="59" t="s">
        <v>787</v>
      </c>
      <c r="AB1" s="59" t="s">
        <v>781</v>
      </c>
      <c r="AD1" s="59" t="s">
        <v>787</v>
      </c>
      <c r="AE1" s="59" t="s">
        <v>781</v>
      </c>
    </row>
    <row r="2" spans="1:31">
      <c r="A2" s="39" t="s">
        <v>224</v>
      </c>
      <c r="B2" s="46">
        <f ca="1">TODAY()</f>
        <v>46154</v>
      </c>
      <c r="C2" s="39"/>
      <c r="D2" s="40"/>
      <c r="E2" s="40"/>
      <c r="F2" s="40"/>
      <c r="G2" s="39"/>
      <c r="H2" s="39"/>
      <c r="I2" s="41"/>
      <c r="J2" s="42"/>
      <c r="K2" s="47"/>
      <c r="L2" s="48"/>
      <c r="M2" s="48"/>
      <c r="N2" s="48"/>
      <c r="O2" s="43"/>
      <c r="P2" s="43"/>
      <c r="Q2" s="43"/>
      <c r="R2" s="45"/>
      <c r="S2" s="45"/>
      <c r="T2" s="45"/>
      <c r="U2" s="1"/>
      <c r="V2" s="1"/>
      <c r="W2" s="41"/>
      <c r="X2" s="1"/>
      <c r="AA2" s="61">
        <v>0</v>
      </c>
      <c r="AB2" s="61" t="s">
        <v>783</v>
      </c>
      <c r="AD2" s="61">
        <v>0</v>
      </c>
      <c r="AE2" s="61" t="s">
        <v>1888</v>
      </c>
    </row>
    <row r="3" spans="1:31">
      <c r="A3" s="39" t="s">
        <v>225</v>
      </c>
      <c r="B3" s="46">
        <f ca="1">TODAY()-1</f>
        <v>46153</v>
      </c>
      <c r="C3" s="39"/>
      <c r="D3" s="40"/>
      <c r="E3" s="40"/>
      <c r="F3" s="40"/>
      <c r="G3" s="39"/>
      <c r="H3" s="49"/>
      <c r="I3" s="41"/>
      <c r="J3" s="42"/>
      <c r="K3" s="43"/>
      <c r="L3" s="44"/>
      <c r="M3" s="44"/>
      <c r="N3" s="44"/>
      <c r="O3" s="43"/>
      <c r="P3" s="43"/>
      <c r="Q3" s="43"/>
      <c r="R3" s="50"/>
      <c r="S3" s="45"/>
      <c r="T3" s="45"/>
      <c r="U3" s="1"/>
      <c r="V3" s="1"/>
      <c r="W3" s="41"/>
      <c r="X3" s="1"/>
      <c r="AA3" s="61">
        <v>180</v>
      </c>
      <c r="AB3" s="61" t="s">
        <v>812</v>
      </c>
      <c r="AD3" s="61">
        <v>30</v>
      </c>
      <c r="AE3" s="61" t="s">
        <v>1889</v>
      </c>
    </row>
    <row r="4" spans="1:31">
      <c r="A4" s="58" t="s">
        <v>226</v>
      </c>
      <c r="B4" s="39"/>
      <c r="C4" s="39"/>
      <c r="D4" s="40"/>
      <c r="E4" s="43"/>
      <c r="F4" s="43"/>
      <c r="G4" s="41"/>
      <c r="H4" s="51"/>
      <c r="I4" s="52"/>
      <c r="J4" s="53">
        <f ca="1">TODAY()-1</f>
        <v>46153</v>
      </c>
      <c r="K4" s="54"/>
      <c r="L4" s="48"/>
      <c r="M4" s="48"/>
      <c r="N4" s="48"/>
      <c r="O4" s="43"/>
      <c r="P4" s="55"/>
      <c r="Q4" s="55"/>
      <c r="R4" s="56"/>
      <c r="S4" s="45"/>
      <c r="T4" s="45"/>
      <c r="U4" s="1"/>
      <c r="V4" s="1"/>
      <c r="W4" s="57">
        <f ca="1">TODAY()</f>
        <v>46154</v>
      </c>
      <c r="X4" s="1"/>
      <c r="Z4" s="110"/>
      <c r="AA4" s="61">
        <v>365</v>
      </c>
      <c r="AB4" s="61" t="s">
        <v>784</v>
      </c>
      <c r="AD4" s="61">
        <v>60</v>
      </c>
      <c r="AE4" s="61" t="s">
        <v>1890</v>
      </c>
    </row>
    <row r="5" spans="1:31" ht="15.75" customHeight="1">
      <c r="A5" s="39"/>
      <c r="B5" s="39"/>
      <c r="C5" s="39"/>
      <c r="D5" s="58"/>
      <c r="E5" s="43"/>
      <c r="F5" s="43"/>
      <c r="G5" s="41"/>
      <c r="H5" s="121">
        <f>SUBTOTAL(9,H7:H1000033)</f>
        <v>84890.5</v>
      </c>
      <c r="I5" s="41"/>
      <c r="J5" s="121">
        <f>SUBTOTAL(9,J7:J1000033)</f>
        <v>713510.29600000009</v>
      </c>
      <c r="K5" s="11">
        <v>46153</v>
      </c>
      <c r="L5" s="48"/>
      <c r="M5" s="48"/>
      <c r="N5" s="48"/>
      <c r="O5" s="43"/>
      <c r="P5" s="43"/>
      <c r="Q5" s="43"/>
      <c r="R5" s="56"/>
      <c r="S5" s="45"/>
      <c r="T5" s="45"/>
      <c r="U5" s="1"/>
      <c r="V5" s="121">
        <f>SUBTOTAL(9,V7:V1000033)</f>
        <v>293350494.70299995</v>
      </c>
      <c r="W5" s="57"/>
      <c r="X5" s="1"/>
      <c r="AA5" s="61">
        <v>540</v>
      </c>
      <c r="AB5" s="61" t="s">
        <v>785</v>
      </c>
      <c r="AD5" s="61">
        <v>90</v>
      </c>
      <c r="AE5" s="61" t="s">
        <v>1891</v>
      </c>
    </row>
    <row r="6" spans="1:31" ht="75" customHeight="1">
      <c r="A6" s="122" t="s">
        <v>227</v>
      </c>
      <c r="B6" s="123" t="s">
        <v>228</v>
      </c>
      <c r="C6" s="123" t="s">
        <v>229</v>
      </c>
      <c r="D6" s="123" t="s">
        <v>230</v>
      </c>
      <c r="E6" s="123" t="s">
        <v>231</v>
      </c>
      <c r="F6" s="123" t="s">
        <v>232</v>
      </c>
      <c r="G6" s="123" t="s">
        <v>3</v>
      </c>
      <c r="H6" s="123" t="s">
        <v>233</v>
      </c>
      <c r="I6" s="124" t="s">
        <v>234</v>
      </c>
      <c r="J6" s="125" t="s">
        <v>235</v>
      </c>
      <c r="K6" s="59" t="s">
        <v>231</v>
      </c>
      <c r="L6" s="59" t="s">
        <v>1894</v>
      </c>
      <c r="M6" s="59" t="s">
        <v>0</v>
      </c>
      <c r="N6" s="59" t="s">
        <v>236</v>
      </c>
      <c r="O6" s="59" t="s">
        <v>237</v>
      </c>
      <c r="P6" s="59" t="s">
        <v>2</v>
      </c>
      <c r="Q6" s="59" t="s">
        <v>238</v>
      </c>
      <c r="R6" s="59" t="s">
        <v>239</v>
      </c>
      <c r="S6" s="59" t="s">
        <v>1</v>
      </c>
      <c r="T6" s="59" t="s">
        <v>241</v>
      </c>
      <c r="U6" s="59" t="s">
        <v>242</v>
      </c>
      <c r="V6" s="59" t="s">
        <v>243</v>
      </c>
      <c r="W6" s="59" t="s">
        <v>244</v>
      </c>
      <c r="X6" s="59" t="s">
        <v>782</v>
      </c>
      <c r="Y6" s="131" t="s">
        <v>1893</v>
      </c>
      <c r="AA6" s="61">
        <v>730</v>
      </c>
      <c r="AB6" s="61" t="s">
        <v>786</v>
      </c>
      <c r="AD6" s="61">
        <v>180</v>
      </c>
      <c r="AE6" s="61" t="s">
        <v>1892</v>
      </c>
    </row>
    <row r="7" spans="1:31" s="64" customFormat="1" ht="15" customHeight="1">
      <c r="A7" s="127" t="s">
        <v>266</v>
      </c>
      <c r="B7" s="45" t="s">
        <v>245</v>
      </c>
      <c r="C7" s="45" t="s">
        <v>267</v>
      </c>
      <c r="D7" s="43" t="s">
        <v>252</v>
      </c>
      <c r="E7" s="43" t="s">
        <v>268</v>
      </c>
      <c r="F7" s="43" t="s">
        <v>269</v>
      </c>
      <c r="G7" s="41">
        <v>56059</v>
      </c>
      <c r="H7" s="116">
        <v>37</v>
      </c>
      <c r="I7" s="41">
        <v>10</v>
      </c>
      <c r="J7" s="98">
        <f>I7*H7</f>
        <v>370</v>
      </c>
      <c r="K7" s="60" t="s">
        <v>136</v>
      </c>
      <c r="L7" s="60" t="s">
        <v>842</v>
      </c>
      <c r="M7" s="60" t="str" cm="1">
        <f t="array" ref="M7:N7">VLOOKUP(Q7,[1]CDPL!$A:$D,{3,4},0)</f>
        <v>DATES</v>
      </c>
      <c r="N7" s="60" t="str">
        <v>Powder</v>
      </c>
      <c r="O7" s="60" t="s">
        <v>247</v>
      </c>
      <c r="P7" s="60" t="s">
        <v>138</v>
      </c>
      <c r="Q7" s="60" t="s">
        <v>138</v>
      </c>
      <c r="R7" s="45" t="s">
        <v>250</v>
      </c>
      <c r="S7" s="45" t="s">
        <v>6</v>
      </c>
      <c r="T7" s="45" t="s">
        <v>247</v>
      </c>
      <c r="U7" s="119">
        <v>215</v>
      </c>
      <c r="V7" s="62">
        <f>U7*J7</f>
        <v>79550</v>
      </c>
      <c r="W7" s="63">
        <f ca="1">$W$4-A7</f>
        <v>1023</v>
      </c>
      <c r="X7" s="52" t="str">
        <f ca="1">VLOOKUP(W7,$AA$2:$AB$6,2)</f>
        <v>&gt;24 Months</v>
      </c>
      <c r="Y7" s="52" t="str">
        <f ca="1">VLOOKUP(W7,$AD$2:$AE$6,2)</f>
        <v>&gt;181 Days</v>
      </c>
      <c r="AA7" s="61"/>
      <c r="AB7" s="61"/>
    </row>
    <row r="8" spans="1:31" s="64" customFormat="1" ht="15" customHeight="1">
      <c r="A8" s="127" t="s">
        <v>375</v>
      </c>
      <c r="B8" s="45" t="s">
        <v>245</v>
      </c>
      <c r="C8" s="45" t="s">
        <v>376</v>
      </c>
      <c r="D8" s="43" t="s">
        <v>246</v>
      </c>
      <c r="E8" s="43" t="s">
        <v>332</v>
      </c>
      <c r="F8" s="43" t="s">
        <v>269</v>
      </c>
      <c r="G8" s="41">
        <v>93289</v>
      </c>
      <c r="H8" s="116">
        <v>114</v>
      </c>
      <c r="I8" s="41">
        <v>10</v>
      </c>
      <c r="J8" s="98">
        <f>I8*H8</f>
        <v>1140</v>
      </c>
      <c r="K8" s="60" t="s">
        <v>136</v>
      </c>
      <c r="L8" s="60" t="s">
        <v>842</v>
      </c>
      <c r="M8" s="60" t="str" cm="1">
        <f t="array" ref="M8:N8">VLOOKUP(Q8,[1]CDPL!$A:$D,{3,4},0)</f>
        <v>DATES</v>
      </c>
      <c r="N8" s="60" t="str">
        <v>Powder</v>
      </c>
      <c r="O8" s="60" t="s">
        <v>247</v>
      </c>
      <c r="P8" s="60" t="s">
        <v>138</v>
      </c>
      <c r="Q8" s="60" t="s">
        <v>138</v>
      </c>
      <c r="R8" s="45" t="s">
        <v>250</v>
      </c>
      <c r="S8" s="45" t="s">
        <v>6</v>
      </c>
      <c r="T8" s="45" t="s">
        <v>247</v>
      </c>
      <c r="U8" s="119">
        <v>215</v>
      </c>
      <c r="V8" s="62">
        <f>U8*J8</f>
        <v>245100</v>
      </c>
      <c r="W8" s="63">
        <f ca="1">$W$4-A8</f>
        <v>654</v>
      </c>
      <c r="X8" s="52" t="str">
        <f ca="1">VLOOKUP(W8,$AA$2:$AB$6,2)</f>
        <v>18-24 Months</v>
      </c>
      <c r="Y8" s="52" t="str">
        <f ca="1">VLOOKUP(W8,$AD$2:$AE$6,2)</f>
        <v>&gt;181 Days</v>
      </c>
      <c r="AA8" s="61"/>
      <c r="AB8" s="61"/>
    </row>
    <row r="9" spans="1:31" s="64" customFormat="1" ht="15" customHeight="1">
      <c r="A9" s="127" t="s">
        <v>375</v>
      </c>
      <c r="B9" s="45" t="s">
        <v>245</v>
      </c>
      <c r="C9" s="45" t="s">
        <v>376</v>
      </c>
      <c r="D9" s="43" t="s">
        <v>246</v>
      </c>
      <c r="E9" s="43" t="s">
        <v>332</v>
      </c>
      <c r="F9" s="43" t="s">
        <v>269</v>
      </c>
      <c r="G9" s="41">
        <v>93289</v>
      </c>
      <c r="H9" s="116">
        <v>77</v>
      </c>
      <c r="I9" s="41">
        <v>10</v>
      </c>
      <c r="J9" s="98">
        <f>I9*H9</f>
        <v>770</v>
      </c>
      <c r="K9" s="60" t="s">
        <v>136</v>
      </c>
      <c r="L9" s="60" t="s">
        <v>842</v>
      </c>
      <c r="M9" s="60" t="str" cm="1">
        <f t="array" ref="M9:N9">VLOOKUP(Q9,[1]CDPL!$A:$D,{3,4},0)</f>
        <v>DATES</v>
      </c>
      <c r="N9" s="60" t="str">
        <v>Powder</v>
      </c>
      <c r="O9" s="60" t="s">
        <v>247</v>
      </c>
      <c r="P9" s="60" t="s">
        <v>138</v>
      </c>
      <c r="Q9" s="60" t="s">
        <v>138</v>
      </c>
      <c r="R9" s="45" t="s">
        <v>250</v>
      </c>
      <c r="S9" s="45" t="s">
        <v>6</v>
      </c>
      <c r="T9" s="45" t="s">
        <v>247</v>
      </c>
      <c r="U9" s="119">
        <v>215</v>
      </c>
      <c r="V9" s="62">
        <f>U9*J9</f>
        <v>165550</v>
      </c>
      <c r="W9" s="63">
        <f ca="1">$W$4-A9</f>
        <v>654</v>
      </c>
      <c r="X9" s="52" t="str">
        <f ca="1">VLOOKUP(W9,$AA$2:$AB$6,2)</f>
        <v>18-24 Months</v>
      </c>
      <c r="Y9" s="52" t="str">
        <f ca="1">VLOOKUP(W9,$AD$2:$AE$6,2)</f>
        <v>&gt;181 Days</v>
      </c>
      <c r="AA9" s="61"/>
      <c r="AB9" s="61"/>
    </row>
    <row r="10" spans="1:31" s="64" customFormat="1" ht="15" customHeight="1">
      <c r="A10" s="127" t="s">
        <v>385</v>
      </c>
      <c r="B10" s="45" t="s">
        <v>245</v>
      </c>
      <c r="C10" s="45" t="s">
        <v>386</v>
      </c>
      <c r="D10" s="43" t="s">
        <v>252</v>
      </c>
      <c r="E10" s="43" t="s">
        <v>332</v>
      </c>
      <c r="F10" s="43" t="s">
        <v>248</v>
      </c>
      <c r="G10" s="41">
        <v>110715</v>
      </c>
      <c r="H10" s="116">
        <v>97</v>
      </c>
      <c r="I10" s="41">
        <v>10</v>
      </c>
      <c r="J10" s="98">
        <f>I10*H10</f>
        <v>970</v>
      </c>
      <c r="K10" s="60" t="s">
        <v>148</v>
      </c>
      <c r="L10" s="60" t="s">
        <v>387</v>
      </c>
      <c r="M10" s="60" t="str" cm="1">
        <f t="array" ref="M10:N10">VLOOKUP(Q10,[1]CDPL!$A:$D,{3,4},0)</f>
        <v>DATES</v>
      </c>
      <c r="N10" s="60" t="str">
        <v>Diced</v>
      </c>
      <c r="O10" s="60" t="s">
        <v>247</v>
      </c>
      <c r="P10" s="60" t="s">
        <v>149</v>
      </c>
      <c r="Q10" s="60" t="s">
        <v>388</v>
      </c>
      <c r="R10" s="45" t="s">
        <v>250</v>
      </c>
      <c r="S10" s="45" t="s">
        <v>6</v>
      </c>
      <c r="T10" s="45" t="s">
        <v>247</v>
      </c>
      <c r="U10" s="119">
        <v>110</v>
      </c>
      <c r="V10" s="62">
        <f>U10*J10</f>
        <v>106700</v>
      </c>
      <c r="W10" s="63">
        <f ca="1">$W$4-A10</f>
        <v>592</v>
      </c>
      <c r="X10" s="52" t="str">
        <f ca="1">VLOOKUP(W10,$AA$2:$AB$6,2)</f>
        <v>18-24 Months</v>
      </c>
      <c r="Y10" s="52" t="str">
        <f ca="1">VLOOKUP(W10,$AD$2:$AE$6,2)</f>
        <v>&gt;181 Days</v>
      </c>
      <c r="AA10" s="61"/>
      <c r="AB10" s="61"/>
    </row>
    <row r="11" spans="1:31" s="64" customFormat="1" ht="15" customHeight="1">
      <c r="A11" s="127" t="s">
        <v>400</v>
      </c>
      <c r="B11" s="45" t="s">
        <v>245</v>
      </c>
      <c r="C11" s="45" t="s">
        <v>401</v>
      </c>
      <c r="D11" s="43" t="s">
        <v>252</v>
      </c>
      <c r="E11" s="43" t="s">
        <v>402</v>
      </c>
      <c r="F11" s="43" t="s">
        <v>403</v>
      </c>
      <c r="G11" s="41">
        <v>121319</v>
      </c>
      <c r="H11" s="116">
        <v>17</v>
      </c>
      <c r="I11" s="41">
        <v>10</v>
      </c>
      <c r="J11" s="98">
        <f>I11*H11</f>
        <v>170</v>
      </c>
      <c r="K11" s="60" t="s">
        <v>152</v>
      </c>
      <c r="L11" s="60" t="s">
        <v>297</v>
      </c>
      <c r="M11" s="60" t="str" cm="1">
        <f t="array" ref="M11:N11">VLOOKUP(Q11,[1]CDPL!$A:$D,{3,4},0)</f>
        <v>DATES</v>
      </c>
      <c r="N11" s="60" t="str">
        <v>Lulu</v>
      </c>
      <c r="O11" s="60" t="s">
        <v>298</v>
      </c>
      <c r="P11" s="60" t="s">
        <v>161</v>
      </c>
      <c r="Q11" s="60" t="s">
        <v>299</v>
      </c>
      <c r="R11" s="45" t="s">
        <v>250</v>
      </c>
      <c r="S11" s="45" t="s">
        <v>6</v>
      </c>
      <c r="T11" s="45" t="s">
        <v>247</v>
      </c>
      <c r="U11" s="119">
        <v>182</v>
      </c>
      <c r="V11" s="62">
        <f>U11*J11</f>
        <v>30940</v>
      </c>
      <c r="W11" s="63">
        <f ca="1">$W$4-A11</f>
        <v>533</v>
      </c>
      <c r="X11" s="52" t="str">
        <f ca="1">VLOOKUP(W11,$AA$2:$AB$6,2)</f>
        <v>12-18 Months</v>
      </c>
      <c r="Y11" s="52" t="str">
        <f ca="1">VLOOKUP(W11,$AD$2:$AE$6,2)</f>
        <v>&gt;181 Days</v>
      </c>
    </row>
    <row r="12" spans="1:31" s="64" customFormat="1" ht="15" customHeight="1">
      <c r="A12" s="127" t="s">
        <v>406</v>
      </c>
      <c r="B12" s="45" t="s">
        <v>245</v>
      </c>
      <c r="C12" s="45" t="s">
        <v>407</v>
      </c>
      <c r="D12" s="43" t="s">
        <v>252</v>
      </c>
      <c r="E12" s="43" t="s">
        <v>408</v>
      </c>
      <c r="F12" s="43" t="s">
        <v>332</v>
      </c>
      <c r="G12" s="41">
        <v>123526</v>
      </c>
      <c r="H12" s="116">
        <v>60</v>
      </c>
      <c r="I12" s="41">
        <v>10</v>
      </c>
      <c r="J12" s="98">
        <f>I12*H12</f>
        <v>600</v>
      </c>
      <c r="K12" s="60" t="s">
        <v>148</v>
      </c>
      <c r="L12" s="60" t="s">
        <v>409</v>
      </c>
      <c r="M12" s="60" t="str" cm="1">
        <f t="array" ref="M12:N12">VLOOKUP(Q12,[1]CDPL!$A:$D,{3,4},0)</f>
        <v>DATES</v>
      </c>
      <c r="N12" s="60" t="str">
        <v>Diced</v>
      </c>
      <c r="O12" s="60" t="s">
        <v>247</v>
      </c>
      <c r="P12" s="60" t="s">
        <v>150</v>
      </c>
      <c r="Q12" s="60" t="s">
        <v>410</v>
      </c>
      <c r="R12" s="45" t="s">
        <v>250</v>
      </c>
      <c r="S12" s="45" t="s">
        <v>6</v>
      </c>
      <c r="T12" s="45" t="s">
        <v>247</v>
      </c>
      <c r="U12" s="119">
        <v>116.6</v>
      </c>
      <c r="V12" s="62">
        <f>U12*J12</f>
        <v>69960</v>
      </c>
      <c r="W12" s="63">
        <f ca="1">$W$4-A12</f>
        <v>518</v>
      </c>
      <c r="X12" s="52" t="str">
        <f ca="1">VLOOKUP(W12,$AA$2:$AB$6,2)</f>
        <v>12-18 Months</v>
      </c>
      <c r="Y12" s="52" t="str">
        <f ca="1">VLOOKUP(W12,$AD$2:$AE$6,2)</f>
        <v>&gt;181 Days</v>
      </c>
    </row>
    <row r="13" spans="1:31" s="64" customFormat="1" ht="15" customHeight="1">
      <c r="A13" s="127" t="s">
        <v>406</v>
      </c>
      <c r="B13" s="45" t="s">
        <v>245</v>
      </c>
      <c r="C13" s="45" t="s">
        <v>407</v>
      </c>
      <c r="D13" s="43" t="s">
        <v>252</v>
      </c>
      <c r="E13" s="43" t="s">
        <v>411</v>
      </c>
      <c r="F13" s="43" t="s">
        <v>332</v>
      </c>
      <c r="G13" s="41">
        <v>123525</v>
      </c>
      <c r="H13" s="116">
        <v>918</v>
      </c>
      <c r="I13" s="41">
        <v>10</v>
      </c>
      <c r="J13" s="98">
        <f>I13*H13</f>
        <v>9180</v>
      </c>
      <c r="K13" s="60" t="s">
        <v>136</v>
      </c>
      <c r="L13" s="60" t="s">
        <v>842</v>
      </c>
      <c r="M13" s="60" t="str" cm="1">
        <f t="array" ref="M13:N13">VLOOKUP(Q13,[1]CDPL!$A:$D,{3,4},0)</f>
        <v>DATES</v>
      </c>
      <c r="N13" s="60" t="str">
        <v>Powder</v>
      </c>
      <c r="O13" s="60" t="s">
        <v>247</v>
      </c>
      <c r="P13" s="60" t="s">
        <v>138</v>
      </c>
      <c r="Q13" s="60" t="s">
        <v>138</v>
      </c>
      <c r="R13" s="45" t="s">
        <v>250</v>
      </c>
      <c r="S13" s="45" t="s">
        <v>6</v>
      </c>
      <c r="T13" s="45" t="s">
        <v>247</v>
      </c>
      <c r="U13" s="119">
        <v>215</v>
      </c>
      <c r="V13" s="62">
        <f>U13*J13</f>
        <v>1973700</v>
      </c>
      <c r="W13" s="63">
        <f ca="1">$W$4-A13</f>
        <v>518</v>
      </c>
      <c r="X13" s="52" t="str">
        <f ca="1">VLOOKUP(W13,$AA$2:$AB$6,2)</f>
        <v>12-18 Months</v>
      </c>
      <c r="Y13" s="52" t="str">
        <f ca="1">VLOOKUP(W13,$AD$2:$AE$6,2)</f>
        <v>&gt;181 Days</v>
      </c>
    </row>
    <row r="14" spans="1:31" s="64" customFormat="1" ht="15" customHeight="1">
      <c r="A14" s="127" t="s">
        <v>418</v>
      </c>
      <c r="B14" s="45" t="s">
        <v>258</v>
      </c>
      <c r="C14" s="45" t="s">
        <v>419</v>
      </c>
      <c r="D14" s="43" t="s">
        <v>256</v>
      </c>
      <c r="E14" s="43" t="s">
        <v>420</v>
      </c>
      <c r="F14" s="43" t="s">
        <v>421</v>
      </c>
      <c r="G14" s="41">
        <v>78999</v>
      </c>
      <c r="H14" s="116">
        <v>45</v>
      </c>
      <c r="I14" s="41">
        <v>5</v>
      </c>
      <c r="J14" s="98">
        <f>I14*H14</f>
        <v>225</v>
      </c>
      <c r="K14" s="60" t="s">
        <v>190</v>
      </c>
      <c r="L14" s="60" t="s">
        <v>422</v>
      </c>
      <c r="M14" s="60" t="str" cm="1">
        <f t="array" ref="M14:N14">VLOOKUP(Q14,[1]CDPL!$A:$D,{3,4},0)</f>
        <v>DATES</v>
      </c>
      <c r="N14" s="60" t="str">
        <v>Ajwa</v>
      </c>
      <c r="O14" s="60" t="s">
        <v>260</v>
      </c>
      <c r="P14" s="60" t="s">
        <v>191</v>
      </c>
      <c r="Q14" s="60" t="s">
        <v>423</v>
      </c>
      <c r="R14" s="45" t="s">
        <v>250</v>
      </c>
      <c r="S14" s="45" t="s">
        <v>6</v>
      </c>
      <c r="T14" s="45" t="s">
        <v>255</v>
      </c>
      <c r="U14" s="119">
        <v>980</v>
      </c>
      <c r="V14" s="62">
        <f>U14*J14</f>
        <v>220500</v>
      </c>
      <c r="W14" s="63">
        <f ca="1">$W$4-A14</f>
        <v>482</v>
      </c>
      <c r="X14" s="52" t="str">
        <f ca="1">VLOOKUP(W14,$AA$2:$AB$6,2)</f>
        <v>12-18 Months</v>
      </c>
      <c r="Y14" s="52" t="str">
        <f ca="1">VLOOKUP(W14,$AD$2:$AE$6,2)</f>
        <v>&gt;181 Days</v>
      </c>
    </row>
    <row r="15" spans="1:31" s="64" customFormat="1" ht="15" customHeight="1">
      <c r="A15" s="127" t="s">
        <v>418</v>
      </c>
      <c r="B15" s="45" t="s">
        <v>258</v>
      </c>
      <c r="C15" s="45" t="s">
        <v>419</v>
      </c>
      <c r="D15" s="43" t="s">
        <v>256</v>
      </c>
      <c r="E15" s="43" t="s">
        <v>424</v>
      </c>
      <c r="F15" s="43" t="s">
        <v>425</v>
      </c>
      <c r="G15" s="41">
        <v>79000</v>
      </c>
      <c r="H15" s="116">
        <v>31</v>
      </c>
      <c r="I15" s="41">
        <v>5</v>
      </c>
      <c r="J15" s="98">
        <f>I15*H15</f>
        <v>155</v>
      </c>
      <c r="K15" s="60" t="s">
        <v>190</v>
      </c>
      <c r="L15" s="60" t="s">
        <v>422</v>
      </c>
      <c r="M15" s="60" t="str" cm="1">
        <f t="array" ref="M15:N15">VLOOKUP(Q15,[1]CDPL!$A:$D,{3,4},0)</f>
        <v>DATES</v>
      </c>
      <c r="N15" s="60" t="str">
        <v>Ajwa</v>
      </c>
      <c r="O15" s="60" t="s">
        <v>260</v>
      </c>
      <c r="P15" s="60" t="s">
        <v>191</v>
      </c>
      <c r="Q15" s="60" t="s">
        <v>423</v>
      </c>
      <c r="R15" s="45" t="s">
        <v>250</v>
      </c>
      <c r="S15" s="45" t="s">
        <v>6</v>
      </c>
      <c r="T15" s="45" t="s">
        <v>255</v>
      </c>
      <c r="U15" s="119">
        <v>980</v>
      </c>
      <c r="V15" s="62">
        <f>U15*J15</f>
        <v>151900</v>
      </c>
      <c r="W15" s="63">
        <f ca="1">$W$4-A15</f>
        <v>482</v>
      </c>
      <c r="X15" s="52" t="str">
        <f ca="1">VLOOKUP(W15,$AA$2:$AB$6,2)</f>
        <v>12-18 Months</v>
      </c>
      <c r="Y15" s="52" t="str">
        <f ca="1">VLOOKUP(W15,$AD$2:$AE$6,2)</f>
        <v>&gt;181 Days</v>
      </c>
    </row>
    <row r="16" spans="1:31" s="64" customFormat="1" ht="15" customHeight="1">
      <c r="A16" s="127" t="s">
        <v>437</v>
      </c>
      <c r="B16" s="45" t="s">
        <v>258</v>
      </c>
      <c r="C16" s="45" t="s">
        <v>438</v>
      </c>
      <c r="D16" s="43" t="s">
        <v>317</v>
      </c>
      <c r="E16" s="43" t="s">
        <v>442</v>
      </c>
      <c r="F16" s="43" t="s">
        <v>443</v>
      </c>
      <c r="G16" s="41">
        <v>79912</v>
      </c>
      <c r="H16" s="116">
        <v>9</v>
      </c>
      <c r="I16" s="41">
        <v>15</v>
      </c>
      <c r="J16" s="98">
        <f>I16*H16</f>
        <v>135</v>
      </c>
      <c r="K16" s="60" t="s">
        <v>190</v>
      </c>
      <c r="L16" s="60" t="s">
        <v>855</v>
      </c>
      <c r="M16" s="60" t="str" cm="1">
        <f t="array" ref="M16:N16">VLOOKUP(Q16,[1]CDPL!$A:$D,{3,4},0)</f>
        <v>DATES</v>
      </c>
      <c r="N16" s="60" t="str">
        <v>Medjoul-Junior</v>
      </c>
      <c r="O16" s="60" t="s">
        <v>380</v>
      </c>
      <c r="P16" s="60" t="s">
        <v>199</v>
      </c>
      <c r="Q16" s="60" t="s">
        <v>381</v>
      </c>
      <c r="R16" s="45" t="s">
        <v>250</v>
      </c>
      <c r="S16" s="45" t="s">
        <v>6</v>
      </c>
      <c r="T16" s="45" t="s">
        <v>274</v>
      </c>
      <c r="U16" s="119">
        <v>477</v>
      </c>
      <c r="V16" s="62">
        <f>U16*J16</f>
        <v>64395</v>
      </c>
      <c r="W16" s="63">
        <f ca="1">$W$4-A16</f>
        <v>456</v>
      </c>
      <c r="X16" s="52" t="str">
        <f ca="1">VLOOKUP(W16,$AA$2:$AB$6,2)</f>
        <v>12-18 Months</v>
      </c>
      <c r="Y16" s="52" t="str">
        <f ca="1">VLOOKUP(W16,$AD$2:$AE$6,2)</f>
        <v>&gt;181 Days</v>
      </c>
    </row>
    <row r="17" spans="1:25" s="64" customFormat="1" ht="15" customHeight="1">
      <c r="A17" s="127" t="s">
        <v>437</v>
      </c>
      <c r="B17" s="45" t="s">
        <v>258</v>
      </c>
      <c r="C17" s="45" t="s">
        <v>438</v>
      </c>
      <c r="D17" s="43" t="s">
        <v>293</v>
      </c>
      <c r="E17" s="43" t="s">
        <v>439</v>
      </c>
      <c r="F17" s="43" t="s">
        <v>294</v>
      </c>
      <c r="G17" s="41">
        <v>79910</v>
      </c>
      <c r="H17" s="116">
        <v>59</v>
      </c>
      <c r="I17" s="41">
        <v>8</v>
      </c>
      <c r="J17" s="98">
        <f>I17*H17</f>
        <v>472</v>
      </c>
      <c r="K17" s="60" t="s">
        <v>190</v>
      </c>
      <c r="L17" s="60" t="s">
        <v>859</v>
      </c>
      <c r="M17" s="60" t="str" cm="1">
        <f t="array" ref="M17:N17">VLOOKUP(Q17,[1]CDPL!$A:$D,{3,4},0)</f>
        <v>DATES</v>
      </c>
      <c r="N17" s="60" t="str">
        <v>Medjoul-Large</v>
      </c>
      <c r="O17" s="60" t="s">
        <v>440</v>
      </c>
      <c r="P17" s="60" t="s">
        <v>204</v>
      </c>
      <c r="Q17" s="60" t="s">
        <v>441</v>
      </c>
      <c r="R17" s="45" t="s">
        <v>250</v>
      </c>
      <c r="S17" s="45" t="s">
        <v>6</v>
      </c>
      <c r="T17" s="45" t="s">
        <v>274</v>
      </c>
      <c r="U17" s="119">
        <v>817</v>
      </c>
      <c r="V17" s="62">
        <f>U17*J17</f>
        <v>385624</v>
      </c>
      <c r="W17" s="63">
        <f ca="1">$W$4-A17</f>
        <v>456</v>
      </c>
      <c r="X17" s="52" t="str">
        <f ca="1">VLOOKUP(W17,$AA$2:$AB$6,2)</f>
        <v>12-18 Months</v>
      </c>
      <c r="Y17" s="52" t="str">
        <f ca="1">VLOOKUP(W17,$AD$2:$AE$6,2)</f>
        <v>&gt;181 Days</v>
      </c>
    </row>
    <row r="18" spans="1:25" s="64" customFormat="1" ht="15" customHeight="1">
      <c r="A18" s="127" t="s">
        <v>437</v>
      </c>
      <c r="B18" s="45" t="s">
        <v>258</v>
      </c>
      <c r="C18" s="45" t="s">
        <v>438</v>
      </c>
      <c r="D18" s="43" t="s">
        <v>293</v>
      </c>
      <c r="E18" s="43" t="s">
        <v>439</v>
      </c>
      <c r="F18" s="43" t="s">
        <v>303</v>
      </c>
      <c r="G18" s="41">
        <v>79911</v>
      </c>
      <c r="H18" s="116">
        <v>7</v>
      </c>
      <c r="I18" s="41">
        <v>8</v>
      </c>
      <c r="J18" s="98">
        <f>I18*H18</f>
        <v>56</v>
      </c>
      <c r="K18" s="60" t="s">
        <v>190</v>
      </c>
      <c r="L18" s="60" t="s">
        <v>857</v>
      </c>
      <c r="M18" s="60" t="str" cm="1">
        <f t="array" ref="M18:N18">VLOOKUP(Q18,[1]CDPL!$A:$D,{3,4},0)</f>
        <v>DATES</v>
      </c>
      <c r="N18" s="60" t="str">
        <v>Medjoul-Jumbo</v>
      </c>
      <c r="O18" s="60" t="s">
        <v>323</v>
      </c>
      <c r="P18" s="60" t="s">
        <v>201</v>
      </c>
      <c r="Q18" s="60" t="s">
        <v>324</v>
      </c>
      <c r="R18" s="45" t="s">
        <v>250</v>
      </c>
      <c r="S18" s="45" t="s">
        <v>6</v>
      </c>
      <c r="T18" s="45" t="s">
        <v>274</v>
      </c>
      <c r="U18" s="119">
        <v>1045</v>
      </c>
      <c r="V18" s="62">
        <f>U18*J18</f>
        <v>58520</v>
      </c>
      <c r="W18" s="63">
        <f ca="1">$W$4-A18</f>
        <v>456</v>
      </c>
      <c r="X18" s="52" t="str">
        <f ca="1">VLOOKUP(W18,$AA$2:$AB$6,2)</f>
        <v>12-18 Months</v>
      </c>
      <c r="Y18" s="52" t="str">
        <f ca="1">VLOOKUP(W18,$AD$2:$AE$6,2)</f>
        <v>&gt;181 Days</v>
      </c>
    </row>
    <row r="19" spans="1:25" s="64" customFormat="1" ht="15" customHeight="1">
      <c r="A19" s="127" t="s">
        <v>444</v>
      </c>
      <c r="B19" s="45" t="s">
        <v>258</v>
      </c>
      <c r="C19" s="45" t="s">
        <v>445</v>
      </c>
      <c r="D19" s="43" t="s">
        <v>270</v>
      </c>
      <c r="E19" s="43" t="s">
        <v>377</v>
      </c>
      <c r="F19" s="43" t="s">
        <v>446</v>
      </c>
      <c r="G19" s="41">
        <v>79952</v>
      </c>
      <c r="H19" s="116">
        <v>9</v>
      </c>
      <c r="I19" s="41">
        <v>5</v>
      </c>
      <c r="J19" s="98">
        <f>I19*H19</f>
        <v>45</v>
      </c>
      <c r="K19" s="60" t="s">
        <v>190</v>
      </c>
      <c r="L19" s="60" t="s">
        <v>856</v>
      </c>
      <c r="M19" s="60" t="str" cm="1">
        <f t="array" ref="M19:N19">VLOOKUP(Q19,[1]CFPL!$A:$D,{3,4},0)</f>
        <v>DATES</v>
      </c>
      <c r="N19" s="60" t="str">
        <v>OFF-GRADE DATES</v>
      </c>
      <c r="O19" s="60" t="s">
        <v>378</v>
      </c>
      <c r="P19" s="60" t="s">
        <v>202</v>
      </c>
      <c r="Q19" s="60" t="s">
        <v>816</v>
      </c>
      <c r="R19" s="45" t="s">
        <v>250</v>
      </c>
      <c r="S19" s="45" t="s">
        <v>6</v>
      </c>
      <c r="T19" s="45" t="s">
        <v>274</v>
      </c>
      <c r="U19" s="119">
        <v>1139</v>
      </c>
      <c r="V19" s="62">
        <f>U19*J19</f>
        <v>51255</v>
      </c>
      <c r="W19" s="63">
        <f ca="1">$W$4-A19</f>
        <v>455</v>
      </c>
      <c r="X19" s="52" t="str">
        <f ca="1">VLOOKUP(W19,$AA$2:$AB$6,2)</f>
        <v>12-18 Months</v>
      </c>
      <c r="Y19" s="52" t="str">
        <f ca="1">VLOOKUP(W19,$AD$2:$AE$6,2)</f>
        <v>&gt;181 Days</v>
      </c>
    </row>
    <row r="20" spans="1:25" s="64" customFormat="1" ht="15" customHeight="1">
      <c r="A20" s="127" t="s">
        <v>451</v>
      </c>
      <c r="B20" s="45" t="s">
        <v>245</v>
      </c>
      <c r="C20" s="45" t="s">
        <v>452</v>
      </c>
      <c r="D20" s="43" t="s">
        <v>252</v>
      </c>
      <c r="E20" s="43" t="s">
        <v>248</v>
      </c>
      <c r="F20" s="43" t="s">
        <v>453</v>
      </c>
      <c r="G20" s="41">
        <v>133830</v>
      </c>
      <c r="H20" s="116">
        <v>119</v>
      </c>
      <c r="I20" s="41">
        <v>8</v>
      </c>
      <c r="J20" s="98">
        <f>I20*H20</f>
        <v>952</v>
      </c>
      <c r="K20" s="60" t="s">
        <v>190</v>
      </c>
      <c r="L20" s="60" t="s">
        <v>859</v>
      </c>
      <c r="M20" s="60" t="str" cm="1">
        <f t="array" ref="M20:N20">VLOOKUP(Q20,[1]CFPL!$A:$D,{3,4},0)</f>
        <v>DATES</v>
      </c>
      <c r="N20" s="60" t="str">
        <v>Medjoul-Medium</v>
      </c>
      <c r="O20" s="60" t="s">
        <v>440</v>
      </c>
      <c r="P20" s="60" t="s">
        <v>218</v>
      </c>
      <c r="Q20" s="60" t="s">
        <v>1602</v>
      </c>
      <c r="R20" s="45" t="s">
        <v>250</v>
      </c>
      <c r="S20" s="45" t="s">
        <v>6</v>
      </c>
      <c r="T20" s="45" t="s">
        <v>274</v>
      </c>
      <c r="U20" s="119">
        <v>817</v>
      </c>
      <c r="V20" s="62">
        <f>U20*J20</f>
        <v>777784</v>
      </c>
      <c r="W20" s="63">
        <f ca="1">$W$4-A20</f>
        <v>440</v>
      </c>
      <c r="X20" s="52" t="str">
        <f ca="1">VLOOKUP(W20,$AA$2:$AB$6,2)</f>
        <v>12-18 Months</v>
      </c>
      <c r="Y20" s="52" t="str">
        <f ca="1">VLOOKUP(W20,$AD$2:$AE$6,2)</f>
        <v>&gt;181 Days</v>
      </c>
    </row>
    <row r="21" spans="1:25" s="64" customFormat="1" ht="15" customHeight="1">
      <c r="A21" s="127" t="s">
        <v>464</v>
      </c>
      <c r="B21" s="45" t="s">
        <v>258</v>
      </c>
      <c r="C21" s="45" t="s">
        <v>465</v>
      </c>
      <c r="D21" s="43" t="s">
        <v>270</v>
      </c>
      <c r="E21" s="43" t="s">
        <v>466</v>
      </c>
      <c r="F21" s="43" t="s">
        <v>467</v>
      </c>
      <c r="G21" s="41">
        <v>81382</v>
      </c>
      <c r="H21" s="116">
        <v>4</v>
      </c>
      <c r="I21" s="41">
        <v>5</v>
      </c>
      <c r="J21" s="98">
        <f>I21*H21</f>
        <v>20</v>
      </c>
      <c r="K21" s="60" t="s">
        <v>190</v>
      </c>
      <c r="L21" s="60" t="s">
        <v>856</v>
      </c>
      <c r="M21" s="60" t="str" cm="1">
        <f t="array" ref="M21:N21">VLOOKUP(Q21,[1]CFPL!$A:$D,{3,4},0)</f>
        <v>DATES</v>
      </c>
      <c r="N21" s="60" t="str">
        <v>OFF-GRADE DATES</v>
      </c>
      <c r="O21" s="60" t="s">
        <v>440</v>
      </c>
      <c r="P21" s="60" t="s">
        <v>219</v>
      </c>
      <c r="Q21" s="60" t="s">
        <v>816</v>
      </c>
      <c r="R21" s="45" t="s">
        <v>250</v>
      </c>
      <c r="S21" s="45" t="s">
        <v>6</v>
      </c>
      <c r="T21" s="45" t="s">
        <v>274</v>
      </c>
      <c r="U21" s="119">
        <v>200</v>
      </c>
      <c r="V21" s="62">
        <f>U21*J21</f>
        <v>4000</v>
      </c>
      <c r="W21" s="63">
        <f ca="1">$W$4-A21</f>
        <v>419</v>
      </c>
      <c r="X21" s="52" t="str">
        <f ca="1">VLOOKUP(W21,$AA$2:$AB$6,2)</f>
        <v>12-18 Months</v>
      </c>
      <c r="Y21" s="52" t="str">
        <f ca="1">VLOOKUP(W21,$AD$2:$AE$6,2)</f>
        <v>&gt;181 Days</v>
      </c>
    </row>
    <row r="22" spans="1:25" s="64" customFormat="1" ht="15" customHeight="1">
      <c r="A22" s="127" t="s">
        <v>468</v>
      </c>
      <c r="B22" s="45" t="s">
        <v>258</v>
      </c>
      <c r="C22" s="45" t="s">
        <v>469</v>
      </c>
      <c r="D22" s="43" t="s">
        <v>256</v>
      </c>
      <c r="E22" s="43" t="s">
        <v>342</v>
      </c>
      <c r="F22" s="43" t="s">
        <v>470</v>
      </c>
      <c r="G22" s="41">
        <v>81466</v>
      </c>
      <c r="H22" s="116">
        <v>73</v>
      </c>
      <c r="I22" s="41">
        <v>5</v>
      </c>
      <c r="J22" s="98">
        <f>I22*H22</f>
        <v>365</v>
      </c>
      <c r="K22" s="60" t="s">
        <v>190</v>
      </c>
      <c r="L22" s="60" t="s">
        <v>422</v>
      </c>
      <c r="M22" s="60" t="str" cm="1">
        <f t="array" ref="M22:N22">VLOOKUP(Q22,[1]CDPL!$A:$D,{3,4},0)</f>
        <v>DATES</v>
      </c>
      <c r="N22" s="60" t="str">
        <v>Ajwa</v>
      </c>
      <c r="O22" s="60" t="s">
        <v>278</v>
      </c>
      <c r="P22" s="60" t="s">
        <v>217</v>
      </c>
      <c r="Q22" s="60" t="s">
        <v>471</v>
      </c>
      <c r="R22" s="45" t="s">
        <v>250</v>
      </c>
      <c r="S22" s="45" t="s">
        <v>6</v>
      </c>
      <c r="T22" s="45" t="s">
        <v>255</v>
      </c>
      <c r="U22" s="119">
        <v>980</v>
      </c>
      <c r="V22" s="62">
        <f>U22*J22</f>
        <v>357700</v>
      </c>
      <c r="W22" s="63">
        <f ca="1">$W$4-A22</f>
        <v>417</v>
      </c>
      <c r="X22" s="52" t="str">
        <f ca="1">VLOOKUP(W22,$AA$2:$AB$6,2)</f>
        <v>12-18 Months</v>
      </c>
      <c r="Y22" s="52" t="str">
        <f ca="1">VLOOKUP(W22,$AD$2:$AE$6,2)</f>
        <v>&gt;181 Days</v>
      </c>
    </row>
    <row r="23" spans="1:25" s="64" customFormat="1" ht="15" customHeight="1">
      <c r="A23" s="127" t="s">
        <v>482</v>
      </c>
      <c r="B23" s="45" t="s">
        <v>258</v>
      </c>
      <c r="C23" s="45" t="s">
        <v>483</v>
      </c>
      <c r="D23" s="43" t="s">
        <v>252</v>
      </c>
      <c r="E23" s="43" t="s">
        <v>491</v>
      </c>
      <c r="F23" s="43" t="s">
        <v>487</v>
      </c>
      <c r="G23" s="41">
        <v>81944</v>
      </c>
      <c r="H23" s="116">
        <v>1</v>
      </c>
      <c r="I23" s="41">
        <v>12.5</v>
      </c>
      <c r="J23" s="98">
        <f>I23*H23</f>
        <v>12.5</v>
      </c>
      <c r="K23" s="60" t="s">
        <v>177</v>
      </c>
      <c r="L23" s="60" t="s">
        <v>918</v>
      </c>
      <c r="M23" s="60" t="str" cm="1">
        <f t="array" ref="M23:N23">VLOOKUP(Q23,[1]CFPL!$A:$D,{3,4},0)</f>
        <v>DATES</v>
      </c>
      <c r="N23" s="60" t="str">
        <v>Wanan</v>
      </c>
      <c r="O23" s="60" t="s">
        <v>440</v>
      </c>
      <c r="P23" s="60" t="s">
        <v>185</v>
      </c>
      <c r="Q23" s="60" t="s">
        <v>492</v>
      </c>
      <c r="R23" s="45" t="s">
        <v>250</v>
      </c>
      <c r="S23" s="45" t="s">
        <v>6</v>
      </c>
      <c r="T23" s="45" t="s">
        <v>287</v>
      </c>
      <c r="U23" s="119">
        <v>715</v>
      </c>
      <c r="V23" s="62">
        <f>U23*J23</f>
        <v>8937.5</v>
      </c>
      <c r="W23" s="63">
        <f ca="1">$W$4-A23</f>
        <v>407</v>
      </c>
      <c r="X23" s="52" t="str">
        <f ca="1">VLOOKUP(W23,$AA$2:$AB$6,2)</f>
        <v>12-18 Months</v>
      </c>
      <c r="Y23" s="52" t="str">
        <f ca="1">VLOOKUP(W23,$AD$2:$AE$6,2)</f>
        <v>&gt;181 Days</v>
      </c>
    </row>
    <row r="24" spans="1:25" s="64" customFormat="1" ht="15" customHeight="1">
      <c r="A24" s="127" t="s">
        <v>482</v>
      </c>
      <c r="B24" s="45" t="s">
        <v>258</v>
      </c>
      <c r="C24" s="45" t="s">
        <v>483</v>
      </c>
      <c r="D24" s="43" t="s">
        <v>485</v>
      </c>
      <c r="E24" s="43" t="s">
        <v>486</v>
      </c>
      <c r="F24" s="43" t="s">
        <v>487</v>
      </c>
      <c r="G24" s="41">
        <v>81942</v>
      </c>
      <c r="H24" s="116">
        <v>2</v>
      </c>
      <c r="I24" s="41">
        <v>12.5</v>
      </c>
      <c r="J24" s="98">
        <f>I24*H24</f>
        <v>25</v>
      </c>
      <c r="K24" s="60" t="s">
        <v>177</v>
      </c>
      <c r="L24" s="60" t="s">
        <v>917</v>
      </c>
      <c r="M24" s="60" t="str" cm="1">
        <f t="array" ref="M24:N24">VLOOKUP(Q24,[1]CFPL!$A:$D,{3,4},0)</f>
        <v>DATES</v>
      </c>
      <c r="N24" s="60" t="str">
        <v>Seqee</v>
      </c>
      <c r="O24" s="60" t="s">
        <v>440</v>
      </c>
      <c r="P24" s="60" t="s">
        <v>183</v>
      </c>
      <c r="Q24" s="60" t="s">
        <v>488</v>
      </c>
      <c r="R24" s="45" t="s">
        <v>250</v>
      </c>
      <c r="S24" s="45" t="s">
        <v>6</v>
      </c>
      <c r="T24" s="45" t="s">
        <v>287</v>
      </c>
      <c r="U24" s="119">
        <v>641</v>
      </c>
      <c r="V24" s="62">
        <f>U24*J24</f>
        <v>16025</v>
      </c>
      <c r="W24" s="63">
        <f ca="1">$W$4-A24</f>
        <v>407</v>
      </c>
      <c r="X24" s="52" t="str">
        <f ca="1">VLOOKUP(W24,$AA$2:$AB$6,2)</f>
        <v>12-18 Months</v>
      </c>
      <c r="Y24" s="52" t="str">
        <f ca="1">VLOOKUP(W24,$AD$2:$AE$6,2)</f>
        <v>&gt;181 Days</v>
      </c>
    </row>
    <row r="25" spans="1:25" s="64" customFormat="1" ht="15" customHeight="1">
      <c r="A25" s="127" t="s">
        <v>482</v>
      </c>
      <c r="B25" s="45" t="s">
        <v>258</v>
      </c>
      <c r="C25" s="45" t="s">
        <v>483</v>
      </c>
      <c r="D25" s="43" t="s">
        <v>485</v>
      </c>
      <c r="E25" s="43" t="s">
        <v>489</v>
      </c>
      <c r="F25" s="43" t="s">
        <v>487</v>
      </c>
      <c r="G25" s="41">
        <v>81943</v>
      </c>
      <c r="H25" s="116">
        <v>1</v>
      </c>
      <c r="I25" s="41">
        <v>12.5</v>
      </c>
      <c r="J25" s="98">
        <f>I25*H25</f>
        <v>12.5</v>
      </c>
      <c r="K25" s="60" t="s">
        <v>177</v>
      </c>
      <c r="L25" s="60" t="s">
        <v>915</v>
      </c>
      <c r="M25" s="60" t="str" cm="1">
        <f t="array" ref="M25:N25">VLOOKUP(Q25,[1]CFPL!$A:$D,{3,4},0)</f>
        <v>DATES</v>
      </c>
      <c r="N25" s="60" t="str">
        <v>Khidri</v>
      </c>
      <c r="O25" s="60" t="s">
        <v>295</v>
      </c>
      <c r="P25" s="60" t="s">
        <v>180</v>
      </c>
      <c r="Q25" s="60" t="s">
        <v>490</v>
      </c>
      <c r="R25" s="45" t="s">
        <v>250</v>
      </c>
      <c r="S25" s="45" t="s">
        <v>6</v>
      </c>
      <c r="T25" s="45" t="s">
        <v>287</v>
      </c>
      <c r="U25" s="119">
        <v>403</v>
      </c>
      <c r="V25" s="62">
        <f>U25*J25</f>
        <v>5037.5</v>
      </c>
      <c r="W25" s="63">
        <f ca="1">$W$4-A25</f>
        <v>407</v>
      </c>
      <c r="X25" s="52" t="str">
        <f ca="1">VLOOKUP(W25,$AA$2:$AB$6,2)</f>
        <v>12-18 Months</v>
      </c>
      <c r="Y25" s="52" t="str">
        <f ca="1">VLOOKUP(W25,$AD$2:$AE$6,2)</f>
        <v>&gt;181 Days</v>
      </c>
    </row>
    <row r="26" spans="1:25" s="64" customFormat="1" ht="15" customHeight="1">
      <c r="A26" s="127" t="s">
        <v>501</v>
      </c>
      <c r="B26" s="45" t="s">
        <v>245</v>
      </c>
      <c r="C26" s="45" t="s">
        <v>502</v>
      </c>
      <c r="D26" s="43" t="s">
        <v>252</v>
      </c>
      <c r="E26" s="43" t="s">
        <v>503</v>
      </c>
      <c r="F26" s="43" t="s">
        <v>248</v>
      </c>
      <c r="G26" s="41">
        <v>138382</v>
      </c>
      <c r="H26" s="116">
        <v>3</v>
      </c>
      <c r="I26" s="41">
        <v>10</v>
      </c>
      <c r="J26" s="98">
        <f>I26*H26</f>
        <v>30</v>
      </c>
      <c r="K26" s="60" t="s">
        <v>148</v>
      </c>
      <c r="L26" s="60" t="s">
        <v>409</v>
      </c>
      <c r="M26" s="60" t="str" cm="1">
        <f t="array" ref="M26:N26">VLOOKUP(Q26,[1]CDPL!$A:$D,{3,4},0)</f>
        <v>DATES</v>
      </c>
      <c r="N26" s="60" t="str">
        <v>Diced</v>
      </c>
      <c r="O26" s="60" t="s">
        <v>247</v>
      </c>
      <c r="P26" s="60" t="s">
        <v>150</v>
      </c>
      <c r="Q26" s="60" t="s">
        <v>410</v>
      </c>
      <c r="R26" s="45" t="s">
        <v>250</v>
      </c>
      <c r="S26" s="45" t="s">
        <v>6</v>
      </c>
      <c r="T26" s="45" t="s">
        <v>247</v>
      </c>
      <c r="U26" s="119">
        <v>127</v>
      </c>
      <c r="V26" s="62">
        <f>U26*J26</f>
        <v>3810</v>
      </c>
      <c r="W26" s="63">
        <f ca="1">$W$4-A26</f>
        <v>400</v>
      </c>
      <c r="X26" s="52" t="str">
        <f ca="1">VLOOKUP(W26,$AA$2:$AB$6,2)</f>
        <v>12-18 Months</v>
      </c>
      <c r="Y26" s="52" t="str">
        <f ca="1">VLOOKUP(W26,$AD$2:$AE$6,2)</f>
        <v>&gt;181 Days</v>
      </c>
    </row>
    <row r="27" spans="1:25" s="64" customFormat="1" ht="15" customHeight="1">
      <c r="A27" s="127" t="s">
        <v>501</v>
      </c>
      <c r="B27" s="45" t="s">
        <v>258</v>
      </c>
      <c r="C27" s="45" t="s">
        <v>504</v>
      </c>
      <c r="D27" s="43" t="s">
        <v>485</v>
      </c>
      <c r="E27" s="43" t="s">
        <v>505</v>
      </c>
      <c r="F27" s="43" t="s">
        <v>506</v>
      </c>
      <c r="G27" s="41">
        <v>76578</v>
      </c>
      <c r="H27" s="116">
        <v>11</v>
      </c>
      <c r="I27" s="41">
        <v>12.5</v>
      </c>
      <c r="J27" s="98">
        <f>I27*H27</f>
        <v>137.5</v>
      </c>
      <c r="K27" s="60" t="s">
        <v>177</v>
      </c>
      <c r="L27" s="60" t="s">
        <v>919</v>
      </c>
      <c r="M27" s="60" t="str" cm="1">
        <f t="array" ref="M27:N27">VLOOKUP(Q27,[1]CFPL!$A:$D,{3,4},0)</f>
        <v>DATES</v>
      </c>
      <c r="N27" s="60" t="str">
        <v>Wanan</v>
      </c>
      <c r="O27" s="60" t="s">
        <v>507</v>
      </c>
      <c r="P27" s="60" t="s">
        <v>184</v>
      </c>
      <c r="Q27" s="60" t="s">
        <v>508</v>
      </c>
      <c r="R27" s="45" t="s">
        <v>250</v>
      </c>
      <c r="S27" s="45" t="s">
        <v>6</v>
      </c>
      <c r="T27" s="45" t="s">
        <v>287</v>
      </c>
      <c r="U27" s="119">
        <v>938</v>
      </c>
      <c r="V27" s="62">
        <f>U27*J27</f>
        <v>128975</v>
      </c>
      <c r="W27" s="63">
        <f ca="1">$W$4-A27</f>
        <v>400</v>
      </c>
      <c r="X27" s="52" t="str">
        <f ca="1">VLOOKUP(W27,$AA$2:$AB$6,2)</f>
        <v>12-18 Months</v>
      </c>
      <c r="Y27" s="52" t="str">
        <f ca="1">VLOOKUP(W27,$AD$2:$AE$6,2)</f>
        <v>&gt;181 Days</v>
      </c>
    </row>
    <row r="28" spans="1:25" s="64" customFormat="1" ht="15" customHeight="1">
      <c r="A28" s="127" t="s">
        <v>501</v>
      </c>
      <c r="B28" s="45" t="s">
        <v>258</v>
      </c>
      <c r="C28" s="45" t="s">
        <v>504</v>
      </c>
      <c r="D28" s="43" t="s">
        <v>485</v>
      </c>
      <c r="E28" s="43" t="s">
        <v>505</v>
      </c>
      <c r="F28" s="43" t="s">
        <v>509</v>
      </c>
      <c r="G28" s="41">
        <v>76579</v>
      </c>
      <c r="H28" s="116">
        <v>10</v>
      </c>
      <c r="I28" s="41">
        <v>12.5</v>
      </c>
      <c r="J28" s="98">
        <f>I28*H28</f>
        <v>125</v>
      </c>
      <c r="K28" s="60" t="s">
        <v>177</v>
      </c>
      <c r="L28" s="60" t="s">
        <v>918</v>
      </c>
      <c r="M28" s="60" t="str" cm="1">
        <f t="array" ref="M28:N28">VLOOKUP(Q28,[1]CFPL!$A:$D,{3,4},0)</f>
        <v>DATES</v>
      </c>
      <c r="N28" s="60" t="str">
        <v>Wanan</v>
      </c>
      <c r="O28" s="60" t="s">
        <v>440</v>
      </c>
      <c r="P28" s="60" t="s">
        <v>185</v>
      </c>
      <c r="Q28" s="60" t="s">
        <v>492</v>
      </c>
      <c r="R28" s="45" t="s">
        <v>250</v>
      </c>
      <c r="S28" s="45" t="s">
        <v>6</v>
      </c>
      <c r="T28" s="45" t="s">
        <v>287</v>
      </c>
      <c r="U28" s="119">
        <v>715</v>
      </c>
      <c r="V28" s="62">
        <f>U28*J28</f>
        <v>89375</v>
      </c>
      <c r="W28" s="63">
        <f ca="1">$W$4-A28</f>
        <v>400</v>
      </c>
      <c r="X28" s="52" t="str">
        <f ca="1">VLOOKUP(W28,$AA$2:$AB$6,2)</f>
        <v>12-18 Months</v>
      </c>
      <c r="Y28" s="52" t="str">
        <f ca="1">VLOOKUP(W28,$AD$2:$AE$6,2)</f>
        <v>&gt;181 Days</v>
      </c>
    </row>
    <row r="29" spans="1:25" s="64" customFormat="1" ht="15" customHeight="1">
      <c r="A29" s="127" t="s">
        <v>510</v>
      </c>
      <c r="B29" s="45" t="s">
        <v>258</v>
      </c>
      <c r="C29" s="45" t="s">
        <v>511</v>
      </c>
      <c r="D29" s="43" t="s">
        <v>256</v>
      </c>
      <c r="E29" s="43" t="s">
        <v>512</v>
      </c>
      <c r="F29" s="43" t="s">
        <v>248</v>
      </c>
      <c r="G29" s="41">
        <v>2056</v>
      </c>
      <c r="H29" s="116">
        <v>5</v>
      </c>
      <c r="I29" s="41">
        <v>5</v>
      </c>
      <c r="J29" s="98">
        <f>I29*H29</f>
        <v>25</v>
      </c>
      <c r="K29" s="60" t="s">
        <v>152</v>
      </c>
      <c r="L29" s="60" t="s">
        <v>291</v>
      </c>
      <c r="M29" s="60" t="str" cm="1">
        <f t="array" ref="M29:N29">VLOOKUP(Q29,[1]CDPL!$A:$D,{3,4},0)</f>
        <v>DATES</v>
      </c>
      <c r="N29" s="60" t="str">
        <v>Rabia</v>
      </c>
      <c r="O29" s="60" t="s">
        <v>291</v>
      </c>
      <c r="P29" s="60" t="s">
        <v>168</v>
      </c>
      <c r="Q29" s="60" t="s">
        <v>292</v>
      </c>
      <c r="R29" s="45" t="s">
        <v>250</v>
      </c>
      <c r="S29" s="45" t="s">
        <v>6</v>
      </c>
      <c r="T29" s="45" t="s">
        <v>255</v>
      </c>
      <c r="U29" s="119">
        <v>187.5</v>
      </c>
      <c r="V29" s="62">
        <f>U29*J29</f>
        <v>4687.5</v>
      </c>
      <c r="W29" s="63">
        <f ca="1">$W$4-A29</f>
        <v>377</v>
      </c>
      <c r="X29" s="52" t="str">
        <f ca="1">VLOOKUP(W29,$AA$2:$AB$6,2)</f>
        <v>12-18 Months</v>
      </c>
      <c r="Y29" s="52" t="str">
        <f ca="1">VLOOKUP(W29,$AD$2:$AE$6,2)</f>
        <v>&gt;181 Days</v>
      </c>
    </row>
    <row r="30" spans="1:25" s="64" customFormat="1" ht="15" customHeight="1">
      <c r="A30" s="127" t="s">
        <v>514</v>
      </c>
      <c r="B30" s="45" t="s">
        <v>245</v>
      </c>
      <c r="C30" s="45" t="s">
        <v>515</v>
      </c>
      <c r="D30" s="43" t="s">
        <v>252</v>
      </c>
      <c r="E30" s="43" t="s">
        <v>249</v>
      </c>
      <c r="F30" s="43" t="s">
        <v>248</v>
      </c>
      <c r="G30" s="41">
        <v>142972</v>
      </c>
      <c r="H30" s="116">
        <v>50</v>
      </c>
      <c r="I30" s="41">
        <v>10</v>
      </c>
      <c r="J30" s="98">
        <f>I30*H30</f>
        <v>500</v>
      </c>
      <c r="K30" s="60" t="s">
        <v>136</v>
      </c>
      <c r="L30" s="60" t="s">
        <v>841</v>
      </c>
      <c r="M30" s="60" t="str" cm="1">
        <f t="array" ref="M30:N30">VLOOKUP(Q30,[1]CDPL!$A:$D,{3,4},0)</f>
        <v>DATES</v>
      </c>
      <c r="N30" s="60" t="str">
        <v>Powder</v>
      </c>
      <c r="O30" s="60" t="s">
        <v>247</v>
      </c>
      <c r="P30" s="60" t="s">
        <v>140</v>
      </c>
      <c r="Q30" s="60" t="s">
        <v>140</v>
      </c>
      <c r="R30" s="45" t="s">
        <v>250</v>
      </c>
      <c r="S30" s="45" t="s">
        <v>6</v>
      </c>
      <c r="T30" s="45" t="s">
        <v>247</v>
      </c>
      <c r="U30" s="119">
        <v>270</v>
      </c>
      <c r="V30" s="62">
        <f>U30*J30</f>
        <v>135000</v>
      </c>
      <c r="W30" s="63">
        <f ca="1">$W$4-A30</f>
        <v>361</v>
      </c>
      <c r="X30" s="52" t="str">
        <f ca="1">VLOOKUP(W30,$AA$2:$AB$6,2)</f>
        <v>06-12 Months</v>
      </c>
      <c r="Y30" s="52" t="str">
        <f ca="1">VLOOKUP(W30,$AD$2:$AE$6,2)</f>
        <v>&gt;181 Days</v>
      </c>
    </row>
    <row r="31" spans="1:25" s="64" customFormat="1" ht="15" customHeight="1">
      <c r="A31" s="127" t="s">
        <v>767</v>
      </c>
      <c r="B31" s="45" t="s">
        <v>245</v>
      </c>
      <c r="C31" s="45" t="s">
        <v>768</v>
      </c>
      <c r="D31" s="43" t="s">
        <v>246</v>
      </c>
      <c r="E31" s="43" t="s">
        <v>247</v>
      </c>
      <c r="F31" s="43" t="s">
        <v>327</v>
      </c>
      <c r="G31" s="41">
        <v>147739</v>
      </c>
      <c r="H31" s="116">
        <v>32</v>
      </c>
      <c r="I31" s="41">
        <v>10</v>
      </c>
      <c r="J31" s="98">
        <f>I31*H31</f>
        <v>320</v>
      </c>
      <c r="K31" s="60" t="s">
        <v>136</v>
      </c>
      <c r="L31" s="60" t="s">
        <v>841</v>
      </c>
      <c r="M31" s="60" t="str" cm="1">
        <f t="array" ref="M31:N31">VLOOKUP(Q31,[1]CDPL!$A:$D,{3,4},0)</f>
        <v>DATES</v>
      </c>
      <c r="N31" s="60" t="str">
        <v>Powder</v>
      </c>
      <c r="O31" s="60" t="s">
        <v>247</v>
      </c>
      <c r="P31" s="60" t="s">
        <v>137</v>
      </c>
      <c r="Q31" s="60" t="s">
        <v>140</v>
      </c>
      <c r="R31" s="45" t="s">
        <v>250</v>
      </c>
      <c r="S31" s="45" t="s">
        <v>6</v>
      </c>
      <c r="T31" s="45" t="s">
        <v>247</v>
      </c>
      <c r="U31" s="119">
        <v>270</v>
      </c>
      <c r="V31" s="62">
        <f>U31*J31</f>
        <v>86400</v>
      </c>
      <c r="W31" s="63">
        <f ca="1">$W$4-A31</f>
        <v>317</v>
      </c>
      <c r="X31" s="52" t="str">
        <f ca="1">VLOOKUP(W31,$AA$2:$AB$6,2)</f>
        <v>06-12 Months</v>
      </c>
      <c r="Y31" s="52" t="str">
        <f ca="1">VLOOKUP(W31,$AD$2:$AE$6,2)</f>
        <v>&gt;181 Days</v>
      </c>
    </row>
    <row r="32" spans="1:25" s="64" customFormat="1" ht="15" customHeight="1">
      <c r="A32" s="127" t="s">
        <v>904</v>
      </c>
      <c r="B32" s="45" t="s">
        <v>245</v>
      </c>
      <c r="C32" s="45" t="s">
        <v>905</v>
      </c>
      <c r="D32" s="43" t="s">
        <v>246</v>
      </c>
      <c r="E32" s="43" t="s">
        <v>247</v>
      </c>
      <c r="F32" s="43" t="s">
        <v>248</v>
      </c>
      <c r="G32" s="41">
        <v>156985</v>
      </c>
      <c r="H32" s="116">
        <v>1099</v>
      </c>
      <c r="I32" s="41">
        <v>10</v>
      </c>
      <c r="J32" s="98">
        <f>I32*H32</f>
        <v>10990</v>
      </c>
      <c r="K32" s="60" t="s">
        <v>136</v>
      </c>
      <c r="L32" s="60" t="s">
        <v>841</v>
      </c>
      <c r="M32" s="60" t="str" cm="1">
        <f t="array" ref="M32:N32">VLOOKUP(Q32,[1]CDPL!$A:$D,{3,4},0)</f>
        <v>DATES</v>
      </c>
      <c r="N32" s="60" t="str">
        <v>Powder</v>
      </c>
      <c r="O32" s="60" t="s">
        <v>247</v>
      </c>
      <c r="P32" s="60" t="s">
        <v>137</v>
      </c>
      <c r="Q32" s="60" t="s">
        <v>140</v>
      </c>
      <c r="R32" s="45" t="s">
        <v>250</v>
      </c>
      <c r="S32" s="45" t="s">
        <v>6</v>
      </c>
      <c r="T32" s="45" t="s">
        <v>247</v>
      </c>
      <c r="U32" s="119">
        <v>280</v>
      </c>
      <c r="V32" s="62">
        <f>U32*J32</f>
        <v>3077200</v>
      </c>
      <c r="W32" s="63">
        <f ca="1">$W$4-A32</f>
        <v>230</v>
      </c>
      <c r="X32" s="52" t="str">
        <f ca="1">VLOOKUP(W32,$AA$2:$AB$6,2)</f>
        <v>06-12 Months</v>
      </c>
      <c r="Y32" s="52" t="str">
        <f ca="1">VLOOKUP(W32,$AD$2:$AE$6,2)</f>
        <v>&gt;181 Days</v>
      </c>
    </row>
    <row r="33" spans="1:25" s="64" customFormat="1" ht="15" customHeight="1">
      <c r="A33" s="127" t="s">
        <v>1008</v>
      </c>
      <c r="B33" s="45" t="s">
        <v>245</v>
      </c>
      <c r="C33" s="45" t="s">
        <v>1009</v>
      </c>
      <c r="D33" s="43" t="s">
        <v>1010</v>
      </c>
      <c r="E33" s="43" t="s">
        <v>1011</v>
      </c>
      <c r="F33" s="43" t="s">
        <v>248</v>
      </c>
      <c r="G33" s="41">
        <v>164985</v>
      </c>
      <c r="H33" s="116">
        <v>342</v>
      </c>
      <c r="I33" s="41">
        <v>6.8</v>
      </c>
      <c r="J33" s="98">
        <f>I33*H33</f>
        <v>2325.6</v>
      </c>
      <c r="K33" s="60" t="s">
        <v>152</v>
      </c>
      <c r="L33" s="60" t="s">
        <v>277</v>
      </c>
      <c r="M33" s="60" t="str" cm="1">
        <f t="array" ref="M33:N33">VLOOKUP(Q33,[1]CDPL!$A:$D,{3,4},0)</f>
        <v>DATES</v>
      </c>
      <c r="N33" s="60" t="str">
        <v>Kimia</v>
      </c>
      <c r="O33" s="60" t="s">
        <v>255</v>
      </c>
      <c r="P33" s="60" t="s">
        <v>279</v>
      </c>
      <c r="Q33" s="60" t="s">
        <v>279</v>
      </c>
      <c r="R33" s="45" t="s">
        <v>250</v>
      </c>
      <c r="S33" s="45" t="s">
        <v>6</v>
      </c>
      <c r="T33" s="45" t="s">
        <v>255</v>
      </c>
      <c r="U33" s="119">
        <v>200</v>
      </c>
      <c r="V33" s="62">
        <f>U33*J33</f>
        <v>465120</v>
      </c>
      <c r="W33" s="63">
        <f ca="1">$W$4-A33</f>
        <v>189</v>
      </c>
      <c r="X33" s="52" t="str">
        <f ca="1">VLOOKUP(W33,$AA$2:$AB$6,2)</f>
        <v>06-12 Months</v>
      </c>
      <c r="Y33" s="52" t="str">
        <f ca="1">VLOOKUP(W33,$AD$2:$AE$6,2)</f>
        <v>&gt;181 Days</v>
      </c>
    </row>
    <row r="34" spans="1:25" s="64" customFormat="1" ht="15" customHeight="1">
      <c r="A34" s="127" t="s">
        <v>1095</v>
      </c>
      <c r="B34" s="45" t="s">
        <v>258</v>
      </c>
      <c r="C34" s="45" t="s">
        <v>1083</v>
      </c>
      <c r="D34" s="43" t="s">
        <v>256</v>
      </c>
      <c r="E34" s="43" t="s">
        <v>1098</v>
      </c>
      <c r="F34" s="43" t="s">
        <v>248</v>
      </c>
      <c r="G34" s="41">
        <v>9620</v>
      </c>
      <c r="H34" s="116">
        <v>4</v>
      </c>
      <c r="I34" s="41">
        <v>5</v>
      </c>
      <c r="J34" s="98">
        <f>I34*H34</f>
        <v>20</v>
      </c>
      <c r="K34" s="60" t="s">
        <v>190</v>
      </c>
      <c r="L34" s="60" t="s">
        <v>422</v>
      </c>
      <c r="M34" s="60" t="str" cm="1">
        <f t="array" ref="M34:N34">VLOOKUP(Q34,[1]CDPL!$A:$D,{3,4},0)</f>
        <v>DATES</v>
      </c>
      <c r="N34" s="60" t="str">
        <v>Ajwa</v>
      </c>
      <c r="O34" s="60" t="s">
        <v>260</v>
      </c>
      <c r="P34" s="60" t="s">
        <v>1086</v>
      </c>
      <c r="Q34" s="60" t="s">
        <v>423</v>
      </c>
      <c r="R34" s="45" t="s">
        <v>250</v>
      </c>
      <c r="S34" s="45" t="s">
        <v>6</v>
      </c>
      <c r="T34" s="45" t="s">
        <v>255</v>
      </c>
      <c r="U34" s="119">
        <v>675</v>
      </c>
      <c r="V34" s="62">
        <f>U34*J34</f>
        <v>13500</v>
      </c>
      <c r="W34" s="63">
        <f ca="1">$W$4-A34</f>
        <v>174</v>
      </c>
      <c r="X34" s="52" t="str">
        <f ca="1">VLOOKUP(W34,$AA$2:$AB$6,2)</f>
        <v>&lt; 6 Months</v>
      </c>
      <c r="Y34" s="52" t="str">
        <f ca="1">VLOOKUP(W34,$AD$2:$AE$6,2)</f>
        <v>90-180 Days</v>
      </c>
    </row>
    <row r="35" spans="1:25" s="64" customFormat="1" ht="15" customHeight="1">
      <c r="A35" s="127" t="s">
        <v>1095</v>
      </c>
      <c r="B35" s="45" t="s">
        <v>258</v>
      </c>
      <c r="C35" s="45" t="s">
        <v>1083</v>
      </c>
      <c r="D35" s="43" t="s">
        <v>256</v>
      </c>
      <c r="E35" s="43" t="s">
        <v>1096</v>
      </c>
      <c r="F35" s="43" t="s">
        <v>248</v>
      </c>
      <c r="G35" s="41">
        <v>9621</v>
      </c>
      <c r="H35" s="116">
        <v>40</v>
      </c>
      <c r="I35" s="41">
        <v>5</v>
      </c>
      <c r="J35" s="98">
        <f>I35*H35</f>
        <v>200</v>
      </c>
      <c r="K35" s="60" t="s">
        <v>190</v>
      </c>
      <c r="L35" s="60" t="s">
        <v>422</v>
      </c>
      <c r="M35" s="60" t="str" cm="1">
        <f t="array" ref="M35:N35">VLOOKUP(Q35,[1]CDPL!$A:$D,{3,4},0)</f>
        <v>DATES</v>
      </c>
      <c r="N35" s="60" t="str">
        <v>Ajwa</v>
      </c>
      <c r="O35" s="60" t="s">
        <v>1085</v>
      </c>
      <c r="P35" s="60" t="s">
        <v>191</v>
      </c>
      <c r="Q35" s="60" t="s">
        <v>423</v>
      </c>
      <c r="R35" s="45" t="s">
        <v>250</v>
      </c>
      <c r="S35" s="45" t="s">
        <v>6</v>
      </c>
      <c r="T35" s="45" t="s">
        <v>255</v>
      </c>
      <c r="U35" s="119">
        <v>675</v>
      </c>
      <c r="V35" s="62">
        <f>U35*J35</f>
        <v>135000</v>
      </c>
      <c r="W35" s="63">
        <f ca="1">$W$4-A35</f>
        <v>174</v>
      </c>
      <c r="X35" s="52" t="str">
        <f ca="1">VLOOKUP(W35,$AA$2:$AB$6,2)</f>
        <v>&lt; 6 Months</v>
      </c>
      <c r="Y35" s="52" t="str">
        <f ca="1">VLOOKUP(W35,$AD$2:$AE$6,2)</f>
        <v>90-180 Days</v>
      </c>
    </row>
    <row r="36" spans="1:25" s="64" customFormat="1" ht="15" customHeight="1">
      <c r="A36" s="127" t="s">
        <v>1199</v>
      </c>
      <c r="B36" s="45" t="s">
        <v>258</v>
      </c>
      <c r="C36" s="45" t="s">
        <v>1200</v>
      </c>
      <c r="D36" s="43" t="s">
        <v>256</v>
      </c>
      <c r="E36" s="43" t="s">
        <v>1201</v>
      </c>
      <c r="F36" s="43" t="s">
        <v>248</v>
      </c>
      <c r="G36" s="41">
        <v>10801</v>
      </c>
      <c r="H36" s="116">
        <v>40</v>
      </c>
      <c r="I36" s="41">
        <v>5</v>
      </c>
      <c r="J36" s="98">
        <f>I36*H36</f>
        <v>200</v>
      </c>
      <c r="K36" s="60" t="s">
        <v>190</v>
      </c>
      <c r="L36" s="60" t="s">
        <v>426</v>
      </c>
      <c r="M36" s="60" t="str" cm="1">
        <f t="array" ref="M36:N36">VLOOKUP(Q36,[1]CDPL!$A:$D,{3,4},0)</f>
        <v>DATES</v>
      </c>
      <c r="N36" s="60" t="str">
        <v>Mabroom</v>
      </c>
      <c r="O36" s="60" t="s">
        <v>426</v>
      </c>
      <c r="P36" s="60" t="s">
        <v>198</v>
      </c>
      <c r="Q36" s="60" t="s">
        <v>427</v>
      </c>
      <c r="R36" s="45" t="s">
        <v>250</v>
      </c>
      <c r="S36" s="45" t="s">
        <v>6</v>
      </c>
      <c r="T36" s="45" t="s">
        <v>255</v>
      </c>
      <c r="U36" s="119">
        <v>800</v>
      </c>
      <c r="V36" s="62">
        <f>U36*J36</f>
        <v>160000</v>
      </c>
      <c r="W36" s="63">
        <f ca="1">$W$4-A36</f>
        <v>150</v>
      </c>
      <c r="X36" s="52" t="str">
        <f ca="1">VLOOKUP(W36,$AA$2:$AB$6,2)</f>
        <v>&lt; 6 Months</v>
      </c>
      <c r="Y36" s="52" t="str">
        <f ca="1">VLOOKUP(W36,$AD$2:$AE$6,2)</f>
        <v>90-180 Days</v>
      </c>
    </row>
    <row r="37" spans="1:25" s="64" customFormat="1" ht="15" customHeight="1">
      <c r="A37" s="127" t="s">
        <v>1199</v>
      </c>
      <c r="B37" s="45" t="s">
        <v>258</v>
      </c>
      <c r="C37" s="45" t="s">
        <v>1200</v>
      </c>
      <c r="D37" s="43" t="s">
        <v>256</v>
      </c>
      <c r="E37" s="43" t="s">
        <v>1203</v>
      </c>
      <c r="F37" s="43" t="s">
        <v>248</v>
      </c>
      <c r="G37" s="41">
        <v>10798</v>
      </c>
      <c r="H37" s="116">
        <v>15</v>
      </c>
      <c r="I37" s="41">
        <v>5</v>
      </c>
      <c r="J37" s="98">
        <f>I37*H37</f>
        <v>75</v>
      </c>
      <c r="K37" s="60" t="s">
        <v>190</v>
      </c>
      <c r="L37" s="60" t="s">
        <v>422</v>
      </c>
      <c r="M37" s="60" t="str" cm="1">
        <f t="array" ref="M37:N37">VLOOKUP(Q37,[1]CDPL!$A:$D,{3,4},0)</f>
        <v>DATES</v>
      </c>
      <c r="N37" s="60" t="str">
        <v>Ajwa</v>
      </c>
      <c r="O37" s="60" t="s">
        <v>1085</v>
      </c>
      <c r="P37" s="60" t="s">
        <v>191</v>
      </c>
      <c r="Q37" s="60" t="s">
        <v>423</v>
      </c>
      <c r="R37" s="45" t="s">
        <v>250</v>
      </c>
      <c r="S37" s="45" t="s">
        <v>6</v>
      </c>
      <c r="T37" s="45" t="s">
        <v>255</v>
      </c>
      <c r="U37" s="119">
        <v>675</v>
      </c>
      <c r="V37" s="62">
        <f>U37*J37</f>
        <v>50625</v>
      </c>
      <c r="W37" s="63">
        <f ca="1">$W$4-A37</f>
        <v>150</v>
      </c>
      <c r="X37" s="52" t="str">
        <f ca="1">VLOOKUP(W37,$AA$2:$AB$6,2)</f>
        <v>&lt; 6 Months</v>
      </c>
      <c r="Y37" s="52" t="str">
        <f ca="1">VLOOKUP(W37,$AD$2:$AE$6,2)</f>
        <v>90-180 Days</v>
      </c>
    </row>
    <row r="38" spans="1:25" s="64" customFormat="1" ht="15" customHeight="1">
      <c r="A38" s="127" t="s">
        <v>1287</v>
      </c>
      <c r="B38" s="45" t="s">
        <v>245</v>
      </c>
      <c r="C38" s="45" t="s">
        <v>1289</v>
      </c>
      <c r="D38" s="43" t="s">
        <v>265</v>
      </c>
      <c r="E38" s="43" t="s">
        <v>1288</v>
      </c>
      <c r="F38" s="43" t="s">
        <v>248</v>
      </c>
      <c r="G38" s="41">
        <v>176443</v>
      </c>
      <c r="H38" s="116">
        <v>3</v>
      </c>
      <c r="I38" s="41">
        <v>25</v>
      </c>
      <c r="J38" s="98">
        <f>I38*H38</f>
        <v>75</v>
      </c>
      <c r="K38" s="60" t="s">
        <v>143</v>
      </c>
      <c r="L38" s="60" t="s">
        <v>863</v>
      </c>
      <c r="M38" s="60" t="str" cm="1">
        <f t="array" ref="M38:N38">VLOOKUP(Q38,[1]CDPL!$A:$D,{3,4},0)</f>
        <v>DATES</v>
      </c>
      <c r="N38" s="60" t="str">
        <v>Syrup</v>
      </c>
      <c r="O38" s="60" t="s">
        <v>247</v>
      </c>
      <c r="P38" s="60" t="s">
        <v>144</v>
      </c>
      <c r="Q38" s="60" t="s">
        <v>145</v>
      </c>
      <c r="R38" s="45" t="s">
        <v>250</v>
      </c>
      <c r="S38" s="45" t="s">
        <v>6</v>
      </c>
      <c r="T38" s="45" t="s">
        <v>247</v>
      </c>
      <c r="U38" s="119">
        <v>109.8</v>
      </c>
      <c r="V38" s="62">
        <f>U38*J38</f>
        <v>8235</v>
      </c>
      <c r="W38" s="63">
        <f ca="1">$W$4-A38</f>
        <v>127</v>
      </c>
      <c r="X38" s="52" t="str">
        <f ca="1">VLOOKUP(W38,$AA$2:$AB$6,2)</f>
        <v>&lt; 6 Months</v>
      </c>
      <c r="Y38" s="52" t="str">
        <f ca="1">VLOOKUP(W38,$AD$2:$AE$6,2)</f>
        <v>90-180 Days</v>
      </c>
    </row>
    <row r="39" spans="1:25" s="64" customFormat="1" ht="15" customHeight="1">
      <c r="A39" s="127" t="s">
        <v>1301</v>
      </c>
      <c r="B39" s="45" t="s">
        <v>258</v>
      </c>
      <c r="C39" s="45" t="s">
        <v>1302</v>
      </c>
      <c r="D39" s="43" t="s">
        <v>256</v>
      </c>
      <c r="E39" s="43" t="s">
        <v>1303</v>
      </c>
      <c r="F39" s="43" t="s">
        <v>248</v>
      </c>
      <c r="G39" s="41">
        <v>12108</v>
      </c>
      <c r="H39" s="116">
        <v>73</v>
      </c>
      <c r="I39" s="41">
        <v>5</v>
      </c>
      <c r="J39" s="98">
        <f>I39*H39</f>
        <v>365</v>
      </c>
      <c r="K39" s="60" t="s">
        <v>190</v>
      </c>
      <c r="L39" s="60" t="s">
        <v>422</v>
      </c>
      <c r="M39" s="60" t="str" cm="1">
        <f t="array" ref="M39:N39">VLOOKUP(Q39,[1]CDPL!$A:$D,{3,4},0)</f>
        <v>DATES</v>
      </c>
      <c r="N39" s="60" t="str">
        <v>Ajwa</v>
      </c>
      <c r="O39" s="60" t="s">
        <v>1085</v>
      </c>
      <c r="P39" s="60" t="s">
        <v>191</v>
      </c>
      <c r="Q39" s="60" t="s">
        <v>423</v>
      </c>
      <c r="R39" s="45" t="s">
        <v>250</v>
      </c>
      <c r="S39" s="45" t="s">
        <v>6</v>
      </c>
      <c r="T39" s="45" t="s">
        <v>255</v>
      </c>
      <c r="U39" s="119">
        <v>675</v>
      </c>
      <c r="V39" s="62">
        <f>U39*J39</f>
        <v>246375</v>
      </c>
      <c r="W39" s="63">
        <f ca="1">$W$4-A39</f>
        <v>120</v>
      </c>
      <c r="X39" s="52" t="str">
        <f ca="1">VLOOKUP(W39,$AA$2:$AB$6,2)</f>
        <v>&lt; 6 Months</v>
      </c>
      <c r="Y39" s="52" t="str">
        <f ca="1">VLOOKUP(W39,$AD$2:$AE$6,2)</f>
        <v>90-180 Days</v>
      </c>
    </row>
    <row r="40" spans="1:25" s="64" customFormat="1" ht="15" customHeight="1">
      <c r="A40" s="127" t="s">
        <v>1304</v>
      </c>
      <c r="B40" s="45" t="s">
        <v>258</v>
      </c>
      <c r="C40" s="45" t="s">
        <v>1305</v>
      </c>
      <c r="D40" s="43" t="s">
        <v>256</v>
      </c>
      <c r="E40" s="43" t="s">
        <v>1308</v>
      </c>
      <c r="F40" s="43" t="s">
        <v>1309</v>
      </c>
      <c r="G40" s="41">
        <v>12324</v>
      </c>
      <c r="H40" s="116">
        <v>970</v>
      </c>
      <c r="I40" s="41">
        <v>5</v>
      </c>
      <c r="J40" s="98">
        <f>I40*H40</f>
        <v>4850</v>
      </c>
      <c r="K40" s="60" t="s">
        <v>190</v>
      </c>
      <c r="L40" s="60" t="s">
        <v>1345</v>
      </c>
      <c r="M40" s="60" t="str" cm="1">
        <f t="array" ref="M40:N40">VLOOKUP(Q40,[1]CFPL!$A:$D,{3,4},0)</f>
        <v>DATES</v>
      </c>
      <c r="N40" s="60" t="str">
        <v>Safavi</v>
      </c>
      <c r="O40" s="60" t="s">
        <v>1343</v>
      </c>
      <c r="P40" s="60" t="s">
        <v>1346</v>
      </c>
      <c r="Q40" s="60" t="s">
        <v>308</v>
      </c>
      <c r="R40" s="45" t="s">
        <v>250</v>
      </c>
      <c r="S40" s="45" t="s">
        <v>6</v>
      </c>
      <c r="T40" s="45" t="s">
        <v>247</v>
      </c>
      <c r="U40" s="119">
        <v>435</v>
      </c>
      <c r="V40" s="62">
        <f>U40*J40</f>
        <v>2109750</v>
      </c>
      <c r="W40" s="63">
        <f ca="1">$W$4-A40</f>
        <v>114</v>
      </c>
      <c r="X40" s="52" t="str">
        <f ca="1">VLOOKUP(W40,$AA$2:$AB$6,2)</f>
        <v>&lt; 6 Months</v>
      </c>
      <c r="Y40" s="52" t="str">
        <f ca="1">VLOOKUP(W40,$AD$2:$AE$6,2)</f>
        <v>90-180 Days</v>
      </c>
    </row>
    <row r="41" spans="1:25" s="64" customFormat="1" ht="15" customHeight="1">
      <c r="A41" s="127" t="s">
        <v>1304</v>
      </c>
      <c r="B41" s="45" t="s">
        <v>258</v>
      </c>
      <c r="C41" s="45" t="s">
        <v>1305</v>
      </c>
      <c r="D41" s="43" t="s">
        <v>256</v>
      </c>
      <c r="E41" s="43" t="s">
        <v>1306</v>
      </c>
      <c r="F41" s="43" t="s">
        <v>1307</v>
      </c>
      <c r="G41" s="41">
        <v>12325</v>
      </c>
      <c r="H41" s="116">
        <v>877</v>
      </c>
      <c r="I41" s="41">
        <v>5</v>
      </c>
      <c r="J41" s="98">
        <f>I41*H41</f>
        <v>4385</v>
      </c>
      <c r="K41" s="60" t="s">
        <v>190</v>
      </c>
      <c r="L41" s="60" t="s">
        <v>1342</v>
      </c>
      <c r="M41" s="60" t="str" cm="1">
        <f t="array" ref="M41:N41">VLOOKUP(Q41,[1]CDPL!$A:$D,{3,4},0)</f>
        <v>DATES</v>
      </c>
      <c r="N41" s="60" t="str">
        <v>Ajwa</v>
      </c>
      <c r="O41" s="60" t="s">
        <v>1343</v>
      </c>
      <c r="P41" s="60" t="s">
        <v>1344</v>
      </c>
      <c r="Q41" s="60" t="s">
        <v>423</v>
      </c>
      <c r="R41" s="45" t="s">
        <v>250</v>
      </c>
      <c r="S41" s="45" t="s">
        <v>6</v>
      </c>
      <c r="T41" s="45" t="s">
        <v>247</v>
      </c>
      <c r="U41" s="119">
        <v>248</v>
      </c>
      <c r="V41" s="62">
        <f>U41*J41</f>
        <v>1087480</v>
      </c>
      <c r="W41" s="63">
        <f ca="1">$W$4-A41</f>
        <v>114</v>
      </c>
      <c r="X41" s="52" t="str">
        <f ca="1">VLOOKUP(W41,$AA$2:$AB$6,2)</f>
        <v>&lt; 6 Months</v>
      </c>
      <c r="Y41" s="52" t="str">
        <f ca="1">VLOOKUP(W41,$AD$2:$AE$6,2)</f>
        <v>90-180 Days</v>
      </c>
    </row>
    <row r="42" spans="1:25" s="64" customFormat="1" ht="15" customHeight="1">
      <c r="A42" s="127" t="s">
        <v>1304</v>
      </c>
      <c r="B42" s="45" t="s">
        <v>258</v>
      </c>
      <c r="C42" s="45" t="s">
        <v>1305</v>
      </c>
      <c r="D42" s="43" t="s">
        <v>256</v>
      </c>
      <c r="E42" s="43" t="s">
        <v>1308</v>
      </c>
      <c r="F42" s="43" t="s">
        <v>1309</v>
      </c>
      <c r="G42" s="41">
        <v>12324</v>
      </c>
      <c r="H42" s="116">
        <v>690</v>
      </c>
      <c r="I42" s="41">
        <v>5</v>
      </c>
      <c r="J42" s="98">
        <f>I42*H42</f>
        <v>3450</v>
      </c>
      <c r="K42" s="60" t="s">
        <v>190</v>
      </c>
      <c r="L42" s="60" t="s">
        <v>1345</v>
      </c>
      <c r="M42" s="60" t="str" cm="1">
        <f t="array" ref="M42:N42">VLOOKUP(Q42,[1]CFPL!$A:$D,{3,4},0)</f>
        <v>DATES</v>
      </c>
      <c r="N42" s="60" t="str">
        <v>Safavi</v>
      </c>
      <c r="O42" s="60" t="s">
        <v>1343</v>
      </c>
      <c r="P42" s="60" t="s">
        <v>1346</v>
      </c>
      <c r="Q42" s="60" t="s">
        <v>308</v>
      </c>
      <c r="R42" s="45" t="s">
        <v>250</v>
      </c>
      <c r="S42" s="45" t="s">
        <v>6</v>
      </c>
      <c r="T42" s="45" t="s">
        <v>247</v>
      </c>
      <c r="U42" s="119">
        <v>435</v>
      </c>
      <c r="V42" s="62">
        <f>U42*J42</f>
        <v>1500750</v>
      </c>
      <c r="W42" s="63">
        <f ca="1">$W$4-A42</f>
        <v>114</v>
      </c>
      <c r="X42" s="52" t="str">
        <f ca="1">VLOOKUP(W42,$AA$2:$AB$6,2)</f>
        <v>&lt; 6 Months</v>
      </c>
      <c r="Y42" s="52" t="str">
        <f ca="1">VLOOKUP(W42,$AD$2:$AE$6,2)</f>
        <v>90-180 Days</v>
      </c>
    </row>
    <row r="43" spans="1:25" s="64" customFormat="1" ht="15" customHeight="1">
      <c r="A43" s="127" t="s">
        <v>1348</v>
      </c>
      <c r="B43" s="45" t="s">
        <v>245</v>
      </c>
      <c r="C43" s="45" t="s">
        <v>1349</v>
      </c>
      <c r="D43" s="43" t="s">
        <v>256</v>
      </c>
      <c r="E43" s="43" t="s">
        <v>1117</v>
      </c>
      <c r="F43" s="43" t="s">
        <v>1104</v>
      </c>
      <c r="G43" s="41">
        <v>168714</v>
      </c>
      <c r="H43" s="116">
        <v>9</v>
      </c>
      <c r="I43" s="41">
        <v>4.8</v>
      </c>
      <c r="J43" s="98">
        <f>I43*H43</f>
        <v>43.199999999999996</v>
      </c>
      <c r="K43" s="60" t="s">
        <v>143</v>
      </c>
      <c r="L43" s="60" t="s">
        <v>865</v>
      </c>
      <c r="M43" s="60" t="str" cm="1">
        <f t="array" ref="M43:N43">VLOOKUP(Q43,[1]CDPL!$A:$D,{3,4},0)</f>
        <v>DATES</v>
      </c>
      <c r="N43" s="60" t="str">
        <v>Syrup</v>
      </c>
      <c r="O43" s="60" t="s">
        <v>247</v>
      </c>
      <c r="P43" s="60" t="s">
        <v>146</v>
      </c>
      <c r="Q43" s="60" t="s">
        <v>513</v>
      </c>
      <c r="R43" s="45" t="s">
        <v>250</v>
      </c>
      <c r="S43" s="45" t="s">
        <v>6</v>
      </c>
      <c r="T43" s="45" t="s">
        <v>247</v>
      </c>
      <c r="U43" s="119">
        <v>190</v>
      </c>
      <c r="V43" s="62">
        <f>U43*J43</f>
        <v>8208</v>
      </c>
      <c r="W43" s="63">
        <f ca="1">$W$4-A43</f>
        <v>113</v>
      </c>
      <c r="X43" s="52" t="str">
        <f ca="1">VLOOKUP(W43,$AA$2:$AB$6,2)</f>
        <v>&lt; 6 Months</v>
      </c>
      <c r="Y43" s="52" t="str">
        <f ca="1">VLOOKUP(W43,$AD$2:$AE$6,2)</f>
        <v>90-180 Days</v>
      </c>
    </row>
    <row r="44" spans="1:25" s="64" customFormat="1" ht="15" customHeight="1">
      <c r="A44" s="127" t="s">
        <v>1371</v>
      </c>
      <c r="B44" s="45" t="s">
        <v>258</v>
      </c>
      <c r="C44" s="45" t="s">
        <v>1372</v>
      </c>
      <c r="D44" s="43" t="s">
        <v>256</v>
      </c>
      <c r="E44" s="43" t="s">
        <v>1373</v>
      </c>
      <c r="F44" s="43" t="s">
        <v>248</v>
      </c>
      <c r="G44" s="41">
        <v>12324</v>
      </c>
      <c r="H44" s="116">
        <v>54</v>
      </c>
      <c r="I44" s="41">
        <v>5</v>
      </c>
      <c r="J44" s="98">
        <f>I44*H44</f>
        <v>270</v>
      </c>
      <c r="K44" s="60" t="s">
        <v>190</v>
      </c>
      <c r="L44" s="60" t="s">
        <v>1345</v>
      </c>
      <c r="M44" s="60" t="str" cm="1">
        <f t="array" ref="M44:N44">VLOOKUP(Q44,[1]CFPL!$A:$D,{3,4},0)</f>
        <v>DATES</v>
      </c>
      <c r="N44" s="60" t="str">
        <v>Safavi</v>
      </c>
      <c r="O44" s="60" t="s">
        <v>1343</v>
      </c>
      <c r="P44" s="60" t="s">
        <v>1346</v>
      </c>
      <c r="Q44" s="60" t="s">
        <v>308</v>
      </c>
      <c r="R44" s="45" t="s">
        <v>250</v>
      </c>
      <c r="S44" s="45" t="s">
        <v>6</v>
      </c>
      <c r="T44" s="45" t="s">
        <v>247</v>
      </c>
      <c r="U44" s="119">
        <v>435</v>
      </c>
      <c r="V44" s="62">
        <f>U44*J44</f>
        <v>117450</v>
      </c>
      <c r="W44" s="63">
        <f ca="1">$W$4-A44</f>
        <v>103</v>
      </c>
      <c r="X44" s="52" t="str">
        <f ca="1">VLOOKUP(W44,$AA$2:$AB$6,2)</f>
        <v>&lt; 6 Months</v>
      </c>
      <c r="Y44" s="52" t="str">
        <f ca="1">VLOOKUP(W44,$AD$2:$AE$6,2)</f>
        <v>90-180 Days</v>
      </c>
    </row>
    <row r="45" spans="1:25" s="64" customFormat="1" ht="15" customHeight="1">
      <c r="A45" s="127" t="s">
        <v>1620</v>
      </c>
      <c r="B45" s="45" t="s">
        <v>245</v>
      </c>
      <c r="C45" s="45" t="s">
        <v>1621</v>
      </c>
      <c r="D45" s="43" t="s">
        <v>941</v>
      </c>
      <c r="E45" s="43" t="s">
        <v>1097</v>
      </c>
      <c r="F45" s="43" t="s">
        <v>248</v>
      </c>
      <c r="G45" s="41">
        <v>186079</v>
      </c>
      <c r="H45" s="116">
        <v>2450</v>
      </c>
      <c r="I45" s="41">
        <v>6.5119999999999996</v>
      </c>
      <c r="J45" s="98">
        <f>I45*H45</f>
        <v>15954.4</v>
      </c>
      <c r="K45" s="60" t="s">
        <v>152</v>
      </c>
      <c r="L45" s="60" t="s">
        <v>277</v>
      </c>
      <c r="M45" s="60" t="str" cm="1">
        <f t="array" ref="M45:N45">VLOOKUP(Q45,[1]CDPL!$A:$D,{3,4},0)</f>
        <v>DATES</v>
      </c>
      <c r="N45" s="60" t="str">
        <v>Kimia</v>
      </c>
      <c r="O45" s="60" t="s">
        <v>1569</v>
      </c>
      <c r="P45" s="60" t="s">
        <v>279</v>
      </c>
      <c r="Q45" s="60" t="s">
        <v>279</v>
      </c>
      <c r="R45" s="45" t="s">
        <v>250</v>
      </c>
      <c r="S45" s="45" t="s">
        <v>6</v>
      </c>
      <c r="T45" s="45" t="s">
        <v>255</v>
      </c>
      <c r="U45" s="119">
        <v>215</v>
      </c>
      <c r="V45" s="62">
        <f>U45*J45</f>
        <v>3430196</v>
      </c>
      <c r="W45" s="63">
        <f ca="1">$W$4-A45</f>
        <v>43</v>
      </c>
      <c r="X45" s="52" t="str">
        <f ca="1">VLOOKUP(W45,$AA$2:$AB$6,2)</f>
        <v>&lt; 6 Months</v>
      </c>
      <c r="Y45" s="52" t="str">
        <f ca="1">VLOOKUP(W45,$AD$2:$AE$6,2)</f>
        <v>30-60 Days</v>
      </c>
    </row>
    <row r="46" spans="1:25" s="64" customFormat="1" ht="15" customHeight="1">
      <c r="A46" s="127" t="s">
        <v>1620</v>
      </c>
      <c r="B46" s="45" t="s">
        <v>245</v>
      </c>
      <c r="C46" s="45" t="s">
        <v>1621</v>
      </c>
      <c r="D46" s="43" t="s">
        <v>941</v>
      </c>
      <c r="E46" s="43" t="s">
        <v>1097</v>
      </c>
      <c r="F46" s="43" t="s">
        <v>248</v>
      </c>
      <c r="G46" s="41">
        <v>186079</v>
      </c>
      <c r="H46" s="116">
        <v>967</v>
      </c>
      <c r="I46" s="41">
        <v>6.5119999999999996</v>
      </c>
      <c r="J46" s="98">
        <f>I46*H46</f>
        <v>6297.1039999999994</v>
      </c>
      <c r="K46" s="60" t="s">
        <v>152</v>
      </c>
      <c r="L46" s="60" t="s">
        <v>277</v>
      </c>
      <c r="M46" s="60" t="str" cm="1">
        <f t="array" ref="M46:N46">VLOOKUP(Q46,[1]CDPL!$A:$D,{3,4},0)</f>
        <v>DATES</v>
      </c>
      <c r="N46" s="60" t="str">
        <v>Kimia</v>
      </c>
      <c r="O46" s="60" t="s">
        <v>1569</v>
      </c>
      <c r="P46" s="60" t="s">
        <v>279</v>
      </c>
      <c r="Q46" s="60" t="s">
        <v>279</v>
      </c>
      <c r="R46" s="45" t="s">
        <v>250</v>
      </c>
      <c r="S46" s="45" t="s">
        <v>6</v>
      </c>
      <c r="T46" s="45" t="s">
        <v>255</v>
      </c>
      <c r="U46" s="119">
        <v>215</v>
      </c>
      <c r="V46" s="62">
        <f>U46*J46</f>
        <v>1353877.3599999999</v>
      </c>
      <c r="W46" s="63">
        <f ca="1">$W$4-A46</f>
        <v>43</v>
      </c>
      <c r="X46" s="52" t="str">
        <f ca="1">VLOOKUP(W46,$AA$2:$AB$6,2)</f>
        <v>&lt; 6 Months</v>
      </c>
      <c r="Y46" s="52" t="str">
        <f ca="1">VLOOKUP(W46,$AD$2:$AE$6,2)</f>
        <v>30-60 Days</v>
      </c>
    </row>
    <row r="47" spans="1:25" s="64" customFormat="1" ht="15" customHeight="1">
      <c r="A47" s="127" t="s">
        <v>1675</v>
      </c>
      <c r="B47" s="45" t="s">
        <v>245</v>
      </c>
      <c r="C47" s="45" t="s">
        <v>1676</v>
      </c>
      <c r="D47" s="43" t="s">
        <v>1677</v>
      </c>
      <c r="E47" s="43" t="s">
        <v>1097</v>
      </c>
      <c r="F47" s="43" t="s">
        <v>248</v>
      </c>
      <c r="G47" s="41">
        <v>2154</v>
      </c>
      <c r="H47" s="116">
        <v>1800</v>
      </c>
      <c r="I47" s="41">
        <v>6.77</v>
      </c>
      <c r="J47" s="98">
        <f>I47*H47</f>
        <v>12186</v>
      </c>
      <c r="K47" s="60" t="s">
        <v>152</v>
      </c>
      <c r="L47" s="60" t="s">
        <v>277</v>
      </c>
      <c r="M47" s="60" t="str" cm="1">
        <f t="array" ref="M47:N47">VLOOKUP(Q47,[1]CDPL!$A:$D,{3,4},0)</f>
        <v>DATES</v>
      </c>
      <c r="N47" s="60" t="str">
        <v>Kimia</v>
      </c>
      <c r="O47" s="60" t="s">
        <v>1569</v>
      </c>
      <c r="P47" s="60" t="s">
        <v>279</v>
      </c>
      <c r="Q47" s="60" t="s">
        <v>279</v>
      </c>
      <c r="R47" s="45" t="s">
        <v>250</v>
      </c>
      <c r="S47" s="45" t="s">
        <v>6</v>
      </c>
      <c r="T47" s="45" t="s">
        <v>255</v>
      </c>
      <c r="U47" s="119">
        <v>215</v>
      </c>
      <c r="V47" s="62">
        <f>U47*J47</f>
        <v>2619990</v>
      </c>
      <c r="W47" s="63">
        <f ca="1">$W$4-A47</f>
        <v>31</v>
      </c>
      <c r="X47" s="52" t="str">
        <f ca="1">VLOOKUP(W47,$AA$2:$AB$6,2)</f>
        <v>&lt; 6 Months</v>
      </c>
      <c r="Y47" s="52" t="str">
        <f ca="1">VLOOKUP(W47,$AD$2:$AE$6,2)</f>
        <v>30-60 Days</v>
      </c>
    </row>
    <row r="48" spans="1:25" s="64" customFormat="1" ht="15" customHeight="1">
      <c r="A48" s="127" t="s">
        <v>1730</v>
      </c>
      <c r="B48" s="45" t="s">
        <v>245</v>
      </c>
      <c r="C48" s="45" t="s">
        <v>1731</v>
      </c>
      <c r="D48" s="43" t="s">
        <v>256</v>
      </c>
      <c r="E48" s="43" t="s">
        <v>1732</v>
      </c>
      <c r="F48" s="43" t="s">
        <v>1733</v>
      </c>
      <c r="G48" s="41">
        <v>3622</v>
      </c>
      <c r="H48" s="116">
        <v>12</v>
      </c>
      <c r="I48" s="41">
        <v>4.8</v>
      </c>
      <c r="J48" s="98">
        <f>I48*H48</f>
        <v>57.599999999999994</v>
      </c>
      <c r="K48" s="60" t="s">
        <v>143</v>
      </c>
      <c r="L48" s="60" t="s">
        <v>865</v>
      </c>
      <c r="M48" s="60" t="str" cm="1">
        <f t="array" ref="M48:N48">VLOOKUP(Q48,[1]CDPL!$A:$D,{3,4},0)</f>
        <v>DATES</v>
      </c>
      <c r="N48" s="60" t="str">
        <v>Syrup</v>
      </c>
      <c r="O48" s="60" t="s">
        <v>247</v>
      </c>
      <c r="P48" s="60" t="s">
        <v>146</v>
      </c>
      <c r="Q48" s="60" t="s">
        <v>513</v>
      </c>
      <c r="R48" s="45" t="s">
        <v>250</v>
      </c>
      <c r="S48" s="45" t="s">
        <v>6</v>
      </c>
      <c r="T48" s="45" t="s">
        <v>255</v>
      </c>
      <c r="U48" s="119">
        <v>190</v>
      </c>
      <c r="V48" s="62">
        <f>U48*J48</f>
        <v>10943.999999999998</v>
      </c>
      <c r="W48" s="63">
        <f ca="1">$W$4-A48</f>
        <v>21</v>
      </c>
      <c r="X48" s="52" t="str">
        <f ca="1">VLOOKUP(W48,$AA$2:$AB$6,2)</f>
        <v>&lt; 6 Months</v>
      </c>
      <c r="Y48" s="52" t="str">
        <f ca="1">VLOOKUP(W48,$AD$2:$AE$6,2)</f>
        <v>&lt;30 Days</v>
      </c>
    </row>
    <row r="49" spans="1:25" s="64" customFormat="1" ht="15" customHeight="1">
      <c r="A49" s="127" t="s">
        <v>1804</v>
      </c>
      <c r="B49" s="45" t="s">
        <v>245</v>
      </c>
      <c r="C49" s="45" t="s">
        <v>1805</v>
      </c>
      <c r="D49" s="43" t="s">
        <v>270</v>
      </c>
      <c r="E49" s="43" t="s">
        <v>1808</v>
      </c>
      <c r="F49" s="43" t="s">
        <v>1054</v>
      </c>
      <c r="G49" s="41">
        <v>3962</v>
      </c>
      <c r="H49" s="116">
        <v>905</v>
      </c>
      <c r="I49" s="41">
        <v>5</v>
      </c>
      <c r="J49" s="98">
        <f>I49*H49</f>
        <v>4525</v>
      </c>
      <c r="K49" s="60" t="s">
        <v>190</v>
      </c>
      <c r="L49" s="60" t="s">
        <v>1405</v>
      </c>
      <c r="M49" s="60" t="str" cm="1">
        <f t="array" ref="M49:N49">VLOOKUP(Q49,[1]CDPL!$A:$D,{3,4},0)</f>
        <v>DATES</v>
      </c>
      <c r="N49" s="60" t="str">
        <v>Medjoul-Medium</v>
      </c>
      <c r="O49" s="60" t="s">
        <v>1388</v>
      </c>
      <c r="P49" s="60" t="s">
        <v>205</v>
      </c>
      <c r="Q49" s="60" t="s">
        <v>296</v>
      </c>
      <c r="R49" s="45" t="s">
        <v>250</v>
      </c>
      <c r="S49" s="45" t="s">
        <v>6</v>
      </c>
      <c r="T49" s="45" t="s">
        <v>255</v>
      </c>
      <c r="U49" s="119">
        <v>765</v>
      </c>
      <c r="V49" s="62">
        <f>U49*J49</f>
        <v>3461625</v>
      </c>
      <c r="W49" s="63">
        <f ca="1">$W$4-A49</f>
        <v>19</v>
      </c>
      <c r="X49" s="52" t="str">
        <f ca="1">VLOOKUP(W49,$AA$2:$AB$6,2)</f>
        <v>&lt; 6 Months</v>
      </c>
      <c r="Y49" s="52" t="str">
        <f ca="1">VLOOKUP(W49,$AD$2:$AE$6,2)</f>
        <v>&lt;30 Days</v>
      </c>
    </row>
    <row r="50" spans="1:25" s="64" customFormat="1" ht="15" customHeight="1">
      <c r="A50" s="127" t="s">
        <v>1804</v>
      </c>
      <c r="B50" s="45" t="s">
        <v>245</v>
      </c>
      <c r="C50" s="45" t="s">
        <v>1805</v>
      </c>
      <c r="D50" s="43" t="s">
        <v>270</v>
      </c>
      <c r="E50" s="43" t="s">
        <v>1806</v>
      </c>
      <c r="F50" s="43" t="s">
        <v>1809</v>
      </c>
      <c r="G50" s="41">
        <v>3963</v>
      </c>
      <c r="H50" s="116">
        <v>938</v>
      </c>
      <c r="I50" s="41">
        <v>5</v>
      </c>
      <c r="J50" s="98">
        <f>I50*H50</f>
        <v>4690</v>
      </c>
      <c r="K50" s="60" t="s">
        <v>190</v>
      </c>
      <c r="L50" s="60" t="s">
        <v>1541</v>
      </c>
      <c r="M50" s="60" t="str" cm="1">
        <f t="array" ref="M50:N50">VLOOKUP(Q50,[1]CDPL!$A:$D,{3,4},0)</f>
        <v>DATES</v>
      </c>
      <c r="N50" s="60" t="str">
        <v>Medjoul-Junior</v>
      </c>
      <c r="O50" s="60" t="s">
        <v>1388</v>
      </c>
      <c r="P50" s="60" t="s">
        <v>1542</v>
      </c>
      <c r="Q50" s="60" t="s">
        <v>381</v>
      </c>
      <c r="R50" s="45" t="s">
        <v>250</v>
      </c>
      <c r="S50" s="45" t="s">
        <v>6</v>
      </c>
      <c r="T50" s="45" t="s">
        <v>255</v>
      </c>
      <c r="U50" s="119">
        <v>677.14</v>
      </c>
      <c r="V50" s="62">
        <f>U50*J50</f>
        <v>3175786.6</v>
      </c>
      <c r="W50" s="63">
        <f ca="1">$W$4-A50</f>
        <v>19</v>
      </c>
      <c r="X50" s="52" t="str">
        <f ca="1">VLOOKUP(W50,$AA$2:$AB$6,2)</f>
        <v>&lt; 6 Months</v>
      </c>
      <c r="Y50" s="52" t="str">
        <f ca="1">VLOOKUP(W50,$AD$2:$AE$6,2)</f>
        <v>&lt;30 Days</v>
      </c>
    </row>
    <row r="51" spans="1:25" s="64" customFormat="1" ht="15" customHeight="1">
      <c r="A51" s="127" t="s">
        <v>1804</v>
      </c>
      <c r="B51" s="45" t="s">
        <v>245</v>
      </c>
      <c r="C51" s="45" t="s">
        <v>1805</v>
      </c>
      <c r="D51" s="43" t="s">
        <v>270</v>
      </c>
      <c r="E51" s="43" t="s">
        <v>1806</v>
      </c>
      <c r="F51" s="43" t="s">
        <v>1807</v>
      </c>
      <c r="G51" s="41">
        <v>4004</v>
      </c>
      <c r="H51" s="116">
        <v>4</v>
      </c>
      <c r="I51" s="41">
        <v>5</v>
      </c>
      <c r="J51" s="98">
        <f>I51*H51</f>
        <v>20</v>
      </c>
      <c r="K51" s="60" t="s">
        <v>190</v>
      </c>
      <c r="L51" s="60" t="s">
        <v>1541</v>
      </c>
      <c r="M51" s="60" t="str" cm="1">
        <f t="array" ref="M51:N51">VLOOKUP(Q51,[1]CDPL!$A:$D,{3,4},0)</f>
        <v>DATES</v>
      </c>
      <c r="N51" s="60" t="str">
        <v>Medjoul-Junior</v>
      </c>
      <c r="O51" s="60" t="s">
        <v>1812</v>
      </c>
      <c r="P51" s="60" t="s">
        <v>1542</v>
      </c>
      <c r="Q51" s="60" t="s">
        <v>381</v>
      </c>
      <c r="R51" s="45" t="s">
        <v>250</v>
      </c>
      <c r="S51" s="45" t="s">
        <v>6</v>
      </c>
      <c r="T51" s="45" t="s">
        <v>255</v>
      </c>
      <c r="U51" s="119">
        <v>677.14</v>
      </c>
      <c r="V51" s="62">
        <f>U51*J51</f>
        <v>13542.8</v>
      </c>
      <c r="W51" s="63">
        <f ca="1">$W$4-A51</f>
        <v>19</v>
      </c>
      <c r="X51" s="52" t="str">
        <f ca="1">VLOOKUP(W51,$AA$2:$AB$6,2)</f>
        <v>&lt; 6 Months</v>
      </c>
      <c r="Y51" s="52" t="str">
        <f ca="1">VLOOKUP(W51,$AD$2:$AE$6,2)</f>
        <v>&lt;30 Days</v>
      </c>
    </row>
    <row r="52" spans="1:25" s="64" customFormat="1" ht="15" customHeight="1">
      <c r="A52" s="127" t="s">
        <v>1813</v>
      </c>
      <c r="B52" s="45" t="s">
        <v>245</v>
      </c>
      <c r="C52" s="45" t="s">
        <v>1814</v>
      </c>
      <c r="D52" s="43" t="s">
        <v>256</v>
      </c>
      <c r="E52" s="43" t="s">
        <v>332</v>
      </c>
      <c r="F52" s="43" t="s">
        <v>1815</v>
      </c>
      <c r="G52" s="41">
        <v>4386</v>
      </c>
      <c r="H52" s="116">
        <v>3</v>
      </c>
      <c r="I52" s="41">
        <v>3.96</v>
      </c>
      <c r="J52" s="98">
        <f>I52*H52</f>
        <v>11.879999999999999</v>
      </c>
      <c r="K52" s="60" t="s">
        <v>1816</v>
      </c>
      <c r="L52" s="60" t="s">
        <v>1818</v>
      </c>
      <c r="M52" s="60" t="str" cm="1">
        <f t="array" ref="M52:N52">VLOOKUP(Q52,[1]CDPL!$A:$D,{3,4},0)</f>
        <v>DATES</v>
      </c>
      <c r="N52" s="60" t="str">
        <v>Spread</v>
      </c>
      <c r="O52" s="60" t="s">
        <v>247</v>
      </c>
      <c r="P52" s="60" t="s">
        <v>1817</v>
      </c>
      <c r="Q52" s="60" t="s">
        <v>1817</v>
      </c>
      <c r="R52" s="45" t="s">
        <v>250</v>
      </c>
      <c r="S52" s="45" t="s">
        <v>6</v>
      </c>
      <c r="T52" s="45" t="s">
        <v>247</v>
      </c>
      <c r="U52" s="119">
        <v>120</v>
      </c>
      <c r="V52" s="62">
        <f>U52*J52</f>
        <v>1425.6</v>
      </c>
      <c r="W52" s="63">
        <f ca="1">$W$4-A52</f>
        <v>16</v>
      </c>
      <c r="X52" s="52" t="str">
        <f ca="1">VLOOKUP(W52,$AA$2:$AB$6,2)</f>
        <v>&lt; 6 Months</v>
      </c>
      <c r="Y52" s="52" t="str">
        <f ca="1">VLOOKUP(W52,$AD$2:$AE$6,2)</f>
        <v>&lt;30 Days</v>
      </c>
    </row>
    <row r="53" spans="1:25" s="64" customFormat="1" ht="15" customHeight="1">
      <c r="A53" s="127" t="s">
        <v>1819</v>
      </c>
      <c r="B53" s="45" t="s">
        <v>245</v>
      </c>
      <c r="C53" s="45" t="s">
        <v>1820</v>
      </c>
      <c r="D53" s="43" t="s">
        <v>246</v>
      </c>
      <c r="E53" s="43" t="s">
        <v>1821</v>
      </c>
      <c r="F53" s="43" t="s">
        <v>248</v>
      </c>
      <c r="G53" s="41">
        <v>4729</v>
      </c>
      <c r="H53" s="116">
        <v>1170</v>
      </c>
      <c r="I53" s="41">
        <v>10</v>
      </c>
      <c r="J53" s="98">
        <f>I53*H53</f>
        <v>11700</v>
      </c>
      <c r="K53" s="60" t="s">
        <v>136</v>
      </c>
      <c r="L53" s="60" t="s">
        <v>841</v>
      </c>
      <c r="M53" s="60" t="str" cm="1">
        <f t="array" ref="M53:N53">VLOOKUP(Q53,[1]CDPL!$A:$D,{3,4},0)</f>
        <v>DATES</v>
      </c>
      <c r="N53" s="60" t="str">
        <v>Powder</v>
      </c>
      <c r="O53" s="60" t="s">
        <v>247</v>
      </c>
      <c r="P53" s="60" t="s">
        <v>137</v>
      </c>
      <c r="Q53" s="60" t="s">
        <v>140</v>
      </c>
      <c r="R53" s="45" t="s">
        <v>250</v>
      </c>
      <c r="S53" s="45" t="s">
        <v>6</v>
      </c>
      <c r="T53" s="45" t="s">
        <v>247</v>
      </c>
      <c r="U53" s="119">
        <v>250</v>
      </c>
      <c r="V53" s="62">
        <f>U53*J53</f>
        <v>2925000</v>
      </c>
      <c r="W53" s="63">
        <f ca="1">$W$4-A53</f>
        <v>12</v>
      </c>
      <c r="X53" s="52" t="str">
        <f ca="1">VLOOKUP(W53,$AA$2:$AB$6,2)</f>
        <v>&lt; 6 Months</v>
      </c>
      <c r="Y53" s="52" t="str">
        <f ca="1">VLOOKUP(W53,$AD$2:$AE$6,2)</f>
        <v>&lt;30 Days</v>
      </c>
    </row>
    <row r="54" spans="1:25" s="64" customFormat="1" ht="15" customHeight="1">
      <c r="A54" s="127" t="s">
        <v>1822</v>
      </c>
      <c r="B54" s="45" t="s">
        <v>245</v>
      </c>
      <c r="C54" s="45" t="s">
        <v>1823</v>
      </c>
      <c r="D54" s="43" t="s">
        <v>265</v>
      </c>
      <c r="E54" s="43" t="s">
        <v>247</v>
      </c>
      <c r="F54" s="43" t="s">
        <v>881</v>
      </c>
      <c r="G54" s="41">
        <v>4950</v>
      </c>
      <c r="H54" s="116">
        <v>532</v>
      </c>
      <c r="I54" s="41">
        <v>25</v>
      </c>
      <c r="J54" s="98">
        <f>I54*H54</f>
        <v>13300</v>
      </c>
      <c r="K54" s="60" t="s">
        <v>143</v>
      </c>
      <c r="L54" s="60" t="s">
        <v>863</v>
      </c>
      <c r="M54" s="60" t="str" cm="1">
        <f t="array" ref="M54:N54">VLOOKUP(Q54,[1]CDPL!$A:$D,{3,4},0)</f>
        <v>DATES</v>
      </c>
      <c r="N54" s="60" t="str">
        <v>Syrup</v>
      </c>
      <c r="O54" s="60" t="s">
        <v>247</v>
      </c>
      <c r="P54" s="60" t="s">
        <v>144</v>
      </c>
      <c r="Q54" s="60" t="s">
        <v>145</v>
      </c>
      <c r="R54" s="45" t="s">
        <v>250</v>
      </c>
      <c r="S54" s="45" t="s">
        <v>6</v>
      </c>
      <c r="T54" s="45" t="s">
        <v>247</v>
      </c>
      <c r="U54" s="119">
        <v>109.8</v>
      </c>
      <c r="V54" s="62">
        <f>U54*J54</f>
        <v>1460340</v>
      </c>
      <c r="W54" s="63">
        <f ca="1">$W$4-A54</f>
        <v>10</v>
      </c>
      <c r="X54" s="52" t="str">
        <f ca="1">VLOOKUP(W54,$AA$2:$AB$6,2)</f>
        <v>&lt; 6 Months</v>
      </c>
      <c r="Y54" s="52" t="str">
        <f ca="1">VLOOKUP(W54,$AD$2:$AE$6,2)</f>
        <v>&lt;30 Days</v>
      </c>
    </row>
    <row r="55" spans="1:25" s="64" customFormat="1" ht="15" customHeight="1">
      <c r="A55" s="127" t="s">
        <v>1824</v>
      </c>
      <c r="B55" s="45" t="s">
        <v>245</v>
      </c>
      <c r="C55" s="45" t="s">
        <v>1825</v>
      </c>
      <c r="D55" s="43" t="s">
        <v>460</v>
      </c>
      <c r="E55" s="43" t="s">
        <v>247</v>
      </c>
      <c r="F55" s="43" t="s">
        <v>305</v>
      </c>
      <c r="G55" s="41">
        <v>5109</v>
      </c>
      <c r="H55" s="116">
        <v>1300</v>
      </c>
      <c r="I55" s="41">
        <v>12.5</v>
      </c>
      <c r="J55" s="98">
        <f>I55*H55</f>
        <v>16250</v>
      </c>
      <c r="K55" s="60" t="s">
        <v>134</v>
      </c>
      <c r="L55" s="60" t="s">
        <v>134</v>
      </c>
      <c r="M55" s="60" t="str" cm="1">
        <f t="array" ref="M55:N55">VLOOKUP(Q55,[1]CDPL!$A:$D,{3,4},0)</f>
        <v>DATES</v>
      </c>
      <c r="N55" s="60" t="str">
        <v>Paste</v>
      </c>
      <c r="O55" s="60" t="s">
        <v>247</v>
      </c>
      <c r="P55" s="60" t="s">
        <v>461</v>
      </c>
      <c r="Q55" s="60" t="s">
        <v>461</v>
      </c>
      <c r="R55" s="45" t="s">
        <v>250</v>
      </c>
      <c r="S55" s="45" t="s">
        <v>6</v>
      </c>
      <c r="T55" s="45" t="s">
        <v>247</v>
      </c>
      <c r="U55" s="119">
        <v>85</v>
      </c>
      <c r="V55" s="62">
        <f>U55*J55</f>
        <v>1381250</v>
      </c>
      <c r="W55" s="63">
        <f ca="1">$W$4-A55</f>
        <v>8</v>
      </c>
      <c r="X55" s="52" t="str">
        <f ca="1">VLOOKUP(W55,$AA$2:$AB$6,2)</f>
        <v>&lt; 6 Months</v>
      </c>
      <c r="Y55" s="52" t="str">
        <f ca="1">VLOOKUP(W55,$AD$2:$AE$6,2)</f>
        <v>&lt;30 Days</v>
      </c>
    </row>
    <row r="56" spans="1:25" s="64" customFormat="1" ht="15" customHeight="1">
      <c r="A56" s="127" t="s">
        <v>1824</v>
      </c>
      <c r="B56" s="45" t="s">
        <v>245</v>
      </c>
      <c r="C56" s="45" t="s">
        <v>1825</v>
      </c>
      <c r="D56" s="43" t="s">
        <v>256</v>
      </c>
      <c r="E56" s="43" t="s">
        <v>1826</v>
      </c>
      <c r="F56" s="43" t="s">
        <v>1827</v>
      </c>
      <c r="G56" s="41">
        <v>5110</v>
      </c>
      <c r="H56" s="116">
        <v>200</v>
      </c>
      <c r="I56" s="41">
        <v>4.8</v>
      </c>
      <c r="J56" s="98">
        <f>I56*H56</f>
        <v>960</v>
      </c>
      <c r="K56" s="60" t="s">
        <v>143</v>
      </c>
      <c r="L56" s="60" t="s">
        <v>865</v>
      </c>
      <c r="M56" s="60" t="str" cm="1">
        <f t="array" ref="M56:N56">VLOOKUP(Q56,[1]CDPL!$A:$D,{3,4},0)</f>
        <v>DATES</v>
      </c>
      <c r="N56" s="60" t="str">
        <v>Syrup</v>
      </c>
      <c r="O56" s="60" t="s">
        <v>1862</v>
      </c>
      <c r="P56" s="60" t="s">
        <v>1863</v>
      </c>
      <c r="Q56" s="60" t="s">
        <v>1863</v>
      </c>
      <c r="R56" s="45" t="s">
        <v>250</v>
      </c>
      <c r="S56" s="45" t="s">
        <v>6</v>
      </c>
      <c r="T56" s="45" t="s">
        <v>255</v>
      </c>
      <c r="U56" s="119">
        <v>206</v>
      </c>
      <c r="V56" s="62">
        <f>U56*J56</f>
        <v>197760</v>
      </c>
      <c r="W56" s="63">
        <f ca="1">$W$4-A56</f>
        <v>8</v>
      </c>
      <c r="X56" s="52" t="str">
        <f ca="1">VLOOKUP(W56,$AA$2:$AB$6,2)</f>
        <v>&lt; 6 Months</v>
      </c>
      <c r="Y56" s="52" t="str">
        <f ca="1">VLOOKUP(W56,$AD$2:$AE$6,2)</f>
        <v>&lt;30 Days</v>
      </c>
    </row>
    <row r="57" spans="1:25" s="64" customFormat="1" ht="15" customHeight="1">
      <c r="A57" s="127" t="s">
        <v>557</v>
      </c>
      <c r="B57" s="45" t="s">
        <v>258</v>
      </c>
      <c r="C57" s="45" t="s">
        <v>561</v>
      </c>
      <c r="D57" s="43" t="s">
        <v>485</v>
      </c>
      <c r="E57" s="43" t="s">
        <v>559</v>
      </c>
      <c r="F57" s="43" t="s">
        <v>509</v>
      </c>
      <c r="G57" s="41">
        <v>76576</v>
      </c>
      <c r="H57" s="116">
        <v>34</v>
      </c>
      <c r="I57" s="41">
        <v>12.5</v>
      </c>
      <c r="J57" s="98">
        <f>I57*H57</f>
        <v>425</v>
      </c>
      <c r="K57" s="60" t="s">
        <v>177</v>
      </c>
      <c r="L57" s="60" t="s">
        <v>916</v>
      </c>
      <c r="M57" s="60" t="str" cm="1">
        <f t="array" ref="M57:N57">VLOOKUP(Q57,[1]CFPL!$A:$D,{3,4},0)</f>
        <v>DATES</v>
      </c>
      <c r="N57" s="60" t="str">
        <v>Khidri</v>
      </c>
      <c r="O57" s="60" t="s">
        <v>440</v>
      </c>
      <c r="P57" s="60" t="s">
        <v>179</v>
      </c>
      <c r="Q57" s="60" t="s">
        <v>563</v>
      </c>
      <c r="R57" s="45" t="s">
        <v>516</v>
      </c>
      <c r="S57" s="45" t="s">
        <v>6</v>
      </c>
      <c r="T57" s="45" t="s">
        <v>287</v>
      </c>
      <c r="U57" s="119">
        <v>462</v>
      </c>
      <c r="V57" s="62">
        <f>U57*J57</f>
        <v>196350</v>
      </c>
      <c r="W57" s="63">
        <f ca="1">$W$4-A57</f>
        <v>550</v>
      </c>
      <c r="X57" s="52" t="str">
        <f ca="1">VLOOKUP(W57,$AA$2:$AB$6,2)</f>
        <v>18-24 Months</v>
      </c>
      <c r="Y57" s="52" t="str">
        <f ca="1">VLOOKUP(W57,$AD$2:$AE$6,2)</f>
        <v>&gt;181 Days</v>
      </c>
    </row>
    <row r="58" spans="1:25" s="64" customFormat="1" ht="15" customHeight="1">
      <c r="A58" s="127" t="s">
        <v>557</v>
      </c>
      <c r="B58" s="45" t="s">
        <v>258</v>
      </c>
      <c r="C58" s="45" t="s">
        <v>558</v>
      </c>
      <c r="D58" s="43" t="s">
        <v>485</v>
      </c>
      <c r="E58" s="43" t="s">
        <v>559</v>
      </c>
      <c r="F58" s="43" t="s">
        <v>560</v>
      </c>
      <c r="G58" s="41">
        <v>76577</v>
      </c>
      <c r="H58" s="116">
        <v>49</v>
      </c>
      <c r="I58" s="41">
        <v>12.5</v>
      </c>
      <c r="J58" s="98">
        <f>I58*H58</f>
        <v>612.5</v>
      </c>
      <c r="K58" s="60" t="s">
        <v>177</v>
      </c>
      <c r="L58" s="60" t="s">
        <v>915</v>
      </c>
      <c r="M58" s="60" t="str" cm="1">
        <f t="array" ref="M58:N58">VLOOKUP(Q58,[1]CFPL!$A:$D,{3,4},0)</f>
        <v>DATES</v>
      </c>
      <c r="N58" s="60" t="str">
        <v>Khidri</v>
      </c>
      <c r="O58" s="60" t="s">
        <v>295</v>
      </c>
      <c r="P58" s="60" t="s">
        <v>180</v>
      </c>
      <c r="Q58" s="60" t="s">
        <v>490</v>
      </c>
      <c r="R58" s="45" t="s">
        <v>516</v>
      </c>
      <c r="S58" s="45" t="s">
        <v>6</v>
      </c>
      <c r="T58" s="45" t="s">
        <v>287</v>
      </c>
      <c r="U58" s="119">
        <v>403</v>
      </c>
      <c r="V58" s="62">
        <f>U58*J58</f>
        <v>246837.5</v>
      </c>
      <c r="W58" s="63">
        <f ca="1">$W$4-A58</f>
        <v>550</v>
      </c>
      <c r="X58" s="52" t="str">
        <f ca="1">VLOOKUP(W58,$AA$2:$AB$6,2)</f>
        <v>18-24 Months</v>
      </c>
      <c r="Y58" s="52" t="str">
        <f ca="1">VLOOKUP(W58,$AD$2:$AE$6,2)</f>
        <v>&gt;181 Days</v>
      </c>
    </row>
    <row r="59" spans="1:25" s="64" customFormat="1" ht="15" customHeight="1">
      <c r="A59" s="127" t="s">
        <v>557</v>
      </c>
      <c r="B59" s="45" t="s">
        <v>258</v>
      </c>
      <c r="C59" s="45" t="s">
        <v>561</v>
      </c>
      <c r="D59" s="43" t="s">
        <v>270</v>
      </c>
      <c r="E59" s="43" t="s">
        <v>565</v>
      </c>
      <c r="F59" s="43" t="s">
        <v>509</v>
      </c>
      <c r="G59" s="41">
        <v>76581</v>
      </c>
      <c r="H59" s="116">
        <v>7</v>
      </c>
      <c r="I59" s="41">
        <v>5</v>
      </c>
      <c r="J59" s="98">
        <f>I59*H59</f>
        <v>35</v>
      </c>
      <c r="K59" s="60" t="s">
        <v>177</v>
      </c>
      <c r="L59" s="60" t="s">
        <v>862</v>
      </c>
      <c r="M59" s="60" t="str" cm="1">
        <f t="array" ref="M59:N59">VLOOKUP(Q59,[1]CFPL!$A:$D,{3,4},0)</f>
        <v>DATES</v>
      </c>
      <c r="N59" s="60" t="str">
        <v>Medjoul-Large</v>
      </c>
      <c r="O59" s="60" t="s">
        <v>440</v>
      </c>
      <c r="P59" s="60" t="s">
        <v>182</v>
      </c>
      <c r="Q59" s="60" t="s">
        <v>1596</v>
      </c>
      <c r="R59" s="45" t="s">
        <v>516</v>
      </c>
      <c r="S59" s="45" t="s">
        <v>6</v>
      </c>
      <c r="T59" s="45" t="s">
        <v>287</v>
      </c>
      <c r="U59" s="119">
        <v>730</v>
      </c>
      <c r="V59" s="62">
        <f>U59*J59</f>
        <v>25550</v>
      </c>
      <c r="W59" s="63">
        <f ca="1">$W$4-A59</f>
        <v>550</v>
      </c>
      <c r="X59" s="52" t="str">
        <f ca="1">VLOOKUP(W59,$AA$2:$AB$6,2)</f>
        <v>18-24 Months</v>
      </c>
      <c r="Y59" s="52" t="str">
        <f ca="1">VLOOKUP(W59,$AD$2:$AE$6,2)</f>
        <v>&gt;181 Days</v>
      </c>
    </row>
    <row r="60" spans="1:25" s="64" customFormat="1" ht="15" customHeight="1">
      <c r="A60" s="127" t="s">
        <v>567</v>
      </c>
      <c r="B60" s="45" t="s">
        <v>258</v>
      </c>
      <c r="C60" s="45" t="s">
        <v>577</v>
      </c>
      <c r="D60" s="43" t="s">
        <v>485</v>
      </c>
      <c r="E60" s="43" t="s">
        <v>578</v>
      </c>
      <c r="F60" s="43" t="s">
        <v>560</v>
      </c>
      <c r="G60" s="41">
        <v>76577</v>
      </c>
      <c r="H60" s="116">
        <v>30</v>
      </c>
      <c r="I60" s="41">
        <v>12.5</v>
      </c>
      <c r="J60" s="98">
        <f>I60*H60</f>
        <v>375</v>
      </c>
      <c r="K60" s="60" t="s">
        <v>177</v>
      </c>
      <c r="L60" s="60" t="s">
        <v>915</v>
      </c>
      <c r="M60" s="60" t="str" cm="1">
        <f t="array" ref="M60:N60">VLOOKUP(Q60,[1]CFPL!$A:$D,{3,4},0)</f>
        <v>DATES</v>
      </c>
      <c r="N60" s="60" t="str">
        <v>Khidri</v>
      </c>
      <c r="O60" s="60" t="s">
        <v>295</v>
      </c>
      <c r="P60" s="60" t="s">
        <v>180</v>
      </c>
      <c r="Q60" s="60" t="s">
        <v>490</v>
      </c>
      <c r="R60" s="45" t="s">
        <v>516</v>
      </c>
      <c r="S60" s="45" t="s">
        <v>6</v>
      </c>
      <c r="T60" s="45" t="s">
        <v>287</v>
      </c>
      <c r="U60" s="119">
        <v>403</v>
      </c>
      <c r="V60" s="62">
        <f>U60*J60</f>
        <v>151125</v>
      </c>
      <c r="W60" s="63">
        <f ca="1">$W$4-A60</f>
        <v>544</v>
      </c>
      <c r="X60" s="52" t="str">
        <f ca="1">VLOOKUP(W60,$AA$2:$AB$6,2)</f>
        <v>18-24 Months</v>
      </c>
      <c r="Y60" s="52" t="str">
        <f ca="1">VLOOKUP(W60,$AD$2:$AE$6,2)</f>
        <v>&gt;181 Days</v>
      </c>
    </row>
    <row r="61" spans="1:25" s="64" customFormat="1" ht="15" customHeight="1">
      <c r="A61" s="127" t="s">
        <v>583</v>
      </c>
      <c r="B61" s="45" t="s">
        <v>258</v>
      </c>
      <c r="C61" s="45" t="s">
        <v>584</v>
      </c>
      <c r="D61" s="43" t="s">
        <v>485</v>
      </c>
      <c r="E61" s="43" t="s">
        <v>585</v>
      </c>
      <c r="F61" s="43" t="s">
        <v>248</v>
      </c>
      <c r="G61" s="41">
        <v>77155</v>
      </c>
      <c r="H61" s="116">
        <v>2</v>
      </c>
      <c r="I61" s="41">
        <v>12.5</v>
      </c>
      <c r="J61" s="98">
        <f>I61*H61</f>
        <v>25</v>
      </c>
      <c r="K61" s="60" t="s">
        <v>177</v>
      </c>
      <c r="L61" s="60" t="s">
        <v>916</v>
      </c>
      <c r="M61" s="60" t="str" cm="1">
        <f t="array" ref="M61:N61">VLOOKUP(Q61,[1]CFPL!$A:$D,{3,4},0)</f>
        <v>DATES</v>
      </c>
      <c r="N61" s="60" t="str">
        <v>Khidri</v>
      </c>
      <c r="O61" s="60" t="s">
        <v>440</v>
      </c>
      <c r="P61" s="60" t="s">
        <v>179</v>
      </c>
      <c r="Q61" s="60" t="s">
        <v>563</v>
      </c>
      <c r="R61" s="45" t="s">
        <v>516</v>
      </c>
      <c r="S61" s="45" t="s">
        <v>6</v>
      </c>
      <c r="T61" s="45" t="s">
        <v>287</v>
      </c>
      <c r="U61" s="119">
        <v>462</v>
      </c>
      <c r="V61" s="62">
        <f>U61*J61</f>
        <v>11550</v>
      </c>
      <c r="W61" s="63">
        <f ca="1">$W$4-A61</f>
        <v>531</v>
      </c>
      <c r="X61" s="52" t="str">
        <f ca="1">VLOOKUP(W61,$AA$2:$AB$6,2)</f>
        <v>12-18 Months</v>
      </c>
      <c r="Y61" s="52" t="str">
        <f ca="1">VLOOKUP(W61,$AD$2:$AE$6,2)</f>
        <v>&gt;181 Days</v>
      </c>
    </row>
    <row r="62" spans="1:25" s="64" customFormat="1" ht="15" customHeight="1">
      <c r="A62" s="127" t="s">
        <v>583</v>
      </c>
      <c r="B62" s="45" t="s">
        <v>258</v>
      </c>
      <c r="C62" s="45" t="s">
        <v>584</v>
      </c>
      <c r="D62" s="43" t="s">
        <v>485</v>
      </c>
      <c r="E62" s="43" t="s">
        <v>586</v>
      </c>
      <c r="F62" s="43" t="s">
        <v>248</v>
      </c>
      <c r="G62" s="41">
        <v>77154</v>
      </c>
      <c r="H62" s="116">
        <v>1</v>
      </c>
      <c r="I62" s="41">
        <v>12.5</v>
      </c>
      <c r="J62" s="98">
        <f>I62*H62</f>
        <v>12.5</v>
      </c>
      <c r="K62" s="60" t="s">
        <v>177</v>
      </c>
      <c r="L62" s="60" t="s">
        <v>915</v>
      </c>
      <c r="M62" s="60" t="str" cm="1">
        <f t="array" ref="M62:N62">VLOOKUP(Q62,[1]CFPL!$A:$D,{3,4},0)</f>
        <v>DATES</v>
      </c>
      <c r="N62" s="60" t="str">
        <v>Khidri</v>
      </c>
      <c r="O62" s="60" t="s">
        <v>295</v>
      </c>
      <c r="P62" s="60" t="s">
        <v>180</v>
      </c>
      <c r="Q62" s="60" t="s">
        <v>490</v>
      </c>
      <c r="R62" s="45" t="s">
        <v>516</v>
      </c>
      <c r="S62" s="45" t="s">
        <v>6</v>
      </c>
      <c r="T62" s="45" t="s">
        <v>287</v>
      </c>
      <c r="U62" s="119">
        <v>403</v>
      </c>
      <c r="V62" s="62">
        <f>U62*J62</f>
        <v>5037.5</v>
      </c>
      <c r="W62" s="63">
        <f ca="1">$W$4-A62</f>
        <v>531</v>
      </c>
      <c r="X62" s="52" t="str">
        <f ca="1">VLOOKUP(W62,$AA$2:$AB$6,2)</f>
        <v>12-18 Months</v>
      </c>
      <c r="Y62" s="52" t="str">
        <f ca="1">VLOOKUP(W62,$AD$2:$AE$6,2)</f>
        <v>&gt;181 Days</v>
      </c>
    </row>
    <row r="63" spans="1:25" s="64" customFormat="1" ht="15" customHeight="1">
      <c r="A63" s="127" t="s">
        <v>404</v>
      </c>
      <c r="B63" s="45" t="s">
        <v>258</v>
      </c>
      <c r="C63" s="45" t="s">
        <v>587</v>
      </c>
      <c r="D63" s="43" t="s">
        <v>485</v>
      </c>
      <c r="E63" s="43" t="s">
        <v>564</v>
      </c>
      <c r="F63" s="43" t="s">
        <v>588</v>
      </c>
      <c r="G63" s="41">
        <v>76583</v>
      </c>
      <c r="H63" s="116">
        <v>1</v>
      </c>
      <c r="I63" s="41">
        <v>12.5</v>
      </c>
      <c r="J63" s="98">
        <f>I63*H63</f>
        <v>12.5</v>
      </c>
      <c r="K63" s="60" t="s">
        <v>177</v>
      </c>
      <c r="L63" s="60" t="s">
        <v>917</v>
      </c>
      <c r="M63" s="60" t="str" cm="1">
        <f t="array" ref="M63:N63">VLOOKUP(Q63,[1]CFPL!$A:$D,{3,4},0)</f>
        <v>DATES</v>
      </c>
      <c r="N63" s="60" t="str">
        <v>Seqee</v>
      </c>
      <c r="O63" s="60" t="s">
        <v>440</v>
      </c>
      <c r="P63" s="60" t="s">
        <v>183</v>
      </c>
      <c r="Q63" s="60" t="s">
        <v>488</v>
      </c>
      <c r="R63" s="45" t="s">
        <v>516</v>
      </c>
      <c r="S63" s="45" t="s">
        <v>6</v>
      </c>
      <c r="T63" s="45" t="s">
        <v>287</v>
      </c>
      <c r="U63" s="119">
        <v>641</v>
      </c>
      <c r="V63" s="62">
        <f>U63*J63</f>
        <v>8012.5</v>
      </c>
      <c r="W63" s="63">
        <f ca="1">$W$4-A63</f>
        <v>527</v>
      </c>
      <c r="X63" s="52" t="str">
        <f ca="1">VLOOKUP(W63,$AA$2:$AB$6,2)</f>
        <v>12-18 Months</v>
      </c>
      <c r="Y63" s="52" t="str">
        <f ca="1">VLOOKUP(W63,$AD$2:$AE$6,2)</f>
        <v>&gt;181 Days</v>
      </c>
    </row>
    <row r="64" spans="1:25" s="64" customFormat="1" ht="15" customHeight="1">
      <c r="A64" s="127" t="s">
        <v>603</v>
      </c>
      <c r="B64" s="45" t="s">
        <v>245</v>
      </c>
      <c r="C64" s="45" t="s">
        <v>604</v>
      </c>
      <c r="D64" s="43" t="s">
        <v>555</v>
      </c>
      <c r="E64" s="43" t="s">
        <v>365</v>
      </c>
      <c r="F64" s="43" t="s">
        <v>605</v>
      </c>
      <c r="G64" s="41">
        <v>129048</v>
      </c>
      <c r="H64" s="116">
        <v>14</v>
      </c>
      <c r="I64" s="41">
        <v>15</v>
      </c>
      <c r="J64" s="98">
        <f>I64*H64</f>
        <v>210</v>
      </c>
      <c r="K64" s="60" t="s">
        <v>92</v>
      </c>
      <c r="L64" s="60" t="s">
        <v>537</v>
      </c>
      <c r="M64" s="60" t="str" cm="1">
        <f t="array" ref="M64:N64">VLOOKUP(Q64,[1]CFPL!$A:$D,{3,4},0)</f>
        <v>RAISIN</v>
      </c>
      <c r="N64" s="60" t="str">
        <v>Raisin - Indian</v>
      </c>
      <c r="O64" s="60" t="s">
        <v>556</v>
      </c>
      <c r="P64" s="60" t="s">
        <v>93</v>
      </c>
      <c r="Q64" s="60" t="s">
        <v>93</v>
      </c>
      <c r="R64" s="45" t="s">
        <v>516</v>
      </c>
      <c r="S64" s="45" t="s">
        <v>6</v>
      </c>
      <c r="T64" s="45">
        <v>0</v>
      </c>
      <c r="U64" s="119">
        <v>295</v>
      </c>
      <c r="V64" s="62">
        <f>U64*J64</f>
        <v>61950</v>
      </c>
      <c r="W64" s="63">
        <f ca="1">$W$4-A64</f>
        <v>477</v>
      </c>
      <c r="X64" s="52" t="str">
        <f ca="1">VLOOKUP(W64,$AA$2:$AB$6,2)</f>
        <v>12-18 Months</v>
      </c>
      <c r="Y64" s="52" t="str">
        <f ca="1">VLOOKUP(W64,$AD$2:$AE$6,2)</f>
        <v>&gt;181 Days</v>
      </c>
    </row>
    <row r="65" spans="1:25" s="64" customFormat="1" ht="15" customHeight="1">
      <c r="A65" s="127" t="s">
        <v>606</v>
      </c>
      <c r="B65" s="45" t="s">
        <v>245</v>
      </c>
      <c r="C65" s="45" t="s">
        <v>607</v>
      </c>
      <c r="D65" s="43" t="s">
        <v>555</v>
      </c>
      <c r="E65" s="43" t="s">
        <v>608</v>
      </c>
      <c r="F65" s="43" t="s">
        <v>248</v>
      </c>
      <c r="G65" s="41">
        <v>130273</v>
      </c>
      <c r="H65" s="116">
        <v>11</v>
      </c>
      <c r="I65" s="41">
        <v>15</v>
      </c>
      <c r="J65" s="98">
        <f>I65*H65</f>
        <v>165</v>
      </c>
      <c r="K65" s="60" t="s">
        <v>92</v>
      </c>
      <c r="L65" s="60" t="s">
        <v>537</v>
      </c>
      <c r="M65" s="60" t="str" cm="1">
        <f t="array" ref="M65:N65">VLOOKUP(Q65,[1]CFPL!$A:$D,{3,4},0)</f>
        <v>RAISIN</v>
      </c>
      <c r="N65" s="60" t="str">
        <v>Raisin - Indian</v>
      </c>
      <c r="O65" s="60" t="s">
        <v>556</v>
      </c>
      <c r="P65" s="60" t="s">
        <v>93</v>
      </c>
      <c r="Q65" s="60" t="s">
        <v>93</v>
      </c>
      <c r="R65" s="45" t="s">
        <v>516</v>
      </c>
      <c r="S65" s="45" t="s">
        <v>6</v>
      </c>
      <c r="T65" s="45">
        <v>0</v>
      </c>
      <c r="U65" s="119">
        <v>295</v>
      </c>
      <c r="V65" s="62">
        <f>U65*J65</f>
        <v>48675</v>
      </c>
      <c r="W65" s="63">
        <f ca="1">$W$4-A65</f>
        <v>469</v>
      </c>
      <c r="X65" s="52" t="str">
        <f ca="1">VLOOKUP(W65,$AA$2:$AB$6,2)</f>
        <v>12-18 Months</v>
      </c>
      <c r="Y65" s="52" t="str">
        <f ca="1">VLOOKUP(W65,$AD$2:$AE$6,2)</f>
        <v>&gt;181 Days</v>
      </c>
    </row>
    <row r="66" spans="1:25" s="64" customFormat="1" ht="15" customHeight="1">
      <c r="A66" s="127" t="s">
        <v>610</v>
      </c>
      <c r="B66" s="45" t="s">
        <v>245</v>
      </c>
      <c r="C66" s="45" t="s">
        <v>611</v>
      </c>
      <c r="D66" s="43" t="s">
        <v>270</v>
      </c>
      <c r="E66" s="43" t="s">
        <v>612</v>
      </c>
      <c r="F66" s="43" t="s">
        <v>615</v>
      </c>
      <c r="G66" s="41">
        <v>130939</v>
      </c>
      <c r="H66" s="116">
        <v>4</v>
      </c>
      <c r="I66" s="41">
        <v>5</v>
      </c>
      <c r="J66" s="98">
        <f>I66*H66</f>
        <v>20</v>
      </c>
      <c r="K66" s="60" t="s">
        <v>190</v>
      </c>
      <c r="L66" s="60" t="s">
        <v>860</v>
      </c>
      <c r="M66" s="60" t="str" cm="1">
        <f t="array" ref="M66:N66">VLOOKUP(Q66,[1]CFPL!$A:$D,{3,4},0)</f>
        <v>DATES</v>
      </c>
      <c r="N66" s="60" t="str">
        <v>Medjoul-Medium</v>
      </c>
      <c r="O66" s="60" t="s">
        <v>295</v>
      </c>
      <c r="P66" s="60" t="s">
        <v>205</v>
      </c>
      <c r="Q66" s="60" t="s">
        <v>602</v>
      </c>
      <c r="R66" s="45" t="s">
        <v>516</v>
      </c>
      <c r="S66" s="45" t="s">
        <v>6</v>
      </c>
      <c r="T66" s="45" t="s">
        <v>274</v>
      </c>
      <c r="U66" s="119">
        <v>712</v>
      </c>
      <c r="V66" s="62">
        <f>U66*J66</f>
        <v>14240</v>
      </c>
      <c r="W66" s="63">
        <f ca="1">$W$4-A66</f>
        <v>464</v>
      </c>
      <c r="X66" s="52" t="str">
        <f ca="1">VLOOKUP(W66,$AA$2:$AB$6,2)</f>
        <v>12-18 Months</v>
      </c>
      <c r="Y66" s="52" t="str">
        <f ca="1">VLOOKUP(W66,$AD$2:$AE$6,2)</f>
        <v>&gt;181 Days</v>
      </c>
    </row>
    <row r="67" spans="1:25" s="64" customFormat="1" ht="15" customHeight="1">
      <c r="A67" s="127" t="s">
        <v>619</v>
      </c>
      <c r="B67" s="45" t="s">
        <v>245</v>
      </c>
      <c r="C67" s="45" t="s">
        <v>620</v>
      </c>
      <c r="D67" s="43" t="s">
        <v>621</v>
      </c>
      <c r="E67" s="43" t="s">
        <v>622</v>
      </c>
      <c r="F67" s="43" t="s">
        <v>623</v>
      </c>
      <c r="G67" s="41">
        <v>133878</v>
      </c>
      <c r="H67" s="116">
        <v>26</v>
      </c>
      <c r="I67" s="41">
        <v>13.6</v>
      </c>
      <c r="J67" s="98">
        <f>I67*H67</f>
        <v>353.59999999999997</v>
      </c>
      <c r="K67" s="60" t="s">
        <v>79</v>
      </c>
      <c r="L67" s="60" t="s">
        <v>848</v>
      </c>
      <c r="M67" s="60" t="str" cm="1">
        <f t="array" ref="M67:N67">VLOOKUP(Q67,[1]CFPL!$A:$D,{3,4},0)</f>
        <v>PREMIUM NUTS</v>
      </c>
      <c r="N67" s="60" t="str">
        <v>Pecan Nuts</v>
      </c>
      <c r="O67" s="60" t="s">
        <v>617</v>
      </c>
      <c r="P67" s="60" t="s">
        <v>81</v>
      </c>
      <c r="Q67" s="60" t="s">
        <v>80</v>
      </c>
      <c r="R67" s="45" t="s">
        <v>516</v>
      </c>
      <c r="S67" s="45" t="s">
        <v>6</v>
      </c>
      <c r="T67" s="45">
        <v>0</v>
      </c>
      <c r="U67" s="119">
        <v>1380</v>
      </c>
      <c r="V67" s="62">
        <f>U67*J67</f>
        <v>487967.99999999994</v>
      </c>
      <c r="W67" s="63">
        <f ca="1">$W$4-A67</f>
        <v>439</v>
      </c>
      <c r="X67" s="52" t="str">
        <f ca="1">VLOOKUP(W67,$AA$2:$AB$6,2)</f>
        <v>12-18 Months</v>
      </c>
      <c r="Y67" s="52" t="str">
        <f ca="1">VLOOKUP(W67,$AD$2:$AE$6,2)</f>
        <v>&gt;181 Days</v>
      </c>
    </row>
    <row r="68" spans="1:25" s="64" customFormat="1" ht="15" customHeight="1">
      <c r="A68" s="127" t="s">
        <v>624</v>
      </c>
      <c r="B68" s="45" t="s">
        <v>245</v>
      </c>
      <c r="C68" s="45" t="s">
        <v>625</v>
      </c>
      <c r="D68" s="43" t="s">
        <v>621</v>
      </c>
      <c r="E68" s="43" t="s">
        <v>626</v>
      </c>
      <c r="F68" s="43" t="s">
        <v>582</v>
      </c>
      <c r="G68" s="41">
        <v>134478</v>
      </c>
      <c r="H68" s="116">
        <v>5</v>
      </c>
      <c r="I68" s="41">
        <v>13.6</v>
      </c>
      <c r="J68" s="98">
        <f>I68*H68</f>
        <v>68</v>
      </c>
      <c r="K68" s="60" t="s">
        <v>79</v>
      </c>
      <c r="L68" s="60" t="s">
        <v>848</v>
      </c>
      <c r="M68" s="60" t="str" cm="1">
        <f t="array" ref="M68:N68">VLOOKUP(Q68,[1]CFPL!$A:$D,{3,4},0)</f>
        <v>PREMIUM NUTS</v>
      </c>
      <c r="N68" s="60" t="str">
        <v>Pecan Nuts</v>
      </c>
      <c r="O68" s="60" t="s">
        <v>617</v>
      </c>
      <c r="P68" s="60" t="s">
        <v>81</v>
      </c>
      <c r="Q68" s="60" t="s">
        <v>80</v>
      </c>
      <c r="R68" s="45" t="s">
        <v>516</v>
      </c>
      <c r="S68" s="45" t="s">
        <v>6</v>
      </c>
      <c r="T68" s="45">
        <v>0</v>
      </c>
      <c r="U68" s="119">
        <v>1380</v>
      </c>
      <c r="V68" s="62">
        <f>U68*J68</f>
        <v>93840</v>
      </c>
      <c r="W68" s="63">
        <f ca="1">$W$4-A68</f>
        <v>434</v>
      </c>
      <c r="X68" s="52" t="str">
        <f ca="1">VLOOKUP(W68,$AA$2:$AB$6,2)</f>
        <v>12-18 Months</v>
      </c>
      <c r="Y68" s="52" t="str">
        <f ca="1">VLOOKUP(W68,$AD$2:$AE$6,2)</f>
        <v>&gt;181 Days</v>
      </c>
    </row>
    <row r="69" spans="1:25" s="64" customFormat="1" ht="15" customHeight="1">
      <c r="A69" s="127" t="s">
        <v>462</v>
      </c>
      <c r="B69" s="45" t="s">
        <v>245</v>
      </c>
      <c r="C69" s="45" t="s">
        <v>627</v>
      </c>
      <c r="D69" s="43" t="s">
        <v>621</v>
      </c>
      <c r="E69" s="43" t="s">
        <v>626</v>
      </c>
      <c r="F69" s="43" t="s">
        <v>248</v>
      </c>
      <c r="G69" s="41">
        <v>134856</v>
      </c>
      <c r="H69" s="116">
        <v>4</v>
      </c>
      <c r="I69" s="41">
        <v>13.6</v>
      </c>
      <c r="J69" s="98">
        <f>I69*H69</f>
        <v>54.4</v>
      </c>
      <c r="K69" s="60" t="s">
        <v>79</v>
      </c>
      <c r="L69" s="60" t="s">
        <v>848</v>
      </c>
      <c r="M69" s="60" t="str" cm="1">
        <f t="array" ref="M69:N69">VLOOKUP(Q69,[1]CFPL!$A:$D,{3,4},0)</f>
        <v>PREMIUM NUTS</v>
      </c>
      <c r="N69" s="60" t="str">
        <v>Pecan Nuts</v>
      </c>
      <c r="O69" s="60" t="s">
        <v>617</v>
      </c>
      <c r="P69" s="60" t="s">
        <v>81</v>
      </c>
      <c r="Q69" s="60" t="s">
        <v>80</v>
      </c>
      <c r="R69" s="45" t="s">
        <v>516</v>
      </c>
      <c r="S69" s="45" t="s">
        <v>6</v>
      </c>
      <c r="T69" s="45">
        <v>0</v>
      </c>
      <c r="U69" s="119">
        <v>1380</v>
      </c>
      <c r="V69" s="62">
        <f>U69*J69</f>
        <v>75072</v>
      </c>
      <c r="W69" s="63">
        <f ca="1">$W$4-A69</f>
        <v>431</v>
      </c>
      <c r="X69" s="52" t="str">
        <f ca="1">VLOOKUP(W69,$AA$2:$AB$6,2)</f>
        <v>12-18 Months</v>
      </c>
      <c r="Y69" s="52" t="str">
        <f ca="1">VLOOKUP(W69,$AD$2:$AE$6,2)</f>
        <v>&gt;181 Days</v>
      </c>
    </row>
    <row r="70" spans="1:25" s="64" customFormat="1" ht="15" customHeight="1">
      <c r="A70" s="127" t="s">
        <v>464</v>
      </c>
      <c r="B70" s="45" t="s">
        <v>258</v>
      </c>
      <c r="C70" s="45" t="s">
        <v>628</v>
      </c>
      <c r="D70" s="43" t="s">
        <v>364</v>
      </c>
      <c r="E70" s="43" t="s">
        <v>629</v>
      </c>
      <c r="F70" s="43" t="s">
        <v>630</v>
      </c>
      <c r="G70" s="41">
        <v>81383</v>
      </c>
      <c r="H70" s="116">
        <v>6</v>
      </c>
      <c r="I70" s="41">
        <v>12.5</v>
      </c>
      <c r="J70" s="98">
        <f>I70*H70</f>
        <v>75</v>
      </c>
      <c r="K70" s="60" t="s">
        <v>177</v>
      </c>
      <c r="L70" s="60" t="s">
        <v>916</v>
      </c>
      <c r="M70" s="60" t="str" cm="1">
        <f t="array" ref="M70:N70">VLOOKUP(Q70,[1]CFPL!$A:$D,{3,4},0)</f>
        <v>DATES</v>
      </c>
      <c r="N70" s="60" t="str">
        <v>Khidri</v>
      </c>
      <c r="O70" s="60" t="s">
        <v>440</v>
      </c>
      <c r="P70" s="60" t="s">
        <v>179</v>
      </c>
      <c r="Q70" s="60" t="s">
        <v>563</v>
      </c>
      <c r="R70" s="45" t="s">
        <v>516</v>
      </c>
      <c r="S70" s="45" t="s">
        <v>6</v>
      </c>
      <c r="T70" s="45" t="s">
        <v>287</v>
      </c>
      <c r="U70" s="119">
        <v>462</v>
      </c>
      <c r="V70" s="62">
        <f>U70*J70</f>
        <v>34650</v>
      </c>
      <c r="W70" s="63">
        <f ca="1">$W$4-A70</f>
        <v>419</v>
      </c>
      <c r="X70" s="52" t="str">
        <f ca="1">VLOOKUP(W70,$AA$2:$AB$6,2)</f>
        <v>12-18 Months</v>
      </c>
      <c r="Y70" s="52" t="str">
        <f ca="1">VLOOKUP(W70,$AD$2:$AE$6,2)</f>
        <v>&gt;181 Days</v>
      </c>
    </row>
    <row r="71" spans="1:25" s="64" customFormat="1" ht="15" customHeight="1">
      <c r="A71" s="127" t="s">
        <v>631</v>
      </c>
      <c r="B71" s="45" t="s">
        <v>245</v>
      </c>
      <c r="C71" s="45" t="s">
        <v>632</v>
      </c>
      <c r="D71" s="43" t="s">
        <v>555</v>
      </c>
      <c r="E71" s="43" t="s">
        <v>633</v>
      </c>
      <c r="F71" s="43" t="s">
        <v>248</v>
      </c>
      <c r="G71" s="41">
        <v>136258</v>
      </c>
      <c r="H71" s="116">
        <v>5</v>
      </c>
      <c r="I71" s="41">
        <v>15</v>
      </c>
      <c r="J71" s="98">
        <f>I71*H71</f>
        <v>75</v>
      </c>
      <c r="K71" s="60" t="s">
        <v>92</v>
      </c>
      <c r="L71" s="60" t="s">
        <v>537</v>
      </c>
      <c r="M71" s="60" t="str" cm="1">
        <f t="array" ref="M71:N71">VLOOKUP(Q71,[1]CFPL!$A:$D,{3,4},0)</f>
        <v>RAISIN</v>
      </c>
      <c r="N71" s="60" t="str">
        <v>Raisin - Indian</v>
      </c>
      <c r="O71" s="60" t="s">
        <v>556</v>
      </c>
      <c r="P71" s="60" t="s">
        <v>93</v>
      </c>
      <c r="Q71" s="60" t="s">
        <v>93</v>
      </c>
      <c r="R71" s="45" t="s">
        <v>516</v>
      </c>
      <c r="S71" s="45" t="s">
        <v>6</v>
      </c>
      <c r="T71" s="45">
        <v>0</v>
      </c>
      <c r="U71" s="119">
        <v>295</v>
      </c>
      <c r="V71" s="62">
        <f>U71*J71</f>
        <v>22125</v>
      </c>
      <c r="W71" s="63">
        <f ca="1">$W$4-A71</f>
        <v>418</v>
      </c>
      <c r="X71" s="52" t="str">
        <f ca="1">VLOOKUP(W71,$AA$2:$AB$6,2)</f>
        <v>12-18 Months</v>
      </c>
      <c r="Y71" s="52" t="str">
        <f ca="1">VLOOKUP(W71,$AD$2:$AE$6,2)</f>
        <v>&gt;181 Days</v>
      </c>
    </row>
    <row r="72" spans="1:25" s="64" customFormat="1" ht="15" customHeight="1">
      <c r="A72" s="127" t="s">
        <v>634</v>
      </c>
      <c r="B72" s="45" t="s">
        <v>245</v>
      </c>
      <c r="C72" s="45" t="s">
        <v>635</v>
      </c>
      <c r="D72" s="43" t="s">
        <v>528</v>
      </c>
      <c r="E72" s="43" t="s">
        <v>636</v>
      </c>
      <c r="F72" s="43" t="s">
        <v>248</v>
      </c>
      <c r="G72" s="41">
        <v>137391</v>
      </c>
      <c r="H72" s="116">
        <v>36</v>
      </c>
      <c r="I72" s="41">
        <v>11.34</v>
      </c>
      <c r="J72" s="98">
        <f>I72*H72</f>
        <v>408.24</v>
      </c>
      <c r="K72" s="60" t="s">
        <v>867</v>
      </c>
      <c r="L72" s="60" t="s">
        <v>888</v>
      </c>
      <c r="M72" s="60" t="str" cm="1">
        <f t="array" ref="M72:N72">VLOOKUP(Q72,[1]CFPL!$A:$D,{3,4},0)</f>
        <v>PREMIUM NUTS</v>
      </c>
      <c r="N72" s="60" t="str">
        <v>Macadamia Nuts</v>
      </c>
      <c r="O72" s="60" t="s">
        <v>847</v>
      </c>
      <c r="P72" s="60" t="s">
        <v>69</v>
      </c>
      <c r="Q72" s="60" t="s">
        <v>637</v>
      </c>
      <c r="R72" s="45" t="s">
        <v>516</v>
      </c>
      <c r="S72" s="45" t="s">
        <v>6</v>
      </c>
      <c r="T72" s="45">
        <v>0</v>
      </c>
      <c r="U72" s="119">
        <v>1290</v>
      </c>
      <c r="V72" s="62">
        <f>U72*J72</f>
        <v>526629.6</v>
      </c>
      <c r="W72" s="63">
        <f ca="1">$W$4-A72</f>
        <v>409</v>
      </c>
      <c r="X72" s="52" t="str">
        <f ca="1">VLOOKUP(W72,$AA$2:$AB$6,2)</f>
        <v>12-18 Months</v>
      </c>
      <c r="Y72" s="52" t="str">
        <f ca="1">VLOOKUP(W72,$AD$2:$AE$6,2)</f>
        <v>&gt;181 Days</v>
      </c>
    </row>
    <row r="73" spans="1:25" s="64" customFormat="1" ht="15" customHeight="1">
      <c r="A73" s="127" t="s">
        <v>510</v>
      </c>
      <c r="B73" s="45" t="s">
        <v>258</v>
      </c>
      <c r="C73" s="45" t="s">
        <v>649</v>
      </c>
      <c r="D73" s="43" t="s">
        <v>283</v>
      </c>
      <c r="E73" s="43" t="s">
        <v>651</v>
      </c>
      <c r="F73" s="43" t="s">
        <v>303</v>
      </c>
      <c r="G73" s="41">
        <v>2060</v>
      </c>
      <c r="H73" s="116">
        <v>1</v>
      </c>
      <c r="I73" s="41">
        <v>16</v>
      </c>
      <c r="J73" s="98">
        <f>I73*H73</f>
        <v>16</v>
      </c>
      <c r="K73" s="60" t="s">
        <v>177</v>
      </c>
      <c r="L73" s="60" t="s">
        <v>916</v>
      </c>
      <c r="M73" s="60" t="str" cm="1">
        <f t="array" ref="M73:N73">VLOOKUP(Q73,[1]CFPL!$A:$D,{3,4},0)</f>
        <v>DATES</v>
      </c>
      <c r="N73" s="60" t="str">
        <v>Khidri</v>
      </c>
      <c r="O73" s="60" t="s">
        <v>440</v>
      </c>
      <c r="P73" s="60" t="s">
        <v>186</v>
      </c>
      <c r="Q73" s="60" t="s">
        <v>563</v>
      </c>
      <c r="R73" s="45" t="s">
        <v>516</v>
      </c>
      <c r="S73" s="45" t="s">
        <v>6</v>
      </c>
      <c r="T73" s="45" t="s">
        <v>287</v>
      </c>
      <c r="U73" s="119">
        <v>462</v>
      </c>
      <c r="V73" s="62">
        <f>U73*J73</f>
        <v>7392</v>
      </c>
      <c r="W73" s="63">
        <f ca="1">$W$4-A73</f>
        <v>377</v>
      </c>
      <c r="X73" s="52" t="str">
        <f ca="1">VLOOKUP(W73,$AA$2:$AB$6,2)</f>
        <v>12-18 Months</v>
      </c>
      <c r="Y73" s="52" t="str">
        <f ca="1">VLOOKUP(W73,$AD$2:$AE$6,2)</f>
        <v>&gt;181 Days</v>
      </c>
    </row>
    <row r="74" spans="1:25" s="64" customFormat="1" ht="15" customHeight="1">
      <c r="A74" s="127" t="s">
        <v>510</v>
      </c>
      <c r="B74" s="45" t="s">
        <v>258</v>
      </c>
      <c r="C74" s="45" t="s">
        <v>649</v>
      </c>
      <c r="D74" s="43" t="s">
        <v>317</v>
      </c>
      <c r="E74" s="43" t="s">
        <v>653</v>
      </c>
      <c r="F74" s="43" t="s">
        <v>303</v>
      </c>
      <c r="G74" s="41">
        <v>2059</v>
      </c>
      <c r="H74" s="116">
        <v>1</v>
      </c>
      <c r="I74" s="41">
        <v>12</v>
      </c>
      <c r="J74" s="98">
        <f>I74*H74</f>
        <v>12</v>
      </c>
      <c r="K74" s="60" t="s">
        <v>177</v>
      </c>
      <c r="L74" s="60" t="s">
        <v>918</v>
      </c>
      <c r="M74" s="60" t="str" cm="1">
        <f t="array" ref="M74:N74">VLOOKUP(Q74,[1]CFPL!$A:$D,{3,4},0)</f>
        <v>DATES</v>
      </c>
      <c r="N74" s="60" t="str">
        <v>Wanan</v>
      </c>
      <c r="O74" s="60" t="s">
        <v>440</v>
      </c>
      <c r="P74" s="60" t="s">
        <v>188</v>
      </c>
      <c r="Q74" s="60" t="s">
        <v>492</v>
      </c>
      <c r="R74" s="45" t="s">
        <v>516</v>
      </c>
      <c r="S74" s="45" t="s">
        <v>6</v>
      </c>
      <c r="T74" s="45" t="s">
        <v>287</v>
      </c>
      <c r="U74" s="119">
        <v>715</v>
      </c>
      <c r="V74" s="62">
        <f>U74*J74</f>
        <v>8580</v>
      </c>
      <c r="W74" s="63">
        <f ca="1">$W$4-A74</f>
        <v>377</v>
      </c>
      <c r="X74" s="52" t="str">
        <f ca="1">VLOOKUP(W74,$AA$2:$AB$6,2)</f>
        <v>12-18 Months</v>
      </c>
      <c r="Y74" s="52" t="str">
        <f ca="1">VLOOKUP(W74,$AD$2:$AE$6,2)</f>
        <v>&gt;181 Days</v>
      </c>
    </row>
    <row r="75" spans="1:25" s="64" customFormat="1" ht="15" customHeight="1">
      <c r="A75" s="127" t="s">
        <v>510</v>
      </c>
      <c r="B75" s="45" t="s">
        <v>258</v>
      </c>
      <c r="C75" s="45" t="s">
        <v>649</v>
      </c>
      <c r="D75" s="43" t="s">
        <v>283</v>
      </c>
      <c r="E75" s="43" t="s">
        <v>650</v>
      </c>
      <c r="F75" s="43" t="s">
        <v>303</v>
      </c>
      <c r="G75" s="41">
        <v>2057</v>
      </c>
      <c r="H75" s="116">
        <v>1</v>
      </c>
      <c r="I75" s="41">
        <v>8</v>
      </c>
      <c r="J75" s="98">
        <f>I75*H75</f>
        <v>8</v>
      </c>
      <c r="K75" s="60" t="s">
        <v>177</v>
      </c>
      <c r="L75" s="60" t="s">
        <v>916</v>
      </c>
      <c r="M75" s="60" t="str" cm="1">
        <f t="array" ref="M75:N75">VLOOKUP(Q75,[1]CFPL!$A:$D,{3,4},0)</f>
        <v>DATES</v>
      </c>
      <c r="N75" s="60" t="str">
        <v>Khidri</v>
      </c>
      <c r="O75" s="60" t="s">
        <v>440</v>
      </c>
      <c r="P75" s="60" t="s">
        <v>186</v>
      </c>
      <c r="Q75" s="60" t="s">
        <v>563</v>
      </c>
      <c r="R75" s="45" t="s">
        <v>516</v>
      </c>
      <c r="S75" s="45" t="s">
        <v>6</v>
      </c>
      <c r="T75" s="45" t="s">
        <v>287</v>
      </c>
      <c r="U75" s="119">
        <v>462</v>
      </c>
      <c r="V75" s="62">
        <f>U75*J75</f>
        <v>3696</v>
      </c>
      <c r="W75" s="63">
        <f ca="1">$W$4-A75</f>
        <v>377</v>
      </c>
      <c r="X75" s="52" t="str">
        <f ca="1">VLOOKUP(W75,$AA$2:$AB$6,2)</f>
        <v>12-18 Months</v>
      </c>
      <c r="Y75" s="52" t="str">
        <f ca="1">VLOOKUP(W75,$AD$2:$AE$6,2)</f>
        <v>&gt;181 Days</v>
      </c>
    </row>
    <row r="76" spans="1:25" s="64" customFormat="1" ht="15" customHeight="1">
      <c r="A76" s="127" t="s">
        <v>510</v>
      </c>
      <c r="B76" s="45" t="s">
        <v>258</v>
      </c>
      <c r="C76" s="45" t="s">
        <v>649</v>
      </c>
      <c r="D76" s="43" t="s">
        <v>317</v>
      </c>
      <c r="E76" s="43" t="s">
        <v>652</v>
      </c>
      <c r="F76" s="43" t="s">
        <v>303</v>
      </c>
      <c r="G76" s="41">
        <v>2058</v>
      </c>
      <c r="H76" s="116">
        <v>1</v>
      </c>
      <c r="I76" s="41">
        <v>12</v>
      </c>
      <c r="J76" s="98">
        <f>I76*H76</f>
        <v>12</v>
      </c>
      <c r="K76" s="60" t="s">
        <v>177</v>
      </c>
      <c r="L76" s="60" t="s">
        <v>917</v>
      </c>
      <c r="M76" s="60" t="str" cm="1">
        <f t="array" ref="M76:N76">VLOOKUP(Q76,[1]CFPL!$A:$D,{3,4},0)</f>
        <v>DATES</v>
      </c>
      <c r="N76" s="60" t="str">
        <v>Seqee</v>
      </c>
      <c r="O76" s="60" t="s">
        <v>440</v>
      </c>
      <c r="P76" s="60" t="s">
        <v>187</v>
      </c>
      <c r="Q76" s="60" t="s">
        <v>488</v>
      </c>
      <c r="R76" s="45" t="s">
        <v>516</v>
      </c>
      <c r="S76" s="45" t="s">
        <v>6</v>
      </c>
      <c r="T76" s="45" t="s">
        <v>287</v>
      </c>
      <c r="U76" s="119">
        <v>641</v>
      </c>
      <c r="V76" s="62">
        <f>U76*J76</f>
        <v>7692</v>
      </c>
      <c r="W76" s="63">
        <f ca="1">$W$4-A76</f>
        <v>377</v>
      </c>
      <c r="X76" s="52" t="str">
        <f ca="1">VLOOKUP(W76,$AA$2:$AB$6,2)</f>
        <v>12-18 Months</v>
      </c>
      <c r="Y76" s="52" t="str">
        <f ca="1">VLOOKUP(W76,$AD$2:$AE$6,2)</f>
        <v>&gt;181 Days</v>
      </c>
    </row>
    <row r="77" spans="1:25" s="64" customFormat="1" ht="15" customHeight="1">
      <c r="A77" s="127" t="s">
        <v>759</v>
      </c>
      <c r="B77" s="45" t="s">
        <v>245</v>
      </c>
      <c r="C77" s="45" t="s">
        <v>760</v>
      </c>
      <c r="D77" s="43" t="s">
        <v>555</v>
      </c>
      <c r="E77" s="43" t="s">
        <v>761</v>
      </c>
      <c r="F77" s="43" t="s">
        <v>248</v>
      </c>
      <c r="G77" s="41">
        <v>141756</v>
      </c>
      <c r="H77" s="116">
        <v>11</v>
      </c>
      <c r="I77" s="41">
        <v>15</v>
      </c>
      <c r="J77" s="98">
        <f>I77*H77</f>
        <v>165</v>
      </c>
      <c r="K77" s="60" t="s">
        <v>92</v>
      </c>
      <c r="L77" s="60" t="s">
        <v>537</v>
      </c>
      <c r="M77" s="60" t="str" cm="1">
        <f t="array" ref="M77:N77">VLOOKUP(Q77,[1]CFPL!$A:$D,{3,4},0)</f>
        <v>RAISIN</v>
      </c>
      <c r="N77" s="60" t="str">
        <v>Raisin - Indian</v>
      </c>
      <c r="O77" s="60" t="s">
        <v>556</v>
      </c>
      <c r="P77" s="60" t="s">
        <v>93</v>
      </c>
      <c r="Q77" s="60" t="s">
        <v>93</v>
      </c>
      <c r="R77" s="45" t="s">
        <v>516</v>
      </c>
      <c r="S77" s="45" t="s">
        <v>6</v>
      </c>
      <c r="T77" s="45">
        <v>0</v>
      </c>
      <c r="U77" s="119">
        <v>288</v>
      </c>
      <c r="V77" s="62">
        <f>U77*J77</f>
        <v>47520</v>
      </c>
      <c r="W77" s="63">
        <f ca="1">$W$4-A77</f>
        <v>334</v>
      </c>
      <c r="X77" s="52" t="str">
        <f ca="1">VLOOKUP(W77,$AA$2:$AB$6,2)</f>
        <v>06-12 Months</v>
      </c>
      <c r="Y77" s="52" t="str">
        <f ca="1">VLOOKUP(W77,$AD$2:$AE$6,2)</f>
        <v>&gt;181 Days</v>
      </c>
    </row>
    <row r="78" spans="1:25" s="64" customFormat="1" ht="15" customHeight="1">
      <c r="A78" s="127" t="s">
        <v>805</v>
      </c>
      <c r="B78" s="45" t="s">
        <v>245</v>
      </c>
      <c r="C78" s="45" t="s">
        <v>806</v>
      </c>
      <c r="D78" s="43" t="s">
        <v>621</v>
      </c>
      <c r="E78" s="43" t="s">
        <v>807</v>
      </c>
      <c r="F78" s="43" t="s">
        <v>808</v>
      </c>
      <c r="G78" s="41">
        <v>149845</v>
      </c>
      <c r="H78" s="116">
        <v>5</v>
      </c>
      <c r="I78" s="41">
        <v>13.6</v>
      </c>
      <c r="J78" s="98">
        <f>I78*H78</f>
        <v>68</v>
      </c>
      <c r="K78" s="60" t="s">
        <v>79</v>
      </c>
      <c r="L78" s="60" t="s">
        <v>848</v>
      </c>
      <c r="M78" s="60" t="str" cm="1">
        <f t="array" ref="M78:N78">VLOOKUP(Q78,[1]CFPL!$A:$D,{3,4},0)</f>
        <v>PREMIUM NUTS</v>
      </c>
      <c r="N78" s="60" t="str">
        <v>Pecan Nuts</v>
      </c>
      <c r="O78" s="60" t="s">
        <v>531</v>
      </c>
      <c r="P78" s="60" t="s">
        <v>81</v>
      </c>
      <c r="Q78" s="60" t="s">
        <v>80</v>
      </c>
      <c r="R78" s="45" t="s">
        <v>516</v>
      </c>
      <c r="S78" s="45" t="s">
        <v>6</v>
      </c>
      <c r="T78" s="45">
        <v>0</v>
      </c>
      <c r="U78" s="119">
        <v>1380</v>
      </c>
      <c r="V78" s="62">
        <f>U78*J78</f>
        <v>93840</v>
      </c>
      <c r="W78" s="63">
        <f ca="1">$W$4-A78</f>
        <v>298</v>
      </c>
      <c r="X78" s="52" t="str">
        <f ca="1">VLOOKUP(W78,$AA$2:$AB$6,2)</f>
        <v>06-12 Months</v>
      </c>
      <c r="Y78" s="52" t="str">
        <f ca="1">VLOOKUP(W78,$AD$2:$AE$6,2)</f>
        <v>&gt;181 Days</v>
      </c>
    </row>
    <row r="79" spans="1:25" s="64" customFormat="1" ht="15" customHeight="1">
      <c r="A79" s="127" t="s">
        <v>813</v>
      </c>
      <c r="B79" s="45" t="s">
        <v>258</v>
      </c>
      <c r="C79" s="45" t="s">
        <v>814</v>
      </c>
      <c r="D79" s="43" t="s">
        <v>270</v>
      </c>
      <c r="E79" s="43" t="s">
        <v>815</v>
      </c>
      <c r="F79" s="43" t="s">
        <v>467</v>
      </c>
      <c r="G79" s="41">
        <v>4905</v>
      </c>
      <c r="H79" s="116">
        <v>118</v>
      </c>
      <c r="I79" s="41">
        <v>5</v>
      </c>
      <c r="J79" s="98">
        <f>I79*H79</f>
        <v>590</v>
      </c>
      <c r="K79" s="60" t="s">
        <v>190</v>
      </c>
      <c r="L79" s="60" t="s">
        <v>856</v>
      </c>
      <c r="M79" s="60" t="str" cm="1">
        <f t="array" ref="M79:N79">VLOOKUP(Q79,[1]CFPL!$A:$D,{3,4},0)</f>
        <v>DATES</v>
      </c>
      <c r="N79" s="60" t="str">
        <v>OFF-GRADE DATES</v>
      </c>
      <c r="O79" s="60" t="s">
        <v>525</v>
      </c>
      <c r="P79" s="60" t="s">
        <v>1182</v>
      </c>
      <c r="Q79" s="60" t="s">
        <v>816</v>
      </c>
      <c r="R79" s="45" t="s">
        <v>516</v>
      </c>
      <c r="S79" s="45" t="s">
        <v>6</v>
      </c>
      <c r="T79" s="45" t="s">
        <v>1429</v>
      </c>
      <c r="U79" s="119">
        <v>200</v>
      </c>
      <c r="V79" s="62">
        <f>U79*J79</f>
        <v>118000</v>
      </c>
      <c r="W79" s="63">
        <f ca="1">$W$4-A79</f>
        <v>292</v>
      </c>
      <c r="X79" s="52" t="str">
        <f ca="1">VLOOKUP(W79,$AA$2:$AB$6,2)</f>
        <v>06-12 Months</v>
      </c>
      <c r="Y79" s="52" t="str">
        <f ca="1">VLOOKUP(W79,$AD$2:$AE$6,2)</f>
        <v>&gt;181 Days</v>
      </c>
    </row>
    <row r="80" spans="1:25" s="64" customFormat="1" ht="15" customHeight="1">
      <c r="A80" s="127" t="s">
        <v>817</v>
      </c>
      <c r="B80" s="45" t="s">
        <v>245</v>
      </c>
      <c r="C80" s="45" t="s">
        <v>818</v>
      </c>
      <c r="D80" s="43" t="s">
        <v>528</v>
      </c>
      <c r="E80" s="43" t="s">
        <v>819</v>
      </c>
      <c r="F80" s="43" t="s">
        <v>248</v>
      </c>
      <c r="G80" s="41">
        <v>150930</v>
      </c>
      <c r="H80" s="116">
        <v>1</v>
      </c>
      <c r="I80" s="41">
        <v>10</v>
      </c>
      <c r="J80" s="98">
        <f>I80*H80</f>
        <v>10</v>
      </c>
      <c r="K80" s="60" t="s">
        <v>867</v>
      </c>
      <c r="L80" s="60" t="s">
        <v>853</v>
      </c>
      <c r="M80" s="60" t="str" cm="1">
        <f t="array" ref="M80:N80">VLOOKUP(Q80,[1]CFPL!$A:$D,{3,4},0)</f>
        <v>PREMIUM NUTS</v>
      </c>
      <c r="N80" s="60" t="str">
        <v>Macadamia Nuts</v>
      </c>
      <c r="O80" s="60" t="s">
        <v>570</v>
      </c>
      <c r="P80" s="60" t="s">
        <v>65</v>
      </c>
      <c r="Q80" s="60" t="s">
        <v>571</v>
      </c>
      <c r="R80" s="45" t="s">
        <v>516</v>
      </c>
      <c r="S80" s="45" t="s">
        <v>6</v>
      </c>
      <c r="T80" s="45">
        <v>0</v>
      </c>
      <c r="U80" s="119">
        <v>625</v>
      </c>
      <c r="V80" s="62">
        <f>U80*J80</f>
        <v>6250</v>
      </c>
      <c r="W80" s="63">
        <f ca="1">$W$4-A80</f>
        <v>287</v>
      </c>
      <c r="X80" s="52" t="str">
        <f ca="1">VLOOKUP(W80,$AA$2:$AB$6,2)</f>
        <v>06-12 Months</v>
      </c>
      <c r="Y80" s="52" t="str">
        <f ca="1">VLOOKUP(W80,$AD$2:$AE$6,2)</f>
        <v>&gt;181 Days</v>
      </c>
    </row>
    <row r="81" spans="1:25" s="64" customFormat="1" ht="15" customHeight="1">
      <c r="A81" s="127" t="s">
        <v>822</v>
      </c>
      <c r="B81" s="45" t="s">
        <v>245</v>
      </c>
      <c r="C81" s="45" t="s">
        <v>823</v>
      </c>
      <c r="D81" s="43" t="s">
        <v>528</v>
      </c>
      <c r="E81" s="43" t="s">
        <v>824</v>
      </c>
      <c r="F81" s="43" t="s">
        <v>248</v>
      </c>
      <c r="G81" s="41">
        <v>151105</v>
      </c>
      <c r="H81" s="116">
        <v>3</v>
      </c>
      <c r="I81" s="41">
        <v>11.34</v>
      </c>
      <c r="J81" s="98">
        <f>I81*H81</f>
        <v>34.019999999999996</v>
      </c>
      <c r="K81" s="60" t="s">
        <v>867</v>
      </c>
      <c r="L81" s="60" t="s">
        <v>887</v>
      </c>
      <c r="M81" s="60" t="str" cm="1">
        <f t="array" ref="M81:N81">VLOOKUP(Q81,[1]CFPL!$A:$D,{3,4},0)</f>
        <v>PREMIUM NUTS</v>
      </c>
      <c r="N81" s="60" t="str">
        <v>Macadamia Nuts</v>
      </c>
      <c r="O81" s="60" t="s">
        <v>846</v>
      </c>
      <c r="P81" s="60" t="s">
        <v>70</v>
      </c>
      <c r="Q81" s="60" t="s">
        <v>543</v>
      </c>
      <c r="R81" s="45" t="s">
        <v>516</v>
      </c>
      <c r="S81" s="45" t="s">
        <v>6</v>
      </c>
      <c r="T81" s="45">
        <v>0</v>
      </c>
      <c r="U81" s="119">
        <v>1500</v>
      </c>
      <c r="V81" s="62">
        <f>U81*J81</f>
        <v>51029.999999999993</v>
      </c>
      <c r="W81" s="63">
        <f ca="1">$W$4-A81</f>
        <v>286</v>
      </c>
      <c r="X81" s="52" t="str">
        <f ca="1">VLOOKUP(W81,$AA$2:$AB$6,2)</f>
        <v>06-12 Months</v>
      </c>
      <c r="Y81" s="52" t="str">
        <f ca="1">VLOOKUP(W81,$AD$2:$AE$6,2)</f>
        <v>&gt;181 Days</v>
      </c>
    </row>
    <row r="82" spans="1:25" s="64" customFormat="1" ht="15" customHeight="1">
      <c r="A82" s="127" t="s">
        <v>826</v>
      </c>
      <c r="B82" s="45" t="s">
        <v>245</v>
      </c>
      <c r="C82" s="45" t="s">
        <v>827</v>
      </c>
      <c r="D82" s="43" t="s">
        <v>528</v>
      </c>
      <c r="E82" s="43" t="s">
        <v>828</v>
      </c>
      <c r="F82" s="43" t="s">
        <v>829</v>
      </c>
      <c r="G82" s="41">
        <v>151709</v>
      </c>
      <c r="H82" s="116">
        <v>1</v>
      </c>
      <c r="I82" s="41">
        <v>11.34</v>
      </c>
      <c r="J82" s="98">
        <f>I82*H82</f>
        <v>11.34</v>
      </c>
      <c r="K82" s="60" t="s">
        <v>867</v>
      </c>
      <c r="L82" s="60" t="s">
        <v>889</v>
      </c>
      <c r="M82" s="60" t="str" cm="1">
        <f t="array" ref="M82:N82">VLOOKUP(Q82,[1]CFPL!$A:$D,{3,4},0)</f>
        <v>PREMIUM NUTS</v>
      </c>
      <c r="N82" s="60" t="str">
        <v>Macadamia Nuts</v>
      </c>
      <c r="O82" s="60" t="s">
        <v>845</v>
      </c>
      <c r="P82" s="60" t="s">
        <v>71</v>
      </c>
      <c r="Q82" s="60" t="s">
        <v>71</v>
      </c>
      <c r="R82" s="45" t="s">
        <v>516</v>
      </c>
      <c r="S82" s="45" t="s">
        <v>6</v>
      </c>
      <c r="T82" s="45">
        <v>0</v>
      </c>
      <c r="U82" s="119">
        <v>900</v>
      </c>
      <c r="V82" s="62">
        <f>U82*J82</f>
        <v>10206</v>
      </c>
      <c r="W82" s="63">
        <f ca="1">$W$4-A82</f>
        <v>281</v>
      </c>
      <c r="X82" s="52" t="str">
        <f ca="1">VLOOKUP(W82,$AA$2:$AB$6,2)</f>
        <v>06-12 Months</v>
      </c>
      <c r="Y82" s="52" t="str">
        <f ca="1">VLOOKUP(W82,$AD$2:$AE$6,2)</f>
        <v>&gt;181 Days</v>
      </c>
    </row>
    <row r="83" spans="1:25" s="64" customFormat="1" ht="15" customHeight="1">
      <c r="A83" s="127" t="s">
        <v>908</v>
      </c>
      <c r="B83" s="45" t="s">
        <v>258</v>
      </c>
      <c r="C83" s="45" t="s">
        <v>911</v>
      </c>
      <c r="D83" s="43" t="s">
        <v>270</v>
      </c>
      <c r="E83" s="43" t="s">
        <v>913</v>
      </c>
      <c r="F83" s="43" t="s">
        <v>894</v>
      </c>
      <c r="G83" s="41">
        <v>7232</v>
      </c>
      <c r="H83" s="116">
        <v>175</v>
      </c>
      <c r="I83" s="41">
        <v>5</v>
      </c>
      <c r="J83" s="98">
        <f>I83*H83</f>
        <v>875</v>
      </c>
      <c r="K83" s="60" t="s">
        <v>190</v>
      </c>
      <c r="L83" s="60" t="s">
        <v>366</v>
      </c>
      <c r="M83" s="60" t="str" cm="1">
        <f t="array" ref="M83:N83">VLOOKUP(Q83,[1]CFPL!$A:$D,{3,4},0)</f>
        <v>DATES</v>
      </c>
      <c r="N83" s="60" t="str">
        <v>Deglet</v>
      </c>
      <c r="O83" s="60" t="s">
        <v>366</v>
      </c>
      <c r="P83" s="60" t="s">
        <v>196</v>
      </c>
      <c r="Q83" s="60" t="s">
        <v>196</v>
      </c>
      <c r="R83" s="45" t="s">
        <v>516</v>
      </c>
      <c r="S83" s="45" t="s">
        <v>6</v>
      </c>
      <c r="T83" s="45" t="s">
        <v>274</v>
      </c>
      <c r="U83" s="119">
        <v>527</v>
      </c>
      <c r="V83" s="62">
        <f>U83*J83</f>
        <v>461125</v>
      </c>
      <c r="W83" s="63">
        <f ca="1">$W$4-A83</f>
        <v>225</v>
      </c>
      <c r="X83" s="52" t="str">
        <f ca="1">VLOOKUP(W83,$AA$2:$AB$6,2)</f>
        <v>06-12 Months</v>
      </c>
      <c r="Y83" s="52" t="str">
        <f ca="1">VLOOKUP(W83,$AD$2:$AE$6,2)</f>
        <v>&gt;181 Days</v>
      </c>
    </row>
    <row r="84" spans="1:25" s="64" customFormat="1" ht="15" customHeight="1">
      <c r="A84" s="127" t="s">
        <v>908</v>
      </c>
      <c r="B84" s="45" t="s">
        <v>258</v>
      </c>
      <c r="C84" s="45" t="s">
        <v>911</v>
      </c>
      <c r="D84" s="43" t="s">
        <v>270</v>
      </c>
      <c r="E84" s="43" t="s">
        <v>912</v>
      </c>
      <c r="F84" s="43" t="s">
        <v>895</v>
      </c>
      <c r="G84" s="41">
        <v>7231</v>
      </c>
      <c r="H84" s="116">
        <v>165</v>
      </c>
      <c r="I84" s="41">
        <v>5</v>
      </c>
      <c r="J84" s="98">
        <f>I84*H84</f>
        <v>825</v>
      </c>
      <c r="K84" s="60" t="s">
        <v>190</v>
      </c>
      <c r="L84" s="60" t="s">
        <v>366</v>
      </c>
      <c r="M84" s="60" t="str" cm="1">
        <f t="array" ref="M84:N84">VLOOKUP(Q84,[1]CFPL!$A:$D,{3,4},0)</f>
        <v>DATES</v>
      </c>
      <c r="N84" s="60" t="str">
        <v>Deglet</v>
      </c>
      <c r="O84" s="60" t="s">
        <v>366</v>
      </c>
      <c r="P84" s="60" t="s">
        <v>196</v>
      </c>
      <c r="Q84" s="60" t="s">
        <v>196</v>
      </c>
      <c r="R84" s="45" t="s">
        <v>516</v>
      </c>
      <c r="S84" s="45" t="s">
        <v>6</v>
      </c>
      <c r="T84" s="45" t="s">
        <v>274</v>
      </c>
      <c r="U84" s="119">
        <v>527</v>
      </c>
      <c r="V84" s="62">
        <f>U84*J84</f>
        <v>434775</v>
      </c>
      <c r="W84" s="63">
        <f ca="1">$W$4-A84</f>
        <v>225</v>
      </c>
      <c r="X84" s="52" t="str">
        <f ca="1">VLOOKUP(W84,$AA$2:$AB$6,2)</f>
        <v>06-12 Months</v>
      </c>
      <c r="Y84" s="52" t="str">
        <f ca="1">VLOOKUP(W84,$AD$2:$AE$6,2)</f>
        <v>&gt;181 Days</v>
      </c>
    </row>
    <row r="85" spans="1:25" s="64" customFormat="1" ht="15" customHeight="1">
      <c r="A85" s="127" t="s">
        <v>925</v>
      </c>
      <c r="B85" s="45" t="s">
        <v>245</v>
      </c>
      <c r="C85" s="45" t="s">
        <v>926</v>
      </c>
      <c r="D85" s="43" t="s">
        <v>638</v>
      </c>
      <c r="E85" s="43" t="s">
        <v>660</v>
      </c>
      <c r="F85" s="43" t="s">
        <v>927</v>
      </c>
      <c r="G85" s="41">
        <v>160135</v>
      </c>
      <c r="H85" s="116">
        <v>26</v>
      </c>
      <c r="I85" s="41">
        <v>4.54</v>
      </c>
      <c r="J85" s="98">
        <f>I85*H85</f>
        <v>118.04</v>
      </c>
      <c r="K85" s="60" t="s">
        <v>51</v>
      </c>
      <c r="L85" s="60" t="s">
        <v>640</v>
      </c>
      <c r="M85" s="60" t="str" cm="1">
        <f t="array" ref="M85:N85">VLOOKUP(Q85,[1]CFPL!$A:$D,{3,4},0)</f>
        <v>CRANBERRY</v>
      </c>
      <c r="N85" s="60" t="str">
        <v>Cranberry - Whole</v>
      </c>
      <c r="O85" s="60" t="s">
        <v>640</v>
      </c>
      <c r="P85" s="60" t="s">
        <v>54</v>
      </c>
      <c r="Q85" s="60" t="s">
        <v>53</v>
      </c>
      <c r="R85" s="45" t="s">
        <v>516</v>
      </c>
      <c r="S85" s="45" t="s">
        <v>6</v>
      </c>
      <c r="T85" s="45" t="s">
        <v>659</v>
      </c>
      <c r="U85" s="119">
        <v>890</v>
      </c>
      <c r="V85" s="62">
        <f>U85*J85</f>
        <v>105055.6</v>
      </c>
      <c r="W85" s="63">
        <f ca="1">$W$4-A85</f>
        <v>215</v>
      </c>
      <c r="X85" s="52" t="str">
        <f ca="1">VLOOKUP(W85,$AA$2:$AB$6,2)</f>
        <v>06-12 Months</v>
      </c>
      <c r="Y85" s="52" t="str">
        <f ca="1">VLOOKUP(W85,$AD$2:$AE$6,2)</f>
        <v>&gt;181 Days</v>
      </c>
    </row>
    <row r="86" spans="1:25" s="64" customFormat="1" ht="15" customHeight="1">
      <c r="A86" s="127" t="s">
        <v>928</v>
      </c>
      <c r="B86" s="45" t="s">
        <v>258</v>
      </c>
      <c r="C86" s="45" t="s">
        <v>930</v>
      </c>
      <c r="D86" s="43" t="s">
        <v>270</v>
      </c>
      <c r="E86" s="43" t="s">
        <v>931</v>
      </c>
      <c r="F86" s="43" t="s">
        <v>327</v>
      </c>
      <c r="G86" s="41">
        <v>7760</v>
      </c>
      <c r="H86" s="116">
        <v>249</v>
      </c>
      <c r="I86" s="41">
        <v>5</v>
      </c>
      <c r="J86" s="98">
        <f>I86*H86</f>
        <v>1245</v>
      </c>
      <c r="K86" s="60" t="s">
        <v>190</v>
      </c>
      <c r="L86" s="60" t="s">
        <v>856</v>
      </c>
      <c r="M86" s="60" t="str" cm="1">
        <f t="array" ref="M86:N86">VLOOKUP(Q86,[1]CFPL!$A:$D,{3,4},0)</f>
        <v>DATES</v>
      </c>
      <c r="N86" s="60" t="str">
        <v>OFF-GRADE DATES</v>
      </c>
      <c r="O86" s="60" t="s">
        <v>932</v>
      </c>
      <c r="P86" s="60" t="s">
        <v>1182</v>
      </c>
      <c r="Q86" s="60" t="s">
        <v>816</v>
      </c>
      <c r="R86" s="45" t="s">
        <v>516</v>
      </c>
      <c r="S86" s="45" t="s">
        <v>6</v>
      </c>
      <c r="T86" s="45" t="s">
        <v>1429</v>
      </c>
      <c r="U86" s="119">
        <v>200</v>
      </c>
      <c r="V86" s="62">
        <f>U86*J86</f>
        <v>249000</v>
      </c>
      <c r="W86" s="63">
        <f ca="1">$W$4-A86</f>
        <v>214</v>
      </c>
      <c r="X86" s="52" t="str">
        <f ca="1">VLOOKUP(W86,$AA$2:$AB$6,2)</f>
        <v>06-12 Months</v>
      </c>
      <c r="Y86" s="52" t="str">
        <f ca="1">VLOOKUP(W86,$AD$2:$AE$6,2)</f>
        <v>&gt;181 Days</v>
      </c>
    </row>
    <row r="87" spans="1:25" s="64" customFormat="1" ht="15" customHeight="1">
      <c r="A87" s="127" t="s">
        <v>958</v>
      </c>
      <c r="B87" s="45" t="s">
        <v>245</v>
      </c>
      <c r="C87" s="45" t="s">
        <v>963</v>
      </c>
      <c r="D87" s="43" t="s">
        <v>555</v>
      </c>
      <c r="E87" s="43" t="s">
        <v>966</v>
      </c>
      <c r="F87" s="43" t="s">
        <v>248</v>
      </c>
      <c r="G87" s="41">
        <v>162411</v>
      </c>
      <c r="H87" s="116">
        <v>6</v>
      </c>
      <c r="I87" s="41">
        <v>15</v>
      </c>
      <c r="J87" s="98">
        <f>I87*H87</f>
        <v>90</v>
      </c>
      <c r="K87" s="60" t="s">
        <v>92</v>
      </c>
      <c r="L87" s="60" t="s">
        <v>537</v>
      </c>
      <c r="M87" s="60" t="str" cm="1">
        <f t="array" ref="M87:N87">VLOOKUP(Q87,[1]CFPL!$A:$D,{3,4},0)</f>
        <v>RAISIN</v>
      </c>
      <c r="N87" s="60" t="str">
        <v>Raisin - Indian</v>
      </c>
      <c r="O87" s="60" t="s">
        <v>556</v>
      </c>
      <c r="P87" s="60" t="s">
        <v>93</v>
      </c>
      <c r="Q87" s="60" t="s">
        <v>93</v>
      </c>
      <c r="R87" s="45" t="s">
        <v>516</v>
      </c>
      <c r="S87" s="45" t="s">
        <v>6</v>
      </c>
      <c r="T87" s="45">
        <v>0</v>
      </c>
      <c r="U87" s="119">
        <v>420</v>
      </c>
      <c r="V87" s="62">
        <f>U87*J87</f>
        <v>37800</v>
      </c>
      <c r="W87" s="63">
        <f ca="1">$W$4-A87</f>
        <v>204</v>
      </c>
      <c r="X87" s="52" t="str">
        <f ca="1">VLOOKUP(W87,$AA$2:$AB$6,2)</f>
        <v>06-12 Months</v>
      </c>
      <c r="Y87" s="52" t="str">
        <f ca="1">VLOOKUP(W87,$AD$2:$AE$6,2)</f>
        <v>&gt;181 Days</v>
      </c>
    </row>
    <row r="88" spans="1:25" s="64" customFormat="1" ht="15" customHeight="1">
      <c r="A88" s="127" t="s">
        <v>978</v>
      </c>
      <c r="B88" s="45" t="s">
        <v>245</v>
      </c>
      <c r="C88" s="45" t="s">
        <v>979</v>
      </c>
      <c r="D88" s="43" t="s">
        <v>270</v>
      </c>
      <c r="E88" s="43" t="s">
        <v>980</v>
      </c>
      <c r="F88" s="43" t="s">
        <v>248</v>
      </c>
      <c r="G88" s="41">
        <v>162094</v>
      </c>
      <c r="H88" s="116">
        <v>390</v>
      </c>
      <c r="I88" s="41">
        <v>5</v>
      </c>
      <c r="J88" s="98">
        <f>I88*H88</f>
        <v>1950</v>
      </c>
      <c r="K88" s="60" t="s">
        <v>177</v>
      </c>
      <c r="L88" s="60" t="s">
        <v>971</v>
      </c>
      <c r="M88" s="60" t="str" cm="1">
        <f t="array" ref="M88:N88">VLOOKUP(Q88,[1]CFPL!$A:$D,{3,4},0)</f>
        <v>DATES</v>
      </c>
      <c r="N88" s="60" t="str">
        <v>Medjoul-Jumbo</v>
      </c>
      <c r="O88" s="60" t="s">
        <v>968</v>
      </c>
      <c r="P88" s="60" t="s">
        <v>969</v>
      </c>
      <c r="Q88" s="60" t="s">
        <v>1597</v>
      </c>
      <c r="R88" s="45" t="s">
        <v>516</v>
      </c>
      <c r="S88" s="45" t="s">
        <v>6</v>
      </c>
      <c r="T88" s="45" t="s">
        <v>287</v>
      </c>
      <c r="U88" s="119">
        <v>1089.42</v>
      </c>
      <c r="V88" s="62">
        <f>U88*J88</f>
        <v>2124369</v>
      </c>
      <c r="W88" s="63">
        <f ca="1">$W$4-A88</f>
        <v>196</v>
      </c>
      <c r="X88" s="52" t="str">
        <f ca="1">VLOOKUP(W88,$AA$2:$AB$6,2)</f>
        <v>06-12 Months</v>
      </c>
      <c r="Y88" s="52" t="str">
        <f ca="1">VLOOKUP(W88,$AD$2:$AE$6,2)</f>
        <v>&gt;181 Days</v>
      </c>
    </row>
    <row r="89" spans="1:25" s="64" customFormat="1" ht="15" customHeight="1">
      <c r="A89" s="127" t="s">
        <v>978</v>
      </c>
      <c r="B89" s="45" t="s">
        <v>245</v>
      </c>
      <c r="C89" s="45" t="s">
        <v>979</v>
      </c>
      <c r="D89" s="43" t="s">
        <v>270</v>
      </c>
      <c r="E89" s="43" t="s">
        <v>981</v>
      </c>
      <c r="F89" s="43" t="s">
        <v>248</v>
      </c>
      <c r="G89" s="41">
        <v>162095</v>
      </c>
      <c r="H89" s="116">
        <v>573</v>
      </c>
      <c r="I89" s="41">
        <v>5</v>
      </c>
      <c r="J89" s="98">
        <f>I89*H89</f>
        <v>2865</v>
      </c>
      <c r="K89" s="60" t="s">
        <v>177</v>
      </c>
      <c r="L89" s="60" t="s">
        <v>862</v>
      </c>
      <c r="M89" s="60" t="str" cm="1">
        <f t="array" ref="M89:N89">VLOOKUP(Q89,[1]CFPL!$A:$D,{3,4},0)</f>
        <v>DATES</v>
      </c>
      <c r="N89" s="60" t="str">
        <v>Medjoul-Large</v>
      </c>
      <c r="O89" s="60" t="s">
        <v>968</v>
      </c>
      <c r="P89" s="60" t="s">
        <v>970</v>
      </c>
      <c r="Q89" s="60" t="s">
        <v>1596</v>
      </c>
      <c r="R89" s="45" t="s">
        <v>516</v>
      </c>
      <c r="S89" s="45" t="s">
        <v>6</v>
      </c>
      <c r="T89" s="45" t="s">
        <v>287</v>
      </c>
      <c r="U89" s="119">
        <v>900.77</v>
      </c>
      <c r="V89" s="62">
        <f>U89*J89</f>
        <v>2580706.0499999998</v>
      </c>
      <c r="W89" s="63">
        <f ca="1">$W$4-A89</f>
        <v>196</v>
      </c>
      <c r="X89" s="52" t="str">
        <f ca="1">VLOOKUP(W89,$AA$2:$AB$6,2)</f>
        <v>06-12 Months</v>
      </c>
      <c r="Y89" s="52" t="str">
        <f ca="1">VLOOKUP(W89,$AD$2:$AE$6,2)</f>
        <v>&gt;181 Days</v>
      </c>
    </row>
    <row r="90" spans="1:25" s="64" customFormat="1" ht="15" customHeight="1">
      <c r="A90" s="127" t="s">
        <v>1018</v>
      </c>
      <c r="B90" s="45" t="s">
        <v>245</v>
      </c>
      <c r="C90" s="45" t="s">
        <v>1019</v>
      </c>
      <c r="D90" s="43" t="s">
        <v>270</v>
      </c>
      <c r="E90" s="43" t="s">
        <v>1020</v>
      </c>
      <c r="F90" s="43" t="s">
        <v>1021</v>
      </c>
      <c r="G90" s="41">
        <v>165912</v>
      </c>
      <c r="H90" s="116">
        <v>10</v>
      </c>
      <c r="I90" s="41">
        <v>5</v>
      </c>
      <c r="J90" s="98">
        <f>I90*H90</f>
        <v>50</v>
      </c>
      <c r="K90" s="60" t="s">
        <v>190</v>
      </c>
      <c r="L90" s="60" t="s">
        <v>858</v>
      </c>
      <c r="M90" s="60" t="str" cm="1">
        <f t="array" ref="M90:N90">VLOOKUP(Q90,[1]CFPL!$A:$D,{3,4},0)</f>
        <v>DATES</v>
      </c>
      <c r="N90" s="60" t="str">
        <v>Medjoul-Junior</v>
      </c>
      <c r="O90" s="60" t="s">
        <v>434</v>
      </c>
      <c r="P90" s="60" t="s">
        <v>203</v>
      </c>
      <c r="Q90" s="60" t="s">
        <v>597</v>
      </c>
      <c r="R90" s="45" t="s">
        <v>516</v>
      </c>
      <c r="S90" s="45" t="s">
        <v>6</v>
      </c>
      <c r="T90" s="45" t="s">
        <v>274</v>
      </c>
      <c r="U90" s="119">
        <v>613</v>
      </c>
      <c r="V90" s="62">
        <f>U90*J90</f>
        <v>30650</v>
      </c>
      <c r="W90" s="63">
        <f ca="1">$W$4-A90</f>
        <v>185</v>
      </c>
      <c r="X90" s="52" t="str">
        <f ca="1">VLOOKUP(W90,$AA$2:$AB$6,2)</f>
        <v>06-12 Months</v>
      </c>
      <c r="Y90" s="52" t="str">
        <f ca="1">VLOOKUP(W90,$AD$2:$AE$6,2)</f>
        <v>&gt;181 Days</v>
      </c>
    </row>
    <row r="91" spans="1:25" s="64" customFormat="1" ht="15" customHeight="1">
      <c r="A91" s="127" t="s">
        <v>1105</v>
      </c>
      <c r="B91" s="45" t="s">
        <v>258</v>
      </c>
      <c r="C91" s="45" t="s">
        <v>1051</v>
      </c>
      <c r="D91" s="43" t="s">
        <v>270</v>
      </c>
      <c r="E91" s="43" t="s">
        <v>1109</v>
      </c>
      <c r="F91" s="43" t="s">
        <v>248</v>
      </c>
      <c r="G91" s="41">
        <v>9497</v>
      </c>
      <c r="H91" s="116">
        <v>79</v>
      </c>
      <c r="I91" s="41">
        <v>5</v>
      </c>
      <c r="J91" s="98">
        <f>I91*H91</f>
        <v>395</v>
      </c>
      <c r="K91" s="60" t="s">
        <v>177</v>
      </c>
      <c r="L91" s="60" t="s">
        <v>919</v>
      </c>
      <c r="M91" s="60" t="str" cm="1">
        <f t="array" ref="M91:N91">VLOOKUP(Q91,[1]CFPL!$A:$D,{3,4},0)</f>
        <v>DATES</v>
      </c>
      <c r="N91" s="60" t="str">
        <v>Wanan</v>
      </c>
      <c r="O91" s="60" t="s">
        <v>507</v>
      </c>
      <c r="P91" s="60" t="s">
        <v>1062</v>
      </c>
      <c r="Q91" s="60" t="s">
        <v>508</v>
      </c>
      <c r="R91" s="45" t="s">
        <v>516</v>
      </c>
      <c r="S91" s="45" t="s">
        <v>6</v>
      </c>
      <c r="T91" s="45" t="s">
        <v>287</v>
      </c>
      <c r="U91" s="119">
        <v>845</v>
      </c>
      <c r="V91" s="62">
        <f>U91*J91</f>
        <v>333775</v>
      </c>
      <c r="W91" s="63">
        <f ca="1">$W$4-A91</f>
        <v>178</v>
      </c>
      <c r="X91" s="52" t="str">
        <f ca="1">VLOOKUP(W91,$AA$2:$AB$6,2)</f>
        <v>&lt; 6 Months</v>
      </c>
      <c r="Y91" s="52" t="str">
        <f ca="1">VLOOKUP(W91,$AD$2:$AE$6,2)</f>
        <v>90-180 Days</v>
      </c>
    </row>
    <row r="92" spans="1:25" s="64" customFormat="1" ht="15" customHeight="1">
      <c r="A92" s="127" t="s">
        <v>1105</v>
      </c>
      <c r="B92" s="45" t="s">
        <v>258</v>
      </c>
      <c r="C92" s="45" t="s">
        <v>1051</v>
      </c>
      <c r="D92" s="43" t="s">
        <v>270</v>
      </c>
      <c r="E92" s="43" t="s">
        <v>1106</v>
      </c>
      <c r="F92" s="43" t="s">
        <v>248</v>
      </c>
      <c r="G92" s="41">
        <v>9498</v>
      </c>
      <c r="H92" s="116">
        <v>23</v>
      </c>
      <c r="I92" s="41">
        <v>5</v>
      </c>
      <c r="J92" s="98">
        <f>I92*H92</f>
        <v>115</v>
      </c>
      <c r="K92" s="60" t="s">
        <v>177</v>
      </c>
      <c r="L92" s="60" t="s">
        <v>917</v>
      </c>
      <c r="M92" s="60" t="str" cm="1">
        <f t="array" ref="M92:N92">VLOOKUP(Q92,[1]CFPL!$A:$D,{3,4},0)</f>
        <v>DATES</v>
      </c>
      <c r="N92" s="60" t="str">
        <v>Seqee</v>
      </c>
      <c r="O92" s="60" t="s">
        <v>440</v>
      </c>
      <c r="P92" s="60" t="s">
        <v>1064</v>
      </c>
      <c r="Q92" s="60" t="s">
        <v>488</v>
      </c>
      <c r="R92" s="45" t="s">
        <v>516</v>
      </c>
      <c r="S92" s="45" t="s">
        <v>6</v>
      </c>
      <c r="T92" s="45" t="s">
        <v>287</v>
      </c>
      <c r="U92" s="119">
        <v>565</v>
      </c>
      <c r="V92" s="62">
        <f>U92*J92</f>
        <v>64975</v>
      </c>
      <c r="W92" s="63">
        <f ca="1">$W$4-A92</f>
        <v>178</v>
      </c>
      <c r="X92" s="52" t="str">
        <f ca="1">VLOOKUP(W92,$AA$2:$AB$6,2)</f>
        <v>&lt; 6 Months</v>
      </c>
      <c r="Y92" s="52" t="str">
        <f ca="1">VLOOKUP(W92,$AD$2:$AE$6,2)</f>
        <v>90-180 Days</v>
      </c>
    </row>
    <row r="93" spans="1:25" s="64" customFormat="1" ht="15" customHeight="1">
      <c r="A93" s="127" t="s">
        <v>1105</v>
      </c>
      <c r="B93" s="45" t="s">
        <v>258</v>
      </c>
      <c r="C93" s="45" t="s">
        <v>1051</v>
      </c>
      <c r="D93" s="43" t="s">
        <v>270</v>
      </c>
      <c r="E93" s="43" t="s">
        <v>1056</v>
      </c>
      <c r="F93" s="43" t="s">
        <v>248</v>
      </c>
      <c r="G93" s="41">
        <v>9495</v>
      </c>
      <c r="H93" s="116">
        <v>72</v>
      </c>
      <c r="I93" s="41">
        <v>5</v>
      </c>
      <c r="J93" s="98">
        <f>I93*H93</f>
        <v>360</v>
      </c>
      <c r="K93" s="60" t="s">
        <v>177</v>
      </c>
      <c r="L93" s="60" t="s">
        <v>1065</v>
      </c>
      <c r="M93" s="60" t="str" cm="1">
        <f t="array" ref="M93:N93">VLOOKUP(Q93,[1]CFPL!$A:$D,{3,4},0)</f>
        <v>DATES</v>
      </c>
      <c r="N93" s="60" t="str">
        <v>Khidri</v>
      </c>
      <c r="O93" s="60" t="s">
        <v>507</v>
      </c>
      <c r="P93" s="60" t="s">
        <v>562</v>
      </c>
      <c r="Q93" s="60" t="s">
        <v>562</v>
      </c>
      <c r="R93" s="45" t="s">
        <v>516</v>
      </c>
      <c r="S93" s="45" t="s">
        <v>6</v>
      </c>
      <c r="T93" s="45" t="s">
        <v>287</v>
      </c>
      <c r="U93" s="119">
        <v>732</v>
      </c>
      <c r="V93" s="62">
        <f>U93*J93</f>
        <v>263520</v>
      </c>
      <c r="W93" s="63">
        <f ca="1">$W$4-A93</f>
        <v>178</v>
      </c>
      <c r="X93" s="52" t="str">
        <f ca="1">VLOOKUP(W93,$AA$2:$AB$6,2)</f>
        <v>&lt; 6 Months</v>
      </c>
      <c r="Y93" s="52" t="str">
        <f ca="1">VLOOKUP(W93,$AD$2:$AE$6,2)</f>
        <v>90-180 Days</v>
      </c>
    </row>
    <row r="94" spans="1:25" s="64" customFormat="1" ht="15" customHeight="1">
      <c r="A94" s="127" t="s">
        <v>1105</v>
      </c>
      <c r="B94" s="45" t="s">
        <v>258</v>
      </c>
      <c r="C94" s="45" t="s">
        <v>1051</v>
      </c>
      <c r="D94" s="43" t="s">
        <v>270</v>
      </c>
      <c r="E94" s="43" t="s">
        <v>1107</v>
      </c>
      <c r="F94" s="43" t="s">
        <v>248</v>
      </c>
      <c r="G94" s="41">
        <v>9496</v>
      </c>
      <c r="H94" s="116">
        <v>45</v>
      </c>
      <c r="I94" s="41">
        <v>5</v>
      </c>
      <c r="J94" s="98">
        <f>I94*H94</f>
        <v>225</v>
      </c>
      <c r="K94" s="60" t="s">
        <v>177</v>
      </c>
      <c r="L94" s="60" t="s">
        <v>918</v>
      </c>
      <c r="M94" s="60" t="str" cm="1">
        <f t="array" ref="M94:N94">VLOOKUP(Q94,[1]CFPL!$A:$D,{3,4},0)</f>
        <v>DATES</v>
      </c>
      <c r="N94" s="60" t="str">
        <v>Wanan</v>
      </c>
      <c r="O94" s="60" t="s">
        <v>440</v>
      </c>
      <c r="P94" s="60" t="s">
        <v>1063</v>
      </c>
      <c r="Q94" s="60" t="s">
        <v>492</v>
      </c>
      <c r="R94" s="45" t="s">
        <v>516</v>
      </c>
      <c r="S94" s="45" t="s">
        <v>6</v>
      </c>
      <c r="T94" s="45" t="s">
        <v>287</v>
      </c>
      <c r="U94" s="119">
        <v>635</v>
      </c>
      <c r="V94" s="62">
        <f>U94*J94</f>
        <v>142875</v>
      </c>
      <c r="W94" s="63">
        <f ca="1">$W$4-A94</f>
        <v>178</v>
      </c>
      <c r="X94" s="52" t="str">
        <f ca="1">VLOOKUP(W94,$AA$2:$AB$6,2)</f>
        <v>&lt; 6 Months</v>
      </c>
      <c r="Y94" s="52" t="str">
        <f ca="1">VLOOKUP(W94,$AD$2:$AE$6,2)</f>
        <v>90-180 Days</v>
      </c>
    </row>
    <row r="95" spans="1:25" s="64" customFormat="1" ht="15" customHeight="1">
      <c r="A95" s="127" t="s">
        <v>1112</v>
      </c>
      <c r="B95" s="45" t="s">
        <v>245</v>
      </c>
      <c r="C95" s="45" t="s">
        <v>1068</v>
      </c>
      <c r="D95" s="43" t="s">
        <v>528</v>
      </c>
      <c r="E95" s="43" t="s">
        <v>1072</v>
      </c>
      <c r="F95" s="43" t="s">
        <v>248</v>
      </c>
      <c r="G95" s="41">
        <v>167917</v>
      </c>
      <c r="H95" s="116">
        <v>39</v>
      </c>
      <c r="I95" s="41">
        <v>10</v>
      </c>
      <c r="J95" s="98">
        <f>I95*H95</f>
        <v>390</v>
      </c>
      <c r="K95" s="60" t="s">
        <v>867</v>
      </c>
      <c r="L95" s="60" t="s">
        <v>1075</v>
      </c>
      <c r="M95" s="60" t="str" cm="1">
        <f t="array" ref="M95:N95">VLOOKUP(Q95,[1]CFPL!$A:$D,{3,4},0)</f>
        <v>PREMIUM NUTS</v>
      </c>
      <c r="N95" s="60" t="str">
        <v>Macadamia Nuts</v>
      </c>
      <c r="O95" s="60" t="s">
        <v>531</v>
      </c>
      <c r="P95" s="60" t="s">
        <v>1079</v>
      </c>
      <c r="Q95" s="60" t="s">
        <v>1598</v>
      </c>
      <c r="R95" s="45" t="s">
        <v>516</v>
      </c>
      <c r="S95" s="45" t="s">
        <v>6</v>
      </c>
      <c r="T95" s="45">
        <v>0</v>
      </c>
      <c r="U95" s="119">
        <v>2461.79</v>
      </c>
      <c r="V95" s="62">
        <f>U95*J95</f>
        <v>960098.1</v>
      </c>
      <c r="W95" s="63">
        <f ca="1">$W$4-A95</f>
        <v>175</v>
      </c>
      <c r="X95" s="52" t="str">
        <f ca="1">VLOOKUP(W95,$AA$2:$AB$6,2)</f>
        <v>&lt; 6 Months</v>
      </c>
      <c r="Y95" s="52" t="str">
        <f ca="1">VLOOKUP(W95,$AD$2:$AE$6,2)</f>
        <v>90-180 Days</v>
      </c>
    </row>
    <row r="96" spans="1:25" s="64" customFormat="1" ht="15" customHeight="1">
      <c r="A96" s="127" t="s">
        <v>1112</v>
      </c>
      <c r="B96" s="45" t="s">
        <v>245</v>
      </c>
      <c r="C96" s="45" t="s">
        <v>1068</v>
      </c>
      <c r="D96" s="43" t="s">
        <v>528</v>
      </c>
      <c r="E96" s="43" t="s">
        <v>1071</v>
      </c>
      <c r="F96" s="43" t="s">
        <v>248</v>
      </c>
      <c r="G96" s="41">
        <v>167916</v>
      </c>
      <c r="H96" s="116">
        <v>52</v>
      </c>
      <c r="I96" s="41">
        <v>7.5</v>
      </c>
      <c r="J96" s="98">
        <f>I96*H96</f>
        <v>390</v>
      </c>
      <c r="K96" s="60" t="s">
        <v>867</v>
      </c>
      <c r="L96" s="60" t="s">
        <v>1074</v>
      </c>
      <c r="M96" s="60" t="str" cm="1">
        <f t="array" ref="M96:N96">VLOOKUP(Q96,[1]CFPL!$A:$D,{3,4},0)</f>
        <v>PREMIUM NUTS</v>
      </c>
      <c r="N96" s="60" t="str">
        <v>Macadamia Nuts</v>
      </c>
      <c r="O96" s="60" t="s">
        <v>531</v>
      </c>
      <c r="P96" s="60" t="s">
        <v>1078</v>
      </c>
      <c r="Q96" s="60" t="s">
        <v>1600</v>
      </c>
      <c r="R96" s="45" t="s">
        <v>516</v>
      </c>
      <c r="S96" s="45" t="s">
        <v>6</v>
      </c>
      <c r="T96" s="45">
        <v>0</v>
      </c>
      <c r="U96" s="119">
        <v>2859.54</v>
      </c>
      <c r="V96" s="62">
        <f>U96*J96</f>
        <v>1115220.6000000001</v>
      </c>
      <c r="W96" s="63">
        <f ca="1">$W$4-A96</f>
        <v>175</v>
      </c>
      <c r="X96" s="52" t="str">
        <f ca="1">VLOOKUP(W96,$AA$2:$AB$6,2)</f>
        <v>&lt; 6 Months</v>
      </c>
      <c r="Y96" s="52" t="str">
        <f ca="1">VLOOKUP(W96,$AD$2:$AE$6,2)</f>
        <v>90-180 Days</v>
      </c>
    </row>
    <row r="97" spans="1:25" s="64" customFormat="1" ht="15" customHeight="1">
      <c r="A97" s="127" t="s">
        <v>1112</v>
      </c>
      <c r="B97" s="45" t="s">
        <v>245</v>
      </c>
      <c r="C97" s="45" t="s">
        <v>1068</v>
      </c>
      <c r="D97" s="43" t="s">
        <v>528</v>
      </c>
      <c r="E97" s="43" t="s">
        <v>1070</v>
      </c>
      <c r="F97" s="43" t="s">
        <v>248</v>
      </c>
      <c r="G97" s="41">
        <v>167915</v>
      </c>
      <c r="H97" s="116">
        <v>52</v>
      </c>
      <c r="I97" s="41">
        <v>7.5</v>
      </c>
      <c r="J97" s="98">
        <f>I97*H97</f>
        <v>390</v>
      </c>
      <c r="K97" s="60" t="s">
        <v>867</v>
      </c>
      <c r="L97" s="60" t="s">
        <v>1073</v>
      </c>
      <c r="M97" s="60" t="str" cm="1">
        <f t="array" ref="M97:N97">VLOOKUP(Q97,[1]CFPL!$A:$D,{3,4},0)</f>
        <v>PREMIUM NUTS</v>
      </c>
      <c r="N97" s="60" t="str">
        <v>Macadamia Nuts</v>
      </c>
      <c r="O97" s="60" t="s">
        <v>531</v>
      </c>
      <c r="P97" s="60" t="s">
        <v>1077</v>
      </c>
      <c r="Q97" s="60" t="s">
        <v>1601</v>
      </c>
      <c r="R97" s="45" t="s">
        <v>516</v>
      </c>
      <c r="S97" s="45" t="s">
        <v>6</v>
      </c>
      <c r="T97" s="45">
        <v>0</v>
      </c>
      <c r="U97" s="119">
        <v>2859.54</v>
      </c>
      <c r="V97" s="62">
        <f>U97*J97</f>
        <v>1115220.6000000001</v>
      </c>
      <c r="W97" s="63">
        <f ca="1">$W$4-A97</f>
        <v>175</v>
      </c>
      <c r="X97" s="52" t="str">
        <f ca="1">VLOOKUP(W97,$AA$2:$AB$6,2)</f>
        <v>&lt; 6 Months</v>
      </c>
      <c r="Y97" s="52" t="str">
        <f ca="1">VLOOKUP(W97,$AD$2:$AE$6,2)</f>
        <v>90-180 Days</v>
      </c>
    </row>
    <row r="98" spans="1:25" s="64" customFormat="1" ht="15" customHeight="1">
      <c r="A98" s="127" t="s">
        <v>1112</v>
      </c>
      <c r="B98" s="45" t="s">
        <v>245</v>
      </c>
      <c r="C98" s="45" t="s">
        <v>1067</v>
      </c>
      <c r="D98" s="43" t="s">
        <v>528</v>
      </c>
      <c r="E98" s="43" t="s">
        <v>1114</v>
      </c>
      <c r="F98" s="43" t="s">
        <v>248</v>
      </c>
      <c r="G98" s="41">
        <v>167919</v>
      </c>
      <c r="H98" s="116">
        <v>62</v>
      </c>
      <c r="I98" s="41">
        <v>11.34</v>
      </c>
      <c r="J98" s="98">
        <f>I98*H98</f>
        <v>703.08</v>
      </c>
      <c r="K98" s="60" t="s">
        <v>867</v>
      </c>
      <c r="L98" s="60" t="s">
        <v>886</v>
      </c>
      <c r="M98" s="60" t="str" cm="1">
        <f t="array" ref="M98:N98">VLOOKUP(Q98,[1]CFPL!$A:$D,{3,4},0)</f>
        <v>PREMIUM NUTS</v>
      </c>
      <c r="N98" s="60" t="str">
        <v>Macadamia Nuts</v>
      </c>
      <c r="O98" s="60" t="s">
        <v>531</v>
      </c>
      <c r="P98" s="60" t="s">
        <v>877</v>
      </c>
      <c r="Q98" s="60" t="s">
        <v>877</v>
      </c>
      <c r="R98" s="45" t="s">
        <v>516</v>
      </c>
      <c r="S98" s="45" t="s">
        <v>6</v>
      </c>
      <c r="T98" s="45">
        <v>0</v>
      </c>
      <c r="U98" s="119">
        <v>1820.3</v>
      </c>
      <c r="V98" s="62">
        <f>U98*J98</f>
        <v>1279816.524</v>
      </c>
      <c r="W98" s="63">
        <f ca="1">$W$4-A98</f>
        <v>175</v>
      </c>
      <c r="X98" s="52" t="str">
        <f ca="1">VLOOKUP(W98,$AA$2:$AB$6,2)</f>
        <v>&lt; 6 Months</v>
      </c>
      <c r="Y98" s="52" t="str">
        <f ca="1">VLOOKUP(W98,$AD$2:$AE$6,2)</f>
        <v>90-180 Days</v>
      </c>
    </row>
    <row r="99" spans="1:25" s="64" customFormat="1" ht="15" customHeight="1">
      <c r="A99" s="127" t="s">
        <v>1112</v>
      </c>
      <c r="B99" s="45" t="s">
        <v>245</v>
      </c>
      <c r="C99" s="45" t="s">
        <v>1068</v>
      </c>
      <c r="D99" s="43" t="s">
        <v>528</v>
      </c>
      <c r="E99" s="43" t="s">
        <v>1113</v>
      </c>
      <c r="F99" s="43" t="s">
        <v>248</v>
      </c>
      <c r="G99" s="41">
        <v>167918</v>
      </c>
      <c r="H99" s="116">
        <v>38</v>
      </c>
      <c r="I99" s="41">
        <v>10</v>
      </c>
      <c r="J99" s="98">
        <f>I99*H99</f>
        <v>380</v>
      </c>
      <c r="K99" s="60" t="s">
        <v>867</v>
      </c>
      <c r="L99" s="60" t="s">
        <v>1076</v>
      </c>
      <c r="M99" s="60" t="str" cm="1">
        <f t="array" ref="M99:N99">VLOOKUP(Q99,[1]CFPL!$A:$D,{3,4},0)</f>
        <v>PREMIUM NUTS</v>
      </c>
      <c r="N99" s="60" t="str">
        <v>Macadamia Nuts</v>
      </c>
      <c r="O99" s="60" t="s">
        <v>531</v>
      </c>
      <c r="P99" s="60" t="s">
        <v>1080</v>
      </c>
      <c r="Q99" s="60" t="s">
        <v>1599</v>
      </c>
      <c r="R99" s="45" t="s">
        <v>516</v>
      </c>
      <c r="S99" s="45" t="s">
        <v>6</v>
      </c>
      <c r="T99" s="45">
        <v>0</v>
      </c>
      <c r="U99" s="119">
        <v>2461.79</v>
      </c>
      <c r="V99" s="62">
        <f>U99*J99</f>
        <v>935480.2</v>
      </c>
      <c r="W99" s="63">
        <f ca="1">$W$4-A99</f>
        <v>175</v>
      </c>
      <c r="X99" s="52" t="str">
        <f ca="1">VLOOKUP(W99,$AA$2:$AB$6,2)</f>
        <v>&lt; 6 Months</v>
      </c>
      <c r="Y99" s="52" t="str">
        <f ca="1">VLOOKUP(W99,$AD$2:$AE$6,2)</f>
        <v>90-180 Days</v>
      </c>
    </row>
    <row r="100" spans="1:25" s="64" customFormat="1" ht="15" customHeight="1">
      <c r="A100" s="127" t="s">
        <v>1112</v>
      </c>
      <c r="B100" s="45" t="s">
        <v>245</v>
      </c>
      <c r="C100" s="45" t="s">
        <v>1067</v>
      </c>
      <c r="D100" s="43" t="s">
        <v>528</v>
      </c>
      <c r="E100" s="43" t="s">
        <v>1069</v>
      </c>
      <c r="F100" s="43" t="s">
        <v>248</v>
      </c>
      <c r="G100" s="41">
        <v>167920</v>
      </c>
      <c r="H100" s="116">
        <v>144</v>
      </c>
      <c r="I100" s="41">
        <v>11.34</v>
      </c>
      <c r="J100" s="98">
        <f>I100*H100</f>
        <v>1632.96</v>
      </c>
      <c r="K100" s="60" t="s">
        <v>867</v>
      </c>
      <c r="L100" s="60" t="s">
        <v>885</v>
      </c>
      <c r="M100" s="60" t="str" cm="1">
        <f t="array" ref="M100:N100">VLOOKUP(Q100,[1]CFPL!$A:$D,{3,4},0)</f>
        <v>PREMIUM NUTS</v>
      </c>
      <c r="N100" s="60" t="str">
        <v>Macadamia Nuts</v>
      </c>
      <c r="O100" s="60" t="s">
        <v>531</v>
      </c>
      <c r="P100" s="60" t="s">
        <v>876</v>
      </c>
      <c r="Q100" s="60" t="s">
        <v>876</v>
      </c>
      <c r="R100" s="45" t="s">
        <v>516</v>
      </c>
      <c r="S100" s="45" t="s">
        <v>6</v>
      </c>
      <c r="T100" s="45">
        <v>0</v>
      </c>
      <c r="U100" s="119">
        <v>1964.45</v>
      </c>
      <c r="V100" s="62">
        <f>U100*J100</f>
        <v>3207868.2720000003</v>
      </c>
      <c r="W100" s="63">
        <f ca="1">$W$4-A100</f>
        <v>175</v>
      </c>
      <c r="X100" s="52" t="str">
        <f ca="1">VLOOKUP(W100,$AA$2:$AB$6,2)</f>
        <v>&lt; 6 Months</v>
      </c>
      <c r="Y100" s="52" t="str">
        <f ca="1">VLOOKUP(W100,$AD$2:$AE$6,2)</f>
        <v>90-180 Days</v>
      </c>
    </row>
    <row r="101" spans="1:25" s="64" customFormat="1" ht="15" customHeight="1">
      <c r="A101" s="127" t="s">
        <v>1133</v>
      </c>
      <c r="B101" s="45" t="s">
        <v>258</v>
      </c>
      <c r="C101" s="45" t="s">
        <v>1140</v>
      </c>
      <c r="D101" s="43" t="s">
        <v>256</v>
      </c>
      <c r="E101" s="43" t="s">
        <v>1143</v>
      </c>
      <c r="F101" s="43" t="s">
        <v>248</v>
      </c>
      <c r="G101" s="41">
        <v>9976</v>
      </c>
      <c r="H101" s="116">
        <v>10</v>
      </c>
      <c r="I101" s="41">
        <v>5</v>
      </c>
      <c r="J101" s="98">
        <f>I101*H101</f>
        <v>50</v>
      </c>
      <c r="K101" s="60" t="s">
        <v>190</v>
      </c>
      <c r="L101" s="60" t="s">
        <v>366</v>
      </c>
      <c r="M101" s="60" t="str" cm="1">
        <f t="array" ref="M101:N101">VLOOKUP(Q101,[1]CFPL!$A:$D,{3,4},0)</f>
        <v>DATES</v>
      </c>
      <c r="N101" s="60" t="str">
        <v>Deglet</v>
      </c>
      <c r="O101" s="60" t="s">
        <v>366</v>
      </c>
      <c r="P101" s="60" t="s">
        <v>196</v>
      </c>
      <c r="Q101" s="60" t="s">
        <v>196</v>
      </c>
      <c r="R101" s="45" t="s">
        <v>516</v>
      </c>
      <c r="S101" s="45" t="s">
        <v>6</v>
      </c>
      <c r="T101" s="45" t="s">
        <v>274</v>
      </c>
      <c r="U101" s="119">
        <v>527</v>
      </c>
      <c r="V101" s="62">
        <f>U101*J101</f>
        <v>26350</v>
      </c>
      <c r="W101" s="63">
        <f ca="1">$W$4-A101</f>
        <v>168</v>
      </c>
      <c r="X101" s="52" t="str">
        <f ca="1">VLOOKUP(W101,$AA$2:$AB$6,2)</f>
        <v>&lt; 6 Months</v>
      </c>
      <c r="Y101" s="52" t="str">
        <f ca="1">VLOOKUP(W101,$AD$2:$AE$6,2)</f>
        <v>90-180 Days</v>
      </c>
    </row>
    <row r="102" spans="1:25" s="64" customFormat="1" ht="15" customHeight="1">
      <c r="A102" s="127" t="s">
        <v>1172</v>
      </c>
      <c r="B102" s="45" t="s">
        <v>258</v>
      </c>
      <c r="C102" s="45" t="s">
        <v>1173</v>
      </c>
      <c r="D102" s="43" t="s">
        <v>270</v>
      </c>
      <c r="E102" s="43" t="s">
        <v>1174</v>
      </c>
      <c r="F102" s="43" t="s">
        <v>248</v>
      </c>
      <c r="G102" s="41">
        <v>10470</v>
      </c>
      <c r="H102" s="116">
        <v>47</v>
      </c>
      <c r="I102" s="41">
        <v>5</v>
      </c>
      <c r="J102" s="98">
        <f>I102*H102</f>
        <v>235</v>
      </c>
      <c r="K102" s="60" t="s">
        <v>190</v>
      </c>
      <c r="L102" s="60" t="s">
        <v>1183</v>
      </c>
      <c r="M102" s="60" t="str" cm="1">
        <f t="array" ref="M102:N102">VLOOKUP(Q102,[1]CFPL!$A:$D,{3,4},0)</f>
        <v>DATES</v>
      </c>
      <c r="N102" s="60" t="str">
        <v>Medjoul-Large</v>
      </c>
      <c r="O102" s="60" t="s">
        <v>440</v>
      </c>
      <c r="P102" s="60" t="s">
        <v>1184</v>
      </c>
      <c r="Q102" s="60" t="s">
        <v>967</v>
      </c>
      <c r="R102" s="45" t="s">
        <v>516</v>
      </c>
      <c r="S102" s="45" t="s">
        <v>6</v>
      </c>
      <c r="T102" s="45" t="s">
        <v>274</v>
      </c>
      <c r="U102" s="119">
        <v>860</v>
      </c>
      <c r="V102" s="62">
        <f>U102*J102</f>
        <v>202100</v>
      </c>
      <c r="W102" s="63">
        <f ca="1">$W$4-A102</f>
        <v>159</v>
      </c>
      <c r="X102" s="52" t="str">
        <f ca="1">VLOOKUP(W102,$AA$2:$AB$6,2)</f>
        <v>&lt; 6 Months</v>
      </c>
      <c r="Y102" s="52" t="str">
        <f ca="1">VLOOKUP(W102,$AD$2:$AE$6,2)</f>
        <v>90-180 Days</v>
      </c>
    </row>
    <row r="103" spans="1:25" s="64" customFormat="1" ht="15" customHeight="1">
      <c r="A103" s="127" t="s">
        <v>1176</v>
      </c>
      <c r="B103" s="45" t="s">
        <v>258</v>
      </c>
      <c r="C103" s="45" t="s">
        <v>1177</v>
      </c>
      <c r="D103" s="43" t="s">
        <v>270</v>
      </c>
      <c r="E103" s="43" t="s">
        <v>1165</v>
      </c>
      <c r="F103" s="43" t="s">
        <v>1178</v>
      </c>
      <c r="G103" s="41">
        <v>10570</v>
      </c>
      <c r="H103" s="116">
        <v>10</v>
      </c>
      <c r="I103" s="41">
        <v>5</v>
      </c>
      <c r="J103" s="98">
        <f>I103*H103</f>
        <v>50</v>
      </c>
      <c r="K103" s="60" t="s">
        <v>190</v>
      </c>
      <c r="L103" s="60" t="s">
        <v>1183</v>
      </c>
      <c r="M103" s="60" t="str" cm="1">
        <f t="array" ref="M103:N103">VLOOKUP(Q103,[1]CFPL!$A:$D,{3,4},0)</f>
        <v>DATES</v>
      </c>
      <c r="N103" s="60" t="str">
        <v>Medjoul-Large</v>
      </c>
      <c r="O103" s="60" t="s">
        <v>1175</v>
      </c>
      <c r="P103" s="60" t="s">
        <v>1184</v>
      </c>
      <c r="Q103" s="60" t="s">
        <v>967</v>
      </c>
      <c r="R103" s="45" t="s">
        <v>516</v>
      </c>
      <c r="S103" s="45" t="s">
        <v>6</v>
      </c>
      <c r="T103" s="45" t="s">
        <v>274</v>
      </c>
      <c r="U103" s="119">
        <v>860</v>
      </c>
      <c r="V103" s="62">
        <f>U103*J103</f>
        <v>43000</v>
      </c>
      <c r="W103" s="63">
        <f ca="1">$W$4-A103</f>
        <v>157</v>
      </c>
      <c r="X103" s="52" t="str">
        <f ca="1">VLOOKUP(W103,$AA$2:$AB$6,2)</f>
        <v>&lt; 6 Months</v>
      </c>
      <c r="Y103" s="52" t="str">
        <f ca="1">VLOOKUP(W103,$AD$2:$AE$6,2)</f>
        <v>90-180 Days</v>
      </c>
    </row>
    <row r="104" spans="1:25" s="64" customFormat="1" ht="15" customHeight="1">
      <c r="A104" s="127" t="s">
        <v>1185</v>
      </c>
      <c r="B104" s="45" t="s">
        <v>258</v>
      </c>
      <c r="C104" s="45" t="s">
        <v>1186</v>
      </c>
      <c r="D104" s="43" t="s">
        <v>528</v>
      </c>
      <c r="E104" s="43" t="s">
        <v>1188</v>
      </c>
      <c r="F104" s="43" t="s">
        <v>248</v>
      </c>
      <c r="G104" s="41">
        <v>10665</v>
      </c>
      <c r="H104" s="116">
        <v>2</v>
      </c>
      <c r="I104" s="41">
        <v>10</v>
      </c>
      <c r="J104" s="98">
        <f>I104*H104</f>
        <v>20</v>
      </c>
      <c r="K104" s="60" t="s">
        <v>867</v>
      </c>
      <c r="L104" s="60" t="s">
        <v>889</v>
      </c>
      <c r="M104" s="60" t="str" cm="1">
        <f t="array" ref="M104:N104">VLOOKUP(Q104,[1]CFPL!$A:$D,{3,4},0)</f>
        <v>PREMIUM NUTS</v>
      </c>
      <c r="N104" s="60" t="str">
        <v>Macadamia Nuts</v>
      </c>
      <c r="O104" s="60" t="s">
        <v>1191</v>
      </c>
      <c r="P104" s="60" t="s">
        <v>71</v>
      </c>
      <c r="Q104" s="60" t="s">
        <v>71</v>
      </c>
      <c r="R104" s="45" t="s">
        <v>516</v>
      </c>
      <c r="S104" s="45" t="s">
        <v>6</v>
      </c>
      <c r="T104" s="45">
        <v>0</v>
      </c>
      <c r="U104" s="119">
        <v>900</v>
      </c>
      <c r="V104" s="62">
        <f>U104*J104</f>
        <v>18000</v>
      </c>
      <c r="W104" s="63">
        <f ca="1">$W$4-A104</f>
        <v>154</v>
      </c>
      <c r="X104" s="52" t="str">
        <f ca="1">VLOOKUP(W104,$AA$2:$AB$6,2)</f>
        <v>&lt; 6 Months</v>
      </c>
      <c r="Y104" s="52" t="str">
        <f ca="1">VLOOKUP(W104,$AD$2:$AE$6,2)</f>
        <v>90-180 Days</v>
      </c>
    </row>
    <row r="105" spans="1:25" s="64" customFormat="1" ht="15" customHeight="1">
      <c r="A105" s="127" t="s">
        <v>1217</v>
      </c>
      <c r="B105" s="45" t="s">
        <v>258</v>
      </c>
      <c r="C105" s="45" t="s">
        <v>1218</v>
      </c>
      <c r="D105" s="43" t="s">
        <v>1219</v>
      </c>
      <c r="E105" s="43" t="s">
        <v>1220</v>
      </c>
      <c r="F105" s="43" t="s">
        <v>1221</v>
      </c>
      <c r="G105" s="41">
        <v>11204</v>
      </c>
      <c r="H105" s="116">
        <v>190</v>
      </c>
      <c r="I105" s="41">
        <v>16</v>
      </c>
      <c r="J105" s="98">
        <f>I105*H105</f>
        <v>3040</v>
      </c>
      <c r="K105" s="60" t="s">
        <v>92</v>
      </c>
      <c r="L105" s="60" t="s">
        <v>701</v>
      </c>
      <c r="M105" s="60" t="str" cm="1">
        <f t="array" ref="M105:N105">VLOOKUP(Q105,[1]CFPL!$A:$D,{3,4},0)</f>
        <v>RAISIN</v>
      </c>
      <c r="N105" s="60" t="str">
        <v>Raisin - Black</v>
      </c>
      <c r="O105" s="60" t="s">
        <v>298</v>
      </c>
      <c r="P105" s="60" t="s">
        <v>95</v>
      </c>
      <c r="Q105" s="60" t="s">
        <v>95</v>
      </c>
      <c r="R105" s="45" t="s">
        <v>516</v>
      </c>
      <c r="S105" s="45" t="s">
        <v>6</v>
      </c>
      <c r="T105" s="45">
        <v>0</v>
      </c>
      <c r="U105" s="119">
        <v>370</v>
      </c>
      <c r="V105" s="62">
        <f>U105*J105</f>
        <v>1124800</v>
      </c>
      <c r="W105" s="63">
        <f ca="1">$W$4-A105</f>
        <v>143</v>
      </c>
      <c r="X105" s="52" t="str">
        <f ca="1">VLOOKUP(W105,$AA$2:$AB$6,2)</f>
        <v>&lt; 6 Months</v>
      </c>
      <c r="Y105" s="52" t="str">
        <f ca="1">VLOOKUP(W105,$AD$2:$AE$6,2)</f>
        <v>90-180 Days</v>
      </c>
    </row>
    <row r="106" spans="1:25" s="64" customFormat="1" ht="15" customHeight="1">
      <c r="A106" s="127" t="s">
        <v>1217</v>
      </c>
      <c r="B106" s="45" t="s">
        <v>245</v>
      </c>
      <c r="C106" s="45" t="s">
        <v>1222</v>
      </c>
      <c r="D106" s="43" t="s">
        <v>252</v>
      </c>
      <c r="E106" s="43" t="s">
        <v>1223</v>
      </c>
      <c r="F106" s="43" t="s">
        <v>1224</v>
      </c>
      <c r="G106" s="41">
        <v>174028</v>
      </c>
      <c r="H106" s="116">
        <v>73</v>
      </c>
      <c r="I106" s="41">
        <v>10</v>
      </c>
      <c r="J106" s="98">
        <f>I106*H106</f>
        <v>730</v>
      </c>
      <c r="K106" s="60" t="s">
        <v>152</v>
      </c>
      <c r="L106" s="60" t="s">
        <v>262</v>
      </c>
      <c r="M106" s="60" t="str" cm="1">
        <f t="array" ref="M106:N106">VLOOKUP(Q106,[1]CFPL!$A:$D,{3,4},0)</f>
        <v>DATES</v>
      </c>
      <c r="N106" s="60" t="str">
        <v>Khalas</v>
      </c>
      <c r="O106" s="60" t="s">
        <v>1058</v>
      </c>
      <c r="P106" s="60" t="s">
        <v>158</v>
      </c>
      <c r="Q106" s="60" t="s">
        <v>264</v>
      </c>
      <c r="R106" s="45" t="s">
        <v>516</v>
      </c>
      <c r="S106" s="45" t="s">
        <v>6</v>
      </c>
      <c r="T106" s="45" t="s">
        <v>247</v>
      </c>
      <c r="U106" s="119">
        <v>116</v>
      </c>
      <c r="V106" s="62">
        <f>U106*J106</f>
        <v>84680</v>
      </c>
      <c r="W106" s="63">
        <f ca="1">$W$4-A106</f>
        <v>143</v>
      </c>
      <c r="X106" s="52" t="str">
        <f ca="1">VLOOKUP(W106,$AA$2:$AB$6,2)</f>
        <v>&lt; 6 Months</v>
      </c>
      <c r="Y106" s="52" t="str">
        <f ca="1">VLOOKUP(W106,$AD$2:$AE$6,2)</f>
        <v>90-180 Days</v>
      </c>
    </row>
    <row r="107" spans="1:25" s="64" customFormat="1" ht="15" customHeight="1">
      <c r="A107" s="127" t="s">
        <v>1286</v>
      </c>
      <c r="B107" s="45" t="s">
        <v>245</v>
      </c>
      <c r="C107" s="45" t="s">
        <v>1283</v>
      </c>
      <c r="D107" s="43" t="s">
        <v>638</v>
      </c>
      <c r="E107" s="43" t="s">
        <v>1284</v>
      </c>
      <c r="F107" s="43" t="s">
        <v>248</v>
      </c>
      <c r="G107" s="41">
        <v>175580</v>
      </c>
      <c r="H107" s="116">
        <v>100</v>
      </c>
      <c r="I107" s="41">
        <v>4.54</v>
      </c>
      <c r="J107" s="98">
        <f>I107*H107</f>
        <v>454</v>
      </c>
      <c r="K107" s="60" t="s">
        <v>51</v>
      </c>
      <c r="L107" s="60" t="s">
        <v>640</v>
      </c>
      <c r="M107" s="60" t="str" cm="1">
        <f t="array" ref="M107:N107">VLOOKUP(Q107,[1]CFPL!$A:$D,{3,4},0)</f>
        <v>CRANBERRY</v>
      </c>
      <c r="N107" s="60" t="str">
        <v>Cranberry - Whole</v>
      </c>
      <c r="O107" s="60" t="s">
        <v>640</v>
      </c>
      <c r="P107" s="60" t="s">
        <v>54</v>
      </c>
      <c r="Q107" s="60" t="s">
        <v>53</v>
      </c>
      <c r="R107" s="45" t="s">
        <v>516</v>
      </c>
      <c r="S107" s="45" t="s">
        <v>6</v>
      </c>
      <c r="T107" s="45" t="s">
        <v>659</v>
      </c>
      <c r="U107" s="119">
        <v>890</v>
      </c>
      <c r="V107" s="62">
        <f>U107*J107</f>
        <v>404060</v>
      </c>
      <c r="W107" s="63">
        <f ca="1">$W$4-A107</f>
        <v>133</v>
      </c>
      <c r="X107" s="52" t="str">
        <f ca="1">VLOOKUP(W107,$AA$2:$AB$6,2)</f>
        <v>&lt; 6 Months</v>
      </c>
      <c r="Y107" s="52" t="str">
        <f ca="1">VLOOKUP(W107,$AD$2:$AE$6,2)</f>
        <v>90-180 Days</v>
      </c>
    </row>
    <row r="108" spans="1:25" s="64" customFormat="1" ht="15" customHeight="1">
      <c r="A108" s="127" t="s">
        <v>1290</v>
      </c>
      <c r="B108" s="45" t="s">
        <v>258</v>
      </c>
      <c r="C108" s="45" t="s">
        <v>1291</v>
      </c>
      <c r="D108" s="43" t="s">
        <v>293</v>
      </c>
      <c r="E108" s="43" t="s">
        <v>1292</v>
      </c>
      <c r="F108" s="43" t="s">
        <v>1293</v>
      </c>
      <c r="G108" s="41">
        <v>11992</v>
      </c>
      <c r="H108" s="116">
        <v>3</v>
      </c>
      <c r="I108" s="41">
        <v>7</v>
      </c>
      <c r="J108" s="98">
        <f>I108*H108</f>
        <v>21</v>
      </c>
      <c r="K108" s="60" t="s">
        <v>190</v>
      </c>
      <c r="L108" s="60" t="s">
        <v>1294</v>
      </c>
      <c r="M108" s="60" t="str" cm="1">
        <f t="array" ref="M108:N108">VLOOKUP(Q108,[1]CFPL!$A:$D,{3,4},0)</f>
        <v>DATES</v>
      </c>
      <c r="N108" s="60" t="str">
        <v>Medjoul-Bon Bon</v>
      </c>
      <c r="O108" s="60" t="s">
        <v>1295</v>
      </c>
      <c r="P108" s="60" t="s">
        <v>206</v>
      </c>
      <c r="Q108" s="60" t="s">
        <v>206</v>
      </c>
      <c r="R108" s="45" t="s">
        <v>516</v>
      </c>
      <c r="S108" s="45" t="s">
        <v>6</v>
      </c>
      <c r="T108" s="45" t="s">
        <v>274</v>
      </c>
      <c r="U108" s="119">
        <v>1425</v>
      </c>
      <c r="V108" s="62">
        <f>U108*J108</f>
        <v>29925</v>
      </c>
      <c r="W108" s="63">
        <f ca="1">$W$4-A108</f>
        <v>123</v>
      </c>
      <c r="X108" s="52" t="str">
        <f ca="1">VLOOKUP(W108,$AA$2:$AB$6,2)</f>
        <v>&lt; 6 Months</v>
      </c>
      <c r="Y108" s="52" t="str">
        <f ca="1">VLOOKUP(W108,$AD$2:$AE$6,2)</f>
        <v>90-180 Days</v>
      </c>
    </row>
    <row r="109" spans="1:25" s="64" customFormat="1" ht="15" customHeight="1">
      <c r="A109" s="127" t="s">
        <v>1311</v>
      </c>
      <c r="B109" s="45" t="s">
        <v>245</v>
      </c>
      <c r="C109" s="45" t="s">
        <v>1312</v>
      </c>
      <c r="D109" s="43" t="s">
        <v>528</v>
      </c>
      <c r="E109" s="43" t="s">
        <v>1315</v>
      </c>
      <c r="F109" s="43" t="s">
        <v>1316</v>
      </c>
      <c r="G109" s="41">
        <v>177602</v>
      </c>
      <c r="H109" s="116">
        <v>24</v>
      </c>
      <c r="I109" s="41">
        <v>10</v>
      </c>
      <c r="J109" s="98">
        <f>I109*H109</f>
        <v>240</v>
      </c>
      <c r="K109" s="60" t="s">
        <v>867</v>
      </c>
      <c r="L109" s="60" t="s">
        <v>1347</v>
      </c>
      <c r="M109" s="60" t="str" cm="1">
        <f t="array" ref="M109:N109">VLOOKUP(Q109,[1]CFPL!$A:$D,{3,4},0)</f>
        <v>PREMIUM NUTS</v>
      </c>
      <c r="N109" s="60" t="str">
        <v>Macadamia Nuts</v>
      </c>
      <c r="O109" s="60" t="s">
        <v>1334</v>
      </c>
      <c r="P109" s="60" t="s">
        <v>1338</v>
      </c>
      <c r="Q109" s="60" t="s">
        <v>1338</v>
      </c>
      <c r="R109" s="45" t="s">
        <v>516</v>
      </c>
      <c r="S109" s="45" t="s">
        <v>6</v>
      </c>
      <c r="T109" s="45" t="s">
        <v>1341</v>
      </c>
      <c r="U109" s="119">
        <v>1785</v>
      </c>
      <c r="V109" s="62">
        <f>U109*J109</f>
        <v>428400</v>
      </c>
      <c r="W109" s="63">
        <f ca="1">$W$4-A109</f>
        <v>118</v>
      </c>
      <c r="X109" s="52" t="str">
        <f ca="1">VLOOKUP(W109,$AA$2:$AB$6,2)</f>
        <v>&lt; 6 Months</v>
      </c>
      <c r="Y109" s="52" t="str">
        <f ca="1">VLOOKUP(W109,$AD$2:$AE$6,2)</f>
        <v>90-180 Days</v>
      </c>
    </row>
    <row r="110" spans="1:25" s="64" customFormat="1" ht="15" customHeight="1">
      <c r="A110" s="127" t="s">
        <v>1311</v>
      </c>
      <c r="B110" s="45" t="s">
        <v>245</v>
      </c>
      <c r="C110" s="45" t="s">
        <v>1312</v>
      </c>
      <c r="D110" s="43" t="s">
        <v>528</v>
      </c>
      <c r="E110" s="43" t="s">
        <v>1318</v>
      </c>
      <c r="F110" s="43" t="s">
        <v>1319</v>
      </c>
      <c r="G110" s="41">
        <v>177603</v>
      </c>
      <c r="H110" s="116">
        <v>23</v>
      </c>
      <c r="I110" s="41">
        <v>10</v>
      </c>
      <c r="J110" s="98">
        <f>I110*H110</f>
        <v>230</v>
      </c>
      <c r="K110" s="60" t="s">
        <v>867</v>
      </c>
      <c r="L110" s="60" t="s">
        <v>1336</v>
      </c>
      <c r="M110" s="60" t="str" cm="1">
        <f t="array" ref="M110:N110">VLOOKUP(Q110,[1]CFPL!$A:$D,{3,4},0)</f>
        <v>PREMIUM NUTS</v>
      </c>
      <c r="N110" s="60" t="str">
        <v>Macadamia Nuts</v>
      </c>
      <c r="O110" s="60" t="s">
        <v>1336</v>
      </c>
      <c r="P110" s="60" t="s">
        <v>1337</v>
      </c>
      <c r="Q110" s="60" t="s">
        <v>1337</v>
      </c>
      <c r="R110" s="45" t="s">
        <v>516</v>
      </c>
      <c r="S110" s="45" t="s">
        <v>6</v>
      </c>
      <c r="T110" s="45" t="s">
        <v>1341</v>
      </c>
      <c r="U110" s="119">
        <v>1785</v>
      </c>
      <c r="V110" s="62">
        <f>U110*J110</f>
        <v>410550</v>
      </c>
      <c r="W110" s="63">
        <f ca="1">$W$4-A110</f>
        <v>118</v>
      </c>
      <c r="X110" s="52" t="str">
        <f ca="1">VLOOKUP(W110,$AA$2:$AB$6,2)</f>
        <v>&lt; 6 Months</v>
      </c>
      <c r="Y110" s="52" t="str">
        <f ca="1">VLOOKUP(W110,$AD$2:$AE$6,2)</f>
        <v>90-180 Days</v>
      </c>
    </row>
    <row r="111" spans="1:25" s="64" customFormat="1" ht="15" customHeight="1">
      <c r="A111" s="127" t="s">
        <v>1311</v>
      </c>
      <c r="B111" s="45" t="s">
        <v>245</v>
      </c>
      <c r="C111" s="45" t="s">
        <v>1312</v>
      </c>
      <c r="D111" s="43" t="s">
        <v>528</v>
      </c>
      <c r="E111" s="43" t="s">
        <v>1313</v>
      </c>
      <c r="F111" s="43" t="s">
        <v>1314</v>
      </c>
      <c r="G111" s="41">
        <v>177604</v>
      </c>
      <c r="H111" s="116">
        <v>23</v>
      </c>
      <c r="I111" s="41">
        <v>10</v>
      </c>
      <c r="J111" s="98">
        <f>I111*H111</f>
        <v>230</v>
      </c>
      <c r="K111" s="60" t="s">
        <v>867</v>
      </c>
      <c r="L111" s="60" t="s">
        <v>1333</v>
      </c>
      <c r="M111" s="60" t="str" cm="1">
        <f t="array" ref="M111:N111">VLOOKUP(Q111,[1]CFPL!$A:$D,{3,4},0)</f>
        <v>PREMIUM NUTS</v>
      </c>
      <c r="N111" s="60" t="str">
        <v>Macadamia Nuts</v>
      </c>
      <c r="O111" s="60" t="s">
        <v>1333</v>
      </c>
      <c r="P111" s="60" t="s">
        <v>1339</v>
      </c>
      <c r="Q111" s="60" t="s">
        <v>1339</v>
      </c>
      <c r="R111" s="45" t="s">
        <v>516</v>
      </c>
      <c r="S111" s="45" t="s">
        <v>6</v>
      </c>
      <c r="T111" s="45" t="s">
        <v>1341</v>
      </c>
      <c r="U111" s="119">
        <v>1785</v>
      </c>
      <c r="V111" s="62">
        <f>U111*J111</f>
        <v>410550</v>
      </c>
      <c r="W111" s="63">
        <f ca="1">$W$4-A111</f>
        <v>118</v>
      </c>
      <c r="X111" s="52" t="str">
        <f ca="1">VLOOKUP(W111,$AA$2:$AB$6,2)</f>
        <v>&lt; 6 Months</v>
      </c>
      <c r="Y111" s="52" t="str">
        <f ca="1">VLOOKUP(W111,$AD$2:$AE$6,2)</f>
        <v>90-180 Days</v>
      </c>
    </row>
    <row r="112" spans="1:25" s="64" customFormat="1" ht="15" customHeight="1">
      <c r="A112" s="127" t="s">
        <v>1311</v>
      </c>
      <c r="B112" s="45" t="s">
        <v>245</v>
      </c>
      <c r="C112" s="45" t="s">
        <v>1312</v>
      </c>
      <c r="D112" s="43" t="s">
        <v>528</v>
      </c>
      <c r="E112" s="43" t="s">
        <v>1317</v>
      </c>
      <c r="F112" s="43" t="s">
        <v>248</v>
      </c>
      <c r="G112" s="41">
        <v>177605</v>
      </c>
      <c r="H112" s="116">
        <v>23</v>
      </c>
      <c r="I112" s="41">
        <v>10</v>
      </c>
      <c r="J112" s="98">
        <f>I112*H112</f>
        <v>230</v>
      </c>
      <c r="K112" s="60" t="s">
        <v>867</v>
      </c>
      <c r="L112" s="60" t="s">
        <v>1335</v>
      </c>
      <c r="M112" s="60" t="str" cm="1">
        <f t="array" ref="M112:N112">VLOOKUP(Q112,[1]CFPL!$A:$D,{3,4},0)</f>
        <v>PREMIUM NUTS</v>
      </c>
      <c r="N112" s="60" t="str">
        <v>Macadamia Nuts</v>
      </c>
      <c r="O112" s="60" t="s">
        <v>1335</v>
      </c>
      <c r="P112" s="60" t="s">
        <v>1340</v>
      </c>
      <c r="Q112" s="60" t="s">
        <v>1340</v>
      </c>
      <c r="R112" s="45" t="s">
        <v>516</v>
      </c>
      <c r="S112" s="45" t="s">
        <v>6</v>
      </c>
      <c r="T112" s="45" t="s">
        <v>1341</v>
      </c>
      <c r="U112" s="119">
        <v>910</v>
      </c>
      <c r="V112" s="62">
        <f>U112*J112</f>
        <v>209300</v>
      </c>
      <c r="W112" s="63">
        <f ca="1">$W$4-A112</f>
        <v>118</v>
      </c>
      <c r="X112" s="52" t="str">
        <f ca="1">VLOOKUP(W112,$AA$2:$AB$6,2)</f>
        <v>&lt; 6 Months</v>
      </c>
      <c r="Y112" s="52" t="str">
        <f ca="1">VLOOKUP(W112,$AD$2:$AE$6,2)</f>
        <v>90-180 Days</v>
      </c>
    </row>
    <row r="113" spans="1:25" s="64" customFormat="1" ht="15" customHeight="1">
      <c r="A113" s="127" t="s">
        <v>1320</v>
      </c>
      <c r="B113" s="45" t="s">
        <v>245</v>
      </c>
      <c r="C113" s="45" t="s">
        <v>1321</v>
      </c>
      <c r="D113" s="43" t="s">
        <v>1325</v>
      </c>
      <c r="E113" s="43" t="s">
        <v>1326</v>
      </c>
      <c r="F113" s="43" t="s">
        <v>1327</v>
      </c>
      <c r="G113" s="41">
        <v>177591</v>
      </c>
      <c r="H113" s="116">
        <v>68</v>
      </c>
      <c r="I113" s="41">
        <v>50</v>
      </c>
      <c r="J113" s="98">
        <f>I113*H113</f>
        <v>3400</v>
      </c>
      <c r="K113" s="60" t="s">
        <v>83</v>
      </c>
      <c r="L113" s="60" t="s">
        <v>1378</v>
      </c>
      <c r="M113" s="60" t="str" cm="1">
        <f t="array" ref="M113:N113">VLOOKUP(Q113,[1]CFPL!$A:$D,{3,4},0)</f>
        <v>PISTA</v>
      </c>
      <c r="N113" s="60" t="str">
        <v>Pista - Irani</v>
      </c>
      <c r="O113" s="60" t="s">
        <v>569</v>
      </c>
      <c r="P113" s="60" t="s">
        <v>1370</v>
      </c>
      <c r="Q113" s="60" t="s">
        <v>1370</v>
      </c>
      <c r="R113" s="45" t="s">
        <v>516</v>
      </c>
      <c r="S113" s="45" t="s">
        <v>6</v>
      </c>
      <c r="T113" s="45" t="s">
        <v>1331</v>
      </c>
      <c r="U113" s="119">
        <v>1000</v>
      </c>
      <c r="V113" s="62">
        <f>U113*J113</f>
        <v>3400000</v>
      </c>
      <c r="W113" s="63">
        <f ca="1">$W$4-A113</f>
        <v>117</v>
      </c>
      <c r="X113" s="52" t="str">
        <f ca="1">VLOOKUP(W113,$AA$2:$AB$6,2)</f>
        <v>&lt; 6 Months</v>
      </c>
      <c r="Y113" s="52" t="str">
        <f ca="1">VLOOKUP(W113,$AD$2:$AE$6,2)</f>
        <v>90-180 Days</v>
      </c>
    </row>
    <row r="114" spans="1:25" s="64" customFormat="1" ht="15" customHeight="1">
      <c r="A114" s="127" t="s">
        <v>1320</v>
      </c>
      <c r="B114" s="45" t="s">
        <v>245</v>
      </c>
      <c r="C114" s="45" t="s">
        <v>1321</v>
      </c>
      <c r="D114" s="43" t="s">
        <v>1322</v>
      </c>
      <c r="E114" s="43" t="s">
        <v>1323</v>
      </c>
      <c r="F114" s="43" t="s">
        <v>1324</v>
      </c>
      <c r="G114" s="41">
        <v>177590</v>
      </c>
      <c r="H114" s="116">
        <v>94</v>
      </c>
      <c r="I114" s="41">
        <v>11.34</v>
      </c>
      <c r="J114" s="98">
        <f>I114*H114</f>
        <v>1065.96</v>
      </c>
      <c r="K114" s="60" t="s">
        <v>83</v>
      </c>
      <c r="L114" s="60" t="s">
        <v>1386</v>
      </c>
      <c r="M114" s="60" t="str" cm="1">
        <f t="array" ref="M114:N114">VLOOKUP(Q114,[1]CFPL!$A:$D,{3,4},0)</f>
        <v>PISTA</v>
      </c>
      <c r="N114" s="60" t="str">
        <v>Pista - Inshell</v>
      </c>
      <c r="O114" s="60" t="s">
        <v>569</v>
      </c>
      <c r="P114" s="60" t="s">
        <v>1282</v>
      </c>
      <c r="Q114" s="60" t="s">
        <v>616</v>
      </c>
      <c r="R114" s="45" t="s">
        <v>516</v>
      </c>
      <c r="S114" s="45" t="s">
        <v>6</v>
      </c>
      <c r="T114" s="45" t="s">
        <v>1331</v>
      </c>
      <c r="U114" s="119">
        <v>1040</v>
      </c>
      <c r="V114" s="62">
        <f>U114*J114</f>
        <v>1108598.4000000001</v>
      </c>
      <c r="W114" s="63">
        <f ca="1">$W$4-A114</f>
        <v>117</v>
      </c>
      <c r="X114" s="52" t="str">
        <f ca="1">VLOOKUP(W114,$AA$2:$AB$6,2)</f>
        <v>&lt; 6 Months</v>
      </c>
      <c r="Y114" s="52" t="str">
        <f ca="1">VLOOKUP(W114,$AD$2:$AE$6,2)</f>
        <v>90-180 Days</v>
      </c>
    </row>
    <row r="115" spans="1:25" s="64" customFormat="1" ht="15" customHeight="1">
      <c r="A115" s="127" t="s">
        <v>1320</v>
      </c>
      <c r="B115" s="45" t="s">
        <v>245</v>
      </c>
      <c r="C115" s="45" t="s">
        <v>1321</v>
      </c>
      <c r="D115" s="43" t="s">
        <v>1322</v>
      </c>
      <c r="E115" s="43" t="s">
        <v>1323</v>
      </c>
      <c r="F115" s="43" t="s">
        <v>1324</v>
      </c>
      <c r="G115" s="41">
        <v>177590</v>
      </c>
      <c r="H115" s="116">
        <v>77</v>
      </c>
      <c r="I115" s="41">
        <v>11.34</v>
      </c>
      <c r="J115" s="98">
        <f>I115*H115</f>
        <v>873.18</v>
      </c>
      <c r="K115" s="60" t="s">
        <v>83</v>
      </c>
      <c r="L115" s="60" t="s">
        <v>1386</v>
      </c>
      <c r="M115" s="60" t="str" cm="1">
        <f t="array" ref="M115:N115">VLOOKUP(Q115,[1]CFPL!$A:$D,{3,4},0)</f>
        <v>PISTA</v>
      </c>
      <c r="N115" s="60" t="str">
        <v>Pista - Inshell</v>
      </c>
      <c r="O115" s="60" t="s">
        <v>569</v>
      </c>
      <c r="P115" s="60" t="s">
        <v>1282</v>
      </c>
      <c r="Q115" s="60" t="s">
        <v>616</v>
      </c>
      <c r="R115" s="45" t="s">
        <v>516</v>
      </c>
      <c r="S115" s="45" t="s">
        <v>6</v>
      </c>
      <c r="T115" s="45" t="s">
        <v>1331</v>
      </c>
      <c r="U115" s="119">
        <v>1040</v>
      </c>
      <c r="V115" s="62">
        <f>U115*J115</f>
        <v>908107.2</v>
      </c>
      <c r="W115" s="63">
        <f ca="1">$W$4-A115</f>
        <v>117</v>
      </c>
      <c r="X115" s="52" t="str">
        <f ca="1">VLOOKUP(W115,$AA$2:$AB$6,2)</f>
        <v>&lt; 6 Months</v>
      </c>
      <c r="Y115" s="52" t="str">
        <f ca="1">VLOOKUP(W115,$AD$2:$AE$6,2)</f>
        <v>90-180 Days</v>
      </c>
    </row>
    <row r="116" spans="1:25" s="64" customFormat="1" ht="15" customHeight="1">
      <c r="A116" s="127" t="s">
        <v>1320</v>
      </c>
      <c r="B116" s="45" t="s">
        <v>245</v>
      </c>
      <c r="C116" s="45" t="s">
        <v>1321</v>
      </c>
      <c r="D116" s="43" t="s">
        <v>1322</v>
      </c>
      <c r="E116" s="43" t="s">
        <v>1323</v>
      </c>
      <c r="F116" s="43" t="s">
        <v>1324</v>
      </c>
      <c r="G116" s="41">
        <v>177590</v>
      </c>
      <c r="H116" s="116">
        <v>86</v>
      </c>
      <c r="I116" s="41">
        <v>11.34</v>
      </c>
      <c r="J116" s="98">
        <f>I116*H116</f>
        <v>975.24</v>
      </c>
      <c r="K116" s="60" t="s">
        <v>83</v>
      </c>
      <c r="L116" s="60" t="s">
        <v>1386</v>
      </c>
      <c r="M116" s="60" t="str" cm="1">
        <f t="array" ref="M116:N116">VLOOKUP(Q116,[1]CFPL!$A:$D,{3,4},0)</f>
        <v>PISTA</v>
      </c>
      <c r="N116" s="60" t="str">
        <v>Pista - Inshell</v>
      </c>
      <c r="O116" s="60" t="s">
        <v>569</v>
      </c>
      <c r="P116" s="60" t="s">
        <v>1282</v>
      </c>
      <c r="Q116" s="60" t="s">
        <v>616</v>
      </c>
      <c r="R116" s="45" t="s">
        <v>516</v>
      </c>
      <c r="S116" s="45" t="s">
        <v>6</v>
      </c>
      <c r="T116" s="45" t="s">
        <v>1331</v>
      </c>
      <c r="U116" s="119">
        <v>1040</v>
      </c>
      <c r="V116" s="62">
        <f>U116*J116</f>
        <v>1014249.6</v>
      </c>
      <c r="W116" s="63">
        <f ca="1">$W$4-A116</f>
        <v>117</v>
      </c>
      <c r="X116" s="52" t="str">
        <f ca="1">VLOOKUP(W116,$AA$2:$AB$6,2)</f>
        <v>&lt; 6 Months</v>
      </c>
      <c r="Y116" s="52" t="str">
        <f ca="1">VLOOKUP(W116,$AD$2:$AE$6,2)</f>
        <v>90-180 Days</v>
      </c>
    </row>
    <row r="117" spans="1:25" s="64" customFormat="1" ht="15" customHeight="1">
      <c r="A117" s="127" t="s">
        <v>1320</v>
      </c>
      <c r="B117" s="45" t="s">
        <v>245</v>
      </c>
      <c r="C117" s="45" t="s">
        <v>1321</v>
      </c>
      <c r="D117" s="43" t="s">
        <v>1322</v>
      </c>
      <c r="E117" s="43" t="s">
        <v>1323</v>
      </c>
      <c r="F117" s="43" t="s">
        <v>1324</v>
      </c>
      <c r="G117" s="41">
        <v>177590</v>
      </c>
      <c r="H117" s="116">
        <v>77</v>
      </c>
      <c r="I117" s="41">
        <v>11.34</v>
      </c>
      <c r="J117" s="98">
        <f>I117*H117</f>
        <v>873.18</v>
      </c>
      <c r="K117" s="60" t="s">
        <v>83</v>
      </c>
      <c r="L117" s="60" t="s">
        <v>1386</v>
      </c>
      <c r="M117" s="60" t="str" cm="1">
        <f t="array" ref="M117:N117">VLOOKUP(Q117,[1]CFPL!$A:$D,{3,4},0)</f>
        <v>PISTA</v>
      </c>
      <c r="N117" s="60" t="str">
        <v>Pista - Inshell</v>
      </c>
      <c r="O117" s="60" t="s">
        <v>569</v>
      </c>
      <c r="P117" s="60" t="s">
        <v>1282</v>
      </c>
      <c r="Q117" s="60" t="s">
        <v>616</v>
      </c>
      <c r="R117" s="45" t="s">
        <v>516</v>
      </c>
      <c r="S117" s="45" t="s">
        <v>6</v>
      </c>
      <c r="T117" s="45" t="s">
        <v>1331</v>
      </c>
      <c r="U117" s="119">
        <v>1040</v>
      </c>
      <c r="V117" s="62">
        <f>U117*J117</f>
        <v>908107.2</v>
      </c>
      <c r="W117" s="63">
        <f ca="1">$W$4-A117</f>
        <v>117</v>
      </c>
      <c r="X117" s="52" t="str">
        <f ca="1">VLOOKUP(W117,$AA$2:$AB$6,2)</f>
        <v>&lt; 6 Months</v>
      </c>
      <c r="Y117" s="52" t="str">
        <f ca="1">VLOOKUP(W117,$AD$2:$AE$6,2)</f>
        <v>90-180 Days</v>
      </c>
    </row>
    <row r="118" spans="1:25" s="64" customFormat="1" ht="15" customHeight="1">
      <c r="A118" s="127" t="s">
        <v>1320</v>
      </c>
      <c r="B118" s="45" t="s">
        <v>245</v>
      </c>
      <c r="C118" s="45" t="s">
        <v>1321</v>
      </c>
      <c r="D118" s="43" t="s">
        <v>1322</v>
      </c>
      <c r="E118" s="43" t="s">
        <v>1323</v>
      </c>
      <c r="F118" s="43" t="s">
        <v>1324</v>
      </c>
      <c r="G118" s="41">
        <v>177590</v>
      </c>
      <c r="H118" s="116">
        <v>81</v>
      </c>
      <c r="I118" s="41">
        <v>11.34</v>
      </c>
      <c r="J118" s="98">
        <f>I118*H118</f>
        <v>918.54</v>
      </c>
      <c r="K118" s="60" t="s">
        <v>83</v>
      </c>
      <c r="L118" s="60" t="s">
        <v>1386</v>
      </c>
      <c r="M118" s="60" t="str" cm="1">
        <f t="array" ref="M118:N118">VLOOKUP(Q118,[1]CFPL!$A:$D,{3,4},0)</f>
        <v>PISTA</v>
      </c>
      <c r="N118" s="60" t="str">
        <v>Pista - Inshell</v>
      </c>
      <c r="O118" s="60" t="s">
        <v>569</v>
      </c>
      <c r="P118" s="60" t="s">
        <v>1282</v>
      </c>
      <c r="Q118" s="60" t="s">
        <v>616</v>
      </c>
      <c r="R118" s="45" t="s">
        <v>516</v>
      </c>
      <c r="S118" s="45" t="s">
        <v>6</v>
      </c>
      <c r="T118" s="45" t="s">
        <v>1331</v>
      </c>
      <c r="U118" s="119">
        <v>1040</v>
      </c>
      <c r="V118" s="62">
        <f>U118*J118</f>
        <v>955281.6</v>
      </c>
      <c r="W118" s="63">
        <f ca="1">$W$4-A118</f>
        <v>117</v>
      </c>
      <c r="X118" s="52" t="str">
        <f ca="1">VLOOKUP(W118,$AA$2:$AB$6,2)</f>
        <v>&lt; 6 Months</v>
      </c>
      <c r="Y118" s="52" t="str">
        <f ca="1">VLOOKUP(W118,$AD$2:$AE$6,2)</f>
        <v>90-180 Days</v>
      </c>
    </row>
    <row r="119" spans="1:25" s="64" customFormat="1" ht="15" customHeight="1">
      <c r="A119" s="127" t="s">
        <v>1320</v>
      </c>
      <c r="B119" s="45" t="s">
        <v>245</v>
      </c>
      <c r="C119" s="45" t="s">
        <v>1321</v>
      </c>
      <c r="D119" s="43" t="s">
        <v>1322</v>
      </c>
      <c r="E119" s="43" t="s">
        <v>1323</v>
      </c>
      <c r="F119" s="43" t="s">
        <v>1324</v>
      </c>
      <c r="G119" s="41">
        <v>177590</v>
      </c>
      <c r="H119" s="116">
        <v>77</v>
      </c>
      <c r="I119" s="41">
        <v>11.34</v>
      </c>
      <c r="J119" s="98">
        <f>I119*H119</f>
        <v>873.18</v>
      </c>
      <c r="K119" s="60" t="s">
        <v>83</v>
      </c>
      <c r="L119" s="60" t="s">
        <v>1386</v>
      </c>
      <c r="M119" s="60" t="str" cm="1">
        <f t="array" ref="M119:N119">VLOOKUP(Q119,[1]CFPL!$A:$D,{3,4},0)</f>
        <v>PISTA</v>
      </c>
      <c r="N119" s="60" t="str">
        <v>Pista - Inshell</v>
      </c>
      <c r="O119" s="60" t="s">
        <v>569</v>
      </c>
      <c r="P119" s="60" t="s">
        <v>1282</v>
      </c>
      <c r="Q119" s="60" t="s">
        <v>616</v>
      </c>
      <c r="R119" s="45" t="s">
        <v>516</v>
      </c>
      <c r="S119" s="45" t="s">
        <v>6</v>
      </c>
      <c r="T119" s="45" t="s">
        <v>1331</v>
      </c>
      <c r="U119" s="119">
        <v>1040</v>
      </c>
      <c r="V119" s="62">
        <f>U119*J119</f>
        <v>908107.2</v>
      </c>
      <c r="W119" s="63">
        <f ca="1">$W$4-A119</f>
        <v>117</v>
      </c>
      <c r="X119" s="52" t="str">
        <f ca="1">VLOOKUP(W119,$AA$2:$AB$6,2)</f>
        <v>&lt; 6 Months</v>
      </c>
      <c r="Y119" s="52" t="str">
        <f ca="1">VLOOKUP(W119,$AD$2:$AE$6,2)</f>
        <v>90-180 Days</v>
      </c>
    </row>
    <row r="120" spans="1:25" s="64" customFormat="1" ht="15" customHeight="1">
      <c r="A120" s="127" t="s">
        <v>1320</v>
      </c>
      <c r="B120" s="45" t="s">
        <v>245</v>
      </c>
      <c r="C120" s="45" t="s">
        <v>1321</v>
      </c>
      <c r="D120" s="43" t="s">
        <v>1322</v>
      </c>
      <c r="E120" s="43" t="s">
        <v>1323</v>
      </c>
      <c r="F120" s="43" t="s">
        <v>1324</v>
      </c>
      <c r="G120" s="41">
        <v>177590</v>
      </c>
      <c r="H120" s="116">
        <v>108</v>
      </c>
      <c r="I120" s="41">
        <v>11.34</v>
      </c>
      <c r="J120" s="98">
        <f>I120*H120</f>
        <v>1224.72</v>
      </c>
      <c r="K120" s="60" t="s">
        <v>83</v>
      </c>
      <c r="L120" s="60" t="s">
        <v>1386</v>
      </c>
      <c r="M120" s="60" t="str" cm="1">
        <f t="array" ref="M120:N120">VLOOKUP(Q120,[1]CFPL!$A:$D,{3,4},0)</f>
        <v>PISTA</v>
      </c>
      <c r="N120" s="60" t="str">
        <v>Pista - Inshell</v>
      </c>
      <c r="O120" s="60" t="s">
        <v>569</v>
      </c>
      <c r="P120" s="60" t="s">
        <v>1282</v>
      </c>
      <c r="Q120" s="60" t="s">
        <v>616</v>
      </c>
      <c r="R120" s="45" t="s">
        <v>516</v>
      </c>
      <c r="S120" s="45" t="s">
        <v>6</v>
      </c>
      <c r="T120" s="45" t="s">
        <v>1331</v>
      </c>
      <c r="U120" s="119">
        <v>1040</v>
      </c>
      <c r="V120" s="62">
        <f>U120*J120</f>
        <v>1273708.8</v>
      </c>
      <c r="W120" s="63">
        <f ca="1">$W$4-A120</f>
        <v>117</v>
      </c>
      <c r="X120" s="52" t="str">
        <f ca="1">VLOOKUP(W120,$AA$2:$AB$6,2)</f>
        <v>&lt; 6 Months</v>
      </c>
      <c r="Y120" s="52" t="str">
        <f ca="1">VLOOKUP(W120,$AD$2:$AE$6,2)</f>
        <v>90-180 Days</v>
      </c>
    </row>
    <row r="121" spans="1:25" s="64" customFormat="1" ht="15" customHeight="1">
      <c r="A121" s="127" t="s">
        <v>1320</v>
      </c>
      <c r="B121" s="45" t="s">
        <v>245</v>
      </c>
      <c r="C121" s="45" t="s">
        <v>1321</v>
      </c>
      <c r="D121" s="43" t="s">
        <v>1325</v>
      </c>
      <c r="E121" s="43" t="s">
        <v>1326</v>
      </c>
      <c r="F121" s="43" t="s">
        <v>1327</v>
      </c>
      <c r="G121" s="41">
        <v>177591</v>
      </c>
      <c r="H121" s="116">
        <v>117</v>
      </c>
      <c r="I121" s="41">
        <v>50</v>
      </c>
      <c r="J121" s="98">
        <f>I121*H121</f>
        <v>5850</v>
      </c>
      <c r="K121" s="60" t="s">
        <v>83</v>
      </c>
      <c r="L121" s="60" t="s">
        <v>1378</v>
      </c>
      <c r="M121" s="60" t="str" cm="1">
        <f t="array" ref="M121:N121">VLOOKUP(Q121,[1]CFPL!$A:$D,{3,4},0)</f>
        <v>PISTA</v>
      </c>
      <c r="N121" s="60" t="str">
        <v>Pista - Irani</v>
      </c>
      <c r="O121" s="60" t="s">
        <v>569</v>
      </c>
      <c r="P121" s="60" t="s">
        <v>1370</v>
      </c>
      <c r="Q121" s="60" t="s">
        <v>1370</v>
      </c>
      <c r="R121" s="45" t="s">
        <v>516</v>
      </c>
      <c r="S121" s="45" t="s">
        <v>6</v>
      </c>
      <c r="T121" s="45" t="s">
        <v>1331</v>
      </c>
      <c r="U121" s="119">
        <v>1000</v>
      </c>
      <c r="V121" s="62">
        <f>U121*J121</f>
        <v>5850000</v>
      </c>
      <c r="W121" s="63">
        <f ca="1">$W$4-A121</f>
        <v>117</v>
      </c>
      <c r="X121" s="52" t="str">
        <f ca="1">VLOOKUP(W121,$AA$2:$AB$6,2)</f>
        <v>&lt; 6 Months</v>
      </c>
      <c r="Y121" s="52" t="str">
        <f ca="1">VLOOKUP(W121,$AD$2:$AE$6,2)</f>
        <v>90-180 Days</v>
      </c>
    </row>
    <row r="122" spans="1:25" s="64" customFormat="1" ht="15" customHeight="1">
      <c r="A122" s="127" t="s">
        <v>1304</v>
      </c>
      <c r="B122" s="45" t="s">
        <v>245</v>
      </c>
      <c r="C122" s="45" t="s">
        <v>1329</v>
      </c>
      <c r="D122" s="43" t="s">
        <v>644</v>
      </c>
      <c r="E122" s="43" t="s">
        <v>1330</v>
      </c>
      <c r="F122" s="43" t="s">
        <v>248</v>
      </c>
      <c r="G122" s="41">
        <v>177973</v>
      </c>
      <c r="H122" s="116">
        <v>187</v>
      </c>
      <c r="I122" s="41">
        <v>11.34</v>
      </c>
      <c r="J122" s="98">
        <f>I122*H122</f>
        <v>2120.58</v>
      </c>
      <c r="K122" s="60" t="s">
        <v>51</v>
      </c>
      <c r="L122" s="60" t="s">
        <v>639</v>
      </c>
      <c r="M122" s="60" t="str" cm="1">
        <f t="array" ref="M122:N122">VLOOKUP(Q122,[1]CFPL!$A:$D,{3,4},0)</f>
        <v>CRANBERRY</v>
      </c>
      <c r="N122" s="60" t="str">
        <v>Cranberry - Whole</v>
      </c>
      <c r="O122" s="60" t="s">
        <v>639</v>
      </c>
      <c r="P122" s="60" t="s">
        <v>53</v>
      </c>
      <c r="Q122" s="60" t="s">
        <v>53</v>
      </c>
      <c r="R122" s="45" t="s">
        <v>516</v>
      </c>
      <c r="S122" s="45" t="s">
        <v>6</v>
      </c>
      <c r="T122" s="45">
        <v>0</v>
      </c>
      <c r="U122" s="119">
        <v>415</v>
      </c>
      <c r="V122" s="62">
        <f>U122*J122</f>
        <v>880040.7</v>
      </c>
      <c r="W122" s="63">
        <f ca="1">$W$4-A122</f>
        <v>114</v>
      </c>
      <c r="X122" s="52" t="str">
        <f ca="1">VLOOKUP(W122,$AA$2:$AB$6,2)</f>
        <v>&lt; 6 Months</v>
      </c>
      <c r="Y122" s="52" t="str">
        <f ca="1">VLOOKUP(W122,$AD$2:$AE$6,2)</f>
        <v>90-180 Days</v>
      </c>
    </row>
    <row r="123" spans="1:25" s="64" customFormat="1" ht="15" customHeight="1">
      <c r="A123" s="127" t="s">
        <v>1367</v>
      </c>
      <c r="B123" s="45" t="s">
        <v>258</v>
      </c>
      <c r="C123" s="45" t="s">
        <v>1368</v>
      </c>
      <c r="D123" s="43" t="s">
        <v>270</v>
      </c>
      <c r="E123" s="43" t="s">
        <v>466</v>
      </c>
      <c r="F123" s="43" t="s">
        <v>1369</v>
      </c>
      <c r="G123" s="41">
        <v>10570</v>
      </c>
      <c r="H123" s="116">
        <v>50</v>
      </c>
      <c r="I123" s="41">
        <v>5</v>
      </c>
      <c r="J123" s="98">
        <f>I123*H123</f>
        <v>250</v>
      </c>
      <c r="K123" s="60" t="s">
        <v>190</v>
      </c>
      <c r="L123" s="60" t="s">
        <v>1183</v>
      </c>
      <c r="M123" s="60" t="str" cm="1">
        <f t="array" ref="M123:N123">VLOOKUP(Q123,[1]CFPL!$A:$D,{3,4},0)</f>
        <v>DATES</v>
      </c>
      <c r="N123" s="60" t="str">
        <v>Medjoul-Large</v>
      </c>
      <c r="O123" s="60" t="s">
        <v>1175</v>
      </c>
      <c r="P123" s="60" t="s">
        <v>1184</v>
      </c>
      <c r="Q123" s="60" t="s">
        <v>967</v>
      </c>
      <c r="R123" s="45" t="s">
        <v>516</v>
      </c>
      <c r="S123" s="45" t="s">
        <v>6</v>
      </c>
      <c r="T123" s="45" t="s">
        <v>274</v>
      </c>
      <c r="U123" s="119">
        <v>860</v>
      </c>
      <c r="V123" s="62">
        <f>U123*J123</f>
        <v>215000</v>
      </c>
      <c r="W123" s="63">
        <f ca="1">$W$4-A123</f>
        <v>105</v>
      </c>
      <c r="X123" s="52" t="str">
        <f ca="1">VLOOKUP(W123,$AA$2:$AB$6,2)</f>
        <v>&lt; 6 Months</v>
      </c>
      <c r="Y123" s="52" t="str">
        <f ca="1">VLOOKUP(W123,$AD$2:$AE$6,2)</f>
        <v>90-180 Days</v>
      </c>
    </row>
    <row r="124" spans="1:25" s="64" customFormat="1" ht="15" customHeight="1">
      <c r="A124" s="127" t="s">
        <v>1374</v>
      </c>
      <c r="B124" s="45" t="s">
        <v>245</v>
      </c>
      <c r="C124" s="45" t="s">
        <v>1375</v>
      </c>
      <c r="D124" s="43" t="s">
        <v>644</v>
      </c>
      <c r="E124" s="43" t="s">
        <v>1376</v>
      </c>
      <c r="F124" s="43" t="s">
        <v>547</v>
      </c>
      <c r="G124" s="41">
        <v>179566</v>
      </c>
      <c r="H124" s="116">
        <v>856</v>
      </c>
      <c r="I124" s="41">
        <v>11.34</v>
      </c>
      <c r="J124" s="98">
        <f>I124*H124</f>
        <v>9707.0399999999991</v>
      </c>
      <c r="K124" s="60" t="s">
        <v>51</v>
      </c>
      <c r="L124" s="60" t="s">
        <v>639</v>
      </c>
      <c r="M124" s="60" t="str" cm="1">
        <f t="array" ref="M124:N124">VLOOKUP(Q124,[1]CFPL!$A:$D,{3,4},0)</f>
        <v>CRANBERRY</v>
      </c>
      <c r="N124" s="60" t="str">
        <v>Cranberry - Whole</v>
      </c>
      <c r="O124" s="60" t="s">
        <v>639</v>
      </c>
      <c r="P124" s="60" t="s">
        <v>53</v>
      </c>
      <c r="Q124" s="60" t="s">
        <v>53</v>
      </c>
      <c r="R124" s="45" t="s">
        <v>516</v>
      </c>
      <c r="S124" s="45" t="s">
        <v>6</v>
      </c>
      <c r="T124" s="45" t="s">
        <v>659</v>
      </c>
      <c r="U124" s="119">
        <v>425</v>
      </c>
      <c r="V124" s="62">
        <f>U124*J124</f>
        <v>4125491.9999999995</v>
      </c>
      <c r="W124" s="63">
        <f ca="1">$W$4-A124</f>
        <v>101</v>
      </c>
      <c r="X124" s="52" t="str">
        <f ca="1">VLOOKUP(W124,$AA$2:$AB$6,2)</f>
        <v>&lt; 6 Months</v>
      </c>
      <c r="Y124" s="52" t="str">
        <f ca="1">VLOOKUP(W124,$AD$2:$AE$6,2)</f>
        <v>90-180 Days</v>
      </c>
    </row>
    <row r="125" spans="1:25" s="64" customFormat="1" ht="15" customHeight="1">
      <c r="A125" s="127" t="s">
        <v>1379</v>
      </c>
      <c r="B125" s="45" t="s">
        <v>245</v>
      </c>
      <c r="C125" s="45" t="s">
        <v>1380</v>
      </c>
      <c r="D125" s="43" t="s">
        <v>1328</v>
      </c>
      <c r="E125" s="43" t="s">
        <v>365</v>
      </c>
      <c r="F125" s="43" t="s">
        <v>1384</v>
      </c>
      <c r="G125" s="41">
        <v>180127</v>
      </c>
      <c r="H125" s="116">
        <v>4</v>
      </c>
      <c r="I125" s="41">
        <v>20</v>
      </c>
      <c r="J125" s="98">
        <f>I125*H125</f>
        <v>80</v>
      </c>
      <c r="K125" s="60" t="s">
        <v>1332</v>
      </c>
      <c r="L125" s="60" t="s">
        <v>1332</v>
      </c>
      <c r="M125" s="60" t="str" cm="1">
        <f t="array" ref="M125:N125">VLOOKUP(Q125,[1]CFPL!$A:$D,{3,4},0)</f>
        <v>PREMIUM NUTS</v>
      </c>
      <c r="N125" s="60" t="str">
        <v>Brazil Nuts</v>
      </c>
      <c r="O125" s="60" t="s">
        <v>531</v>
      </c>
      <c r="P125" s="60" t="s">
        <v>720</v>
      </c>
      <c r="Q125" s="60" t="s">
        <v>720</v>
      </c>
      <c r="R125" s="45" t="s">
        <v>516</v>
      </c>
      <c r="S125" s="45" t="s">
        <v>6</v>
      </c>
      <c r="T125" s="45">
        <v>0</v>
      </c>
      <c r="U125" s="119">
        <v>2401</v>
      </c>
      <c r="V125" s="62">
        <f>U125*J125</f>
        <v>192080</v>
      </c>
      <c r="W125" s="63">
        <f ca="1">$W$4-A125</f>
        <v>97</v>
      </c>
      <c r="X125" s="52" t="str">
        <f ca="1">VLOOKUP(W125,$AA$2:$AB$6,2)</f>
        <v>&lt; 6 Months</v>
      </c>
      <c r="Y125" s="52" t="str">
        <f ca="1">VLOOKUP(W125,$AD$2:$AE$6,2)</f>
        <v>90-180 Days</v>
      </c>
    </row>
    <row r="126" spans="1:25" s="64" customFormat="1" ht="15" customHeight="1">
      <c r="A126" s="127" t="s">
        <v>1379</v>
      </c>
      <c r="B126" s="45" t="s">
        <v>245</v>
      </c>
      <c r="C126" s="45" t="s">
        <v>1380</v>
      </c>
      <c r="D126" s="43" t="s">
        <v>1381</v>
      </c>
      <c r="E126" s="43" t="s">
        <v>1382</v>
      </c>
      <c r="F126" s="43" t="s">
        <v>1383</v>
      </c>
      <c r="G126" s="41">
        <v>180125</v>
      </c>
      <c r="H126" s="116">
        <v>84</v>
      </c>
      <c r="I126" s="41">
        <v>13.6</v>
      </c>
      <c r="J126" s="98">
        <f>I126*H126</f>
        <v>1142.3999999999999</v>
      </c>
      <c r="K126" s="60" t="s">
        <v>79</v>
      </c>
      <c r="L126" s="60" t="s">
        <v>848</v>
      </c>
      <c r="M126" s="60" t="str" cm="1">
        <f t="array" ref="M126:N126">VLOOKUP(Q126,[1]CFPL!$A:$D,{3,4},0)</f>
        <v>PREMIUM NUTS</v>
      </c>
      <c r="N126" s="60" t="str">
        <v>Pecan Nuts</v>
      </c>
      <c r="O126" s="60" t="s">
        <v>1207</v>
      </c>
      <c r="P126" s="60" t="s">
        <v>840</v>
      </c>
      <c r="Q126" s="60" t="s">
        <v>80</v>
      </c>
      <c r="R126" s="45" t="s">
        <v>516</v>
      </c>
      <c r="S126" s="45" t="s">
        <v>6</v>
      </c>
      <c r="T126" s="45">
        <v>0</v>
      </c>
      <c r="U126" s="119">
        <v>1425</v>
      </c>
      <c r="V126" s="62">
        <f>U126*J126</f>
        <v>1627919.9999999998</v>
      </c>
      <c r="W126" s="63">
        <f ca="1">$W$4-A126</f>
        <v>97</v>
      </c>
      <c r="X126" s="52" t="str">
        <f ca="1">VLOOKUP(W126,$AA$2:$AB$6,2)</f>
        <v>&lt; 6 Months</v>
      </c>
      <c r="Y126" s="52" t="str">
        <f ca="1">VLOOKUP(W126,$AD$2:$AE$6,2)</f>
        <v>90-180 Days</v>
      </c>
    </row>
    <row r="127" spans="1:25" s="64" customFormat="1" ht="15" customHeight="1">
      <c r="A127" s="127" t="s">
        <v>1391</v>
      </c>
      <c r="B127" s="45" t="s">
        <v>245</v>
      </c>
      <c r="C127" s="45" t="s">
        <v>1392</v>
      </c>
      <c r="D127" s="43" t="s">
        <v>270</v>
      </c>
      <c r="E127" s="43" t="s">
        <v>391</v>
      </c>
      <c r="F127" s="43" t="s">
        <v>1393</v>
      </c>
      <c r="G127" s="41">
        <v>180367</v>
      </c>
      <c r="H127" s="116">
        <v>200</v>
      </c>
      <c r="I127" s="41">
        <v>5</v>
      </c>
      <c r="J127" s="98">
        <f>I127*H127</f>
        <v>1000</v>
      </c>
      <c r="K127" s="60" t="s">
        <v>190</v>
      </c>
      <c r="L127" s="60" t="s">
        <v>366</v>
      </c>
      <c r="M127" s="60" t="str" cm="1">
        <f t="array" ref="M127:N127">VLOOKUP(Q127,[1]CFPL!$A:$D,{3,4},0)</f>
        <v>DATES</v>
      </c>
      <c r="N127" s="60" t="str">
        <v>Deglet</v>
      </c>
      <c r="O127" s="60" t="s">
        <v>366</v>
      </c>
      <c r="P127" s="60" t="s">
        <v>196</v>
      </c>
      <c r="Q127" s="60" t="s">
        <v>196</v>
      </c>
      <c r="R127" s="45" t="s">
        <v>516</v>
      </c>
      <c r="S127" s="45" t="s">
        <v>6</v>
      </c>
      <c r="T127" s="45" t="s">
        <v>274</v>
      </c>
      <c r="U127" s="119">
        <v>527</v>
      </c>
      <c r="V127" s="62">
        <f>U127*J127</f>
        <v>527000</v>
      </c>
      <c r="W127" s="63">
        <f ca="1">$W$4-A127</f>
        <v>95</v>
      </c>
      <c r="X127" s="52" t="str">
        <f ca="1">VLOOKUP(W127,$AA$2:$AB$6,2)</f>
        <v>&lt; 6 Months</v>
      </c>
      <c r="Y127" s="52" t="str">
        <f ca="1">VLOOKUP(W127,$AD$2:$AE$6,2)</f>
        <v>90-180 Days</v>
      </c>
    </row>
    <row r="128" spans="1:25" s="64" customFormat="1" ht="15" customHeight="1">
      <c r="A128" s="127" t="s">
        <v>1395</v>
      </c>
      <c r="B128" s="45" t="s">
        <v>245</v>
      </c>
      <c r="C128" s="45" t="s">
        <v>1396</v>
      </c>
      <c r="D128" s="43" t="s">
        <v>270</v>
      </c>
      <c r="E128" s="43" t="s">
        <v>1398</v>
      </c>
      <c r="F128" s="43" t="s">
        <v>1399</v>
      </c>
      <c r="G128" s="41">
        <v>180647</v>
      </c>
      <c r="H128" s="116">
        <v>16</v>
      </c>
      <c r="I128" s="41">
        <v>3.5</v>
      </c>
      <c r="J128" s="98">
        <f>I128*H128</f>
        <v>56</v>
      </c>
      <c r="K128" s="60" t="s">
        <v>190</v>
      </c>
      <c r="L128" s="60" t="s">
        <v>1294</v>
      </c>
      <c r="M128" s="60" t="str" cm="1">
        <f t="array" ref="M128:N128">VLOOKUP(Q128,[1]CFPL!$A:$D,{3,4},0)</f>
        <v>DATES</v>
      </c>
      <c r="N128" s="60" t="str">
        <v>Medjoul-Bon Bon</v>
      </c>
      <c r="O128" s="60" t="s">
        <v>1295</v>
      </c>
      <c r="P128" s="60" t="s">
        <v>206</v>
      </c>
      <c r="Q128" s="60" t="s">
        <v>206</v>
      </c>
      <c r="R128" s="45" t="s">
        <v>516</v>
      </c>
      <c r="S128" s="45" t="s">
        <v>6</v>
      </c>
      <c r="T128" s="45" t="s">
        <v>274</v>
      </c>
      <c r="U128" s="119">
        <v>1350</v>
      </c>
      <c r="V128" s="62">
        <f>U128*J128</f>
        <v>75600</v>
      </c>
      <c r="W128" s="63">
        <f ca="1">$W$4-A128</f>
        <v>93</v>
      </c>
      <c r="X128" s="52" t="str">
        <f ca="1">VLOOKUP(W128,$AA$2:$AB$6,2)</f>
        <v>&lt; 6 Months</v>
      </c>
      <c r="Y128" s="52" t="str">
        <f ca="1">VLOOKUP(W128,$AD$2:$AE$6,2)</f>
        <v>90-180 Days</v>
      </c>
    </row>
    <row r="129" spans="1:25" s="64" customFormat="1" ht="15" customHeight="1">
      <c r="A129" s="127" t="s">
        <v>1395</v>
      </c>
      <c r="B129" s="45" t="s">
        <v>245</v>
      </c>
      <c r="C129" s="45" t="s">
        <v>1396</v>
      </c>
      <c r="D129" s="43" t="s">
        <v>270</v>
      </c>
      <c r="E129" s="43" t="s">
        <v>1397</v>
      </c>
      <c r="F129" s="43" t="s">
        <v>366</v>
      </c>
      <c r="G129" s="41">
        <v>180642</v>
      </c>
      <c r="H129" s="116">
        <v>200</v>
      </c>
      <c r="I129" s="41">
        <v>5</v>
      </c>
      <c r="J129" s="98">
        <f>I129*H129</f>
        <v>1000</v>
      </c>
      <c r="K129" s="60" t="s">
        <v>190</v>
      </c>
      <c r="L129" s="60" t="s">
        <v>366</v>
      </c>
      <c r="M129" s="60" t="str" cm="1">
        <f t="array" ref="M129:N129">VLOOKUP(Q129,[1]CFPL!$A:$D,{3,4},0)</f>
        <v>DATES</v>
      </c>
      <c r="N129" s="60" t="str">
        <v>Deglet</v>
      </c>
      <c r="O129" s="60" t="s">
        <v>366</v>
      </c>
      <c r="P129" s="60" t="s">
        <v>196</v>
      </c>
      <c r="Q129" s="60" t="s">
        <v>196</v>
      </c>
      <c r="R129" s="45" t="s">
        <v>516</v>
      </c>
      <c r="S129" s="45" t="s">
        <v>6</v>
      </c>
      <c r="T129" s="45" t="s">
        <v>274</v>
      </c>
      <c r="U129" s="119">
        <v>527</v>
      </c>
      <c r="V129" s="62">
        <f>U129*J129</f>
        <v>527000</v>
      </c>
      <c r="W129" s="63">
        <f ca="1">$W$4-A129</f>
        <v>93</v>
      </c>
      <c r="X129" s="52" t="str">
        <f ca="1">VLOOKUP(W129,$AA$2:$AB$6,2)</f>
        <v>&lt; 6 Months</v>
      </c>
      <c r="Y129" s="52" t="str">
        <f ca="1">VLOOKUP(W129,$AD$2:$AE$6,2)</f>
        <v>90-180 Days</v>
      </c>
    </row>
    <row r="130" spans="1:25" s="64" customFormat="1" ht="15" customHeight="1">
      <c r="A130" s="127" t="s">
        <v>1433</v>
      </c>
      <c r="B130" s="45" t="s">
        <v>245</v>
      </c>
      <c r="C130" s="45" t="s">
        <v>1434</v>
      </c>
      <c r="D130" s="43" t="s">
        <v>1435</v>
      </c>
      <c r="E130" s="43" t="s">
        <v>248</v>
      </c>
      <c r="F130" s="43" t="s">
        <v>248</v>
      </c>
      <c r="G130" s="41">
        <v>181841</v>
      </c>
      <c r="H130" s="116">
        <v>21</v>
      </c>
      <c r="I130" s="41">
        <v>12.5</v>
      </c>
      <c r="J130" s="98">
        <f>I130*H130</f>
        <v>262.5</v>
      </c>
      <c r="K130" s="60" t="s">
        <v>1057</v>
      </c>
      <c r="L130" s="60" t="s">
        <v>39</v>
      </c>
      <c r="M130" s="60" t="str" cm="1">
        <f t="array" ref="M130:N130">VLOOKUP(Q130,[1]CFPL!$A:$D,{3,4},0)</f>
        <v>BLACKCURRANT</v>
      </c>
      <c r="N130" s="60" t="str">
        <v>Dried Blackcurrant</v>
      </c>
      <c r="O130" s="60" t="s">
        <v>523</v>
      </c>
      <c r="P130" s="60" t="s">
        <v>618</v>
      </c>
      <c r="Q130" s="60" t="s">
        <v>1061</v>
      </c>
      <c r="R130" s="45" t="s">
        <v>516</v>
      </c>
      <c r="S130" s="45" t="s">
        <v>6</v>
      </c>
      <c r="T130" s="45" t="s">
        <v>659</v>
      </c>
      <c r="U130" s="119">
        <v>550</v>
      </c>
      <c r="V130" s="62">
        <f>U130*J130</f>
        <v>144375</v>
      </c>
      <c r="W130" s="63">
        <f ca="1">$W$4-A130</f>
        <v>85</v>
      </c>
      <c r="X130" s="52" t="str">
        <f ca="1">VLOOKUP(W130,$AA$2:$AB$6,2)</f>
        <v>&lt; 6 Months</v>
      </c>
      <c r="Y130" s="52" t="str">
        <f ca="1">VLOOKUP(W130,$AD$2:$AE$6,2)</f>
        <v>60-90 Days</v>
      </c>
    </row>
    <row r="131" spans="1:25" s="64" customFormat="1" ht="15" customHeight="1">
      <c r="A131" s="127" t="s">
        <v>1442</v>
      </c>
      <c r="B131" s="45" t="s">
        <v>245</v>
      </c>
      <c r="C131" s="45" t="s">
        <v>1443</v>
      </c>
      <c r="D131" s="43" t="s">
        <v>270</v>
      </c>
      <c r="E131" s="43" t="s">
        <v>366</v>
      </c>
      <c r="F131" s="43" t="s">
        <v>1448</v>
      </c>
      <c r="G131" s="41">
        <v>182099</v>
      </c>
      <c r="H131" s="116">
        <v>200</v>
      </c>
      <c r="I131" s="41">
        <v>5</v>
      </c>
      <c r="J131" s="98">
        <f>I131*H131</f>
        <v>1000</v>
      </c>
      <c r="K131" s="60" t="s">
        <v>190</v>
      </c>
      <c r="L131" s="60" t="s">
        <v>366</v>
      </c>
      <c r="M131" s="60" t="str" cm="1">
        <f t="array" ref="M131:N131">VLOOKUP(Q131,[1]CFPL!$A:$D,{3,4},0)</f>
        <v>DATES</v>
      </c>
      <c r="N131" s="60" t="str">
        <v>Deglet</v>
      </c>
      <c r="O131" s="60" t="s">
        <v>366</v>
      </c>
      <c r="P131" s="60" t="s">
        <v>196</v>
      </c>
      <c r="Q131" s="60" t="s">
        <v>196</v>
      </c>
      <c r="R131" s="45" t="s">
        <v>516</v>
      </c>
      <c r="S131" s="45" t="s">
        <v>6</v>
      </c>
      <c r="T131" s="45" t="s">
        <v>274</v>
      </c>
      <c r="U131" s="119">
        <v>527</v>
      </c>
      <c r="V131" s="62">
        <f>U131*J131</f>
        <v>527000</v>
      </c>
      <c r="W131" s="63">
        <f ca="1">$W$4-A131</f>
        <v>83</v>
      </c>
      <c r="X131" s="52" t="str">
        <f ca="1">VLOOKUP(W131,$AA$2:$AB$6,2)</f>
        <v>&lt; 6 Months</v>
      </c>
      <c r="Y131" s="52" t="str">
        <f ca="1">VLOOKUP(W131,$AD$2:$AE$6,2)</f>
        <v>60-90 Days</v>
      </c>
    </row>
    <row r="132" spans="1:25" s="64" customFormat="1" ht="15" customHeight="1">
      <c r="A132" s="127" t="s">
        <v>1442</v>
      </c>
      <c r="B132" s="45" t="s">
        <v>245</v>
      </c>
      <c r="C132" s="45" t="s">
        <v>1443</v>
      </c>
      <c r="D132" s="43" t="s">
        <v>270</v>
      </c>
      <c r="E132" s="43" t="s">
        <v>1444</v>
      </c>
      <c r="F132" s="43" t="s">
        <v>1445</v>
      </c>
      <c r="G132" s="41">
        <v>182092</v>
      </c>
      <c r="H132" s="116">
        <v>110</v>
      </c>
      <c r="I132" s="41">
        <v>5</v>
      </c>
      <c r="J132" s="98">
        <f>I132*H132</f>
        <v>550</v>
      </c>
      <c r="K132" s="60" t="s">
        <v>190</v>
      </c>
      <c r="L132" s="60" t="s">
        <v>860</v>
      </c>
      <c r="M132" s="60" t="str" cm="1">
        <f t="array" ref="M132:N132">VLOOKUP(Q132,[1]CFPL!$A:$D,{3,4},0)</f>
        <v>DATES</v>
      </c>
      <c r="N132" s="60" t="str">
        <v>Medjoul-Medium</v>
      </c>
      <c r="O132" s="60" t="s">
        <v>295</v>
      </c>
      <c r="P132" s="60" t="s">
        <v>205</v>
      </c>
      <c r="Q132" s="60" t="s">
        <v>602</v>
      </c>
      <c r="R132" s="45" t="s">
        <v>516</v>
      </c>
      <c r="S132" s="45" t="s">
        <v>6</v>
      </c>
      <c r="T132" s="45" t="s">
        <v>274</v>
      </c>
      <c r="U132" s="119">
        <v>753.28</v>
      </c>
      <c r="V132" s="62">
        <f>U132*J132</f>
        <v>414304</v>
      </c>
      <c r="W132" s="63">
        <f ca="1">$W$4-A132</f>
        <v>83</v>
      </c>
      <c r="X132" s="52" t="str">
        <f ca="1">VLOOKUP(W132,$AA$2:$AB$6,2)</f>
        <v>&lt; 6 Months</v>
      </c>
      <c r="Y132" s="52" t="str">
        <f ca="1">VLOOKUP(W132,$AD$2:$AE$6,2)</f>
        <v>60-90 Days</v>
      </c>
    </row>
    <row r="133" spans="1:25" s="64" customFormat="1" ht="15" customHeight="1">
      <c r="A133" s="127" t="s">
        <v>1442</v>
      </c>
      <c r="B133" s="45" t="s">
        <v>245</v>
      </c>
      <c r="C133" s="45" t="s">
        <v>1443</v>
      </c>
      <c r="D133" s="43" t="s">
        <v>270</v>
      </c>
      <c r="E133" s="43" t="s">
        <v>1447</v>
      </c>
      <c r="F133" s="43" t="s">
        <v>1451</v>
      </c>
      <c r="G133" s="41">
        <v>182090</v>
      </c>
      <c r="H133" s="116">
        <v>82</v>
      </c>
      <c r="I133" s="41">
        <v>5</v>
      </c>
      <c r="J133" s="98">
        <f>I133*H133</f>
        <v>410</v>
      </c>
      <c r="K133" s="60" t="s">
        <v>190</v>
      </c>
      <c r="L133" s="60" t="s">
        <v>857</v>
      </c>
      <c r="M133" s="60" t="str" cm="1">
        <f t="array" ref="M133:N133">VLOOKUP(Q133,[1]CFPL!$A:$D,{3,4},0)</f>
        <v>DATES</v>
      </c>
      <c r="N133" s="60" t="str">
        <v>Medjoul-Jumbo</v>
      </c>
      <c r="O133" s="60" t="s">
        <v>507</v>
      </c>
      <c r="P133" s="60" t="s">
        <v>200</v>
      </c>
      <c r="Q133" s="60" t="s">
        <v>654</v>
      </c>
      <c r="R133" s="45" t="s">
        <v>516</v>
      </c>
      <c r="S133" s="45" t="s">
        <v>6</v>
      </c>
      <c r="T133" s="45" t="s">
        <v>274</v>
      </c>
      <c r="U133" s="119">
        <v>1057</v>
      </c>
      <c r="V133" s="62">
        <f>U133*J133</f>
        <v>433370</v>
      </c>
      <c r="W133" s="63">
        <f ca="1">$W$4-A133</f>
        <v>83</v>
      </c>
      <c r="X133" s="52" t="str">
        <f ca="1">VLOOKUP(W133,$AA$2:$AB$6,2)</f>
        <v>&lt; 6 Months</v>
      </c>
      <c r="Y133" s="52" t="str">
        <f ca="1">VLOOKUP(W133,$AD$2:$AE$6,2)</f>
        <v>60-90 Days</v>
      </c>
    </row>
    <row r="134" spans="1:25" s="64" customFormat="1" ht="15" customHeight="1">
      <c r="A134" s="127" t="s">
        <v>1442</v>
      </c>
      <c r="B134" s="45" t="s">
        <v>245</v>
      </c>
      <c r="C134" s="45" t="s">
        <v>1443</v>
      </c>
      <c r="D134" s="43" t="s">
        <v>270</v>
      </c>
      <c r="E134" s="43" t="s">
        <v>1446</v>
      </c>
      <c r="F134" s="43" t="s">
        <v>1450</v>
      </c>
      <c r="G134" s="41">
        <v>182083</v>
      </c>
      <c r="H134" s="116">
        <v>208</v>
      </c>
      <c r="I134" s="41">
        <v>5</v>
      </c>
      <c r="J134" s="98">
        <f>I134*H134</f>
        <v>1040</v>
      </c>
      <c r="K134" s="60" t="s">
        <v>190</v>
      </c>
      <c r="L134" s="60" t="s">
        <v>859</v>
      </c>
      <c r="M134" s="60" t="str" cm="1">
        <f t="array" ref="M134:N134">VLOOKUP(Q134,[1]CFPL!$A:$D,{3,4},0)</f>
        <v>DATES</v>
      </c>
      <c r="N134" s="60" t="str">
        <v>Medjoul-Large</v>
      </c>
      <c r="O134" s="60" t="s">
        <v>440</v>
      </c>
      <c r="P134" s="60" t="s">
        <v>204</v>
      </c>
      <c r="Q134" s="60" t="s">
        <v>967</v>
      </c>
      <c r="R134" s="45" t="s">
        <v>516</v>
      </c>
      <c r="S134" s="45" t="s">
        <v>6</v>
      </c>
      <c r="T134" s="45" t="s">
        <v>274</v>
      </c>
      <c r="U134" s="119">
        <v>871.2</v>
      </c>
      <c r="V134" s="62">
        <f>U134*J134</f>
        <v>906048</v>
      </c>
      <c r="W134" s="63">
        <f ca="1">$W$4-A134</f>
        <v>83</v>
      </c>
      <c r="X134" s="52" t="str">
        <f ca="1">VLOOKUP(W134,$AA$2:$AB$6,2)</f>
        <v>&lt; 6 Months</v>
      </c>
      <c r="Y134" s="52" t="str">
        <f ca="1">VLOOKUP(W134,$AD$2:$AE$6,2)</f>
        <v>60-90 Days</v>
      </c>
    </row>
    <row r="135" spans="1:25" s="64" customFormat="1" ht="15" customHeight="1">
      <c r="A135" s="127" t="s">
        <v>1463</v>
      </c>
      <c r="B135" s="45" t="s">
        <v>258</v>
      </c>
      <c r="C135" s="45" t="s">
        <v>1464</v>
      </c>
      <c r="D135" s="43" t="s">
        <v>270</v>
      </c>
      <c r="E135" s="43" t="s">
        <v>1465</v>
      </c>
      <c r="F135" s="43" t="s">
        <v>248</v>
      </c>
      <c r="G135" s="41">
        <v>13659</v>
      </c>
      <c r="H135" s="116">
        <v>221</v>
      </c>
      <c r="I135" s="41">
        <v>5</v>
      </c>
      <c r="J135" s="98">
        <f>I135*H135</f>
        <v>1105</v>
      </c>
      <c r="K135" s="60" t="s">
        <v>190</v>
      </c>
      <c r="L135" s="60" t="s">
        <v>1405</v>
      </c>
      <c r="M135" s="60" t="str" cm="1">
        <f t="array" ref="M135:N135">VLOOKUP(Q135,[1]CFPL!$A:$D,{3,4},0)</f>
        <v>DATES</v>
      </c>
      <c r="N135" s="60" t="str">
        <v>Medjoul-Medium</v>
      </c>
      <c r="O135" s="60" t="s">
        <v>1388</v>
      </c>
      <c r="P135" s="60" t="s">
        <v>205</v>
      </c>
      <c r="Q135" s="60" t="s">
        <v>602</v>
      </c>
      <c r="R135" s="45" t="s">
        <v>516</v>
      </c>
      <c r="S135" s="45" t="s">
        <v>6</v>
      </c>
      <c r="T135" s="45" t="s">
        <v>255</v>
      </c>
      <c r="U135" s="119">
        <v>681</v>
      </c>
      <c r="V135" s="62">
        <f>U135*J135</f>
        <v>752505</v>
      </c>
      <c r="W135" s="63">
        <f ca="1">$W$4-A135</f>
        <v>80</v>
      </c>
      <c r="X135" s="52" t="str">
        <f ca="1">VLOOKUP(W135,$AA$2:$AB$6,2)</f>
        <v>&lt; 6 Months</v>
      </c>
      <c r="Y135" s="52" t="str">
        <f ca="1">VLOOKUP(W135,$AD$2:$AE$6,2)</f>
        <v>60-90 Days</v>
      </c>
    </row>
    <row r="136" spans="1:25" s="64" customFormat="1" ht="15" customHeight="1">
      <c r="A136" s="127" t="s">
        <v>1463</v>
      </c>
      <c r="B136" s="45" t="s">
        <v>245</v>
      </c>
      <c r="C136" s="45" t="s">
        <v>1466</v>
      </c>
      <c r="D136" s="43" t="s">
        <v>644</v>
      </c>
      <c r="E136" s="43" t="s">
        <v>881</v>
      </c>
      <c r="F136" s="43" t="s">
        <v>248</v>
      </c>
      <c r="G136" s="41">
        <v>182526</v>
      </c>
      <c r="H136" s="116">
        <v>857</v>
      </c>
      <c r="I136" s="41">
        <v>11.34</v>
      </c>
      <c r="J136" s="98">
        <f>I136*H136</f>
        <v>9718.3799999999992</v>
      </c>
      <c r="K136" s="60" t="s">
        <v>51</v>
      </c>
      <c r="L136" s="60" t="s">
        <v>645</v>
      </c>
      <c r="M136" s="60" t="str" cm="1">
        <f t="array" ref="M136:N136">VLOOKUP(Q136,[1]CFPL!$A:$D,{3,4},0)</f>
        <v>CRANBERRY</v>
      </c>
      <c r="N136" s="60" t="str">
        <v>Cranberry - Sliced</v>
      </c>
      <c r="O136" s="60" t="s">
        <v>1472</v>
      </c>
      <c r="P136" s="60" t="s">
        <v>1473</v>
      </c>
      <c r="Q136" s="60" t="s">
        <v>52</v>
      </c>
      <c r="R136" s="45" t="s">
        <v>516</v>
      </c>
      <c r="S136" s="45" t="s">
        <v>6</v>
      </c>
      <c r="T136" s="45" t="s">
        <v>255</v>
      </c>
      <c r="U136" s="119">
        <v>345</v>
      </c>
      <c r="V136" s="62">
        <f>U136*J136</f>
        <v>3352841.0999999996</v>
      </c>
      <c r="W136" s="63">
        <f ca="1">$W$4-A136</f>
        <v>80</v>
      </c>
      <c r="X136" s="52" t="str">
        <f ca="1">VLOOKUP(W136,$AA$2:$AB$6,2)</f>
        <v>&lt; 6 Months</v>
      </c>
      <c r="Y136" s="52" t="str">
        <f ca="1">VLOOKUP(W136,$AD$2:$AE$6,2)</f>
        <v>60-90 Days</v>
      </c>
    </row>
    <row r="137" spans="1:25" s="64" customFormat="1" ht="15" customHeight="1">
      <c r="A137" s="127" t="s">
        <v>1467</v>
      </c>
      <c r="B137" s="45" t="s">
        <v>245</v>
      </c>
      <c r="C137" s="45" t="s">
        <v>1468</v>
      </c>
      <c r="D137" s="43" t="s">
        <v>1469</v>
      </c>
      <c r="E137" s="43" t="s">
        <v>1470</v>
      </c>
      <c r="F137" s="43" t="s">
        <v>1471</v>
      </c>
      <c r="G137" s="41">
        <v>182726</v>
      </c>
      <c r="H137" s="116">
        <v>50</v>
      </c>
      <c r="I137" s="41">
        <v>10</v>
      </c>
      <c r="J137" s="98">
        <f>I137*H137</f>
        <v>500</v>
      </c>
      <c r="K137" s="60" t="s">
        <v>83</v>
      </c>
      <c r="L137" s="60" t="s">
        <v>849</v>
      </c>
      <c r="M137" s="60" t="str" cm="1">
        <f t="array" ref="M137:N137">VLOOKUP(Q137,[1]CFPL!$A:$D,{3,4},0)</f>
        <v>PISTA</v>
      </c>
      <c r="N137" s="60" t="str">
        <v>Pista - Kernel</v>
      </c>
      <c r="O137" s="60" t="s">
        <v>531</v>
      </c>
      <c r="P137" s="60" t="s">
        <v>87</v>
      </c>
      <c r="Q137" s="60" t="s">
        <v>87</v>
      </c>
      <c r="R137" s="45" t="s">
        <v>516</v>
      </c>
      <c r="S137" s="45" t="s">
        <v>6</v>
      </c>
      <c r="T137" s="45" t="s">
        <v>255</v>
      </c>
      <c r="U137" s="119">
        <v>1904.77</v>
      </c>
      <c r="V137" s="62">
        <f>U137*J137</f>
        <v>952385</v>
      </c>
      <c r="W137" s="63">
        <f ca="1">$W$4-A137</f>
        <v>77</v>
      </c>
      <c r="X137" s="52" t="str">
        <f ca="1">VLOOKUP(W137,$AA$2:$AB$6,2)</f>
        <v>&lt; 6 Months</v>
      </c>
      <c r="Y137" s="52" t="str">
        <f ca="1">VLOOKUP(W137,$AD$2:$AE$6,2)</f>
        <v>60-90 Days</v>
      </c>
    </row>
    <row r="138" spans="1:25" s="64" customFormat="1" ht="15" customHeight="1">
      <c r="A138" s="127" t="s">
        <v>1480</v>
      </c>
      <c r="B138" s="45" t="s">
        <v>245</v>
      </c>
      <c r="C138" s="45" t="s">
        <v>1481</v>
      </c>
      <c r="D138" s="43" t="s">
        <v>270</v>
      </c>
      <c r="E138" s="43" t="s">
        <v>1400</v>
      </c>
      <c r="F138" s="43" t="s">
        <v>1482</v>
      </c>
      <c r="G138" s="41">
        <v>183050</v>
      </c>
      <c r="H138" s="116">
        <v>194</v>
      </c>
      <c r="I138" s="41">
        <v>5</v>
      </c>
      <c r="J138" s="98">
        <f>I138*H138</f>
        <v>970</v>
      </c>
      <c r="K138" s="60" t="s">
        <v>152</v>
      </c>
      <c r="L138" s="60" t="s">
        <v>271</v>
      </c>
      <c r="M138" s="60" t="str" cm="1">
        <f t="array" ref="M138:N138">VLOOKUP(Q138,[1]CFPL!$A:$D,{3,4},0)</f>
        <v>DATES</v>
      </c>
      <c r="N138" s="60" t="str">
        <v>Deri</v>
      </c>
      <c r="O138" s="60" t="s">
        <v>271</v>
      </c>
      <c r="P138" s="60" t="s">
        <v>166</v>
      </c>
      <c r="Q138" s="60" t="s">
        <v>166</v>
      </c>
      <c r="R138" s="45" t="s">
        <v>516</v>
      </c>
      <c r="S138" s="45" t="s">
        <v>6</v>
      </c>
      <c r="T138" s="45" t="s">
        <v>274</v>
      </c>
      <c r="U138" s="119">
        <v>303</v>
      </c>
      <c r="V138" s="62">
        <f>U138*J138</f>
        <v>293910</v>
      </c>
      <c r="W138" s="63">
        <f ca="1">$W$4-A138</f>
        <v>76</v>
      </c>
      <c r="X138" s="52" t="str">
        <f ca="1">VLOOKUP(W138,$AA$2:$AB$6,2)</f>
        <v>&lt; 6 Months</v>
      </c>
      <c r="Y138" s="52" t="str">
        <f ca="1">VLOOKUP(W138,$AD$2:$AE$6,2)</f>
        <v>60-90 Days</v>
      </c>
    </row>
    <row r="139" spans="1:25" s="64" customFormat="1" ht="15" customHeight="1">
      <c r="A139" s="127" t="s">
        <v>1480</v>
      </c>
      <c r="B139" s="45" t="s">
        <v>245</v>
      </c>
      <c r="C139" s="45" t="s">
        <v>1481</v>
      </c>
      <c r="D139" s="43" t="s">
        <v>270</v>
      </c>
      <c r="E139" s="43" t="s">
        <v>1498</v>
      </c>
      <c r="F139" s="43" t="s">
        <v>1499</v>
      </c>
      <c r="G139" s="41">
        <v>183049</v>
      </c>
      <c r="H139" s="116">
        <v>194</v>
      </c>
      <c r="I139" s="41">
        <v>5</v>
      </c>
      <c r="J139" s="98">
        <f>I139*H139</f>
        <v>970</v>
      </c>
      <c r="K139" s="60" t="s">
        <v>152</v>
      </c>
      <c r="L139" s="60" t="s">
        <v>271</v>
      </c>
      <c r="M139" s="60" t="str" cm="1">
        <f t="array" ref="M139:N139">VLOOKUP(Q139,[1]CFPL!$A:$D,{3,4},0)</f>
        <v>DATES</v>
      </c>
      <c r="N139" s="60" t="str">
        <v>Deri</v>
      </c>
      <c r="O139" s="60" t="s">
        <v>271</v>
      </c>
      <c r="P139" s="60" t="s">
        <v>166</v>
      </c>
      <c r="Q139" s="60" t="s">
        <v>166</v>
      </c>
      <c r="R139" s="45" t="s">
        <v>516</v>
      </c>
      <c r="S139" s="45" t="s">
        <v>6</v>
      </c>
      <c r="T139" s="45" t="s">
        <v>274</v>
      </c>
      <c r="U139" s="119">
        <v>303</v>
      </c>
      <c r="V139" s="62">
        <f>U139*J139</f>
        <v>293910</v>
      </c>
      <c r="W139" s="63">
        <f ca="1">$W$4-A139</f>
        <v>76</v>
      </c>
      <c r="X139" s="52" t="str">
        <f ca="1">VLOOKUP(W139,$AA$2:$AB$6,2)</f>
        <v>&lt; 6 Months</v>
      </c>
      <c r="Y139" s="52" t="str">
        <f ca="1">VLOOKUP(W139,$AD$2:$AE$6,2)</f>
        <v>60-90 Days</v>
      </c>
    </row>
    <row r="140" spans="1:25" s="64" customFormat="1" ht="15" customHeight="1">
      <c r="A140" s="127" t="s">
        <v>1480</v>
      </c>
      <c r="B140" s="45" t="s">
        <v>245</v>
      </c>
      <c r="C140" s="45" t="s">
        <v>1481</v>
      </c>
      <c r="D140" s="43" t="s">
        <v>270</v>
      </c>
      <c r="E140" s="43" t="s">
        <v>1400</v>
      </c>
      <c r="F140" s="43" t="s">
        <v>1497</v>
      </c>
      <c r="G140" s="41">
        <v>183047</v>
      </c>
      <c r="H140" s="116">
        <v>194</v>
      </c>
      <c r="I140" s="41">
        <v>5</v>
      </c>
      <c r="J140" s="98">
        <f>I140*H140</f>
        <v>970</v>
      </c>
      <c r="K140" s="60" t="s">
        <v>152</v>
      </c>
      <c r="L140" s="60" t="s">
        <v>271</v>
      </c>
      <c r="M140" s="60" t="str" cm="1">
        <f t="array" ref="M140:N140">VLOOKUP(Q140,[1]CFPL!$A:$D,{3,4},0)</f>
        <v>DATES</v>
      </c>
      <c r="N140" s="60" t="str">
        <v>Deri</v>
      </c>
      <c r="O140" s="60" t="s">
        <v>271</v>
      </c>
      <c r="P140" s="60" t="s">
        <v>166</v>
      </c>
      <c r="Q140" s="60" t="s">
        <v>166</v>
      </c>
      <c r="R140" s="45" t="s">
        <v>516</v>
      </c>
      <c r="S140" s="45" t="s">
        <v>6</v>
      </c>
      <c r="T140" s="45" t="s">
        <v>274</v>
      </c>
      <c r="U140" s="119">
        <v>303</v>
      </c>
      <c r="V140" s="62">
        <f>U140*J140</f>
        <v>293910</v>
      </c>
      <c r="W140" s="63">
        <f ca="1">$W$4-A140</f>
        <v>76</v>
      </c>
      <c r="X140" s="52" t="str">
        <f ca="1">VLOOKUP(W140,$AA$2:$AB$6,2)</f>
        <v>&lt; 6 Months</v>
      </c>
      <c r="Y140" s="52" t="str">
        <f ca="1">VLOOKUP(W140,$AD$2:$AE$6,2)</f>
        <v>60-90 Days</v>
      </c>
    </row>
    <row r="141" spans="1:25" s="64" customFormat="1" ht="15" customHeight="1">
      <c r="A141" s="127" t="s">
        <v>1480</v>
      </c>
      <c r="B141" s="45" t="s">
        <v>245</v>
      </c>
      <c r="C141" s="45" t="s">
        <v>1481</v>
      </c>
      <c r="D141" s="43" t="s">
        <v>270</v>
      </c>
      <c r="E141" s="43" t="s">
        <v>1400</v>
      </c>
      <c r="F141" s="43" t="s">
        <v>1492</v>
      </c>
      <c r="G141" s="41">
        <v>183042</v>
      </c>
      <c r="H141" s="116">
        <v>194</v>
      </c>
      <c r="I141" s="41">
        <v>5</v>
      </c>
      <c r="J141" s="98">
        <f>I141*H141</f>
        <v>970</v>
      </c>
      <c r="K141" s="60" t="s">
        <v>152</v>
      </c>
      <c r="L141" s="60" t="s">
        <v>271</v>
      </c>
      <c r="M141" s="60" t="str" cm="1">
        <f t="array" ref="M141:N141">VLOOKUP(Q141,[1]CFPL!$A:$D,{3,4},0)</f>
        <v>DATES</v>
      </c>
      <c r="N141" s="60" t="str">
        <v>Deri</v>
      </c>
      <c r="O141" s="60" t="s">
        <v>271</v>
      </c>
      <c r="P141" s="60" t="s">
        <v>166</v>
      </c>
      <c r="Q141" s="60" t="s">
        <v>166</v>
      </c>
      <c r="R141" s="45" t="s">
        <v>516</v>
      </c>
      <c r="S141" s="45" t="s">
        <v>6</v>
      </c>
      <c r="T141" s="45" t="s">
        <v>274</v>
      </c>
      <c r="U141" s="119">
        <v>303</v>
      </c>
      <c r="V141" s="62">
        <f>U141*J141</f>
        <v>293910</v>
      </c>
      <c r="W141" s="63">
        <f ca="1">$W$4-A141</f>
        <v>76</v>
      </c>
      <c r="X141" s="52" t="str">
        <f ca="1">VLOOKUP(W141,$AA$2:$AB$6,2)</f>
        <v>&lt; 6 Months</v>
      </c>
      <c r="Y141" s="52" t="str">
        <f ca="1">VLOOKUP(W141,$AD$2:$AE$6,2)</f>
        <v>60-90 Days</v>
      </c>
    </row>
    <row r="142" spans="1:25" s="64" customFormat="1" ht="15" customHeight="1">
      <c r="A142" s="127" t="s">
        <v>1480</v>
      </c>
      <c r="B142" s="45" t="s">
        <v>245</v>
      </c>
      <c r="C142" s="45" t="s">
        <v>1481</v>
      </c>
      <c r="D142" s="43" t="s">
        <v>270</v>
      </c>
      <c r="E142" s="43" t="s">
        <v>1400</v>
      </c>
      <c r="F142" s="43" t="s">
        <v>1495</v>
      </c>
      <c r="G142" s="41">
        <v>183045</v>
      </c>
      <c r="H142" s="116">
        <v>194</v>
      </c>
      <c r="I142" s="41">
        <v>5</v>
      </c>
      <c r="J142" s="98">
        <f>I142*H142</f>
        <v>970</v>
      </c>
      <c r="K142" s="60" t="s">
        <v>152</v>
      </c>
      <c r="L142" s="60" t="s">
        <v>271</v>
      </c>
      <c r="M142" s="60" t="str" cm="1">
        <f t="array" ref="M142:N142">VLOOKUP(Q142,[1]CFPL!$A:$D,{3,4},0)</f>
        <v>DATES</v>
      </c>
      <c r="N142" s="60" t="str">
        <v>Deri</v>
      </c>
      <c r="O142" s="60" t="s">
        <v>271</v>
      </c>
      <c r="P142" s="60" t="s">
        <v>166</v>
      </c>
      <c r="Q142" s="60" t="s">
        <v>166</v>
      </c>
      <c r="R142" s="45" t="s">
        <v>516</v>
      </c>
      <c r="S142" s="45" t="s">
        <v>6</v>
      </c>
      <c r="T142" s="45" t="s">
        <v>274</v>
      </c>
      <c r="U142" s="119">
        <v>303</v>
      </c>
      <c r="V142" s="62">
        <f>U142*J142</f>
        <v>293910</v>
      </c>
      <c r="W142" s="63">
        <f ca="1">$W$4-A142</f>
        <v>76</v>
      </c>
      <c r="X142" s="52" t="str">
        <f ca="1">VLOOKUP(W142,$AA$2:$AB$6,2)</f>
        <v>&lt; 6 Months</v>
      </c>
      <c r="Y142" s="52" t="str">
        <f ca="1">VLOOKUP(W142,$AD$2:$AE$6,2)</f>
        <v>60-90 Days</v>
      </c>
    </row>
    <row r="143" spans="1:25" s="64" customFormat="1" ht="15" customHeight="1">
      <c r="A143" s="127" t="s">
        <v>1480</v>
      </c>
      <c r="B143" s="45" t="s">
        <v>245</v>
      </c>
      <c r="C143" s="45" t="s">
        <v>1481</v>
      </c>
      <c r="D143" s="43" t="s">
        <v>270</v>
      </c>
      <c r="E143" s="43" t="s">
        <v>1400</v>
      </c>
      <c r="F143" s="43" t="s">
        <v>1494</v>
      </c>
      <c r="G143" s="41">
        <v>183044</v>
      </c>
      <c r="H143" s="116">
        <v>194</v>
      </c>
      <c r="I143" s="41">
        <v>5</v>
      </c>
      <c r="J143" s="98">
        <f>I143*H143</f>
        <v>970</v>
      </c>
      <c r="K143" s="60" t="s">
        <v>152</v>
      </c>
      <c r="L143" s="60" t="s">
        <v>271</v>
      </c>
      <c r="M143" s="60" t="str" cm="1">
        <f t="array" ref="M143:N143">VLOOKUP(Q143,[1]CFPL!$A:$D,{3,4},0)</f>
        <v>DATES</v>
      </c>
      <c r="N143" s="60" t="str">
        <v>Deri</v>
      </c>
      <c r="O143" s="60" t="s">
        <v>271</v>
      </c>
      <c r="P143" s="60" t="s">
        <v>166</v>
      </c>
      <c r="Q143" s="60" t="s">
        <v>166</v>
      </c>
      <c r="R143" s="45" t="s">
        <v>516</v>
      </c>
      <c r="S143" s="45" t="s">
        <v>6</v>
      </c>
      <c r="T143" s="45" t="s">
        <v>274</v>
      </c>
      <c r="U143" s="119">
        <v>303</v>
      </c>
      <c r="V143" s="62">
        <f>U143*J143</f>
        <v>293910</v>
      </c>
      <c r="W143" s="63">
        <f ca="1">$W$4-A143</f>
        <v>76</v>
      </c>
      <c r="X143" s="52" t="str">
        <f ca="1">VLOOKUP(W143,$AA$2:$AB$6,2)</f>
        <v>&lt; 6 Months</v>
      </c>
      <c r="Y143" s="52" t="str">
        <f ca="1">VLOOKUP(W143,$AD$2:$AE$6,2)</f>
        <v>60-90 Days</v>
      </c>
    </row>
    <row r="144" spans="1:25" s="64" customFormat="1" ht="15" customHeight="1">
      <c r="A144" s="128" t="s">
        <v>1480</v>
      </c>
      <c r="B144" s="69" t="s">
        <v>245</v>
      </c>
      <c r="C144" s="69" t="s">
        <v>1481</v>
      </c>
      <c r="D144" s="70" t="s">
        <v>270</v>
      </c>
      <c r="E144" s="70" t="s">
        <v>1400</v>
      </c>
      <c r="F144" s="70" t="s">
        <v>1493</v>
      </c>
      <c r="G144" s="41">
        <v>183043</v>
      </c>
      <c r="H144" s="116">
        <v>194</v>
      </c>
      <c r="I144" s="41">
        <v>5</v>
      </c>
      <c r="J144" s="98">
        <f>I144*H144</f>
        <v>970</v>
      </c>
      <c r="K144" s="60" t="s">
        <v>152</v>
      </c>
      <c r="L144" s="60" t="s">
        <v>271</v>
      </c>
      <c r="M144" s="60" t="str" cm="1">
        <f t="array" ref="M144:N144">VLOOKUP(Q144,[1]CFPL!$A:$D,{3,4},0)</f>
        <v>DATES</v>
      </c>
      <c r="N144" s="60" t="str">
        <v>Deri</v>
      </c>
      <c r="O144" s="60" t="s">
        <v>271</v>
      </c>
      <c r="P144" s="60" t="s">
        <v>166</v>
      </c>
      <c r="Q144" s="60" t="s">
        <v>166</v>
      </c>
      <c r="R144" s="45" t="s">
        <v>516</v>
      </c>
      <c r="S144" s="45" t="s">
        <v>6</v>
      </c>
      <c r="T144" s="45" t="s">
        <v>274</v>
      </c>
      <c r="U144" s="119">
        <v>303</v>
      </c>
      <c r="V144" s="62">
        <f>U144*J144</f>
        <v>293910</v>
      </c>
      <c r="W144" s="63">
        <f ca="1">$W$4-A144</f>
        <v>76</v>
      </c>
      <c r="X144" s="52" t="str">
        <f ca="1">VLOOKUP(W144,$AA$2:$AB$6,2)</f>
        <v>&lt; 6 Months</v>
      </c>
      <c r="Y144" s="52" t="str">
        <f ca="1">VLOOKUP(W144,$AD$2:$AE$6,2)</f>
        <v>60-90 Days</v>
      </c>
    </row>
    <row r="145" spans="1:25" s="64" customFormat="1" ht="15" customHeight="1">
      <c r="A145" s="127" t="s">
        <v>1480</v>
      </c>
      <c r="B145" s="45" t="s">
        <v>245</v>
      </c>
      <c r="C145" s="45" t="s">
        <v>1481</v>
      </c>
      <c r="D145" s="43" t="s">
        <v>270</v>
      </c>
      <c r="E145" s="43" t="s">
        <v>1400</v>
      </c>
      <c r="F145" s="43" t="s">
        <v>1486</v>
      </c>
      <c r="G145" s="41">
        <v>183027</v>
      </c>
      <c r="H145" s="116">
        <v>193</v>
      </c>
      <c r="I145" s="41">
        <v>5</v>
      </c>
      <c r="J145" s="98">
        <f>I145*H145</f>
        <v>965</v>
      </c>
      <c r="K145" s="60" t="s">
        <v>152</v>
      </c>
      <c r="L145" s="60" t="s">
        <v>271</v>
      </c>
      <c r="M145" s="60" t="str" cm="1">
        <f t="array" ref="M145:N145">VLOOKUP(Q145,[1]CFPL!$A:$D,{3,4},0)</f>
        <v>DATES</v>
      </c>
      <c r="N145" s="60" t="str">
        <v>Deri</v>
      </c>
      <c r="O145" s="60" t="s">
        <v>271</v>
      </c>
      <c r="P145" s="60" t="s">
        <v>166</v>
      </c>
      <c r="Q145" s="60" t="s">
        <v>166</v>
      </c>
      <c r="R145" s="45" t="s">
        <v>516</v>
      </c>
      <c r="S145" s="45" t="s">
        <v>6</v>
      </c>
      <c r="T145" s="45" t="s">
        <v>274</v>
      </c>
      <c r="U145" s="119">
        <v>303</v>
      </c>
      <c r="V145" s="62">
        <f>U145*J145</f>
        <v>292395</v>
      </c>
      <c r="W145" s="63">
        <f ca="1">$W$4-A145</f>
        <v>76</v>
      </c>
      <c r="X145" s="52" t="str">
        <f ca="1">VLOOKUP(W145,$AA$2:$AB$6,2)</f>
        <v>&lt; 6 Months</v>
      </c>
      <c r="Y145" s="52" t="str">
        <f ca="1">VLOOKUP(W145,$AD$2:$AE$6,2)</f>
        <v>60-90 Days</v>
      </c>
    </row>
    <row r="146" spans="1:25" s="64" customFormat="1" ht="15" customHeight="1">
      <c r="A146" s="127" t="s">
        <v>1480</v>
      </c>
      <c r="B146" s="45" t="s">
        <v>245</v>
      </c>
      <c r="C146" s="45" t="s">
        <v>1481</v>
      </c>
      <c r="D146" s="43" t="s">
        <v>270</v>
      </c>
      <c r="E146" s="43" t="s">
        <v>1400</v>
      </c>
      <c r="F146" s="43" t="s">
        <v>1487</v>
      </c>
      <c r="G146" s="41">
        <v>183028</v>
      </c>
      <c r="H146" s="116">
        <v>194</v>
      </c>
      <c r="I146" s="41">
        <v>5</v>
      </c>
      <c r="J146" s="98">
        <f>I146*H146</f>
        <v>970</v>
      </c>
      <c r="K146" s="60" t="s">
        <v>152</v>
      </c>
      <c r="L146" s="60" t="s">
        <v>271</v>
      </c>
      <c r="M146" s="60" t="str" cm="1">
        <f t="array" ref="M146:N146">VLOOKUP(Q146,[1]CFPL!$A:$D,{3,4},0)</f>
        <v>DATES</v>
      </c>
      <c r="N146" s="60" t="str">
        <v>Deri</v>
      </c>
      <c r="O146" s="60" t="s">
        <v>271</v>
      </c>
      <c r="P146" s="60" t="s">
        <v>166</v>
      </c>
      <c r="Q146" s="60" t="s">
        <v>166</v>
      </c>
      <c r="R146" s="45" t="s">
        <v>516</v>
      </c>
      <c r="S146" s="45" t="s">
        <v>6</v>
      </c>
      <c r="T146" s="45" t="s">
        <v>274</v>
      </c>
      <c r="U146" s="119">
        <v>303</v>
      </c>
      <c r="V146" s="62">
        <f>U146*J146</f>
        <v>293910</v>
      </c>
      <c r="W146" s="63">
        <f ca="1">$W$4-A146</f>
        <v>76</v>
      </c>
      <c r="X146" s="52" t="str">
        <f ca="1">VLOOKUP(W146,$AA$2:$AB$6,2)</f>
        <v>&lt; 6 Months</v>
      </c>
      <c r="Y146" s="52" t="str">
        <f ca="1">VLOOKUP(W146,$AD$2:$AE$6,2)</f>
        <v>60-90 Days</v>
      </c>
    </row>
    <row r="147" spans="1:25" s="64" customFormat="1" ht="15" customHeight="1">
      <c r="A147" s="127" t="s">
        <v>1480</v>
      </c>
      <c r="B147" s="45" t="s">
        <v>245</v>
      </c>
      <c r="C147" s="45" t="s">
        <v>1481</v>
      </c>
      <c r="D147" s="43" t="s">
        <v>270</v>
      </c>
      <c r="E147" s="43" t="s">
        <v>1400</v>
      </c>
      <c r="F147" s="43" t="s">
        <v>1488</v>
      </c>
      <c r="G147" s="41">
        <v>183030</v>
      </c>
      <c r="H147" s="116">
        <v>194</v>
      </c>
      <c r="I147" s="41">
        <v>5</v>
      </c>
      <c r="J147" s="98">
        <f>I147*H147</f>
        <v>970</v>
      </c>
      <c r="K147" s="60" t="s">
        <v>152</v>
      </c>
      <c r="L147" s="60" t="s">
        <v>271</v>
      </c>
      <c r="M147" s="60" t="str" cm="1">
        <f t="array" ref="M147:N147">VLOOKUP(Q147,[1]CFPL!$A:$D,{3,4},0)</f>
        <v>DATES</v>
      </c>
      <c r="N147" s="60" t="str">
        <v>Deri</v>
      </c>
      <c r="O147" s="60" t="s">
        <v>271</v>
      </c>
      <c r="P147" s="60" t="s">
        <v>166</v>
      </c>
      <c r="Q147" s="60" t="s">
        <v>166</v>
      </c>
      <c r="R147" s="45" t="s">
        <v>516</v>
      </c>
      <c r="S147" s="45" t="s">
        <v>6</v>
      </c>
      <c r="T147" s="45" t="s">
        <v>274</v>
      </c>
      <c r="U147" s="119">
        <v>303</v>
      </c>
      <c r="V147" s="62">
        <f>U147*J147</f>
        <v>293910</v>
      </c>
      <c r="W147" s="63">
        <f ca="1">$W$4-A147</f>
        <v>76</v>
      </c>
      <c r="X147" s="52" t="str">
        <f ca="1">VLOOKUP(W147,$AA$2:$AB$6,2)</f>
        <v>&lt; 6 Months</v>
      </c>
      <c r="Y147" s="52" t="str">
        <f ca="1">VLOOKUP(W147,$AD$2:$AE$6,2)</f>
        <v>60-90 Days</v>
      </c>
    </row>
    <row r="148" spans="1:25" s="64" customFormat="1" ht="15" customHeight="1">
      <c r="A148" s="127" t="s">
        <v>1480</v>
      </c>
      <c r="B148" s="45" t="s">
        <v>245</v>
      </c>
      <c r="C148" s="45" t="s">
        <v>1481</v>
      </c>
      <c r="D148" s="43" t="s">
        <v>270</v>
      </c>
      <c r="E148" s="43" t="s">
        <v>1400</v>
      </c>
      <c r="F148" s="43" t="s">
        <v>1489</v>
      </c>
      <c r="G148" s="41">
        <v>183031</v>
      </c>
      <c r="H148" s="116">
        <v>194</v>
      </c>
      <c r="I148" s="41">
        <v>5</v>
      </c>
      <c r="J148" s="98">
        <f>I148*H148</f>
        <v>970</v>
      </c>
      <c r="K148" s="60" t="s">
        <v>152</v>
      </c>
      <c r="L148" s="60" t="s">
        <v>271</v>
      </c>
      <c r="M148" s="60" t="str" cm="1">
        <f t="array" ref="M148:N148">VLOOKUP(Q148,[1]CFPL!$A:$D,{3,4},0)</f>
        <v>DATES</v>
      </c>
      <c r="N148" s="60" t="str">
        <v>Deri</v>
      </c>
      <c r="O148" s="60" t="s">
        <v>271</v>
      </c>
      <c r="P148" s="60" t="s">
        <v>166</v>
      </c>
      <c r="Q148" s="60" t="s">
        <v>166</v>
      </c>
      <c r="R148" s="45" t="s">
        <v>516</v>
      </c>
      <c r="S148" s="45" t="s">
        <v>6</v>
      </c>
      <c r="T148" s="45" t="s">
        <v>274</v>
      </c>
      <c r="U148" s="119">
        <v>303</v>
      </c>
      <c r="V148" s="62">
        <f>U148*J148</f>
        <v>293910</v>
      </c>
      <c r="W148" s="63">
        <f ca="1">$W$4-A148</f>
        <v>76</v>
      </c>
      <c r="X148" s="52" t="str">
        <f ca="1">VLOOKUP(W148,$AA$2:$AB$6,2)</f>
        <v>&lt; 6 Months</v>
      </c>
      <c r="Y148" s="52" t="str">
        <f ca="1">VLOOKUP(W148,$AD$2:$AE$6,2)</f>
        <v>60-90 Days</v>
      </c>
    </row>
    <row r="149" spans="1:25" s="64" customFormat="1" ht="15" customHeight="1">
      <c r="A149" s="127" t="s">
        <v>1480</v>
      </c>
      <c r="B149" s="45" t="s">
        <v>245</v>
      </c>
      <c r="C149" s="45" t="s">
        <v>1481</v>
      </c>
      <c r="D149" s="43" t="s">
        <v>270</v>
      </c>
      <c r="E149" s="43" t="s">
        <v>1400</v>
      </c>
      <c r="F149" s="43" t="s">
        <v>1490</v>
      </c>
      <c r="G149" s="41">
        <v>183032</v>
      </c>
      <c r="H149" s="116">
        <v>144</v>
      </c>
      <c r="I149" s="41">
        <v>5</v>
      </c>
      <c r="J149" s="98">
        <f>I149*H149</f>
        <v>720</v>
      </c>
      <c r="K149" s="60" t="s">
        <v>152</v>
      </c>
      <c r="L149" s="60" t="s">
        <v>271</v>
      </c>
      <c r="M149" s="60" t="str" cm="1">
        <f t="array" ref="M149:N149">VLOOKUP(Q149,[1]CFPL!$A:$D,{3,4},0)</f>
        <v>DATES</v>
      </c>
      <c r="N149" s="60" t="str">
        <v>Deri</v>
      </c>
      <c r="O149" s="60" t="s">
        <v>271</v>
      </c>
      <c r="P149" s="60" t="s">
        <v>166</v>
      </c>
      <c r="Q149" s="60" t="s">
        <v>166</v>
      </c>
      <c r="R149" s="45" t="s">
        <v>516</v>
      </c>
      <c r="S149" s="45" t="s">
        <v>6</v>
      </c>
      <c r="T149" s="45" t="s">
        <v>274</v>
      </c>
      <c r="U149" s="119">
        <v>303</v>
      </c>
      <c r="V149" s="62">
        <f>U149*J149</f>
        <v>218160</v>
      </c>
      <c r="W149" s="63">
        <f ca="1">$W$4-A149</f>
        <v>76</v>
      </c>
      <c r="X149" s="52" t="str">
        <f ca="1">VLOOKUP(W149,$AA$2:$AB$6,2)</f>
        <v>&lt; 6 Months</v>
      </c>
      <c r="Y149" s="52" t="str">
        <f ca="1">VLOOKUP(W149,$AD$2:$AE$6,2)</f>
        <v>60-90 Days</v>
      </c>
    </row>
    <row r="150" spans="1:25" s="64" customFormat="1" ht="15" customHeight="1">
      <c r="A150" s="127" t="s">
        <v>1480</v>
      </c>
      <c r="B150" s="45" t="s">
        <v>245</v>
      </c>
      <c r="C150" s="45" t="s">
        <v>1481</v>
      </c>
      <c r="D150" s="43" t="s">
        <v>270</v>
      </c>
      <c r="E150" s="43" t="s">
        <v>1400</v>
      </c>
      <c r="F150" s="43" t="s">
        <v>1491</v>
      </c>
      <c r="G150" s="41">
        <v>183033</v>
      </c>
      <c r="H150" s="116">
        <v>194</v>
      </c>
      <c r="I150" s="41">
        <v>5</v>
      </c>
      <c r="J150" s="98">
        <f>I150*H150</f>
        <v>970</v>
      </c>
      <c r="K150" s="60" t="s">
        <v>152</v>
      </c>
      <c r="L150" s="60" t="s">
        <v>271</v>
      </c>
      <c r="M150" s="60" t="str" cm="1">
        <f t="array" ref="M150:N150">VLOOKUP(Q150,[1]CFPL!$A:$D,{3,4},0)</f>
        <v>DATES</v>
      </c>
      <c r="N150" s="60" t="str">
        <v>Deri</v>
      </c>
      <c r="O150" s="60" t="s">
        <v>271</v>
      </c>
      <c r="P150" s="60" t="s">
        <v>166</v>
      </c>
      <c r="Q150" s="60" t="s">
        <v>166</v>
      </c>
      <c r="R150" s="45" t="s">
        <v>516</v>
      </c>
      <c r="S150" s="45" t="s">
        <v>6</v>
      </c>
      <c r="T150" s="45" t="s">
        <v>274</v>
      </c>
      <c r="U150" s="119">
        <v>303</v>
      </c>
      <c r="V150" s="62">
        <f>U150*J150</f>
        <v>293910</v>
      </c>
      <c r="W150" s="63">
        <f ca="1">$W$4-A150</f>
        <v>76</v>
      </c>
      <c r="X150" s="52" t="str">
        <f ca="1">VLOOKUP(W150,$AA$2:$AB$6,2)</f>
        <v>&lt; 6 Months</v>
      </c>
      <c r="Y150" s="52" t="str">
        <f ca="1">VLOOKUP(W150,$AD$2:$AE$6,2)</f>
        <v>60-90 Days</v>
      </c>
    </row>
    <row r="151" spans="1:25" s="64" customFormat="1" ht="15" customHeight="1">
      <c r="A151" s="127" t="s">
        <v>1480</v>
      </c>
      <c r="B151" s="45" t="s">
        <v>245</v>
      </c>
      <c r="C151" s="45" t="s">
        <v>1481</v>
      </c>
      <c r="D151" s="43" t="s">
        <v>270</v>
      </c>
      <c r="E151" s="43" t="s">
        <v>1400</v>
      </c>
      <c r="F151" s="43" t="s">
        <v>1483</v>
      </c>
      <c r="G151" s="41">
        <v>183057</v>
      </c>
      <c r="H151" s="116">
        <v>147</v>
      </c>
      <c r="I151" s="41">
        <v>5</v>
      </c>
      <c r="J151" s="98">
        <f>I151*H151</f>
        <v>735</v>
      </c>
      <c r="K151" s="60" t="s">
        <v>152</v>
      </c>
      <c r="L151" s="60" t="s">
        <v>271</v>
      </c>
      <c r="M151" s="60" t="str" cm="1">
        <f t="array" ref="M151:N151">VLOOKUP(Q151,[1]CFPL!$A:$D,{3,4},0)</f>
        <v>DATES</v>
      </c>
      <c r="N151" s="60" t="str">
        <v>Deri</v>
      </c>
      <c r="O151" s="60" t="s">
        <v>271</v>
      </c>
      <c r="P151" s="60" t="s">
        <v>166</v>
      </c>
      <c r="Q151" s="60" t="s">
        <v>166</v>
      </c>
      <c r="R151" s="45" t="s">
        <v>516</v>
      </c>
      <c r="S151" s="45" t="s">
        <v>6</v>
      </c>
      <c r="T151" s="45" t="s">
        <v>274</v>
      </c>
      <c r="U151" s="119">
        <v>303</v>
      </c>
      <c r="V151" s="62">
        <f>U151*J151</f>
        <v>222705</v>
      </c>
      <c r="W151" s="63">
        <f ca="1">$W$4-A151</f>
        <v>76</v>
      </c>
      <c r="X151" s="52" t="str">
        <f ca="1">VLOOKUP(W151,$AA$2:$AB$6,2)</f>
        <v>&lt; 6 Months</v>
      </c>
      <c r="Y151" s="52" t="str">
        <f ca="1">VLOOKUP(W151,$AD$2:$AE$6,2)</f>
        <v>60-90 Days</v>
      </c>
    </row>
    <row r="152" spans="1:25" s="64" customFormat="1" ht="15" customHeight="1">
      <c r="A152" s="127" t="s">
        <v>1480</v>
      </c>
      <c r="B152" s="45" t="s">
        <v>245</v>
      </c>
      <c r="C152" s="45" t="s">
        <v>1481</v>
      </c>
      <c r="D152" s="43" t="s">
        <v>270</v>
      </c>
      <c r="E152" s="43" t="s">
        <v>1400</v>
      </c>
      <c r="F152" s="43" t="s">
        <v>1484</v>
      </c>
      <c r="G152" s="41">
        <v>183059</v>
      </c>
      <c r="H152" s="116">
        <v>194</v>
      </c>
      <c r="I152" s="41">
        <v>5</v>
      </c>
      <c r="J152" s="98">
        <f>I152*H152</f>
        <v>970</v>
      </c>
      <c r="K152" s="60" t="s">
        <v>152</v>
      </c>
      <c r="L152" s="60" t="s">
        <v>271</v>
      </c>
      <c r="M152" s="60" t="str" cm="1">
        <f t="array" ref="M152:N152">VLOOKUP(Q152,[1]CFPL!$A:$D,{3,4},0)</f>
        <v>DATES</v>
      </c>
      <c r="N152" s="60" t="str">
        <v>Deri</v>
      </c>
      <c r="O152" s="60" t="s">
        <v>271</v>
      </c>
      <c r="P152" s="60" t="s">
        <v>166</v>
      </c>
      <c r="Q152" s="60" t="s">
        <v>166</v>
      </c>
      <c r="R152" s="45" t="s">
        <v>516</v>
      </c>
      <c r="S152" s="45" t="s">
        <v>6</v>
      </c>
      <c r="T152" s="45" t="s">
        <v>274</v>
      </c>
      <c r="U152" s="119">
        <v>303</v>
      </c>
      <c r="V152" s="62">
        <f>U152*J152</f>
        <v>293910</v>
      </c>
      <c r="W152" s="63">
        <f ca="1">$W$4-A152</f>
        <v>76</v>
      </c>
      <c r="X152" s="52" t="str">
        <f ca="1">VLOOKUP(W152,$AA$2:$AB$6,2)</f>
        <v>&lt; 6 Months</v>
      </c>
      <c r="Y152" s="52" t="str">
        <f ca="1">VLOOKUP(W152,$AD$2:$AE$6,2)</f>
        <v>60-90 Days</v>
      </c>
    </row>
    <row r="153" spans="1:25" s="64" customFormat="1" ht="15" customHeight="1">
      <c r="A153" s="127" t="s">
        <v>1480</v>
      </c>
      <c r="B153" s="45" t="s">
        <v>245</v>
      </c>
      <c r="C153" s="45" t="s">
        <v>1481</v>
      </c>
      <c r="D153" s="43" t="s">
        <v>270</v>
      </c>
      <c r="E153" s="43" t="s">
        <v>1400</v>
      </c>
      <c r="F153" s="43" t="s">
        <v>1485</v>
      </c>
      <c r="G153" s="41">
        <v>183026</v>
      </c>
      <c r="H153" s="116">
        <v>193</v>
      </c>
      <c r="I153" s="41">
        <v>5</v>
      </c>
      <c r="J153" s="98">
        <f>I153*H153</f>
        <v>965</v>
      </c>
      <c r="K153" s="60" t="s">
        <v>152</v>
      </c>
      <c r="L153" s="60" t="s">
        <v>271</v>
      </c>
      <c r="M153" s="60" t="str" cm="1">
        <f t="array" ref="M153:N153">VLOOKUP(Q153,[1]CFPL!$A:$D,{3,4},0)</f>
        <v>DATES</v>
      </c>
      <c r="N153" s="60" t="str">
        <v>Deri</v>
      </c>
      <c r="O153" s="60" t="s">
        <v>271</v>
      </c>
      <c r="P153" s="60" t="s">
        <v>166</v>
      </c>
      <c r="Q153" s="60" t="s">
        <v>166</v>
      </c>
      <c r="R153" s="45" t="s">
        <v>516</v>
      </c>
      <c r="S153" s="45" t="s">
        <v>6</v>
      </c>
      <c r="T153" s="45" t="s">
        <v>274</v>
      </c>
      <c r="U153" s="119">
        <v>303</v>
      </c>
      <c r="V153" s="62">
        <f>U153*J153</f>
        <v>292395</v>
      </c>
      <c r="W153" s="63">
        <f ca="1">$W$4-A153</f>
        <v>76</v>
      </c>
      <c r="X153" s="52" t="str">
        <f ca="1">VLOOKUP(W153,$AA$2:$AB$6,2)</f>
        <v>&lt; 6 Months</v>
      </c>
      <c r="Y153" s="52" t="str">
        <f ca="1">VLOOKUP(W153,$AD$2:$AE$6,2)</f>
        <v>60-90 Days</v>
      </c>
    </row>
    <row r="154" spans="1:25" s="64" customFormat="1" ht="15" customHeight="1">
      <c r="A154" s="127" t="s">
        <v>1480</v>
      </c>
      <c r="B154" s="45" t="s">
        <v>245</v>
      </c>
      <c r="C154" s="45" t="s">
        <v>1481</v>
      </c>
      <c r="D154" s="43" t="s">
        <v>270</v>
      </c>
      <c r="E154" s="43" t="s">
        <v>1400</v>
      </c>
      <c r="F154" s="43" t="s">
        <v>1496</v>
      </c>
      <c r="G154" s="41">
        <v>183046</v>
      </c>
      <c r="H154" s="116">
        <v>194</v>
      </c>
      <c r="I154" s="41">
        <v>5</v>
      </c>
      <c r="J154" s="98">
        <f>I154*H154</f>
        <v>970</v>
      </c>
      <c r="K154" s="60" t="s">
        <v>152</v>
      </c>
      <c r="L154" s="60" t="s">
        <v>271</v>
      </c>
      <c r="M154" s="60" t="str" cm="1">
        <f t="array" ref="M154:N154">VLOOKUP(Q154,[1]CFPL!$A:$D,{3,4},0)</f>
        <v>DATES</v>
      </c>
      <c r="N154" s="60" t="str">
        <v>Deri</v>
      </c>
      <c r="O154" s="60" t="s">
        <v>271</v>
      </c>
      <c r="P154" s="60" t="s">
        <v>166</v>
      </c>
      <c r="Q154" s="60" t="s">
        <v>166</v>
      </c>
      <c r="R154" s="45" t="s">
        <v>516</v>
      </c>
      <c r="S154" s="45" t="s">
        <v>6</v>
      </c>
      <c r="T154" s="45" t="s">
        <v>274</v>
      </c>
      <c r="U154" s="119">
        <v>303</v>
      </c>
      <c r="V154" s="62">
        <f>U154*J154</f>
        <v>293910</v>
      </c>
      <c r="W154" s="63">
        <f ca="1">$W$4-A154</f>
        <v>76</v>
      </c>
      <c r="X154" s="52" t="str">
        <f ca="1">VLOOKUP(W154,$AA$2:$AB$6,2)</f>
        <v>&lt; 6 Months</v>
      </c>
      <c r="Y154" s="52" t="str">
        <f ca="1">VLOOKUP(W154,$AD$2:$AE$6,2)</f>
        <v>60-90 Days</v>
      </c>
    </row>
    <row r="155" spans="1:25" s="64" customFormat="1" ht="15" customHeight="1">
      <c r="A155" s="127" t="s">
        <v>1501</v>
      </c>
      <c r="B155" s="45" t="s">
        <v>258</v>
      </c>
      <c r="C155" s="45" t="s">
        <v>1502</v>
      </c>
      <c r="D155" s="43" t="s">
        <v>270</v>
      </c>
      <c r="E155" s="43" t="s">
        <v>1523</v>
      </c>
      <c r="F155" s="43" t="s">
        <v>1524</v>
      </c>
      <c r="G155" s="41">
        <v>13793</v>
      </c>
      <c r="H155" s="116">
        <v>1</v>
      </c>
      <c r="I155" s="41">
        <v>5</v>
      </c>
      <c r="J155" s="98">
        <f>I155*H155</f>
        <v>5</v>
      </c>
      <c r="K155" s="60" t="s">
        <v>177</v>
      </c>
      <c r="L155" s="60" t="s">
        <v>917</v>
      </c>
      <c r="M155" s="60" t="str" cm="1">
        <f t="array" ref="M155:N155">VLOOKUP(Q155,[1]CFPL!$A:$D,{3,4},0)</f>
        <v>DATES</v>
      </c>
      <c r="N155" s="60" t="str">
        <v>Seqee</v>
      </c>
      <c r="O155" s="60" t="s">
        <v>1429</v>
      </c>
      <c r="P155" s="60" t="s">
        <v>1064</v>
      </c>
      <c r="Q155" s="60" t="s">
        <v>488</v>
      </c>
      <c r="R155" s="45" t="s">
        <v>516</v>
      </c>
      <c r="S155" s="45" t="s">
        <v>6</v>
      </c>
      <c r="T155" s="45" t="s">
        <v>287</v>
      </c>
      <c r="U155" s="119">
        <v>565</v>
      </c>
      <c r="V155" s="62">
        <f>U155*J155</f>
        <v>2825</v>
      </c>
      <c r="W155" s="63">
        <f ca="1">$W$4-A155</f>
        <v>75</v>
      </c>
      <c r="X155" s="52" t="str">
        <f ca="1">VLOOKUP(W155,$AA$2:$AB$6,2)</f>
        <v>&lt; 6 Months</v>
      </c>
      <c r="Y155" s="52" t="str">
        <f ca="1">VLOOKUP(W155,$AD$2:$AE$6,2)</f>
        <v>60-90 Days</v>
      </c>
    </row>
    <row r="156" spans="1:25" s="64" customFormat="1" ht="15" customHeight="1">
      <c r="A156" s="127" t="s">
        <v>1501</v>
      </c>
      <c r="B156" s="45" t="s">
        <v>258</v>
      </c>
      <c r="C156" s="45" t="s">
        <v>1502</v>
      </c>
      <c r="D156" s="43" t="s">
        <v>270</v>
      </c>
      <c r="E156" s="43" t="s">
        <v>1503</v>
      </c>
      <c r="F156" s="43" t="s">
        <v>1504</v>
      </c>
      <c r="G156" s="41">
        <v>13792</v>
      </c>
      <c r="H156" s="116">
        <v>1</v>
      </c>
      <c r="I156" s="41">
        <v>5</v>
      </c>
      <c r="J156" s="98">
        <f>I156*H156</f>
        <v>5</v>
      </c>
      <c r="K156" s="60" t="s">
        <v>177</v>
      </c>
      <c r="L156" s="60" t="s">
        <v>919</v>
      </c>
      <c r="M156" s="60" t="str" cm="1">
        <f t="array" ref="M156:N156">VLOOKUP(Q156,[1]CFPL!$A:$D,{3,4},0)</f>
        <v>DATES</v>
      </c>
      <c r="N156" s="60" t="str">
        <v>Wanan</v>
      </c>
      <c r="O156" s="60" t="s">
        <v>1429</v>
      </c>
      <c r="P156" s="60" t="s">
        <v>1062</v>
      </c>
      <c r="Q156" s="60" t="s">
        <v>508</v>
      </c>
      <c r="R156" s="45" t="s">
        <v>516</v>
      </c>
      <c r="S156" s="45" t="s">
        <v>6</v>
      </c>
      <c r="T156" s="45" t="s">
        <v>287</v>
      </c>
      <c r="U156" s="119">
        <v>845</v>
      </c>
      <c r="V156" s="62">
        <f>U156*J156</f>
        <v>4225</v>
      </c>
      <c r="W156" s="63">
        <f ca="1">$W$4-A156</f>
        <v>75</v>
      </c>
      <c r="X156" s="52" t="str">
        <f ca="1">VLOOKUP(W156,$AA$2:$AB$6,2)</f>
        <v>&lt; 6 Months</v>
      </c>
      <c r="Y156" s="52" t="str">
        <f ca="1">VLOOKUP(W156,$AD$2:$AE$6,2)</f>
        <v>60-90 Days</v>
      </c>
    </row>
    <row r="157" spans="1:25" s="64" customFormat="1" ht="15" customHeight="1">
      <c r="A157" s="127" t="s">
        <v>1501</v>
      </c>
      <c r="B157" s="45" t="s">
        <v>258</v>
      </c>
      <c r="C157" s="45" t="s">
        <v>1502</v>
      </c>
      <c r="D157" s="43" t="s">
        <v>270</v>
      </c>
      <c r="E157" s="43" t="s">
        <v>1505</v>
      </c>
      <c r="F157" s="43" t="s">
        <v>1506</v>
      </c>
      <c r="G157" s="41">
        <v>13791</v>
      </c>
      <c r="H157" s="116">
        <v>1</v>
      </c>
      <c r="I157" s="41">
        <v>5</v>
      </c>
      <c r="J157" s="98">
        <f>I157*H157</f>
        <v>5</v>
      </c>
      <c r="K157" s="60" t="s">
        <v>177</v>
      </c>
      <c r="L157" s="60" t="s">
        <v>918</v>
      </c>
      <c r="M157" s="60" t="str" cm="1">
        <f t="array" ref="M157:N157">VLOOKUP(Q157,[1]CFPL!$A:$D,{3,4},0)</f>
        <v>DATES</v>
      </c>
      <c r="N157" s="60" t="str">
        <v>Wanan</v>
      </c>
      <c r="O157" s="60" t="s">
        <v>1429</v>
      </c>
      <c r="P157" s="60" t="s">
        <v>1063</v>
      </c>
      <c r="Q157" s="60" t="s">
        <v>492</v>
      </c>
      <c r="R157" s="45" t="s">
        <v>516</v>
      </c>
      <c r="S157" s="45" t="s">
        <v>6</v>
      </c>
      <c r="T157" s="45" t="s">
        <v>287</v>
      </c>
      <c r="U157" s="119">
        <v>635</v>
      </c>
      <c r="V157" s="62">
        <f>U157*J157</f>
        <v>3175</v>
      </c>
      <c r="W157" s="63">
        <f ca="1">$W$4-A157</f>
        <v>75</v>
      </c>
      <c r="X157" s="52" t="str">
        <f ca="1">VLOOKUP(W157,$AA$2:$AB$6,2)</f>
        <v>&lt; 6 Months</v>
      </c>
      <c r="Y157" s="52" t="str">
        <f ca="1">VLOOKUP(W157,$AD$2:$AE$6,2)</f>
        <v>60-90 Days</v>
      </c>
    </row>
    <row r="158" spans="1:25" s="64" customFormat="1" ht="15" customHeight="1">
      <c r="A158" s="127" t="s">
        <v>1501</v>
      </c>
      <c r="B158" s="45" t="s">
        <v>258</v>
      </c>
      <c r="C158" s="45" t="s">
        <v>1502</v>
      </c>
      <c r="D158" s="43" t="s">
        <v>270</v>
      </c>
      <c r="E158" s="43" t="s">
        <v>1514</v>
      </c>
      <c r="F158" s="43" t="s">
        <v>1515</v>
      </c>
      <c r="G158" s="41">
        <v>13786</v>
      </c>
      <c r="H158" s="116">
        <v>1</v>
      </c>
      <c r="I158" s="41">
        <v>5</v>
      </c>
      <c r="J158" s="98">
        <f>I158*H158</f>
        <v>5</v>
      </c>
      <c r="K158" s="60" t="s">
        <v>177</v>
      </c>
      <c r="L158" s="60" t="s">
        <v>862</v>
      </c>
      <c r="M158" s="60" t="str" cm="1">
        <f t="array" ref="M158:N158">VLOOKUP(Q158,[1]CFPL!$A:$D,{3,4},0)</f>
        <v>DATES</v>
      </c>
      <c r="N158" s="60" t="str">
        <v>Medjoul-Large</v>
      </c>
      <c r="O158" s="60" t="s">
        <v>1429</v>
      </c>
      <c r="P158" s="60" t="s">
        <v>970</v>
      </c>
      <c r="Q158" s="60" t="s">
        <v>1596</v>
      </c>
      <c r="R158" s="45" t="s">
        <v>516</v>
      </c>
      <c r="S158" s="45" t="s">
        <v>6</v>
      </c>
      <c r="T158" s="45" t="s">
        <v>287</v>
      </c>
      <c r="U158" s="119">
        <v>900.77</v>
      </c>
      <c r="V158" s="62">
        <f>U158*J158</f>
        <v>4503.8500000000004</v>
      </c>
      <c r="W158" s="63">
        <f ca="1">$W$4-A158</f>
        <v>75</v>
      </c>
      <c r="X158" s="52" t="str">
        <f ca="1">VLOOKUP(W158,$AA$2:$AB$6,2)</f>
        <v>&lt; 6 Months</v>
      </c>
      <c r="Y158" s="52" t="str">
        <f ca="1">VLOOKUP(W158,$AD$2:$AE$6,2)</f>
        <v>60-90 Days</v>
      </c>
    </row>
    <row r="159" spans="1:25" s="64" customFormat="1" ht="15" customHeight="1">
      <c r="A159" s="127" t="s">
        <v>1501</v>
      </c>
      <c r="B159" s="45" t="s">
        <v>258</v>
      </c>
      <c r="C159" s="45" t="s">
        <v>1502</v>
      </c>
      <c r="D159" s="43" t="s">
        <v>270</v>
      </c>
      <c r="E159" s="43" t="s">
        <v>1512</v>
      </c>
      <c r="F159" s="43" t="s">
        <v>1513</v>
      </c>
      <c r="G159" s="41">
        <v>13787</v>
      </c>
      <c r="H159" s="116">
        <v>1</v>
      </c>
      <c r="I159" s="41">
        <v>5</v>
      </c>
      <c r="J159" s="98">
        <f>I159*H159</f>
        <v>5</v>
      </c>
      <c r="K159" s="60" t="s">
        <v>177</v>
      </c>
      <c r="L159" s="60" t="s">
        <v>971</v>
      </c>
      <c r="M159" s="60" t="str" cm="1">
        <f t="array" ref="M159:N159">VLOOKUP(Q159,[1]CFPL!$A:$D,{3,4},0)</f>
        <v>DATES</v>
      </c>
      <c r="N159" s="60" t="str">
        <v>Medjoul-Jumbo</v>
      </c>
      <c r="O159" s="60" t="s">
        <v>1429</v>
      </c>
      <c r="P159" s="60" t="s">
        <v>969</v>
      </c>
      <c r="Q159" s="60" t="s">
        <v>1597</v>
      </c>
      <c r="R159" s="45" t="s">
        <v>516</v>
      </c>
      <c r="S159" s="45" t="s">
        <v>6</v>
      </c>
      <c r="T159" s="45" t="s">
        <v>287</v>
      </c>
      <c r="U159" s="119">
        <v>1089.42</v>
      </c>
      <c r="V159" s="62">
        <f>U159*J159</f>
        <v>5447.1</v>
      </c>
      <c r="W159" s="63">
        <f ca="1">$W$4-A159</f>
        <v>75</v>
      </c>
      <c r="X159" s="52" t="str">
        <f ca="1">VLOOKUP(W159,$AA$2:$AB$6,2)</f>
        <v>&lt; 6 Months</v>
      </c>
      <c r="Y159" s="52" t="str">
        <f ca="1">VLOOKUP(W159,$AD$2:$AE$6,2)</f>
        <v>60-90 Days</v>
      </c>
    </row>
    <row r="160" spans="1:25" s="64" customFormat="1" ht="15" customHeight="1">
      <c r="A160" s="127" t="s">
        <v>1501</v>
      </c>
      <c r="B160" s="45" t="s">
        <v>258</v>
      </c>
      <c r="C160" s="45" t="s">
        <v>1502</v>
      </c>
      <c r="D160" s="43" t="s">
        <v>485</v>
      </c>
      <c r="E160" s="43" t="s">
        <v>1510</v>
      </c>
      <c r="F160" s="43" t="s">
        <v>1511</v>
      </c>
      <c r="G160" s="41">
        <v>13788</v>
      </c>
      <c r="H160" s="116">
        <v>1</v>
      </c>
      <c r="I160" s="41">
        <v>5</v>
      </c>
      <c r="J160" s="98">
        <f>I160*H160</f>
        <v>5</v>
      </c>
      <c r="K160" s="60" t="s">
        <v>177</v>
      </c>
      <c r="L160" s="60" t="s">
        <v>916</v>
      </c>
      <c r="M160" s="60" t="str" cm="1">
        <f t="array" ref="M160:N160">VLOOKUP(Q160,[1]CFPL!$A:$D,{3,4},0)</f>
        <v>DATES</v>
      </c>
      <c r="N160" s="60" t="str">
        <v>Khidri</v>
      </c>
      <c r="O160" s="60" t="s">
        <v>1429</v>
      </c>
      <c r="P160" s="60" t="s">
        <v>179</v>
      </c>
      <c r="Q160" s="60" t="s">
        <v>563</v>
      </c>
      <c r="R160" s="45" t="s">
        <v>516</v>
      </c>
      <c r="S160" s="45" t="s">
        <v>6</v>
      </c>
      <c r="T160" s="45" t="s">
        <v>287</v>
      </c>
      <c r="U160" s="119">
        <v>462</v>
      </c>
      <c r="V160" s="62">
        <f>U160*J160</f>
        <v>2310</v>
      </c>
      <c r="W160" s="63">
        <f ca="1">$W$4-A160</f>
        <v>75</v>
      </c>
      <c r="X160" s="52" t="str">
        <f ca="1">VLOOKUP(W160,$AA$2:$AB$6,2)</f>
        <v>&lt; 6 Months</v>
      </c>
      <c r="Y160" s="52" t="str">
        <f ca="1">VLOOKUP(W160,$AD$2:$AE$6,2)</f>
        <v>60-90 Days</v>
      </c>
    </row>
    <row r="161" spans="1:25" s="64" customFormat="1" ht="15" customHeight="1">
      <c r="A161" s="127" t="s">
        <v>1501</v>
      </c>
      <c r="B161" s="45" t="s">
        <v>245</v>
      </c>
      <c r="C161" s="45" t="s">
        <v>1516</v>
      </c>
      <c r="D161" s="43" t="s">
        <v>528</v>
      </c>
      <c r="E161" s="43" t="s">
        <v>1517</v>
      </c>
      <c r="F161" s="43" t="s">
        <v>1518</v>
      </c>
      <c r="G161" s="41">
        <v>183177</v>
      </c>
      <c r="H161" s="116">
        <v>1</v>
      </c>
      <c r="I161" s="41">
        <v>10</v>
      </c>
      <c r="J161" s="98">
        <f>I161*H161</f>
        <v>10</v>
      </c>
      <c r="K161" s="60" t="s">
        <v>867</v>
      </c>
      <c r="L161" s="60" t="s">
        <v>1335</v>
      </c>
      <c r="M161" s="60" t="str" cm="1">
        <f t="array" ref="M161:N161">VLOOKUP(Q161,[1]CFPL!$A:$D,{3,4},0)</f>
        <v>PREMIUM NUTS</v>
      </c>
      <c r="N161" s="60" t="str">
        <v>Macadamia Nuts</v>
      </c>
      <c r="O161" s="60" t="s">
        <v>1335</v>
      </c>
      <c r="P161" s="60" t="s">
        <v>1340</v>
      </c>
      <c r="Q161" s="60" t="s">
        <v>1340</v>
      </c>
      <c r="R161" s="45" t="s">
        <v>516</v>
      </c>
      <c r="S161" s="45" t="s">
        <v>6</v>
      </c>
      <c r="T161" s="45" t="s">
        <v>1341</v>
      </c>
      <c r="U161" s="119">
        <v>910</v>
      </c>
      <c r="V161" s="62">
        <f>U161*J161</f>
        <v>9100</v>
      </c>
      <c r="W161" s="63">
        <f ca="1">$W$4-A161</f>
        <v>75</v>
      </c>
      <c r="X161" s="52" t="str">
        <f ca="1">VLOOKUP(W161,$AA$2:$AB$6,2)</f>
        <v>&lt; 6 Months</v>
      </c>
      <c r="Y161" s="52" t="str">
        <f ca="1">VLOOKUP(W161,$AD$2:$AE$6,2)</f>
        <v>60-90 Days</v>
      </c>
    </row>
    <row r="162" spans="1:25" s="64" customFormat="1" ht="15" customHeight="1">
      <c r="A162" s="127" t="s">
        <v>1501</v>
      </c>
      <c r="B162" s="45" t="s">
        <v>245</v>
      </c>
      <c r="C162" s="45" t="s">
        <v>1516</v>
      </c>
      <c r="D162" s="43" t="s">
        <v>528</v>
      </c>
      <c r="E162" s="43" t="s">
        <v>1519</v>
      </c>
      <c r="F162" s="43" t="s">
        <v>1517</v>
      </c>
      <c r="G162" s="41">
        <v>183176</v>
      </c>
      <c r="H162" s="116">
        <v>2</v>
      </c>
      <c r="I162" s="41">
        <v>10</v>
      </c>
      <c r="J162" s="98">
        <f>I162*H162</f>
        <v>20</v>
      </c>
      <c r="K162" s="60" t="s">
        <v>867</v>
      </c>
      <c r="L162" s="60" t="s">
        <v>1333</v>
      </c>
      <c r="M162" s="60" t="str" cm="1">
        <f t="array" ref="M162:N162">VLOOKUP(Q162,[1]CFPL!$A:$D,{3,4},0)</f>
        <v>PREMIUM NUTS</v>
      </c>
      <c r="N162" s="60" t="str">
        <v>Macadamia Nuts</v>
      </c>
      <c r="O162" s="60" t="s">
        <v>1333</v>
      </c>
      <c r="P162" s="60" t="s">
        <v>1339</v>
      </c>
      <c r="Q162" s="60" t="s">
        <v>1339</v>
      </c>
      <c r="R162" s="45" t="s">
        <v>516</v>
      </c>
      <c r="S162" s="45" t="s">
        <v>6</v>
      </c>
      <c r="T162" s="45" t="s">
        <v>1341</v>
      </c>
      <c r="U162" s="119">
        <v>1785</v>
      </c>
      <c r="V162" s="62">
        <f>U162*J162</f>
        <v>35700</v>
      </c>
      <c r="W162" s="63">
        <f ca="1">$W$4-A162</f>
        <v>75</v>
      </c>
      <c r="X162" s="52" t="str">
        <f ca="1">VLOOKUP(W162,$AA$2:$AB$6,2)</f>
        <v>&lt; 6 Months</v>
      </c>
      <c r="Y162" s="52" t="str">
        <f ca="1">VLOOKUP(W162,$AD$2:$AE$6,2)</f>
        <v>60-90 Days</v>
      </c>
    </row>
    <row r="163" spans="1:25" s="64" customFormat="1" ht="15" customHeight="1">
      <c r="A163" s="127" t="s">
        <v>1501</v>
      </c>
      <c r="B163" s="45" t="s">
        <v>245</v>
      </c>
      <c r="C163" s="45" t="s">
        <v>1516</v>
      </c>
      <c r="D163" s="43" t="s">
        <v>528</v>
      </c>
      <c r="E163" s="43" t="s">
        <v>1517</v>
      </c>
      <c r="F163" s="43" t="s">
        <v>1520</v>
      </c>
      <c r="G163" s="41">
        <v>183175</v>
      </c>
      <c r="H163" s="116">
        <v>2</v>
      </c>
      <c r="I163" s="41">
        <v>10</v>
      </c>
      <c r="J163" s="98">
        <f>I163*H163</f>
        <v>20</v>
      </c>
      <c r="K163" s="60" t="s">
        <v>867</v>
      </c>
      <c r="L163" s="60" t="s">
        <v>1347</v>
      </c>
      <c r="M163" s="60" t="str" cm="1">
        <f t="array" ref="M163:N163">VLOOKUP(Q163,[1]CFPL!$A:$D,{3,4},0)</f>
        <v>PREMIUM NUTS</v>
      </c>
      <c r="N163" s="60" t="str">
        <v>Macadamia Nuts</v>
      </c>
      <c r="O163" s="60" t="s">
        <v>1334</v>
      </c>
      <c r="P163" s="60" t="s">
        <v>1338</v>
      </c>
      <c r="Q163" s="60" t="s">
        <v>1338</v>
      </c>
      <c r="R163" s="45" t="s">
        <v>516</v>
      </c>
      <c r="S163" s="45" t="s">
        <v>6</v>
      </c>
      <c r="T163" s="45" t="s">
        <v>1341</v>
      </c>
      <c r="U163" s="119">
        <v>1785</v>
      </c>
      <c r="V163" s="62">
        <f>U163*J163</f>
        <v>35700</v>
      </c>
      <c r="W163" s="63">
        <f ca="1">$W$4-A163</f>
        <v>75</v>
      </c>
      <c r="X163" s="52" t="str">
        <f ca="1">VLOOKUP(W163,$AA$2:$AB$6,2)</f>
        <v>&lt; 6 Months</v>
      </c>
      <c r="Y163" s="52" t="str">
        <f ca="1">VLOOKUP(W163,$AD$2:$AE$6,2)</f>
        <v>60-90 Days</v>
      </c>
    </row>
    <row r="164" spans="1:25" s="64" customFormat="1" ht="15" customHeight="1">
      <c r="A164" s="127" t="s">
        <v>1501</v>
      </c>
      <c r="B164" s="45" t="s">
        <v>245</v>
      </c>
      <c r="C164" s="45" t="s">
        <v>1516</v>
      </c>
      <c r="D164" s="43" t="s">
        <v>528</v>
      </c>
      <c r="E164" s="43" t="s">
        <v>1517</v>
      </c>
      <c r="F164" s="43" t="s">
        <v>1521</v>
      </c>
      <c r="G164" s="41">
        <v>183174</v>
      </c>
      <c r="H164" s="116">
        <v>2</v>
      </c>
      <c r="I164" s="41">
        <v>10</v>
      </c>
      <c r="J164" s="98">
        <f>I164*H164</f>
        <v>20</v>
      </c>
      <c r="K164" s="60" t="s">
        <v>867</v>
      </c>
      <c r="L164" s="60" t="s">
        <v>1336</v>
      </c>
      <c r="M164" s="60" t="str" cm="1">
        <f t="array" ref="M164:N164">VLOOKUP(Q164,[1]CFPL!$A:$D,{3,4},0)</f>
        <v>PREMIUM NUTS</v>
      </c>
      <c r="N164" s="60" t="str">
        <v>Macadamia Nuts</v>
      </c>
      <c r="O164" s="60" t="s">
        <v>1336</v>
      </c>
      <c r="P164" s="60" t="s">
        <v>1337</v>
      </c>
      <c r="Q164" s="60" t="s">
        <v>1337</v>
      </c>
      <c r="R164" s="45" t="s">
        <v>516</v>
      </c>
      <c r="S164" s="45" t="s">
        <v>6</v>
      </c>
      <c r="T164" s="45" t="s">
        <v>1341</v>
      </c>
      <c r="U164" s="119">
        <v>1785</v>
      </c>
      <c r="V164" s="62">
        <f>U164*J164</f>
        <v>35700</v>
      </c>
      <c r="W164" s="63">
        <f ca="1">$W$4-A164</f>
        <v>75</v>
      </c>
      <c r="X164" s="52" t="str">
        <f ca="1">VLOOKUP(W164,$AA$2:$AB$6,2)</f>
        <v>&lt; 6 Months</v>
      </c>
      <c r="Y164" s="52" t="str">
        <f ca="1">VLOOKUP(W164,$AD$2:$AE$6,2)</f>
        <v>60-90 Days</v>
      </c>
    </row>
    <row r="165" spans="1:25" s="64" customFormat="1" ht="15" customHeight="1">
      <c r="A165" s="127" t="s">
        <v>1501</v>
      </c>
      <c r="B165" s="45" t="s">
        <v>245</v>
      </c>
      <c r="C165" s="45" t="s">
        <v>1516</v>
      </c>
      <c r="D165" s="43" t="s">
        <v>528</v>
      </c>
      <c r="E165" s="43" t="s">
        <v>589</v>
      </c>
      <c r="F165" s="43" t="s">
        <v>1522</v>
      </c>
      <c r="G165" s="41">
        <v>183173</v>
      </c>
      <c r="H165" s="116">
        <v>1</v>
      </c>
      <c r="I165" s="41">
        <v>10</v>
      </c>
      <c r="J165" s="98">
        <f>I165*H165</f>
        <v>10</v>
      </c>
      <c r="K165" s="60" t="s">
        <v>867</v>
      </c>
      <c r="L165" s="60" t="s">
        <v>853</v>
      </c>
      <c r="M165" s="60" t="str" cm="1">
        <f t="array" ref="M165:N165">VLOOKUP(Q165,[1]CFPL!$A:$D,{3,4},0)</f>
        <v>PREMIUM NUTS</v>
      </c>
      <c r="N165" s="60" t="str">
        <v>Macadamia Nuts</v>
      </c>
      <c r="O165" s="60" t="s">
        <v>1015</v>
      </c>
      <c r="P165" s="60" t="s">
        <v>65</v>
      </c>
      <c r="Q165" s="60" t="s">
        <v>571</v>
      </c>
      <c r="R165" s="45" t="s">
        <v>516</v>
      </c>
      <c r="S165" s="45" t="s">
        <v>6</v>
      </c>
      <c r="T165" s="45">
        <v>0</v>
      </c>
      <c r="U165" s="119">
        <v>625</v>
      </c>
      <c r="V165" s="62">
        <f>U165*J165</f>
        <v>6250</v>
      </c>
      <c r="W165" s="63">
        <f ca="1">$W$4-A165</f>
        <v>75</v>
      </c>
      <c r="X165" s="52" t="str">
        <f ca="1">VLOOKUP(W165,$AA$2:$AB$6,2)</f>
        <v>&lt; 6 Months</v>
      </c>
      <c r="Y165" s="52" t="str">
        <f ca="1">VLOOKUP(W165,$AD$2:$AE$6,2)</f>
        <v>60-90 Days</v>
      </c>
    </row>
    <row r="166" spans="1:25" s="64" customFormat="1" ht="15" customHeight="1">
      <c r="A166" s="127" t="s">
        <v>1501</v>
      </c>
      <c r="B166" s="45" t="s">
        <v>245</v>
      </c>
      <c r="C166" s="45" t="s">
        <v>1516</v>
      </c>
      <c r="D166" s="43" t="s">
        <v>621</v>
      </c>
      <c r="E166" s="43" t="s">
        <v>365</v>
      </c>
      <c r="F166" s="43" t="s">
        <v>1525</v>
      </c>
      <c r="G166" s="41">
        <v>183172</v>
      </c>
      <c r="H166" s="116">
        <v>9</v>
      </c>
      <c r="I166" s="41">
        <v>13.6</v>
      </c>
      <c r="J166" s="98">
        <f>I166*H166</f>
        <v>122.39999999999999</v>
      </c>
      <c r="K166" s="60" t="s">
        <v>79</v>
      </c>
      <c r="L166" s="60" t="s">
        <v>848</v>
      </c>
      <c r="M166" s="60" t="str" cm="1">
        <f t="array" ref="M166:N166">VLOOKUP(Q166,[1]CFPL!$A:$D,{3,4},0)</f>
        <v>PREMIUM NUTS</v>
      </c>
      <c r="N166" s="60" t="str">
        <v>Pecan Nuts</v>
      </c>
      <c r="O166" s="60" t="s">
        <v>617</v>
      </c>
      <c r="P166" s="60" t="s">
        <v>1563</v>
      </c>
      <c r="Q166" s="60" t="s">
        <v>80</v>
      </c>
      <c r="R166" s="45" t="s">
        <v>516</v>
      </c>
      <c r="S166" s="45" t="s">
        <v>6</v>
      </c>
      <c r="T166" s="45">
        <v>0</v>
      </c>
      <c r="U166" s="119">
        <v>1380</v>
      </c>
      <c r="V166" s="62">
        <f>U166*J166</f>
        <v>168912</v>
      </c>
      <c r="W166" s="63">
        <f ca="1">$W$4-A166</f>
        <v>75</v>
      </c>
      <c r="X166" s="52" t="str">
        <f ca="1">VLOOKUP(W166,$AA$2:$AB$6,2)</f>
        <v>&lt; 6 Months</v>
      </c>
      <c r="Y166" s="52" t="str">
        <f ca="1">VLOOKUP(W166,$AD$2:$AE$6,2)</f>
        <v>60-90 Days</v>
      </c>
    </row>
    <row r="167" spans="1:25" s="64" customFormat="1" ht="15" customHeight="1">
      <c r="A167" s="127" t="s">
        <v>1501</v>
      </c>
      <c r="B167" s="45" t="s">
        <v>258</v>
      </c>
      <c r="C167" s="45" t="s">
        <v>1502</v>
      </c>
      <c r="D167" s="43" t="s">
        <v>293</v>
      </c>
      <c r="E167" s="43" t="s">
        <v>1507</v>
      </c>
      <c r="F167" s="43" t="s">
        <v>1508</v>
      </c>
      <c r="G167" s="41">
        <v>13790</v>
      </c>
      <c r="H167" s="116">
        <v>1</v>
      </c>
      <c r="I167" s="41">
        <v>5</v>
      </c>
      <c r="J167" s="98">
        <f>I167*H167</f>
        <v>5</v>
      </c>
      <c r="K167" s="60" t="s">
        <v>177</v>
      </c>
      <c r="L167" s="60" t="s">
        <v>1065</v>
      </c>
      <c r="M167" s="60" t="str" cm="1">
        <f t="array" ref="M167:N167">VLOOKUP(Q167,[1]CFPL!$A:$D,{3,4},0)</f>
        <v>DATES</v>
      </c>
      <c r="N167" s="60" t="str">
        <v>Khidri</v>
      </c>
      <c r="O167" s="60" t="s">
        <v>1429</v>
      </c>
      <c r="P167" s="60" t="s">
        <v>562</v>
      </c>
      <c r="Q167" s="60" t="s">
        <v>562</v>
      </c>
      <c r="R167" s="45" t="s">
        <v>516</v>
      </c>
      <c r="S167" s="45" t="s">
        <v>6</v>
      </c>
      <c r="T167" s="45" t="s">
        <v>287</v>
      </c>
      <c r="U167" s="119">
        <v>732</v>
      </c>
      <c r="V167" s="62">
        <f>U167*J167</f>
        <v>3660</v>
      </c>
      <c r="W167" s="63">
        <f ca="1">$W$4-A167</f>
        <v>75</v>
      </c>
      <c r="X167" s="52" t="str">
        <f ca="1">VLOOKUP(W167,$AA$2:$AB$6,2)</f>
        <v>&lt; 6 Months</v>
      </c>
      <c r="Y167" s="52" t="str">
        <f ca="1">VLOOKUP(W167,$AD$2:$AE$6,2)</f>
        <v>60-90 Days</v>
      </c>
    </row>
    <row r="168" spans="1:25" s="64" customFormat="1" ht="15" customHeight="1">
      <c r="A168" s="127" t="s">
        <v>1501</v>
      </c>
      <c r="B168" s="45" t="s">
        <v>258</v>
      </c>
      <c r="C168" s="45" t="s">
        <v>1502</v>
      </c>
      <c r="D168" s="43" t="s">
        <v>485</v>
      </c>
      <c r="E168" s="43" t="s">
        <v>559</v>
      </c>
      <c r="F168" s="43" t="s">
        <v>1509</v>
      </c>
      <c r="G168" s="41">
        <v>13789</v>
      </c>
      <c r="H168" s="116">
        <v>1</v>
      </c>
      <c r="I168" s="41">
        <v>5</v>
      </c>
      <c r="J168" s="98">
        <f>I168*H168</f>
        <v>5</v>
      </c>
      <c r="K168" s="60" t="s">
        <v>177</v>
      </c>
      <c r="L168" s="60" t="s">
        <v>915</v>
      </c>
      <c r="M168" s="60" t="str" cm="1">
        <f t="array" ref="M168:N168">VLOOKUP(Q168,[1]CFPL!$A:$D,{3,4},0)</f>
        <v>DATES</v>
      </c>
      <c r="N168" s="60" t="str">
        <v>Khidri</v>
      </c>
      <c r="O168" s="60" t="s">
        <v>1429</v>
      </c>
      <c r="P168" s="60" t="s">
        <v>180</v>
      </c>
      <c r="Q168" s="60" t="s">
        <v>490</v>
      </c>
      <c r="R168" s="45" t="s">
        <v>516</v>
      </c>
      <c r="S168" s="45" t="s">
        <v>6</v>
      </c>
      <c r="T168" s="45" t="s">
        <v>287</v>
      </c>
      <c r="U168" s="119">
        <v>403</v>
      </c>
      <c r="V168" s="62">
        <f>U168*J168</f>
        <v>2015</v>
      </c>
      <c r="W168" s="63">
        <f ca="1">$W$4-A168</f>
        <v>75</v>
      </c>
      <c r="X168" s="52" t="str">
        <f ca="1">VLOOKUP(W168,$AA$2:$AB$6,2)</f>
        <v>&lt; 6 Months</v>
      </c>
      <c r="Y168" s="52" t="str">
        <f ca="1">VLOOKUP(W168,$AD$2:$AE$6,2)</f>
        <v>60-90 Days</v>
      </c>
    </row>
    <row r="169" spans="1:25" s="64" customFormat="1" ht="15" customHeight="1">
      <c r="A169" s="127" t="s">
        <v>1526</v>
      </c>
      <c r="B169" s="45" t="s">
        <v>245</v>
      </c>
      <c r="C169" s="45" t="s">
        <v>1527</v>
      </c>
      <c r="D169" s="43" t="s">
        <v>644</v>
      </c>
      <c r="E169" s="43" t="s">
        <v>1180</v>
      </c>
      <c r="F169" s="43" t="s">
        <v>771</v>
      </c>
      <c r="G169" s="41">
        <v>183833</v>
      </c>
      <c r="H169" s="116">
        <v>299</v>
      </c>
      <c r="I169" s="41">
        <v>11.34</v>
      </c>
      <c r="J169" s="98">
        <f>I169*H169</f>
        <v>3390.66</v>
      </c>
      <c r="K169" s="60" t="s">
        <v>51</v>
      </c>
      <c r="L169" s="60" t="s">
        <v>645</v>
      </c>
      <c r="M169" s="60" t="str" cm="1">
        <f t="array" ref="M169:N169">VLOOKUP(Q169,[1]CFPL!$A:$D,{3,4},0)</f>
        <v>CRANBERRY</v>
      </c>
      <c r="N169" s="60" t="str">
        <v>Cranberry - Sliced</v>
      </c>
      <c r="O169" s="60" t="s">
        <v>645</v>
      </c>
      <c r="P169" s="60" t="s">
        <v>1473</v>
      </c>
      <c r="Q169" s="60" t="s">
        <v>52</v>
      </c>
      <c r="R169" s="45" t="s">
        <v>516</v>
      </c>
      <c r="S169" s="45" t="s">
        <v>6</v>
      </c>
      <c r="T169" s="45" t="s">
        <v>255</v>
      </c>
      <c r="U169" s="119">
        <v>385</v>
      </c>
      <c r="V169" s="62">
        <f>U169*J169</f>
        <v>1305404.0999999999</v>
      </c>
      <c r="W169" s="63">
        <f ca="1">$W$4-A169</f>
        <v>68</v>
      </c>
      <c r="X169" s="52" t="str">
        <f ca="1">VLOOKUP(W169,$AA$2:$AB$6,2)</f>
        <v>&lt; 6 Months</v>
      </c>
      <c r="Y169" s="52" t="str">
        <f ca="1">VLOOKUP(W169,$AD$2:$AE$6,2)</f>
        <v>60-90 Days</v>
      </c>
    </row>
    <row r="170" spans="1:25" s="64" customFormat="1" ht="15" customHeight="1">
      <c r="A170" s="127" t="s">
        <v>1528</v>
      </c>
      <c r="B170" s="45" t="s">
        <v>245</v>
      </c>
      <c r="C170" s="45" t="s">
        <v>1529</v>
      </c>
      <c r="D170" s="43" t="s">
        <v>1530</v>
      </c>
      <c r="E170" s="43" t="s">
        <v>365</v>
      </c>
      <c r="F170" s="43" t="s">
        <v>248</v>
      </c>
      <c r="G170" s="41">
        <v>184056</v>
      </c>
      <c r="H170" s="116">
        <v>40</v>
      </c>
      <c r="I170" s="41">
        <v>25</v>
      </c>
      <c r="J170" s="98">
        <f>I170*H170</f>
        <v>1000</v>
      </c>
      <c r="K170" s="60" t="s">
        <v>762</v>
      </c>
      <c r="L170" s="60" t="s">
        <v>868</v>
      </c>
      <c r="M170" s="60" t="str" cm="1">
        <f t="array" ref="M170:N170">VLOOKUP(Q170,[1]CFPL!$A:$D,{3,4},0)</f>
        <v>SEEDS</v>
      </c>
      <c r="N170" s="60" t="str">
        <v>Sunflower</v>
      </c>
      <c r="O170" s="60" t="s">
        <v>762</v>
      </c>
      <c r="P170" s="60" t="s">
        <v>923</v>
      </c>
      <c r="Q170" s="60" t="s">
        <v>923</v>
      </c>
      <c r="R170" s="45" t="s">
        <v>516</v>
      </c>
      <c r="S170" s="45" t="s">
        <v>6</v>
      </c>
      <c r="T170" s="45">
        <v>0</v>
      </c>
      <c r="U170" s="119">
        <v>140</v>
      </c>
      <c r="V170" s="62">
        <f>U170*J170</f>
        <v>140000</v>
      </c>
      <c r="W170" s="63">
        <f ca="1">$W$4-A170</f>
        <v>66</v>
      </c>
      <c r="X170" s="52" t="str">
        <f ca="1">VLOOKUP(W170,$AA$2:$AB$6,2)</f>
        <v>&lt; 6 Months</v>
      </c>
      <c r="Y170" s="52" t="str">
        <f ca="1">VLOOKUP(W170,$AD$2:$AE$6,2)</f>
        <v>60-90 Days</v>
      </c>
    </row>
    <row r="171" spans="1:25" s="64" customFormat="1" ht="15" customHeight="1">
      <c r="A171" s="127" t="s">
        <v>1547</v>
      </c>
      <c r="B171" s="45" t="s">
        <v>258</v>
      </c>
      <c r="C171" s="45" t="s">
        <v>1539</v>
      </c>
      <c r="D171" s="43" t="s">
        <v>270</v>
      </c>
      <c r="E171" s="43" t="s">
        <v>1540</v>
      </c>
      <c r="F171" s="43" t="s">
        <v>1363</v>
      </c>
      <c r="G171" s="41">
        <v>14226</v>
      </c>
      <c r="H171" s="116">
        <v>121</v>
      </c>
      <c r="I171" s="41">
        <v>5</v>
      </c>
      <c r="J171" s="98">
        <f>I171*H171</f>
        <v>605</v>
      </c>
      <c r="K171" s="60" t="s">
        <v>190</v>
      </c>
      <c r="L171" s="60" t="s">
        <v>860</v>
      </c>
      <c r="M171" s="60" t="str" cm="1">
        <f t="array" ref="M171:N171">VLOOKUP(Q171,[1]CFPL!$A:$D,{3,4},0)</f>
        <v>DATES</v>
      </c>
      <c r="N171" s="60" t="str">
        <v>Medjoul-Medium</v>
      </c>
      <c r="O171" s="60" t="s">
        <v>295</v>
      </c>
      <c r="P171" s="60" t="s">
        <v>205</v>
      </c>
      <c r="Q171" s="60" t="s">
        <v>602</v>
      </c>
      <c r="R171" s="45" t="s">
        <v>516</v>
      </c>
      <c r="S171" s="45" t="s">
        <v>6</v>
      </c>
      <c r="T171" s="45" t="s">
        <v>274</v>
      </c>
      <c r="U171" s="119">
        <v>753.28</v>
      </c>
      <c r="V171" s="62">
        <f>U171*J171</f>
        <v>455734.39999999997</v>
      </c>
      <c r="W171" s="63">
        <f ca="1">$W$4-A171</f>
        <v>63</v>
      </c>
      <c r="X171" s="52" t="str">
        <f ca="1">VLOOKUP(W171,$AA$2:$AB$6,2)</f>
        <v>&lt; 6 Months</v>
      </c>
      <c r="Y171" s="52" t="str">
        <f ca="1">VLOOKUP(W171,$AD$2:$AE$6,2)</f>
        <v>60-90 Days</v>
      </c>
    </row>
    <row r="172" spans="1:25" s="64" customFormat="1" ht="15" customHeight="1">
      <c r="A172" s="127" t="s">
        <v>1548</v>
      </c>
      <c r="B172" s="45" t="s">
        <v>245</v>
      </c>
      <c r="C172" s="45" t="s">
        <v>1549</v>
      </c>
      <c r="D172" s="43" t="s">
        <v>1322</v>
      </c>
      <c r="E172" s="43" t="s">
        <v>1554</v>
      </c>
      <c r="F172" s="43" t="s">
        <v>327</v>
      </c>
      <c r="G172" s="41">
        <v>184767</v>
      </c>
      <c r="H172" s="116">
        <v>76</v>
      </c>
      <c r="I172" s="41">
        <v>11.182</v>
      </c>
      <c r="J172" s="98">
        <f>I172*H172</f>
        <v>849.83199999999999</v>
      </c>
      <c r="K172" s="60" t="s">
        <v>83</v>
      </c>
      <c r="L172" s="60" t="s">
        <v>1555</v>
      </c>
      <c r="M172" s="60" t="str" cm="1">
        <f t="array" ref="M172:N172">VLOOKUP(Q172,[1]CFPL!$A:$D,{3,4},0)</f>
        <v>PISTA</v>
      </c>
      <c r="N172" s="60" t="str">
        <v>Pista - Inshell</v>
      </c>
      <c r="O172" s="60" t="s">
        <v>569</v>
      </c>
      <c r="P172" s="60" t="s">
        <v>85</v>
      </c>
      <c r="Q172" s="60" t="s">
        <v>616</v>
      </c>
      <c r="R172" s="45" t="s">
        <v>516</v>
      </c>
      <c r="S172" s="45" t="s">
        <v>6</v>
      </c>
      <c r="T172" s="45" t="s">
        <v>1556</v>
      </c>
      <c r="U172" s="119">
        <v>971</v>
      </c>
      <c r="V172" s="62">
        <f>U172*J172</f>
        <v>825186.87199999997</v>
      </c>
      <c r="W172" s="63">
        <f ca="1">$W$4-A172</f>
        <v>61</v>
      </c>
      <c r="X172" s="52" t="str">
        <f ca="1">VLOOKUP(W172,$AA$2:$AB$6,2)</f>
        <v>&lt; 6 Months</v>
      </c>
      <c r="Y172" s="52" t="str">
        <f ca="1">VLOOKUP(W172,$AD$2:$AE$6,2)</f>
        <v>60-90 Days</v>
      </c>
    </row>
    <row r="173" spans="1:25" s="64" customFormat="1" ht="15" customHeight="1">
      <c r="A173" s="127" t="s">
        <v>1548</v>
      </c>
      <c r="B173" s="45" t="s">
        <v>245</v>
      </c>
      <c r="C173" s="45" t="s">
        <v>1549</v>
      </c>
      <c r="D173" s="43" t="s">
        <v>1322</v>
      </c>
      <c r="E173" s="43" t="s">
        <v>1552</v>
      </c>
      <c r="F173" s="43" t="s">
        <v>1553</v>
      </c>
      <c r="G173" s="41">
        <v>184766</v>
      </c>
      <c r="H173" s="116">
        <v>764</v>
      </c>
      <c r="I173" s="41">
        <v>11.35</v>
      </c>
      <c r="J173" s="98">
        <f>I173*H173</f>
        <v>8671.4</v>
      </c>
      <c r="K173" s="60" t="s">
        <v>83</v>
      </c>
      <c r="L173" s="60" t="s">
        <v>1555</v>
      </c>
      <c r="M173" s="60" t="str" cm="1">
        <f t="array" ref="M173:N173">VLOOKUP(Q173,[1]CFPL!$A:$D,{3,4},0)</f>
        <v>PISTA</v>
      </c>
      <c r="N173" s="60" t="str">
        <v>Pista - Inshell</v>
      </c>
      <c r="O173" s="60" t="s">
        <v>569</v>
      </c>
      <c r="P173" s="60" t="s">
        <v>85</v>
      </c>
      <c r="Q173" s="60" t="s">
        <v>616</v>
      </c>
      <c r="R173" s="45" t="s">
        <v>516</v>
      </c>
      <c r="S173" s="45" t="s">
        <v>6</v>
      </c>
      <c r="T173" s="45" t="s">
        <v>1556</v>
      </c>
      <c r="U173" s="119">
        <v>971</v>
      </c>
      <c r="V173" s="62">
        <f>U173*J173</f>
        <v>8419929.4000000004</v>
      </c>
      <c r="W173" s="63">
        <f ca="1">$W$4-A173</f>
        <v>61</v>
      </c>
      <c r="X173" s="52" t="str">
        <f ca="1">VLOOKUP(W173,$AA$2:$AB$6,2)</f>
        <v>&lt; 6 Months</v>
      </c>
      <c r="Y173" s="52" t="str">
        <f ca="1">VLOOKUP(W173,$AD$2:$AE$6,2)</f>
        <v>60-90 Days</v>
      </c>
    </row>
    <row r="174" spans="1:25" s="64" customFormat="1" ht="15" customHeight="1">
      <c r="A174" s="127" t="s">
        <v>1548</v>
      </c>
      <c r="B174" s="45" t="s">
        <v>245</v>
      </c>
      <c r="C174" s="45" t="s">
        <v>1549</v>
      </c>
      <c r="D174" s="43" t="s">
        <v>1322</v>
      </c>
      <c r="E174" s="43" t="s">
        <v>1550</v>
      </c>
      <c r="F174" s="43" t="s">
        <v>1551</v>
      </c>
      <c r="G174" s="41">
        <v>184646</v>
      </c>
      <c r="H174" s="116">
        <v>33</v>
      </c>
      <c r="I174" s="41">
        <v>11.4</v>
      </c>
      <c r="J174" s="98">
        <f>I174*H174</f>
        <v>376.2</v>
      </c>
      <c r="K174" s="60" t="s">
        <v>83</v>
      </c>
      <c r="L174" s="60" t="s">
        <v>1555</v>
      </c>
      <c r="M174" s="60" t="str" cm="1">
        <f t="array" ref="M174:N174">VLOOKUP(Q174,[1]CFPL!$A:$D,{3,4},0)</f>
        <v>PISTA</v>
      </c>
      <c r="N174" s="60" t="str">
        <v>Pista - Inshell</v>
      </c>
      <c r="O174" s="60" t="s">
        <v>569</v>
      </c>
      <c r="P174" s="60" t="s">
        <v>85</v>
      </c>
      <c r="Q174" s="60" t="s">
        <v>616</v>
      </c>
      <c r="R174" s="45" t="s">
        <v>516</v>
      </c>
      <c r="S174" s="45" t="s">
        <v>6</v>
      </c>
      <c r="T174" s="45" t="s">
        <v>1556</v>
      </c>
      <c r="U174" s="119">
        <v>971</v>
      </c>
      <c r="V174" s="62">
        <f>U174*J174</f>
        <v>365290.2</v>
      </c>
      <c r="W174" s="63">
        <f ca="1">$W$4-A174</f>
        <v>61</v>
      </c>
      <c r="X174" s="52" t="str">
        <f ca="1">VLOOKUP(W174,$AA$2:$AB$6,2)</f>
        <v>&lt; 6 Months</v>
      </c>
      <c r="Y174" s="52" t="str">
        <f ca="1">VLOOKUP(W174,$AD$2:$AE$6,2)</f>
        <v>60-90 Days</v>
      </c>
    </row>
    <row r="175" spans="1:25" s="64" customFormat="1" ht="15" customHeight="1">
      <c r="A175" s="127" t="s">
        <v>1577</v>
      </c>
      <c r="B175" s="45" t="s">
        <v>245</v>
      </c>
      <c r="C175" s="45" t="s">
        <v>1578</v>
      </c>
      <c r="D175" s="43" t="s">
        <v>555</v>
      </c>
      <c r="E175" s="43" t="s">
        <v>1579</v>
      </c>
      <c r="F175" s="43" t="s">
        <v>248</v>
      </c>
      <c r="G175" s="41">
        <v>185896</v>
      </c>
      <c r="H175" s="116">
        <v>26</v>
      </c>
      <c r="I175" s="41">
        <v>15</v>
      </c>
      <c r="J175" s="98">
        <f>I175*H175</f>
        <v>390</v>
      </c>
      <c r="K175" s="60" t="s">
        <v>92</v>
      </c>
      <c r="L175" s="60" t="s">
        <v>537</v>
      </c>
      <c r="M175" s="60" t="str" cm="1">
        <f t="array" ref="M175:N175">VLOOKUP(Q175,[1]CFPL!$A:$D,{3,4},0)</f>
        <v>RAISIN</v>
      </c>
      <c r="N175" s="60" t="str">
        <v>Raisin - Indian</v>
      </c>
      <c r="O175" s="60" t="s">
        <v>844</v>
      </c>
      <c r="P175" s="60" t="s">
        <v>93</v>
      </c>
      <c r="Q175" s="60" t="s">
        <v>93</v>
      </c>
      <c r="R175" s="45" t="s">
        <v>516</v>
      </c>
      <c r="S175" s="45" t="s">
        <v>6</v>
      </c>
      <c r="T175" s="45" t="s">
        <v>255</v>
      </c>
      <c r="U175" s="119">
        <v>351</v>
      </c>
      <c r="V175" s="62">
        <f>U175*J175</f>
        <v>136890</v>
      </c>
      <c r="W175" s="63">
        <f ca="1">$W$4-A175</f>
        <v>50</v>
      </c>
      <c r="X175" s="52" t="str">
        <f ca="1">VLOOKUP(W175,$AA$2:$AB$6,2)</f>
        <v>&lt; 6 Months</v>
      </c>
      <c r="Y175" s="52" t="str">
        <f ca="1">VLOOKUP(W175,$AD$2:$AE$6,2)</f>
        <v>30-60 Days</v>
      </c>
    </row>
    <row r="176" spans="1:25" s="64" customFormat="1" ht="15" customHeight="1">
      <c r="A176" s="127" t="s">
        <v>1577</v>
      </c>
      <c r="B176" s="45" t="s">
        <v>245</v>
      </c>
      <c r="C176" s="45" t="s">
        <v>1578</v>
      </c>
      <c r="D176" s="43" t="s">
        <v>555</v>
      </c>
      <c r="E176" s="43" t="s">
        <v>1592</v>
      </c>
      <c r="F176" s="43" t="s">
        <v>248</v>
      </c>
      <c r="G176" s="41">
        <v>185897</v>
      </c>
      <c r="H176" s="116">
        <v>34</v>
      </c>
      <c r="I176" s="41">
        <v>15</v>
      </c>
      <c r="J176" s="98">
        <f>I176*H176</f>
        <v>510</v>
      </c>
      <c r="K176" s="60" t="s">
        <v>92</v>
      </c>
      <c r="L176" s="60" t="s">
        <v>537</v>
      </c>
      <c r="M176" s="60" t="str" cm="1">
        <f t="array" ref="M176:N176">VLOOKUP(Q176,[1]CFPL!$A:$D,{3,4},0)</f>
        <v>RAISIN</v>
      </c>
      <c r="N176" s="60" t="str">
        <v>Raisin - Indian</v>
      </c>
      <c r="O176" s="60" t="s">
        <v>844</v>
      </c>
      <c r="P176" s="60" t="s">
        <v>93</v>
      </c>
      <c r="Q176" s="60" t="s">
        <v>93</v>
      </c>
      <c r="R176" s="45" t="s">
        <v>516</v>
      </c>
      <c r="S176" s="45" t="s">
        <v>6</v>
      </c>
      <c r="T176" s="45" t="s">
        <v>255</v>
      </c>
      <c r="U176" s="119">
        <v>351</v>
      </c>
      <c r="V176" s="62">
        <f>U176*J176</f>
        <v>179010</v>
      </c>
      <c r="W176" s="63">
        <f ca="1">$W$4-A176</f>
        <v>50</v>
      </c>
      <c r="X176" s="52" t="str">
        <f ca="1">VLOOKUP(W176,$AA$2:$AB$6,2)</f>
        <v>&lt; 6 Months</v>
      </c>
      <c r="Y176" s="52" t="str">
        <f ca="1">VLOOKUP(W176,$AD$2:$AE$6,2)</f>
        <v>30-60 Days</v>
      </c>
    </row>
    <row r="177" spans="1:25" s="64" customFormat="1" ht="15" customHeight="1">
      <c r="A177" s="127" t="s">
        <v>1577</v>
      </c>
      <c r="B177" s="45" t="s">
        <v>245</v>
      </c>
      <c r="C177" s="45" t="s">
        <v>1578</v>
      </c>
      <c r="D177" s="43" t="s">
        <v>555</v>
      </c>
      <c r="E177" s="43" t="s">
        <v>1581</v>
      </c>
      <c r="F177" s="43" t="s">
        <v>248</v>
      </c>
      <c r="G177" s="41">
        <v>185899</v>
      </c>
      <c r="H177" s="116">
        <v>10</v>
      </c>
      <c r="I177" s="41">
        <v>15</v>
      </c>
      <c r="J177" s="98">
        <f>I177*H177</f>
        <v>150</v>
      </c>
      <c r="K177" s="60" t="s">
        <v>92</v>
      </c>
      <c r="L177" s="60" t="s">
        <v>537</v>
      </c>
      <c r="M177" s="60" t="str" cm="1">
        <f t="array" ref="M177:N177">VLOOKUP(Q177,[1]CFPL!$A:$D,{3,4},0)</f>
        <v>RAISIN</v>
      </c>
      <c r="N177" s="60" t="str">
        <v>Raisin - Indian</v>
      </c>
      <c r="O177" s="60" t="s">
        <v>844</v>
      </c>
      <c r="P177" s="60" t="s">
        <v>93</v>
      </c>
      <c r="Q177" s="60" t="s">
        <v>93</v>
      </c>
      <c r="R177" s="45" t="s">
        <v>516</v>
      </c>
      <c r="S177" s="45" t="s">
        <v>6</v>
      </c>
      <c r="T177" s="45" t="s">
        <v>255</v>
      </c>
      <c r="U177" s="119">
        <v>355</v>
      </c>
      <c r="V177" s="62">
        <f>U177*J177</f>
        <v>53250</v>
      </c>
      <c r="W177" s="63">
        <f ca="1">$W$4-A177</f>
        <v>50</v>
      </c>
      <c r="X177" s="52" t="str">
        <f ca="1">VLOOKUP(W177,$AA$2:$AB$6,2)</f>
        <v>&lt; 6 Months</v>
      </c>
      <c r="Y177" s="52" t="str">
        <f ca="1">VLOOKUP(W177,$AD$2:$AE$6,2)</f>
        <v>30-60 Days</v>
      </c>
    </row>
    <row r="178" spans="1:25" s="64" customFormat="1" ht="15" customHeight="1">
      <c r="A178" s="127" t="s">
        <v>1577</v>
      </c>
      <c r="B178" s="45" t="s">
        <v>245</v>
      </c>
      <c r="C178" s="45" t="s">
        <v>1578</v>
      </c>
      <c r="D178" s="43" t="s">
        <v>555</v>
      </c>
      <c r="E178" s="43" t="s">
        <v>1582</v>
      </c>
      <c r="F178" s="43" t="s">
        <v>248</v>
      </c>
      <c r="G178" s="41">
        <v>185900</v>
      </c>
      <c r="H178" s="116">
        <v>15</v>
      </c>
      <c r="I178" s="41">
        <v>15</v>
      </c>
      <c r="J178" s="98">
        <f>I178*H178</f>
        <v>225</v>
      </c>
      <c r="K178" s="60" t="s">
        <v>92</v>
      </c>
      <c r="L178" s="60" t="s">
        <v>537</v>
      </c>
      <c r="M178" s="60" t="str" cm="1">
        <f t="array" ref="M178:N178">VLOOKUP(Q178,[1]CFPL!$A:$D,{3,4},0)</f>
        <v>RAISIN</v>
      </c>
      <c r="N178" s="60" t="str">
        <v>Raisin - Indian</v>
      </c>
      <c r="O178" s="60" t="s">
        <v>844</v>
      </c>
      <c r="P178" s="60" t="s">
        <v>93</v>
      </c>
      <c r="Q178" s="60" t="s">
        <v>93</v>
      </c>
      <c r="R178" s="45" t="s">
        <v>516</v>
      </c>
      <c r="S178" s="45" t="s">
        <v>6</v>
      </c>
      <c r="T178" s="45" t="s">
        <v>255</v>
      </c>
      <c r="U178" s="119">
        <v>362</v>
      </c>
      <c r="V178" s="62">
        <f>U178*J178</f>
        <v>81450</v>
      </c>
      <c r="W178" s="63">
        <f ca="1">$W$4-A178</f>
        <v>50</v>
      </c>
      <c r="X178" s="52" t="str">
        <f ca="1">VLOOKUP(W178,$AA$2:$AB$6,2)</f>
        <v>&lt; 6 Months</v>
      </c>
      <c r="Y178" s="52" t="str">
        <f ca="1">VLOOKUP(W178,$AD$2:$AE$6,2)</f>
        <v>30-60 Days</v>
      </c>
    </row>
    <row r="179" spans="1:25" s="64" customFormat="1" ht="15" customHeight="1">
      <c r="A179" s="127" t="s">
        <v>1577</v>
      </c>
      <c r="B179" s="45" t="s">
        <v>245</v>
      </c>
      <c r="C179" s="45" t="s">
        <v>1578</v>
      </c>
      <c r="D179" s="43" t="s">
        <v>555</v>
      </c>
      <c r="E179" s="43" t="s">
        <v>1583</v>
      </c>
      <c r="F179" s="43" t="s">
        <v>248</v>
      </c>
      <c r="G179" s="41">
        <v>185902</v>
      </c>
      <c r="H179" s="116">
        <v>16</v>
      </c>
      <c r="I179" s="41">
        <v>15</v>
      </c>
      <c r="J179" s="98">
        <f>I179*H179</f>
        <v>240</v>
      </c>
      <c r="K179" s="60" t="s">
        <v>92</v>
      </c>
      <c r="L179" s="60" t="s">
        <v>537</v>
      </c>
      <c r="M179" s="60" t="str" cm="1">
        <f t="array" ref="M179:N179">VLOOKUP(Q179,[1]CFPL!$A:$D,{3,4},0)</f>
        <v>RAISIN</v>
      </c>
      <c r="N179" s="60" t="str">
        <v>Raisin - Indian</v>
      </c>
      <c r="O179" s="60" t="s">
        <v>844</v>
      </c>
      <c r="P179" s="60" t="s">
        <v>93</v>
      </c>
      <c r="Q179" s="60" t="s">
        <v>93</v>
      </c>
      <c r="R179" s="45" t="s">
        <v>516</v>
      </c>
      <c r="S179" s="45" t="s">
        <v>6</v>
      </c>
      <c r="T179" s="45" t="s">
        <v>255</v>
      </c>
      <c r="U179" s="119">
        <v>356</v>
      </c>
      <c r="V179" s="62">
        <f>U179*J179</f>
        <v>85440</v>
      </c>
      <c r="W179" s="63">
        <f ca="1">$W$4-A179</f>
        <v>50</v>
      </c>
      <c r="X179" s="52" t="str">
        <f ca="1">VLOOKUP(W179,$AA$2:$AB$6,2)</f>
        <v>&lt; 6 Months</v>
      </c>
      <c r="Y179" s="52" t="str">
        <f ca="1">VLOOKUP(W179,$AD$2:$AE$6,2)</f>
        <v>30-60 Days</v>
      </c>
    </row>
    <row r="180" spans="1:25" s="64" customFormat="1" ht="15" customHeight="1">
      <c r="A180" s="127" t="s">
        <v>1577</v>
      </c>
      <c r="B180" s="45" t="s">
        <v>245</v>
      </c>
      <c r="C180" s="45" t="s">
        <v>1578</v>
      </c>
      <c r="D180" s="43" t="s">
        <v>555</v>
      </c>
      <c r="E180" s="43" t="s">
        <v>1584</v>
      </c>
      <c r="F180" s="43" t="s">
        <v>248</v>
      </c>
      <c r="G180" s="41">
        <v>185903</v>
      </c>
      <c r="H180" s="116">
        <v>13</v>
      </c>
      <c r="I180" s="41">
        <v>15</v>
      </c>
      <c r="J180" s="98">
        <f>I180*H180</f>
        <v>195</v>
      </c>
      <c r="K180" s="60" t="s">
        <v>92</v>
      </c>
      <c r="L180" s="60" t="s">
        <v>537</v>
      </c>
      <c r="M180" s="60" t="str" cm="1">
        <f t="array" ref="M180:N180">VLOOKUP(Q180,[1]CFPL!$A:$D,{3,4},0)</f>
        <v>RAISIN</v>
      </c>
      <c r="N180" s="60" t="str">
        <v>Raisin - Indian</v>
      </c>
      <c r="O180" s="60" t="s">
        <v>844</v>
      </c>
      <c r="P180" s="60" t="s">
        <v>93</v>
      </c>
      <c r="Q180" s="60" t="s">
        <v>93</v>
      </c>
      <c r="R180" s="45" t="s">
        <v>516</v>
      </c>
      <c r="S180" s="45" t="s">
        <v>6</v>
      </c>
      <c r="T180" s="45" t="s">
        <v>255</v>
      </c>
      <c r="U180" s="119">
        <v>347</v>
      </c>
      <c r="V180" s="62">
        <f>U180*J180</f>
        <v>67665</v>
      </c>
      <c r="W180" s="63">
        <f ca="1">$W$4-A180</f>
        <v>50</v>
      </c>
      <c r="X180" s="52" t="str">
        <f ca="1">VLOOKUP(W180,$AA$2:$AB$6,2)</f>
        <v>&lt; 6 Months</v>
      </c>
      <c r="Y180" s="52" t="str">
        <f ca="1">VLOOKUP(W180,$AD$2:$AE$6,2)</f>
        <v>30-60 Days</v>
      </c>
    </row>
    <row r="181" spans="1:25" s="64" customFormat="1" ht="15" customHeight="1">
      <c r="A181" s="127" t="s">
        <v>1577</v>
      </c>
      <c r="B181" s="45" t="s">
        <v>245</v>
      </c>
      <c r="C181" s="45" t="s">
        <v>1578</v>
      </c>
      <c r="D181" s="43" t="s">
        <v>555</v>
      </c>
      <c r="E181" s="43" t="s">
        <v>1585</v>
      </c>
      <c r="F181" s="43" t="s">
        <v>248</v>
      </c>
      <c r="G181" s="41">
        <v>185904</v>
      </c>
      <c r="H181" s="116">
        <v>27</v>
      </c>
      <c r="I181" s="41">
        <v>15</v>
      </c>
      <c r="J181" s="98">
        <f>I181*H181</f>
        <v>405</v>
      </c>
      <c r="K181" s="60" t="s">
        <v>92</v>
      </c>
      <c r="L181" s="60" t="s">
        <v>537</v>
      </c>
      <c r="M181" s="60" t="str" cm="1">
        <f t="array" ref="M181:N181">VLOOKUP(Q181,[1]CFPL!$A:$D,{3,4},0)</f>
        <v>RAISIN</v>
      </c>
      <c r="N181" s="60" t="str">
        <v>Raisin - Indian</v>
      </c>
      <c r="O181" s="60" t="s">
        <v>844</v>
      </c>
      <c r="P181" s="60" t="s">
        <v>93</v>
      </c>
      <c r="Q181" s="60" t="s">
        <v>93</v>
      </c>
      <c r="R181" s="45" t="s">
        <v>516</v>
      </c>
      <c r="S181" s="45" t="s">
        <v>6</v>
      </c>
      <c r="T181" s="45" t="s">
        <v>255</v>
      </c>
      <c r="U181" s="119">
        <v>351</v>
      </c>
      <c r="V181" s="62">
        <f>U181*J181</f>
        <v>142155</v>
      </c>
      <c r="W181" s="63">
        <f ca="1">$W$4-A181</f>
        <v>50</v>
      </c>
      <c r="X181" s="52" t="str">
        <f ca="1">VLOOKUP(W181,$AA$2:$AB$6,2)</f>
        <v>&lt; 6 Months</v>
      </c>
      <c r="Y181" s="52" t="str">
        <f ca="1">VLOOKUP(W181,$AD$2:$AE$6,2)</f>
        <v>30-60 Days</v>
      </c>
    </row>
    <row r="182" spans="1:25" s="64" customFormat="1" ht="15" customHeight="1">
      <c r="A182" s="127" t="s">
        <v>1577</v>
      </c>
      <c r="B182" s="45" t="s">
        <v>245</v>
      </c>
      <c r="C182" s="45" t="s">
        <v>1578</v>
      </c>
      <c r="D182" s="43" t="s">
        <v>555</v>
      </c>
      <c r="E182" s="43" t="s">
        <v>1586</v>
      </c>
      <c r="F182" s="43" t="s">
        <v>248</v>
      </c>
      <c r="G182" s="41">
        <v>185905</v>
      </c>
      <c r="H182" s="116">
        <v>18</v>
      </c>
      <c r="I182" s="41">
        <v>15</v>
      </c>
      <c r="J182" s="98">
        <f>I182*H182</f>
        <v>270</v>
      </c>
      <c r="K182" s="60" t="s">
        <v>92</v>
      </c>
      <c r="L182" s="60" t="s">
        <v>537</v>
      </c>
      <c r="M182" s="60" t="str" cm="1">
        <f t="array" ref="M182:N182">VLOOKUP(Q182,[1]CFPL!$A:$D,{3,4},0)</f>
        <v>RAISIN</v>
      </c>
      <c r="N182" s="60" t="str">
        <v>Raisin - Indian</v>
      </c>
      <c r="O182" s="60" t="s">
        <v>844</v>
      </c>
      <c r="P182" s="60" t="s">
        <v>93</v>
      </c>
      <c r="Q182" s="60" t="s">
        <v>93</v>
      </c>
      <c r="R182" s="45" t="s">
        <v>516</v>
      </c>
      <c r="S182" s="45" t="s">
        <v>6</v>
      </c>
      <c r="T182" s="45" t="s">
        <v>255</v>
      </c>
      <c r="U182" s="119">
        <v>349</v>
      </c>
      <c r="V182" s="62">
        <f>U182*J182</f>
        <v>94230</v>
      </c>
      <c r="W182" s="63">
        <f ca="1">$W$4-A182</f>
        <v>50</v>
      </c>
      <c r="X182" s="52" t="str">
        <f ca="1">VLOOKUP(W182,$AA$2:$AB$6,2)</f>
        <v>&lt; 6 Months</v>
      </c>
      <c r="Y182" s="52" t="str">
        <f ca="1">VLOOKUP(W182,$AD$2:$AE$6,2)</f>
        <v>30-60 Days</v>
      </c>
    </row>
    <row r="183" spans="1:25" s="64" customFormat="1" ht="15" customHeight="1">
      <c r="A183" s="127" t="s">
        <v>1577</v>
      </c>
      <c r="B183" s="45" t="s">
        <v>245</v>
      </c>
      <c r="C183" s="45" t="s">
        <v>1578</v>
      </c>
      <c r="D183" s="43" t="s">
        <v>555</v>
      </c>
      <c r="E183" s="43" t="s">
        <v>1580</v>
      </c>
      <c r="F183" s="43" t="s">
        <v>248</v>
      </c>
      <c r="G183" s="41">
        <v>185895</v>
      </c>
      <c r="H183" s="116">
        <v>38</v>
      </c>
      <c r="I183" s="41">
        <v>15</v>
      </c>
      <c r="J183" s="98">
        <f>I183*H183</f>
        <v>570</v>
      </c>
      <c r="K183" s="60" t="s">
        <v>92</v>
      </c>
      <c r="L183" s="60" t="s">
        <v>537</v>
      </c>
      <c r="M183" s="60" t="str" cm="1">
        <f t="array" ref="M183:N183">VLOOKUP(Q183,[1]CFPL!$A:$D,{3,4},0)</f>
        <v>RAISIN</v>
      </c>
      <c r="N183" s="60" t="str">
        <v>Raisin - Indian</v>
      </c>
      <c r="O183" s="60" t="s">
        <v>844</v>
      </c>
      <c r="P183" s="60" t="s">
        <v>93</v>
      </c>
      <c r="Q183" s="60" t="s">
        <v>93</v>
      </c>
      <c r="R183" s="45" t="s">
        <v>516</v>
      </c>
      <c r="S183" s="45" t="s">
        <v>6</v>
      </c>
      <c r="T183" s="45" t="s">
        <v>255</v>
      </c>
      <c r="U183" s="119">
        <v>351</v>
      </c>
      <c r="V183" s="62">
        <f>U183*J183</f>
        <v>200070</v>
      </c>
      <c r="W183" s="63">
        <f ca="1">$W$4-A183</f>
        <v>50</v>
      </c>
      <c r="X183" s="52" t="str">
        <f ca="1">VLOOKUP(W183,$AA$2:$AB$6,2)</f>
        <v>&lt; 6 Months</v>
      </c>
      <c r="Y183" s="52" t="str">
        <f ca="1">VLOOKUP(W183,$AD$2:$AE$6,2)</f>
        <v>30-60 Days</v>
      </c>
    </row>
    <row r="184" spans="1:25" s="64" customFormat="1" ht="15" customHeight="1">
      <c r="A184" s="127" t="s">
        <v>1577</v>
      </c>
      <c r="B184" s="45" t="s">
        <v>245</v>
      </c>
      <c r="C184" s="45" t="s">
        <v>1578</v>
      </c>
      <c r="D184" s="43" t="s">
        <v>555</v>
      </c>
      <c r="E184" s="43" t="s">
        <v>1587</v>
      </c>
      <c r="F184" s="43" t="s">
        <v>248</v>
      </c>
      <c r="G184" s="41">
        <v>185894</v>
      </c>
      <c r="H184" s="116">
        <v>44</v>
      </c>
      <c r="I184" s="41">
        <v>15</v>
      </c>
      <c r="J184" s="98">
        <f>I184*H184</f>
        <v>660</v>
      </c>
      <c r="K184" s="60" t="s">
        <v>92</v>
      </c>
      <c r="L184" s="60" t="s">
        <v>537</v>
      </c>
      <c r="M184" s="60" t="str" cm="1">
        <f t="array" ref="M184:N184">VLOOKUP(Q184,[1]CFPL!$A:$D,{3,4},0)</f>
        <v>RAISIN</v>
      </c>
      <c r="N184" s="60" t="str">
        <v>Raisin - Indian</v>
      </c>
      <c r="O184" s="60" t="s">
        <v>844</v>
      </c>
      <c r="P184" s="60" t="s">
        <v>93</v>
      </c>
      <c r="Q184" s="60" t="s">
        <v>93</v>
      </c>
      <c r="R184" s="45" t="s">
        <v>516</v>
      </c>
      <c r="S184" s="45" t="s">
        <v>6</v>
      </c>
      <c r="T184" s="45" t="s">
        <v>255</v>
      </c>
      <c r="U184" s="119">
        <v>349</v>
      </c>
      <c r="V184" s="62">
        <f>U184*J184</f>
        <v>230340</v>
      </c>
      <c r="W184" s="63">
        <f ca="1">$W$4-A184</f>
        <v>50</v>
      </c>
      <c r="X184" s="52" t="str">
        <f ca="1">VLOOKUP(W184,$AA$2:$AB$6,2)</f>
        <v>&lt; 6 Months</v>
      </c>
      <c r="Y184" s="52" t="str">
        <f ca="1">VLOOKUP(W184,$AD$2:$AE$6,2)</f>
        <v>30-60 Days</v>
      </c>
    </row>
    <row r="185" spans="1:25" s="64" customFormat="1" ht="15" customHeight="1">
      <c r="A185" s="127" t="s">
        <v>1577</v>
      </c>
      <c r="B185" s="45" t="s">
        <v>245</v>
      </c>
      <c r="C185" s="45" t="s">
        <v>1578</v>
      </c>
      <c r="D185" s="43" t="s">
        <v>555</v>
      </c>
      <c r="E185" s="43" t="s">
        <v>1588</v>
      </c>
      <c r="F185" s="43" t="s">
        <v>248</v>
      </c>
      <c r="G185" s="41">
        <v>185893</v>
      </c>
      <c r="H185" s="116">
        <v>47</v>
      </c>
      <c r="I185" s="41">
        <v>15</v>
      </c>
      <c r="J185" s="98">
        <f>I185*H185</f>
        <v>705</v>
      </c>
      <c r="K185" s="60" t="s">
        <v>92</v>
      </c>
      <c r="L185" s="60" t="s">
        <v>537</v>
      </c>
      <c r="M185" s="60" t="str" cm="1">
        <f t="array" ref="M185:N185">VLOOKUP(Q185,[1]CFPL!$A:$D,{3,4},0)</f>
        <v>RAISIN</v>
      </c>
      <c r="N185" s="60" t="str">
        <v>Raisin - Indian</v>
      </c>
      <c r="O185" s="60" t="s">
        <v>844</v>
      </c>
      <c r="P185" s="60" t="s">
        <v>93</v>
      </c>
      <c r="Q185" s="60" t="s">
        <v>93</v>
      </c>
      <c r="R185" s="45" t="s">
        <v>516</v>
      </c>
      <c r="S185" s="45" t="s">
        <v>6</v>
      </c>
      <c r="T185" s="45" t="s">
        <v>255</v>
      </c>
      <c r="U185" s="119">
        <v>347</v>
      </c>
      <c r="V185" s="62">
        <f>U185*J185</f>
        <v>244635</v>
      </c>
      <c r="W185" s="63">
        <f ca="1">$W$4-A185</f>
        <v>50</v>
      </c>
      <c r="X185" s="52" t="str">
        <f ca="1">VLOOKUP(W185,$AA$2:$AB$6,2)</f>
        <v>&lt; 6 Months</v>
      </c>
      <c r="Y185" s="52" t="str">
        <f ca="1">VLOOKUP(W185,$AD$2:$AE$6,2)</f>
        <v>30-60 Days</v>
      </c>
    </row>
    <row r="186" spans="1:25" s="64" customFormat="1" ht="15" customHeight="1">
      <c r="A186" s="127" t="s">
        <v>1577</v>
      </c>
      <c r="B186" s="45" t="s">
        <v>245</v>
      </c>
      <c r="C186" s="45" t="s">
        <v>1578</v>
      </c>
      <c r="D186" s="43" t="s">
        <v>555</v>
      </c>
      <c r="E186" s="43" t="s">
        <v>1589</v>
      </c>
      <c r="F186" s="43" t="s">
        <v>248</v>
      </c>
      <c r="G186" s="41">
        <v>185889</v>
      </c>
      <c r="H186" s="116">
        <v>43</v>
      </c>
      <c r="I186" s="41">
        <v>15</v>
      </c>
      <c r="J186" s="98">
        <f>I186*H186</f>
        <v>645</v>
      </c>
      <c r="K186" s="60" t="s">
        <v>92</v>
      </c>
      <c r="L186" s="60" t="s">
        <v>537</v>
      </c>
      <c r="M186" s="60" t="str" cm="1">
        <f t="array" ref="M186:N186">VLOOKUP(Q186,[1]CFPL!$A:$D,{3,4},0)</f>
        <v>RAISIN</v>
      </c>
      <c r="N186" s="60" t="str">
        <v>Raisin - Indian</v>
      </c>
      <c r="O186" s="60" t="s">
        <v>844</v>
      </c>
      <c r="P186" s="60" t="s">
        <v>93</v>
      </c>
      <c r="Q186" s="60" t="s">
        <v>93</v>
      </c>
      <c r="R186" s="45" t="s">
        <v>516</v>
      </c>
      <c r="S186" s="45" t="s">
        <v>6</v>
      </c>
      <c r="T186" s="45" t="s">
        <v>255</v>
      </c>
      <c r="U186" s="119">
        <v>351</v>
      </c>
      <c r="V186" s="62">
        <f>U186*J186</f>
        <v>226395</v>
      </c>
      <c r="W186" s="63">
        <f ca="1">$W$4-A186</f>
        <v>50</v>
      </c>
      <c r="X186" s="52" t="str">
        <f ca="1">VLOOKUP(W186,$AA$2:$AB$6,2)</f>
        <v>&lt; 6 Months</v>
      </c>
      <c r="Y186" s="52" t="str">
        <f ca="1">VLOOKUP(W186,$AD$2:$AE$6,2)</f>
        <v>30-60 Days</v>
      </c>
    </row>
    <row r="187" spans="1:25" s="64" customFormat="1" ht="15" customHeight="1">
      <c r="A187" s="127" t="s">
        <v>1577</v>
      </c>
      <c r="B187" s="45" t="s">
        <v>245</v>
      </c>
      <c r="C187" s="45" t="s">
        <v>1578</v>
      </c>
      <c r="D187" s="43" t="s">
        <v>555</v>
      </c>
      <c r="E187" s="43" t="s">
        <v>1591</v>
      </c>
      <c r="F187" s="43" t="s">
        <v>248</v>
      </c>
      <c r="G187" s="41">
        <v>185886</v>
      </c>
      <c r="H187" s="116">
        <v>66</v>
      </c>
      <c r="I187" s="41">
        <v>15</v>
      </c>
      <c r="J187" s="98">
        <f>I187*H187</f>
        <v>990</v>
      </c>
      <c r="K187" s="60" t="s">
        <v>92</v>
      </c>
      <c r="L187" s="60" t="s">
        <v>537</v>
      </c>
      <c r="M187" s="60" t="str" cm="1">
        <f t="array" ref="M187:N187">VLOOKUP(Q187,[1]CFPL!$A:$D,{3,4},0)</f>
        <v>RAISIN</v>
      </c>
      <c r="N187" s="60" t="str">
        <v>Raisin - Indian</v>
      </c>
      <c r="O187" s="60" t="s">
        <v>844</v>
      </c>
      <c r="P187" s="60" t="s">
        <v>93</v>
      </c>
      <c r="Q187" s="60" t="s">
        <v>93</v>
      </c>
      <c r="R187" s="45" t="s">
        <v>516</v>
      </c>
      <c r="S187" s="45" t="s">
        <v>6</v>
      </c>
      <c r="T187" s="45" t="s">
        <v>255</v>
      </c>
      <c r="U187" s="119">
        <v>351</v>
      </c>
      <c r="V187" s="62">
        <f>U187*J187</f>
        <v>347490</v>
      </c>
      <c r="W187" s="63">
        <f ca="1">$W$4-A187</f>
        <v>50</v>
      </c>
      <c r="X187" s="52" t="str">
        <f ca="1">VLOOKUP(W187,$AA$2:$AB$6,2)</f>
        <v>&lt; 6 Months</v>
      </c>
      <c r="Y187" s="52" t="str">
        <f ca="1">VLOOKUP(W187,$AD$2:$AE$6,2)</f>
        <v>30-60 Days</v>
      </c>
    </row>
    <row r="188" spans="1:25" s="64" customFormat="1" ht="15" customHeight="1">
      <c r="A188" s="127" t="s">
        <v>1577</v>
      </c>
      <c r="B188" s="45" t="s">
        <v>245</v>
      </c>
      <c r="C188" s="45" t="s">
        <v>1578</v>
      </c>
      <c r="D188" s="43" t="s">
        <v>555</v>
      </c>
      <c r="E188" s="43" t="s">
        <v>1590</v>
      </c>
      <c r="F188" s="43" t="s">
        <v>248</v>
      </c>
      <c r="G188" s="41">
        <v>185888</v>
      </c>
      <c r="H188" s="116">
        <v>27</v>
      </c>
      <c r="I188" s="41">
        <v>15</v>
      </c>
      <c r="J188" s="98">
        <f>I188*H188</f>
        <v>405</v>
      </c>
      <c r="K188" s="60" t="s">
        <v>92</v>
      </c>
      <c r="L188" s="60" t="s">
        <v>537</v>
      </c>
      <c r="M188" s="60" t="str" cm="1">
        <f t="array" ref="M188:N188">VLOOKUP(Q188,[1]CFPL!$A:$D,{3,4},0)</f>
        <v>RAISIN</v>
      </c>
      <c r="N188" s="60" t="str">
        <v>Raisin - Indian</v>
      </c>
      <c r="O188" s="60" t="s">
        <v>844</v>
      </c>
      <c r="P188" s="60" t="s">
        <v>93</v>
      </c>
      <c r="Q188" s="60" t="s">
        <v>93</v>
      </c>
      <c r="R188" s="45" t="s">
        <v>516</v>
      </c>
      <c r="S188" s="45" t="s">
        <v>6</v>
      </c>
      <c r="T188" s="45" t="s">
        <v>255</v>
      </c>
      <c r="U188" s="119">
        <v>362</v>
      </c>
      <c r="V188" s="62">
        <f>U188*J188</f>
        <v>146610</v>
      </c>
      <c r="W188" s="63">
        <f ca="1">$W$4-A188</f>
        <v>50</v>
      </c>
      <c r="X188" s="52" t="str">
        <f ca="1">VLOOKUP(W188,$AA$2:$AB$6,2)</f>
        <v>&lt; 6 Months</v>
      </c>
      <c r="Y188" s="52" t="str">
        <f ca="1">VLOOKUP(W188,$AD$2:$AE$6,2)</f>
        <v>30-60 Days</v>
      </c>
    </row>
    <row r="189" spans="1:25" s="64" customFormat="1" ht="15" customHeight="1">
      <c r="A189" s="127" t="s">
        <v>1607</v>
      </c>
      <c r="B189" s="45" t="s">
        <v>245</v>
      </c>
      <c r="C189" s="45" t="s">
        <v>1608</v>
      </c>
      <c r="D189" s="43" t="s">
        <v>644</v>
      </c>
      <c r="E189" s="43" t="s">
        <v>1611</v>
      </c>
      <c r="F189" s="43" t="s">
        <v>771</v>
      </c>
      <c r="G189" s="41">
        <v>186094</v>
      </c>
      <c r="H189" s="116">
        <v>155</v>
      </c>
      <c r="I189" s="41">
        <v>11.44</v>
      </c>
      <c r="J189" s="98">
        <f>I189*H189</f>
        <v>1773.1999999999998</v>
      </c>
      <c r="K189" s="60" t="s">
        <v>51</v>
      </c>
      <c r="L189" s="60" t="s">
        <v>645</v>
      </c>
      <c r="M189" s="60" t="str" cm="1">
        <f t="array" ref="M189:N189">VLOOKUP(Q189,[1]CFPL!$A:$D,{3,4},0)</f>
        <v>CRANBERRY</v>
      </c>
      <c r="N189" s="60" t="str">
        <v>Cranberry - Sliced</v>
      </c>
      <c r="O189" s="60" t="s">
        <v>1615</v>
      </c>
      <c r="P189" s="60" t="s">
        <v>1473</v>
      </c>
      <c r="Q189" s="60" t="s">
        <v>52</v>
      </c>
      <c r="R189" s="45" t="s">
        <v>516</v>
      </c>
      <c r="S189" s="45" t="s">
        <v>6</v>
      </c>
      <c r="T189" s="45" t="s">
        <v>659</v>
      </c>
      <c r="U189" s="119">
        <v>390</v>
      </c>
      <c r="V189" s="62">
        <f>U189*J189</f>
        <v>691547.99999999988</v>
      </c>
      <c r="W189" s="63">
        <f ca="1">$W$4-A189</f>
        <v>48</v>
      </c>
      <c r="X189" s="52" t="str">
        <f ca="1">VLOOKUP(W189,$AA$2:$AB$6,2)</f>
        <v>&lt; 6 Months</v>
      </c>
      <c r="Y189" s="52" t="str">
        <f ca="1">VLOOKUP(W189,$AD$2:$AE$6,2)</f>
        <v>30-60 Days</v>
      </c>
    </row>
    <row r="190" spans="1:25" s="64" customFormat="1" ht="15" customHeight="1">
      <c r="A190" s="127" t="s">
        <v>1607</v>
      </c>
      <c r="B190" s="45" t="s">
        <v>245</v>
      </c>
      <c r="C190" s="45" t="s">
        <v>1608</v>
      </c>
      <c r="D190" s="43" t="s">
        <v>644</v>
      </c>
      <c r="E190" s="43" t="s">
        <v>1609</v>
      </c>
      <c r="F190" s="43" t="s">
        <v>1610</v>
      </c>
      <c r="G190" s="41">
        <v>186055</v>
      </c>
      <c r="H190" s="116">
        <v>545</v>
      </c>
      <c r="I190" s="41">
        <v>11.34</v>
      </c>
      <c r="J190" s="98">
        <f>I190*H190</f>
        <v>6180.3</v>
      </c>
      <c r="K190" s="60" t="s">
        <v>51</v>
      </c>
      <c r="L190" s="60" t="s">
        <v>645</v>
      </c>
      <c r="M190" s="60" t="str" cm="1">
        <f t="array" ref="M190:N190">VLOOKUP(Q190,[1]CFPL!$A:$D,{3,4},0)</f>
        <v>CRANBERRY</v>
      </c>
      <c r="N190" s="60" t="str">
        <v>Cranberry - Sliced</v>
      </c>
      <c r="O190" s="60" t="s">
        <v>1616</v>
      </c>
      <c r="P190" s="60" t="s">
        <v>1473</v>
      </c>
      <c r="Q190" s="60" t="s">
        <v>52</v>
      </c>
      <c r="R190" s="45" t="s">
        <v>516</v>
      </c>
      <c r="S190" s="45" t="s">
        <v>6</v>
      </c>
      <c r="T190" s="45" t="s">
        <v>659</v>
      </c>
      <c r="U190" s="119">
        <v>390</v>
      </c>
      <c r="V190" s="62">
        <f>U190*J190</f>
        <v>2410317</v>
      </c>
      <c r="W190" s="63">
        <f ca="1">$W$4-A190</f>
        <v>48</v>
      </c>
      <c r="X190" s="52" t="str">
        <f ca="1">VLOOKUP(W190,$AA$2:$AB$6,2)</f>
        <v>&lt; 6 Months</v>
      </c>
      <c r="Y190" s="52" t="str">
        <f ca="1">VLOOKUP(W190,$AD$2:$AE$6,2)</f>
        <v>30-60 Days</v>
      </c>
    </row>
    <row r="191" spans="1:25" s="64" customFormat="1" ht="15" customHeight="1">
      <c r="A191" s="127" t="s">
        <v>1612</v>
      </c>
      <c r="B191" s="45" t="s">
        <v>258</v>
      </c>
      <c r="C191" s="45" t="s">
        <v>1613</v>
      </c>
      <c r="D191" s="43" t="s">
        <v>270</v>
      </c>
      <c r="E191" s="43" t="s">
        <v>931</v>
      </c>
      <c r="F191" s="43" t="s">
        <v>248</v>
      </c>
      <c r="G191" s="41">
        <v>14726</v>
      </c>
      <c r="H191" s="116">
        <v>97</v>
      </c>
      <c r="I191" s="41">
        <v>5</v>
      </c>
      <c r="J191" s="98">
        <f>I191*H191</f>
        <v>485</v>
      </c>
      <c r="K191" s="60" t="s">
        <v>190</v>
      </c>
      <c r="L191" s="60" t="s">
        <v>856</v>
      </c>
      <c r="M191" s="60" t="str" cm="1">
        <f t="array" ref="M191:N191">VLOOKUP(Q191,[1]CFPL!$A:$D,{3,4},0)</f>
        <v>DATES</v>
      </c>
      <c r="N191" s="60" t="str">
        <v>OFF-GRADE DATES</v>
      </c>
      <c r="O191" s="60" t="s">
        <v>1617</v>
      </c>
      <c r="P191" s="60" t="s">
        <v>1182</v>
      </c>
      <c r="Q191" s="60" t="s">
        <v>816</v>
      </c>
      <c r="R191" s="45" t="s">
        <v>516</v>
      </c>
      <c r="S191" s="45" t="s">
        <v>6</v>
      </c>
      <c r="T191" s="45" t="s">
        <v>1429</v>
      </c>
      <c r="U191" s="119">
        <v>200</v>
      </c>
      <c r="V191" s="62">
        <f>U191*J191</f>
        <v>97000</v>
      </c>
      <c r="W191" s="63">
        <f ca="1">$W$4-A191</f>
        <v>47</v>
      </c>
      <c r="X191" s="52" t="str">
        <f ca="1">VLOOKUP(W191,$AA$2:$AB$6,2)</f>
        <v>&lt; 6 Months</v>
      </c>
      <c r="Y191" s="52" t="str">
        <f ca="1">VLOOKUP(W191,$AD$2:$AE$6,2)</f>
        <v>30-60 Days</v>
      </c>
    </row>
    <row r="192" spans="1:25" s="64" customFormat="1" ht="15" customHeight="1">
      <c r="A192" s="127" t="s">
        <v>1612</v>
      </c>
      <c r="B192" s="45" t="s">
        <v>258</v>
      </c>
      <c r="C192" s="45" t="s">
        <v>1613</v>
      </c>
      <c r="D192" s="43" t="s">
        <v>270</v>
      </c>
      <c r="E192" s="43" t="s">
        <v>1165</v>
      </c>
      <c r="F192" s="43" t="s">
        <v>1614</v>
      </c>
      <c r="G192" s="41">
        <v>14727</v>
      </c>
      <c r="H192" s="116">
        <v>47</v>
      </c>
      <c r="I192" s="41">
        <v>5</v>
      </c>
      <c r="J192" s="98">
        <f>I192*H192</f>
        <v>235</v>
      </c>
      <c r="K192" s="60" t="s">
        <v>190</v>
      </c>
      <c r="L192" s="60" t="s">
        <v>1183</v>
      </c>
      <c r="M192" s="60" t="str" cm="1">
        <f t="array" ref="M192:N192">VLOOKUP(Q192,[1]CFPL!$A:$D,{3,4},0)</f>
        <v>DATES</v>
      </c>
      <c r="N192" s="60" t="str">
        <v>Medjoul-Large</v>
      </c>
      <c r="O192" s="60" t="s">
        <v>1618</v>
      </c>
      <c r="P192" s="60" t="s">
        <v>1619</v>
      </c>
      <c r="Q192" s="60" t="s">
        <v>967</v>
      </c>
      <c r="R192" s="45" t="s">
        <v>516</v>
      </c>
      <c r="S192" s="45" t="s">
        <v>6</v>
      </c>
      <c r="T192" s="45" t="s">
        <v>274</v>
      </c>
      <c r="U192" s="119">
        <v>860</v>
      </c>
      <c r="V192" s="62">
        <f>U192*J192</f>
        <v>202100</v>
      </c>
      <c r="W192" s="63">
        <f ca="1">$W$4-A192</f>
        <v>47</v>
      </c>
      <c r="X192" s="52" t="str">
        <f ca="1">VLOOKUP(W192,$AA$2:$AB$6,2)</f>
        <v>&lt; 6 Months</v>
      </c>
      <c r="Y192" s="52" t="str">
        <f ca="1">VLOOKUP(W192,$AD$2:$AE$6,2)</f>
        <v>30-60 Days</v>
      </c>
    </row>
    <row r="193" spans="1:25" s="64" customFormat="1" ht="15" customHeight="1">
      <c r="A193" s="127" t="s">
        <v>1620</v>
      </c>
      <c r="B193" s="45" t="s">
        <v>245</v>
      </c>
      <c r="C193" s="45" t="s">
        <v>1622</v>
      </c>
      <c r="D193" s="43" t="s">
        <v>270</v>
      </c>
      <c r="E193" s="43" t="s">
        <v>1628</v>
      </c>
      <c r="F193" s="43" t="s">
        <v>1629</v>
      </c>
      <c r="G193" s="41">
        <v>186530</v>
      </c>
      <c r="H193" s="116">
        <v>183</v>
      </c>
      <c r="I193" s="41">
        <v>5</v>
      </c>
      <c r="J193" s="98">
        <f>I193*H193</f>
        <v>915</v>
      </c>
      <c r="K193" s="60" t="s">
        <v>152</v>
      </c>
      <c r="L193" s="60" t="s">
        <v>271</v>
      </c>
      <c r="M193" s="60" t="str" cm="1">
        <f t="array" ref="M193:N193">VLOOKUP(Q193,[1]CFPL!$A:$D,{3,4},0)</f>
        <v>DATES</v>
      </c>
      <c r="N193" s="60" t="str">
        <v>Deri</v>
      </c>
      <c r="O193" s="60" t="s">
        <v>271</v>
      </c>
      <c r="P193" s="60" t="s">
        <v>166</v>
      </c>
      <c r="Q193" s="60" t="s">
        <v>166</v>
      </c>
      <c r="R193" s="45" t="s">
        <v>516</v>
      </c>
      <c r="S193" s="45" t="s">
        <v>6</v>
      </c>
      <c r="T193" s="45" t="s">
        <v>274</v>
      </c>
      <c r="U193" s="119">
        <v>303</v>
      </c>
      <c r="V193" s="62">
        <f>U193*J193</f>
        <v>277245</v>
      </c>
      <c r="W193" s="63">
        <f ca="1">$W$4-A193</f>
        <v>43</v>
      </c>
      <c r="X193" s="52" t="str">
        <f ca="1">VLOOKUP(W193,$AA$2:$AB$6,2)</f>
        <v>&lt; 6 Months</v>
      </c>
      <c r="Y193" s="52" t="str">
        <f ca="1">VLOOKUP(W193,$AD$2:$AE$6,2)</f>
        <v>30-60 Days</v>
      </c>
    </row>
    <row r="194" spans="1:25" s="64" customFormat="1" ht="15" customHeight="1">
      <c r="A194" s="127" t="s">
        <v>1620</v>
      </c>
      <c r="B194" s="45" t="s">
        <v>245</v>
      </c>
      <c r="C194" s="45" t="s">
        <v>1622</v>
      </c>
      <c r="D194" s="43" t="s">
        <v>270</v>
      </c>
      <c r="E194" s="43" t="s">
        <v>1628</v>
      </c>
      <c r="F194" s="43" t="s">
        <v>1629</v>
      </c>
      <c r="G194" s="41">
        <v>186531</v>
      </c>
      <c r="H194" s="116">
        <v>17</v>
      </c>
      <c r="I194" s="41">
        <v>5</v>
      </c>
      <c r="J194" s="98">
        <f>I194*H194</f>
        <v>85</v>
      </c>
      <c r="K194" s="60" t="s">
        <v>152</v>
      </c>
      <c r="L194" s="60" t="s">
        <v>271</v>
      </c>
      <c r="M194" s="60" t="str" cm="1">
        <f t="array" ref="M194:N194">VLOOKUP(Q194,[1]CFPL!$A:$D,{3,4},0)</f>
        <v>DATES</v>
      </c>
      <c r="N194" s="60" t="str">
        <v>Deri</v>
      </c>
      <c r="O194" s="60" t="s">
        <v>271</v>
      </c>
      <c r="P194" s="60" t="s">
        <v>166</v>
      </c>
      <c r="Q194" s="60" t="s">
        <v>166</v>
      </c>
      <c r="R194" s="45" t="s">
        <v>516</v>
      </c>
      <c r="S194" s="45" t="s">
        <v>6</v>
      </c>
      <c r="T194" s="45" t="s">
        <v>274</v>
      </c>
      <c r="U194" s="119">
        <v>303</v>
      </c>
      <c r="V194" s="62">
        <f>U194*J194</f>
        <v>25755</v>
      </c>
      <c r="W194" s="63">
        <f ca="1">$W$4-A194</f>
        <v>43</v>
      </c>
      <c r="X194" s="52" t="str">
        <f ca="1">VLOOKUP(W194,$AA$2:$AB$6,2)</f>
        <v>&lt; 6 Months</v>
      </c>
      <c r="Y194" s="52" t="str">
        <f ca="1">VLOOKUP(W194,$AD$2:$AE$6,2)</f>
        <v>30-60 Days</v>
      </c>
    </row>
    <row r="195" spans="1:25" s="64" customFormat="1" ht="15" customHeight="1">
      <c r="A195" s="127" t="s">
        <v>1620</v>
      </c>
      <c r="B195" s="45" t="s">
        <v>245</v>
      </c>
      <c r="C195" s="45" t="s">
        <v>1622</v>
      </c>
      <c r="D195" s="43" t="s">
        <v>270</v>
      </c>
      <c r="E195" s="43" t="s">
        <v>1625</v>
      </c>
      <c r="F195" s="43" t="s">
        <v>1630</v>
      </c>
      <c r="G195" s="41">
        <v>186568</v>
      </c>
      <c r="H195" s="116">
        <v>122</v>
      </c>
      <c r="I195" s="41">
        <v>5</v>
      </c>
      <c r="J195" s="98">
        <f>I195*H195</f>
        <v>610</v>
      </c>
      <c r="K195" s="60" t="s">
        <v>190</v>
      </c>
      <c r="L195" s="60" t="s">
        <v>859</v>
      </c>
      <c r="M195" s="60" t="str" cm="1">
        <f t="array" ref="M195:N195">VLOOKUP(Q195,[1]CFPL!$A:$D,{3,4},0)</f>
        <v>DATES</v>
      </c>
      <c r="N195" s="60" t="str">
        <v>Medjoul-Large</v>
      </c>
      <c r="O195" s="60" t="s">
        <v>440</v>
      </c>
      <c r="P195" s="60" t="s">
        <v>204</v>
      </c>
      <c r="Q195" s="60" t="s">
        <v>967</v>
      </c>
      <c r="R195" s="45" t="s">
        <v>516</v>
      </c>
      <c r="S195" s="45" t="s">
        <v>6</v>
      </c>
      <c r="T195" s="45" t="s">
        <v>274</v>
      </c>
      <c r="U195" s="119">
        <v>871.2</v>
      </c>
      <c r="V195" s="62">
        <f>U195*J195</f>
        <v>531432</v>
      </c>
      <c r="W195" s="63">
        <f ca="1">$W$4-A195</f>
        <v>43</v>
      </c>
      <c r="X195" s="52" t="str">
        <f ca="1">VLOOKUP(W195,$AA$2:$AB$6,2)</f>
        <v>&lt; 6 Months</v>
      </c>
      <c r="Y195" s="52" t="str">
        <f ca="1">VLOOKUP(W195,$AD$2:$AE$6,2)</f>
        <v>30-60 Days</v>
      </c>
    </row>
    <row r="196" spans="1:25" s="64" customFormat="1" ht="15" customHeight="1">
      <c r="A196" s="127" t="s">
        <v>1620</v>
      </c>
      <c r="B196" s="45" t="s">
        <v>245</v>
      </c>
      <c r="C196" s="45" t="s">
        <v>1622</v>
      </c>
      <c r="D196" s="43" t="s">
        <v>270</v>
      </c>
      <c r="E196" s="43" t="s">
        <v>1625</v>
      </c>
      <c r="F196" s="43" t="s">
        <v>1631</v>
      </c>
      <c r="G196" s="41">
        <v>186569</v>
      </c>
      <c r="H196" s="116">
        <v>75</v>
      </c>
      <c r="I196" s="41">
        <v>5</v>
      </c>
      <c r="J196" s="98">
        <f>I196*H196</f>
        <v>375</v>
      </c>
      <c r="K196" s="60" t="s">
        <v>190</v>
      </c>
      <c r="L196" s="60" t="s">
        <v>859</v>
      </c>
      <c r="M196" s="60" t="str" cm="1">
        <f t="array" ref="M196:N196">VLOOKUP(Q196,[1]CFPL!$A:$D,{3,4},0)</f>
        <v>DATES</v>
      </c>
      <c r="N196" s="60" t="str">
        <v>Medjoul-Large</v>
      </c>
      <c r="O196" s="60" t="s">
        <v>440</v>
      </c>
      <c r="P196" s="60" t="s">
        <v>204</v>
      </c>
      <c r="Q196" s="60" t="s">
        <v>967</v>
      </c>
      <c r="R196" s="45" t="s">
        <v>516</v>
      </c>
      <c r="S196" s="45" t="s">
        <v>6</v>
      </c>
      <c r="T196" s="45" t="s">
        <v>274</v>
      </c>
      <c r="U196" s="119">
        <v>871.2</v>
      </c>
      <c r="V196" s="62">
        <f>U196*J196</f>
        <v>326700</v>
      </c>
      <c r="W196" s="63">
        <f ca="1">$W$4-A196</f>
        <v>43</v>
      </c>
      <c r="X196" s="52" t="str">
        <f ca="1">VLOOKUP(W196,$AA$2:$AB$6,2)</f>
        <v>&lt; 6 Months</v>
      </c>
      <c r="Y196" s="52" t="str">
        <f ca="1">VLOOKUP(W196,$AD$2:$AE$6,2)</f>
        <v>30-60 Days</v>
      </c>
    </row>
    <row r="197" spans="1:25" s="64" customFormat="1" ht="15" customHeight="1">
      <c r="A197" s="127" t="s">
        <v>1620</v>
      </c>
      <c r="B197" s="45" t="s">
        <v>245</v>
      </c>
      <c r="C197" s="45" t="s">
        <v>1622</v>
      </c>
      <c r="D197" s="43" t="s">
        <v>270</v>
      </c>
      <c r="E197" s="43" t="s">
        <v>1625</v>
      </c>
      <c r="F197" s="43" t="s">
        <v>1631</v>
      </c>
      <c r="G197" s="41">
        <v>186570</v>
      </c>
      <c r="H197" s="116">
        <v>4</v>
      </c>
      <c r="I197" s="41">
        <v>5</v>
      </c>
      <c r="J197" s="98">
        <f>I197*H197</f>
        <v>20</v>
      </c>
      <c r="K197" s="60" t="s">
        <v>190</v>
      </c>
      <c r="L197" s="60" t="s">
        <v>859</v>
      </c>
      <c r="M197" s="60" t="str" cm="1">
        <f t="array" ref="M197:N197">VLOOKUP(Q197,[1]CFPL!$A:$D,{3,4},0)</f>
        <v>DATES</v>
      </c>
      <c r="N197" s="60" t="str">
        <v>Medjoul-Large</v>
      </c>
      <c r="O197" s="60" t="s">
        <v>440</v>
      </c>
      <c r="P197" s="60" t="s">
        <v>204</v>
      </c>
      <c r="Q197" s="60" t="s">
        <v>967</v>
      </c>
      <c r="R197" s="45" t="s">
        <v>516</v>
      </c>
      <c r="S197" s="45" t="s">
        <v>6</v>
      </c>
      <c r="T197" s="45" t="s">
        <v>274</v>
      </c>
      <c r="U197" s="119">
        <v>871.2</v>
      </c>
      <c r="V197" s="62">
        <f>U197*J197</f>
        <v>17424</v>
      </c>
      <c r="W197" s="63">
        <f ca="1">$W$4-A197</f>
        <v>43</v>
      </c>
      <c r="X197" s="52" t="str">
        <f ca="1">VLOOKUP(W197,$AA$2:$AB$6,2)</f>
        <v>&lt; 6 Months</v>
      </c>
      <c r="Y197" s="52" t="str">
        <f ca="1">VLOOKUP(W197,$AD$2:$AE$6,2)</f>
        <v>30-60 Days</v>
      </c>
    </row>
    <row r="198" spans="1:25" s="64" customFormat="1" ht="15" customHeight="1">
      <c r="A198" s="127" t="s">
        <v>1620</v>
      </c>
      <c r="B198" s="45" t="s">
        <v>245</v>
      </c>
      <c r="C198" s="45" t="s">
        <v>1622</v>
      </c>
      <c r="D198" s="43" t="s">
        <v>270</v>
      </c>
      <c r="E198" s="43" t="s">
        <v>1625</v>
      </c>
      <c r="F198" s="43" t="s">
        <v>1632</v>
      </c>
      <c r="G198" s="41">
        <v>186571</v>
      </c>
      <c r="H198" s="116">
        <v>210</v>
      </c>
      <c r="I198" s="41">
        <v>5</v>
      </c>
      <c r="J198" s="98">
        <f>I198*H198</f>
        <v>1050</v>
      </c>
      <c r="K198" s="60" t="s">
        <v>190</v>
      </c>
      <c r="L198" s="60" t="s">
        <v>859</v>
      </c>
      <c r="M198" s="60" t="str" cm="1">
        <f t="array" ref="M198:N198">VLOOKUP(Q198,[1]CFPL!$A:$D,{3,4},0)</f>
        <v>DATES</v>
      </c>
      <c r="N198" s="60" t="str">
        <v>Medjoul-Large</v>
      </c>
      <c r="O198" s="60" t="s">
        <v>440</v>
      </c>
      <c r="P198" s="60" t="s">
        <v>204</v>
      </c>
      <c r="Q198" s="60" t="s">
        <v>967</v>
      </c>
      <c r="R198" s="45" t="s">
        <v>516</v>
      </c>
      <c r="S198" s="45" t="s">
        <v>6</v>
      </c>
      <c r="T198" s="45" t="s">
        <v>274</v>
      </c>
      <c r="U198" s="119">
        <v>871.2</v>
      </c>
      <c r="V198" s="62">
        <f>U198*J198</f>
        <v>914760</v>
      </c>
      <c r="W198" s="63">
        <f ca="1">$W$4-A198</f>
        <v>43</v>
      </c>
      <c r="X198" s="52" t="str">
        <f ca="1">VLOOKUP(W198,$AA$2:$AB$6,2)</f>
        <v>&lt; 6 Months</v>
      </c>
      <c r="Y198" s="52" t="str">
        <f ca="1">VLOOKUP(W198,$AD$2:$AE$6,2)</f>
        <v>30-60 Days</v>
      </c>
    </row>
    <row r="199" spans="1:25" s="64" customFormat="1" ht="15" customHeight="1">
      <c r="A199" s="127" t="s">
        <v>1620</v>
      </c>
      <c r="B199" s="45" t="s">
        <v>245</v>
      </c>
      <c r="C199" s="45" t="s">
        <v>1622</v>
      </c>
      <c r="D199" s="43" t="s">
        <v>270</v>
      </c>
      <c r="E199" s="43" t="s">
        <v>1625</v>
      </c>
      <c r="F199" s="43" t="s">
        <v>1633</v>
      </c>
      <c r="G199" s="41">
        <v>186575</v>
      </c>
      <c r="H199" s="116">
        <v>208</v>
      </c>
      <c r="I199" s="41">
        <v>5</v>
      </c>
      <c r="J199" s="98">
        <f>I199*H199</f>
        <v>1040</v>
      </c>
      <c r="K199" s="60" t="s">
        <v>190</v>
      </c>
      <c r="L199" s="60" t="s">
        <v>859</v>
      </c>
      <c r="M199" s="60" t="str" cm="1">
        <f t="array" ref="M199:N199">VLOOKUP(Q199,[1]CFPL!$A:$D,{3,4},0)</f>
        <v>DATES</v>
      </c>
      <c r="N199" s="60" t="str">
        <v>Medjoul-Large</v>
      </c>
      <c r="O199" s="60" t="s">
        <v>440</v>
      </c>
      <c r="P199" s="60" t="s">
        <v>204</v>
      </c>
      <c r="Q199" s="60" t="s">
        <v>967</v>
      </c>
      <c r="R199" s="45" t="s">
        <v>516</v>
      </c>
      <c r="S199" s="45" t="s">
        <v>6</v>
      </c>
      <c r="T199" s="45" t="s">
        <v>274</v>
      </c>
      <c r="U199" s="119">
        <v>871.2</v>
      </c>
      <c r="V199" s="62">
        <f>U199*J199</f>
        <v>906048</v>
      </c>
      <c r="W199" s="63">
        <f ca="1">$W$4-A199</f>
        <v>43</v>
      </c>
      <c r="X199" s="52" t="str">
        <f ca="1">VLOOKUP(W199,$AA$2:$AB$6,2)</f>
        <v>&lt; 6 Months</v>
      </c>
      <c r="Y199" s="52" t="str">
        <f ca="1">VLOOKUP(W199,$AD$2:$AE$6,2)</f>
        <v>30-60 Days</v>
      </c>
    </row>
    <row r="200" spans="1:25" s="64" customFormat="1" ht="15" customHeight="1">
      <c r="A200" s="127" t="s">
        <v>1620</v>
      </c>
      <c r="B200" s="45" t="s">
        <v>245</v>
      </c>
      <c r="C200" s="45" t="s">
        <v>1622</v>
      </c>
      <c r="D200" s="43" t="s">
        <v>270</v>
      </c>
      <c r="E200" s="43" t="s">
        <v>1625</v>
      </c>
      <c r="F200" s="43" t="s">
        <v>1633</v>
      </c>
      <c r="G200" s="41">
        <v>186576</v>
      </c>
      <c r="H200" s="116">
        <v>2</v>
      </c>
      <c r="I200" s="41">
        <v>5</v>
      </c>
      <c r="J200" s="98">
        <f>I200*H200</f>
        <v>10</v>
      </c>
      <c r="K200" s="60" t="s">
        <v>190</v>
      </c>
      <c r="L200" s="60" t="s">
        <v>859</v>
      </c>
      <c r="M200" s="60" t="str" cm="1">
        <f t="array" ref="M200:N200">VLOOKUP(Q200,[1]CFPL!$A:$D,{3,4},0)</f>
        <v>DATES</v>
      </c>
      <c r="N200" s="60" t="str">
        <v>Medjoul-Large</v>
      </c>
      <c r="O200" s="60" t="s">
        <v>440</v>
      </c>
      <c r="P200" s="60" t="s">
        <v>204</v>
      </c>
      <c r="Q200" s="60" t="s">
        <v>967</v>
      </c>
      <c r="R200" s="45" t="s">
        <v>516</v>
      </c>
      <c r="S200" s="45" t="s">
        <v>6</v>
      </c>
      <c r="T200" s="45" t="s">
        <v>274</v>
      </c>
      <c r="U200" s="119">
        <v>871.2</v>
      </c>
      <c r="V200" s="62">
        <f>U200*J200</f>
        <v>8712</v>
      </c>
      <c r="W200" s="63">
        <f ca="1">$W$4-A200</f>
        <v>43</v>
      </c>
      <c r="X200" s="52" t="str">
        <f ca="1">VLOOKUP(W200,$AA$2:$AB$6,2)</f>
        <v>&lt; 6 Months</v>
      </c>
      <c r="Y200" s="52" t="str">
        <f ca="1">VLOOKUP(W200,$AD$2:$AE$6,2)</f>
        <v>30-60 Days</v>
      </c>
    </row>
    <row r="201" spans="1:25" s="64" customFormat="1" ht="15" customHeight="1">
      <c r="A201" s="127" t="s">
        <v>1620</v>
      </c>
      <c r="B201" s="45" t="s">
        <v>245</v>
      </c>
      <c r="C201" s="45" t="s">
        <v>1622</v>
      </c>
      <c r="D201" s="43" t="s">
        <v>270</v>
      </c>
      <c r="E201" s="43" t="s">
        <v>1625</v>
      </c>
      <c r="F201" s="43" t="s">
        <v>1634</v>
      </c>
      <c r="G201" s="41">
        <v>186577</v>
      </c>
      <c r="H201" s="116">
        <v>204</v>
      </c>
      <c r="I201" s="41">
        <v>5</v>
      </c>
      <c r="J201" s="98">
        <f>I201*H201</f>
        <v>1020</v>
      </c>
      <c r="K201" s="60" t="s">
        <v>190</v>
      </c>
      <c r="L201" s="60" t="s">
        <v>859</v>
      </c>
      <c r="M201" s="60" t="str" cm="1">
        <f t="array" ref="M201:N201">VLOOKUP(Q201,[1]CFPL!$A:$D,{3,4},0)</f>
        <v>DATES</v>
      </c>
      <c r="N201" s="60" t="str">
        <v>Medjoul-Large</v>
      </c>
      <c r="O201" s="60" t="s">
        <v>440</v>
      </c>
      <c r="P201" s="60" t="s">
        <v>204</v>
      </c>
      <c r="Q201" s="60" t="s">
        <v>967</v>
      </c>
      <c r="R201" s="45" t="s">
        <v>516</v>
      </c>
      <c r="S201" s="45" t="s">
        <v>6</v>
      </c>
      <c r="T201" s="45" t="s">
        <v>274</v>
      </c>
      <c r="U201" s="119">
        <v>871.2</v>
      </c>
      <c r="V201" s="62">
        <f>U201*J201</f>
        <v>888624</v>
      </c>
      <c r="W201" s="63">
        <f ca="1">$W$4-A201</f>
        <v>43</v>
      </c>
      <c r="X201" s="52" t="str">
        <f ca="1">VLOOKUP(W201,$AA$2:$AB$6,2)</f>
        <v>&lt; 6 Months</v>
      </c>
      <c r="Y201" s="52" t="str">
        <f ca="1">VLOOKUP(W201,$AD$2:$AE$6,2)</f>
        <v>30-60 Days</v>
      </c>
    </row>
    <row r="202" spans="1:25" s="64" customFormat="1" ht="15" customHeight="1">
      <c r="A202" s="127" t="s">
        <v>1620</v>
      </c>
      <c r="B202" s="45" t="s">
        <v>245</v>
      </c>
      <c r="C202" s="45" t="s">
        <v>1622</v>
      </c>
      <c r="D202" s="43" t="s">
        <v>270</v>
      </c>
      <c r="E202" s="43" t="s">
        <v>1625</v>
      </c>
      <c r="F202" s="43" t="s">
        <v>1634</v>
      </c>
      <c r="G202" s="41">
        <v>186578</v>
      </c>
      <c r="H202" s="116">
        <v>6</v>
      </c>
      <c r="I202" s="41">
        <v>5</v>
      </c>
      <c r="J202" s="98">
        <f>I202*H202</f>
        <v>30</v>
      </c>
      <c r="K202" s="60" t="s">
        <v>190</v>
      </c>
      <c r="L202" s="60" t="s">
        <v>859</v>
      </c>
      <c r="M202" s="60" t="str" cm="1">
        <f t="array" ref="M202:N202">VLOOKUP(Q202,[1]CFPL!$A:$D,{3,4},0)</f>
        <v>DATES</v>
      </c>
      <c r="N202" s="60" t="str">
        <v>Medjoul-Large</v>
      </c>
      <c r="O202" s="60" t="s">
        <v>440</v>
      </c>
      <c r="P202" s="60" t="s">
        <v>204</v>
      </c>
      <c r="Q202" s="60" t="s">
        <v>967</v>
      </c>
      <c r="R202" s="45" t="s">
        <v>516</v>
      </c>
      <c r="S202" s="45" t="s">
        <v>6</v>
      </c>
      <c r="T202" s="45" t="s">
        <v>274</v>
      </c>
      <c r="U202" s="119">
        <v>871.2</v>
      </c>
      <c r="V202" s="62">
        <f>U202*J202</f>
        <v>26136</v>
      </c>
      <c r="W202" s="63">
        <f ca="1">$W$4-A202</f>
        <v>43</v>
      </c>
      <c r="X202" s="52" t="str">
        <f ca="1">VLOOKUP(W202,$AA$2:$AB$6,2)</f>
        <v>&lt; 6 Months</v>
      </c>
      <c r="Y202" s="52" t="str">
        <f ca="1">VLOOKUP(W202,$AD$2:$AE$6,2)</f>
        <v>30-60 Days</v>
      </c>
    </row>
    <row r="203" spans="1:25" s="64" customFormat="1" ht="15" customHeight="1">
      <c r="A203" s="127" t="s">
        <v>1620</v>
      </c>
      <c r="B203" s="45" t="s">
        <v>245</v>
      </c>
      <c r="C203" s="45" t="s">
        <v>1622</v>
      </c>
      <c r="D203" s="43" t="s">
        <v>270</v>
      </c>
      <c r="E203" s="43" t="s">
        <v>1625</v>
      </c>
      <c r="F203" s="43" t="s">
        <v>1635</v>
      </c>
      <c r="G203" s="41">
        <v>186579</v>
      </c>
      <c r="H203" s="116">
        <v>210</v>
      </c>
      <c r="I203" s="41">
        <v>5</v>
      </c>
      <c r="J203" s="98">
        <f>I203*H203</f>
        <v>1050</v>
      </c>
      <c r="K203" s="60" t="s">
        <v>190</v>
      </c>
      <c r="L203" s="60" t="s">
        <v>859</v>
      </c>
      <c r="M203" s="60" t="str" cm="1">
        <f t="array" ref="M203:N203">VLOOKUP(Q203,[1]CFPL!$A:$D,{3,4},0)</f>
        <v>DATES</v>
      </c>
      <c r="N203" s="60" t="str">
        <v>Medjoul-Large</v>
      </c>
      <c r="O203" s="60" t="s">
        <v>440</v>
      </c>
      <c r="P203" s="60" t="s">
        <v>204</v>
      </c>
      <c r="Q203" s="60" t="s">
        <v>967</v>
      </c>
      <c r="R203" s="45" t="s">
        <v>516</v>
      </c>
      <c r="S203" s="45" t="s">
        <v>6</v>
      </c>
      <c r="T203" s="45" t="s">
        <v>274</v>
      </c>
      <c r="U203" s="119">
        <v>871.2</v>
      </c>
      <c r="V203" s="62">
        <f>U203*J203</f>
        <v>914760</v>
      </c>
      <c r="W203" s="63">
        <f ca="1">$W$4-A203</f>
        <v>43</v>
      </c>
      <c r="X203" s="52" t="str">
        <f ca="1">VLOOKUP(W203,$AA$2:$AB$6,2)</f>
        <v>&lt; 6 Months</v>
      </c>
      <c r="Y203" s="52" t="str">
        <f ca="1">VLOOKUP(W203,$AD$2:$AE$6,2)</f>
        <v>30-60 Days</v>
      </c>
    </row>
    <row r="204" spans="1:25" s="64" customFormat="1" ht="15" customHeight="1">
      <c r="A204" s="127" t="s">
        <v>1620</v>
      </c>
      <c r="B204" s="45" t="s">
        <v>245</v>
      </c>
      <c r="C204" s="45" t="s">
        <v>1622</v>
      </c>
      <c r="D204" s="43" t="s">
        <v>270</v>
      </c>
      <c r="E204" s="43" t="s">
        <v>1625</v>
      </c>
      <c r="F204" s="43" t="s">
        <v>1636</v>
      </c>
      <c r="G204" s="41">
        <v>186580</v>
      </c>
      <c r="H204" s="116">
        <v>200</v>
      </c>
      <c r="I204" s="41">
        <v>5</v>
      </c>
      <c r="J204" s="98">
        <f>I204*H204</f>
        <v>1000</v>
      </c>
      <c r="K204" s="60" t="s">
        <v>190</v>
      </c>
      <c r="L204" s="60" t="s">
        <v>859</v>
      </c>
      <c r="M204" s="60" t="str" cm="1">
        <f t="array" ref="M204:N204">VLOOKUP(Q204,[1]CFPL!$A:$D,{3,4},0)</f>
        <v>DATES</v>
      </c>
      <c r="N204" s="60" t="str">
        <v>Medjoul-Large</v>
      </c>
      <c r="O204" s="60" t="s">
        <v>440</v>
      </c>
      <c r="P204" s="60" t="s">
        <v>204</v>
      </c>
      <c r="Q204" s="60" t="s">
        <v>967</v>
      </c>
      <c r="R204" s="45" t="s">
        <v>516</v>
      </c>
      <c r="S204" s="45" t="s">
        <v>6</v>
      </c>
      <c r="T204" s="45" t="s">
        <v>274</v>
      </c>
      <c r="U204" s="119">
        <v>871.2</v>
      </c>
      <c r="V204" s="62">
        <f>U204*J204</f>
        <v>871200</v>
      </c>
      <c r="W204" s="63">
        <f ca="1">$W$4-A204</f>
        <v>43</v>
      </c>
      <c r="X204" s="52" t="str">
        <f ca="1">VLOOKUP(W204,$AA$2:$AB$6,2)</f>
        <v>&lt; 6 Months</v>
      </c>
      <c r="Y204" s="52" t="str">
        <f ca="1">VLOOKUP(W204,$AD$2:$AE$6,2)</f>
        <v>30-60 Days</v>
      </c>
    </row>
    <row r="205" spans="1:25" s="64" customFormat="1" ht="15" customHeight="1">
      <c r="A205" s="127" t="s">
        <v>1620</v>
      </c>
      <c r="B205" s="45" t="s">
        <v>245</v>
      </c>
      <c r="C205" s="45" t="s">
        <v>1622</v>
      </c>
      <c r="D205" s="43" t="s">
        <v>270</v>
      </c>
      <c r="E205" s="43" t="s">
        <v>1625</v>
      </c>
      <c r="F205" s="43" t="s">
        <v>1636</v>
      </c>
      <c r="G205" s="41">
        <v>186581</v>
      </c>
      <c r="H205" s="116">
        <v>10</v>
      </c>
      <c r="I205" s="41">
        <v>5</v>
      </c>
      <c r="J205" s="98">
        <f>I205*H205</f>
        <v>50</v>
      </c>
      <c r="K205" s="60" t="s">
        <v>190</v>
      </c>
      <c r="L205" s="60" t="s">
        <v>859</v>
      </c>
      <c r="M205" s="60" t="str" cm="1">
        <f t="array" ref="M205:N205">VLOOKUP(Q205,[1]CFPL!$A:$D,{3,4},0)</f>
        <v>DATES</v>
      </c>
      <c r="N205" s="60" t="str">
        <v>Medjoul-Large</v>
      </c>
      <c r="O205" s="60" t="s">
        <v>440</v>
      </c>
      <c r="P205" s="60" t="s">
        <v>204</v>
      </c>
      <c r="Q205" s="60" t="s">
        <v>967</v>
      </c>
      <c r="R205" s="45" t="s">
        <v>516</v>
      </c>
      <c r="S205" s="45" t="s">
        <v>6</v>
      </c>
      <c r="T205" s="45" t="s">
        <v>274</v>
      </c>
      <c r="U205" s="119">
        <v>871.2</v>
      </c>
      <c r="V205" s="62">
        <f>U205*J205</f>
        <v>43560</v>
      </c>
      <c r="W205" s="63">
        <f ca="1">$W$4-A205</f>
        <v>43</v>
      </c>
      <c r="X205" s="52" t="str">
        <f ca="1">VLOOKUP(W205,$AA$2:$AB$6,2)</f>
        <v>&lt; 6 Months</v>
      </c>
      <c r="Y205" s="52" t="str">
        <f ca="1">VLOOKUP(W205,$AD$2:$AE$6,2)</f>
        <v>30-60 Days</v>
      </c>
    </row>
    <row r="206" spans="1:25" s="64" customFormat="1" ht="15" customHeight="1">
      <c r="A206" s="127" t="s">
        <v>1620</v>
      </c>
      <c r="B206" s="45" t="s">
        <v>245</v>
      </c>
      <c r="C206" s="45" t="s">
        <v>1622</v>
      </c>
      <c r="D206" s="43" t="s">
        <v>270</v>
      </c>
      <c r="E206" s="43" t="s">
        <v>1625</v>
      </c>
      <c r="F206" s="43" t="s">
        <v>1637</v>
      </c>
      <c r="G206" s="41">
        <v>186582</v>
      </c>
      <c r="H206" s="116">
        <v>208</v>
      </c>
      <c r="I206" s="41">
        <v>5</v>
      </c>
      <c r="J206" s="98">
        <f>I206*H206</f>
        <v>1040</v>
      </c>
      <c r="K206" s="60" t="s">
        <v>190</v>
      </c>
      <c r="L206" s="60" t="s">
        <v>859</v>
      </c>
      <c r="M206" s="60" t="str" cm="1">
        <f t="array" ref="M206:N206">VLOOKUP(Q206,[1]CFPL!$A:$D,{3,4},0)</f>
        <v>DATES</v>
      </c>
      <c r="N206" s="60" t="str">
        <v>Medjoul-Large</v>
      </c>
      <c r="O206" s="60" t="s">
        <v>440</v>
      </c>
      <c r="P206" s="60" t="s">
        <v>204</v>
      </c>
      <c r="Q206" s="60" t="s">
        <v>967</v>
      </c>
      <c r="R206" s="45" t="s">
        <v>516</v>
      </c>
      <c r="S206" s="45" t="s">
        <v>6</v>
      </c>
      <c r="T206" s="45" t="s">
        <v>274</v>
      </c>
      <c r="U206" s="119">
        <v>871.2</v>
      </c>
      <c r="V206" s="62">
        <f>U206*J206</f>
        <v>906048</v>
      </c>
      <c r="W206" s="63">
        <f ca="1">$W$4-A206</f>
        <v>43</v>
      </c>
      <c r="X206" s="52" t="str">
        <f ca="1">VLOOKUP(W206,$AA$2:$AB$6,2)</f>
        <v>&lt; 6 Months</v>
      </c>
      <c r="Y206" s="52" t="str">
        <f ca="1">VLOOKUP(W206,$AD$2:$AE$6,2)</f>
        <v>30-60 Days</v>
      </c>
    </row>
    <row r="207" spans="1:25" s="64" customFormat="1" ht="15" customHeight="1">
      <c r="A207" s="127" t="s">
        <v>1620</v>
      </c>
      <c r="B207" s="45" t="s">
        <v>245</v>
      </c>
      <c r="C207" s="45" t="s">
        <v>1622</v>
      </c>
      <c r="D207" s="43" t="s">
        <v>270</v>
      </c>
      <c r="E207" s="43" t="s">
        <v>1625</v>
      </c>
      <c r="F207" s="43" t="s">
        <v>1637</v>
      </c>
      <c r="G207" s="41">
        <v>186583</v>
      </c>
      <c r="H207" s="116">
        <v>2</v>
      </c>
      <c r="I207" s="41">
        <v>5</v>
      </c>
      <c r="J207" s="98">
        <f>I207*H207</f>
        <v>10</v>
      </c>
      <c r="K207" s="60" t="s">
        <v>190</v>
      </c>
      <c r="L207" s="60" t="s">
        <v>859</v>
      </c>
      <c r="M207" s="60" t="str" cm="1">
        <f t="array" ref="M207:N207">VLOOKUP(Q207,[1]CFPL!$A:$D,{3,4},0)</f>
        <v>DATES</v>
      </c>
      <c r="N207" s="60" t="str">
        <v>Medjoul-Large</v>
      </c>
      <c r="O207" s="60" t="s">
        <v>440</v>
      </c>
      <c r="P207" s="60" t="s">
        <v>204</v>
      </c>
      <c r="Q207" s="60" t="s">
        <v>967</v>
      </c>
      <c r="R207" s="45" t="s">
        <v>516</v>
      </c>
      <c r="S207" s="45" t="s">
        <v>6</v>
      </c>
      <c r="T207" s="45" t="s">
        <v>274</v>
      </c>
      <c r="U207" s="119">
        <v>871.2</v>
      </c>
      <c r="V207" s="62">
        <f>U207*J207</f>
        <v>8712</v>
      </c>
      <c r="W207" s="63">
        <f ca="1">$W$4-A207</f>
        <v>43</v>
      </c>
      <c r="X207" s="52" t="str">
        <f ca="1">VLOOKUP(W207,$AA$2:$AB$6,2)</f>
        <v>&lt; 6 Months</v>
      </c>
      <c r="Y207" s="52" t="str">
        <f ca="1">VLOOKUP(W207,$AD$2:$AE$6,2)</f>
        <v>30-60 Days</v>
      </c>
    </row>
    <row r="208" spans="1:25" s="64" customFormat="1" ht="15" customHeight="1">
      <c r="A208" s="127" t="s">
        <v>1620</v>
      </c>
      <c r="B208" s="45" t="s">
        <v>245</v>
      </c>
      <c r="C208" s="45" t="s">
        <v>1622</v>
      </c>
      <c r="D208" s="43" t="s">
        <v>270</v>
      </c>
      <c r="E208" s="43" t="s">
        <v>1625</v>
      </c>
      <c r="F208" s="43" t="s">
        <v>1638</v>
      </c>
      <c r="G208" s="41">
        <v>186584</v>
      </c>
      <c r="H208" s="116">
        <v>203</v>
      </c>
      <c r="I208" s="41">
        <v>5</v>
      </c>
      <c r="J208" s="98">
        <f>I208*H208</f>
        <v>1015</v>
      </c>
      <c r="K208" s="60" t="s">
        <v>190</v>
      </c>
      <c r="L208" s="60" t="s">
        <v>859</v>
      </c>
      <c r="M208" s="60" t="str" cm="1">
        <f t="array" ref="M208:N208">VLOOKUP(Q208,[1]CFPL!$A:$D,{3,4},0)</f>
        <v>DATES</v>
      </c>
      <c r="N208" s="60" t="str">
        <v>Medjoul-Large</v>
      </c>
      <c r="O208" s="60" t="s">
        <v>440</v>
      </c>
      <c r="P208" s="60" t="s">
        <v>204</v>
      </c>
      <c r="Q208" s="60" t="s">
        <v>967</v>
      </c>
      <c r="R208" s="45" t="s">
        <v>516</v>
      </c>
      <c r="S208" s="45" t="s">
        <v>6</v>
      </c>
      <c r="T208" s="45" t="s">
        <v>274</v>
      </c>
      <c r="U208" s="119">
        <v>871.2</v>
      </c>
      <c r="V208" s="62">
        <f>U208*J208</f>
        <v>884268</v>
      </c>
      <c r="W208" s="63">
        <f ca="1">$W$4-A208</f>
        <v>43</v>
      </c>
      <c r="X208" s="52" t="str">
        <f ca="1">VLOOKUP(W208,$AA$2:$AB$6,2)</f>
        <v>&lt; 6 Months</v>
      </c>
      <c r="Y208" s="52" t="str">
        <f ca="1">VLOOKUP(W208,$AD$2:$AE$6,2)</f>
        <v>30-60 Days</v>
      </c>
    </row>
    <row r="209" spans="1:25" s="64" customFormat="1" ht="15" customHeight="1">
      <c r="A209" s="127" t="s">
        <v>1620</v>
      </c>
      <c r="B209" s="45" t="s">
        <v>245</v>
      </c>
      <c r="C209" s="45" t="s">
        <v>1622</v>
      </c>
      <c r="D209" s="43" t="s">
        <v>270</v>
      </c>
      <c r="E209" s="43" t="s">
        <v>1625</v>
      </c>
      <c r="F209" s="43" t="s">
        <v>1638</v>
      </c>
      <c r="G209" s="41">
        <v>186585</v>
      </c>
      <c r="H209" s="116">
        <v>7</v>
      </c>
      <c r="I209" s="41">
        <v>5</v>
      </c>
      <c r="J209" s="98">
        <f>I209*H209</f>
        <v>35</v>
      </c>
      <c r="K209" s="60" t="s">
        <v>190</v>
      </c>
      <c r="L209" s="60" t="s">
        <v>859</v>
      </c>
      <c r="M209" s="60" t="str" cm="1">
        <f t="array" ref="M209:N209">VLOOKUP(Q209,[1]CFPL!$A:$D,{3,4},0)</f>
        <v>DATES</v>
      </c>
      <c r="N209" s="60" t="str">
        <v>Medjoul-Large</v>
      </c>
      <c r="O209" s="60" t="s">
        <v>440</v>
      </c>
      <c r="P209" s="60" t="s">
        <v>204</v>
      </c>
      <c r="Q209" s="60" t="s">
        <v>967</v>
      </c>
      <c r="R209" s="45" t="s">
        <v>516</v>
      </c>
      <c r="S209" s="45" t="s">
        <v>6</v>
      </c>
      <c r="T209" s="45" t="s">
        <v>274</v>
      </c>
      <c r="U209" s="119">
        <v>871.2</v>
      </c>
      <c r="V209" s="62">
        <f>U209*J209</f>
        <v>30492</v>
      </c>
      <c r="W209" s="63">
        <f ca="1">$W$4-A209</f>
        <v>43</v>
      </c>
      <c r="X209" s="52" t="str">
        <f ca="1">VLOOKUP(W209,$AA$2:$AB$6,2)</f>
        <v>&lt; 6 Months</v>
      </c>
      <c r="Y209" s="52" t="str">
        <f ca="1">VLOOKUP(W209,$AD$2:$AE$6,2)</f>
        <v>30-60 Days</v>
      </c>
    </row>
    <row r="210" spans="1:25" s="64" customFormat="1" ht="15" customHeight="1">
      <c r="A210" s="127" t="s">
        <v>1620</v>
      </c>
      <c r="B210" s="45" t="s">
        <v>245</v>
      </c>
      <c r="C210" s="45" t="s">
        <v>1622</v>
      </c>
      <c r="D210" s="43" t="s">
        <v>270</v>
      </c>
      <c r="E210" s="43" t="s">
        <v>1625</v>
      </c>
      <c r="F210" s="43" t="s">
        <v>1639</v>
      </c>
      <c r="G210" s="41">
        <v>186586</v>
      </c>
      <c r="H210" s="116">
        <v>120</v>
      </c>
      <c r="I210" s="41">
        <v>5</v>
      </c>
      <c r="J210" s="98">
        <f>I210*H210</f>
        <v>600</v>
      </c>
      <c r="K210" s="60" t="s">
        <v>190</v>
      </c>
      <c r="L210" s="60" t="s">
        <v>859</v>
      </c>
      <c r="M210" s="60" t="str" cm="1">
        <f t="array" ref="M210:N210">VLOOKUP(Q210,[1]CFPL!$A:$D,{3,4},0)</f>
        <v>DATES</v>
      </c>
      <c r="N210" s="60" t="str">
        <v>Medjoul-Large</v>
      </c>
      <c r="O210" s="60" t="s">
        <v>440</v>
      </c>
      <c r="P210" s="60" t="s">
        <v>204</v>
      </c>
      <c r="Q210" s="60" t="s">
        <v>967</v>
      </c>
      <c r="R210" s="45" t="s">
        <v>516</v>
      </c>
      <c r="S210" s="45" t="s">
        <v>6</v>
      </c>
      <c r="T210" s="45" t="s">
        <v>274</v>
      </c>
      <c r="U210" s="119">
        <v>871.2</v>
      </c>
      <c r="V210" s="62">
        <f>U210*J210</f>
        <v>522720</v>
      </c>
      <c r="W210" s="63">
        <f ca="1">$W$4-A210</f>
        <v>43</v>
      </c>
      <c r="X210" s="52" t="str">
        <f ca="1">VLOOKUP(W210,$AA$2:$AB$6,2)</f>
        <v>&lt; 6 Months</v>
      </c>
      <c r="Y210" s="52" t="str">
        <f ca="1">VLOOKUP(W210,$AD$2:$AE$6,2)</f>
        <v>30-60 Days</v>
      </c>
    </row>
    <row r="211" spans="1:25" s="64" customFormat="1" ht="15" customHeight="1">
      <c r="A211" s="127" t="s">
        <v>1620</v>
      </c>
      <c r="B211" s="45" t="s">
        <v>245</v>
      </c>
      <c r="C211" s="45" t="s">
        <v>1622</v>
      </c>
      <c r="D211" s="43" t="s">
        <v>270</v>
      </c>
      <c r="E211" s="43" t="s">
        <v>1625</v>
      </c>
      <c r="F211" s="43" t="s">
        <v>1640</v>
      </c>
      <c r="G211" s="41">
        <v>186587</v>
      </c>
      <c r="H211" s="116">
        <v>210</v>
      </c>
      <c r="I211" s="41">
        <v>5</v>
      </c>
      <c r="J211" s="98">
        <f>I211*H211</f>
        <v>1050</v>
      </c>
      <c r="K211" s="60" t="s">
        <v>190</v>
      </c>
      <c r="L211" s="60" t="s">
        <v>859</v>
      </c>
      <c r="M211" s="60" t="str" cm="1">
        <f t="array" ref="M211:N211">VLOOKUP(Q211,[1]CFPL!$A:$D,{3,4},0)</f>
        <v>DATES</v>
      </c>
      <c r="N211" s="60" t="str">
        <v>Medjoul-Large</v>
      </c>
      <c r="O211" s="60" t="s">
        <v>440</v>
      </c>
      <c r="P211" s="60" t="s">
        <v>204</v>
      </c>
      <c r="Q211" s="60" t="s">
        <v>967</v>
      </c>
      <c r="R211" s="45" t="s">
        <v>516</v>
      </c>
      <c r="S211" s="45" t="s">
        <v>6</v>
      </c>
      <c r="T211" s="45" t="s">
        <v>274</v>
      </c>
      <c r="U211" s="119">
        <v>871.2</v>
      </c>
      <c r="V211" s="62">
        <f>U211*J211</f>
        <v>914760</v>
      </c>
      <c r="W211" s="63">
        <f ca="1">$W$4-A211</f>
        <v>43</v>
      </c>
      <c r="X211" s="52" t="str">
        <f ca="1">VLOOKUP(W211,$AA$2:$AB$6,2)</f>
        <v>&lt; 6 Months</v>
      </c>
      <c r="Y211" s="52" t="str">
        <f ca="1">VLOOKUP(W211,$AD$2:$AE$6,2)</f>
        <v>30-60 Days</v>
      </c>
    </row>
    <row r="212" spans="1:25" s="64" customFormat="1" ht="15" customHeight="1">
      <c r="A212" s="127" t="s">
        <v>1620</v>
      </c>
      <c r="B212" s="45" t="s">
        <v>245</v>
      </c>
      <c r="C212" s="45" t="s">
        <v>1622</v>
      </c>
      <c r="D212" s="43" t="s">
        <v>270</v>
      </c>
      <c r="E212" s="43" t="s">
        <v>1628</v>
      </c>
      <c r="F212" s="43" t="s">
        <v>1641</v>
      </c>
      <c r="G212" s="41">
        <v>186588</v>
      </c>
      <c r="H212" s="116">
        <v>60</v>
      </c>
      <c r="I212" s="41">
        <v>5</v>
      </c>
      <c r="J212" s="98">
        <f>I212*H212</f>
        <v>300</v>
      </c>
      <c r="K212" s="60" t="s">
        <v>152</v>
      </c>
      <c r="L212" s="60" t="s">
        <v>271</v>
      </c>
      <c r="M212" s="60" t="str" cm="1">
        <f t="array" ref="M212:N212">VLOOKUP(Q212,[1]CFPL!$A:$D,{3,4},0)</f>
        <v>DATES</v>
      </c>
      <c r="N212" s="60" t="str">
        <v>Deri</v>
      </c>
      <c r="O212" s="60" t="s">
        <v>271</v>
      </c>
      <c r="P212" s="60" t="s">
        <v>166</v>
      </c>
      <c r="Q212" s="60" t="s">
        <v>166</v>
      </c>
      <c r="R212" s="45" t="s">
        <v>516</v>
      </c>
      <c r="S212" s="45" t="s">
        <v>6</v>
      </c>
      <c r="T212" s="45" t="s">
        <v>274</v>
      </c>
      <c r="U212" s="119">
        <v>303</v>
      </c>
      <c r="V212" s="62">
        <f>U212*J212</f>
        <v>90900</v>
      </c>
      <c r="W212" s="63">
        <f ca="1">$W$4-A212</f>
        <v>43</v>
      </c>
      <c r="X212" s="52" t="str">
        <f ca="1">VLOOKUP(W212,$AA$2:$AB$6,2)</f>
        <v>&lt; 6 Months</v>
      </c>
      <c r="Y212" s="52" t="str">
        <f ca="1">VLOOKUP(W212,$AD$2:$AE$6,2)</f>
        <v>30-60 Days</v>
      </c>
    </row>
    <row r="213" spans="1:25" s="64" customFormat="1" ht="15" customHeight="1">
      <c r="A213" s="127" t="s">
        <v>1620</v>
      </c>
      <c r="B213" s="45" t="s">
        <v>245</v>
      </c>
      <c r="C213" s="45" t="s">
        <v>1622</v>
      </c>
      <c r="D213" s="43" t="s">
        <v>270</v>
      </c>
      <c r="E213" s="43" t="s">
        <v>1626</v>
      </c>
      <c r="F213" s="43" t="s">
        <v>1627</v>
      </c>
      <c r="G213" s="41">
        <v>186527</v>
      </c>
      <c r="H213" s="116">
        <v>175</v>
      </c>
      <c r="I213" s="41">
        <v>5</v>
      </c>
      <c r="J213" s="98">
        <f>I213*H213</f>
        <v>875</v>
      </c>
      <c r="K213" s="60" t="s">
        <v>190</v>
      </c>
      <c r="L213" s="60" t="s">
        <v>857</v>
      </c>
      <c r="M213" s="60" t="str" cm="1">
        <f t="array" ref="M213:N213">VLOOKUP(Q213,[1]CFPL!$A:$D,{3,4},0)</f>
        <v>DATES</v>
      </c>
      <c r="N213" s="60" t="str">
        <v>Medjoul-Jumbo</v>
      </c>
      <c r="O213" s="60" t="s">
        <v>507</v>
      </c>
      <c r="P213" s="60" t="s">
        <v>200</v>
      </c>
      <c r="Q213" s="60" t="s">
        <v>654</v>
      </c>
      <c r="R213" s="45" t="s">
        <v>516</v>
      </c>
      <c r="S213" s="45" t="s">
        <v>6</v>
      </c>
      <c r="T213" s="45" t="s">
        <v>274</v>
      </c>
      <c r="U213" s="119">
        <v>1057</v>
      </c>
      <c r="V213" s="62">
        <f>U213*J213</f>
        <v>924875</v>
      </c>
      <c r="W213" s="63">
        <f ca="1">$W$4-A213</f>
        <v>43</v>
      </c>
      <c r="X213" s="52" t="str">
        <f ca="1">VLOOKUP(W213,$AA$2:$AB$6,2)</f>
        <v>&lt; 6 Months</v>
      </c>
      <c r="Y213" s="52" t="str">
        <f ca="1">VLOOKUP(W213,$AD$2:$AE$6,2)</f>
        <v>30-60 Days</v>
      </c>
    </row>
    <row r="214" spans="1:25" s="64" customFormat="1" ht="15" customHeight="1">
      <c r="A214" s="127" t="s">
        <v>1620</v>
      </c>
      <c r="B214" s="45" t="s">
        <v>245</v>
      </c>
      <c r="C214" s="45" t="s">
        <v>1622</v>
      </c>
      <c r="D214" s="43" t="s">
        <v>270</v>
      </c>
      <c r="E214" s="43" t="s">
        <v>1623</v>
      </c>
      <c r="F214" s="43" t="s">
        <v>1624</v>
      </c>
      <c r="G214" s="41">
        <v>186525</v>
      </c>
      <c r="H214" s="116">
        <v>206</v>
      </c>
      <c r="I214" s="41">
        <v>5</v>
      </c>
      <c r="J214" s="98">
        <f>I214*H214</f>
        <v>1030</v>
      </c>
      <c r="K214" s="60" t="s">
        <v>190</v>
      </c>
      <c r="L214" s="60" t="s">
        <v>860</v>
      </c>
      <c r="M214" s="60" t="str" cm="1">
        <f t="array" ref="M214:N214">VLOOKUP(Q214,[1]CFPL!$A:$D,{3,4},0)</f>
        <v>DATES</v>
      </c>
      <c r="N214" s="60" t="str">
        <v>Medjoul-Medium</v>
      </c>
      <c r="O214" s="60" t="s">
        <v>295</v>
      </c>
      <c r="P214" s="60" t="s">
        <v>205</v>
      </c>
      <c r="Q214" s="60" t="s">
        <v>602</v>
      </c>
      <c r="R214" s="45" t="s">
        <v>516</v>
      </c>
      <c r="S214" s="45" t="s">
        <v>6</v>
      </c>
      <c r="T214" s="45" t="s">
        <v>274</v>
      </c>
      <c r="U214" s="119">
        <v>753.28</v>
      </c>
      <c r="V214" s="62">
        <f>U214*J214</f>
        <v>775878.4</v>
      </c>
      <c r="W214" s="63">
        <f ca="1">$W$4-A214</f>
        <v>43</v>
      </c>
      <c r="X214" s="52" t="str">
        <f ca="1">VLOOKUP(W214,$AA$2:$AB$6,2)</f>
        <v>&lt; 6 Months</v>
      </c>
      <c r="Y214" s="52" t="str">
        <f ca="1">VLOOKUP(W214,$AD$2:$AE$6,2)</f>
        <v>30-60 Days</v>
      </c>
    </row>
    <row r="215" spans="1:25" s="64" customFormat="1" ht="15" customHeight="1">
      <c r="A215" s="127" t="s">
        <v>1620</v>
      </c>
      <c r="B215" s="45" t="s">
        <v>245</v>
      </c>
      <c r="C215" s="45" t="s">
        <v>1622</v>
      </c>
      <c r="D215" s="43" t="s">
        <v>270</v>
      </c>
      <c r="E215" s="43" t="s">
        <v>1623</v>
      </c>
      <c r="F215" s="43" t="s">
        <v>1624</v>
      </c>
      <c r="G215" s="41">
        <v>186526</v>
      </c>
      <c r="H215" s="116">
        <v>4</v>
      </c>
      <c r="I215" s="41">
        <v>5</v>
      </c>
      <c r="J215" s="98">
        <f>I215*H215</f>
        <v>20</v>
      </c>
      <c r="K215" s="60" t="s">
        <v>190</v>
      </c>
      <c r="L215" s="60" t="s">
        <v>860</v>
      </c>
      <c r="M215" s="60" t="str" cm="1">
        <f t="array" ref="M215:N215">VLOOKUP(Q215,[1]CFPL!$A:$D,{3,4},0)</f>
        <v>DATES</v>
      </c>
      <c r="N215" s="60" t="str">
        <v>Medjoul-Medium</v>
      </c>
      <c r="O215" s="60" t="s">
        <v>295</v>
      </c>
      <c r="P215" s="60" t="s">
        <v>205</v>
      </c>
      <c r="Q215" s="60" t="s">
        <v>602</v>
      </c>
      <c r="R215" s="45" t="s">
        <v>516</v>
      </c>
      <c r="S215" s="45" t="s">
        <v>6</v>
      </c>
      <c r="T215" s="45" t="s">
        <v>274</v>
      </c>
      <c r="U215" s="119">
        <v>753.28</v>
      </c>
      <c r="V215" s="62">
        <f>U215*J215</f>
        <v>15065.599999999999</v>
      </c>
      <c r="W215" s="63">
        <f ca="1">$W$4-A215</f>
        <v>43</v>
      </c>
      <c r="X215" s="52" t="str">
        <f ca="1">VLOOKUP(W215,$AA$2:$AB$6,2)</f>
        <v>&lt; 6 Months</v>
      </c>
      <c r="Y215" s="52" t="str">
        <f ca="1">VLOOKUP(W215,$AD$2:$AE$6,2)</f>
        <v>30-60 Days</v>
      </c>
    </row>
    <row r="216" spans="1:25" s="64" customFormat="1" ht="15" customHeight="1">
      <c r="A216" s="127" t="s">
        <v>1642</v>
      </c>
      <c r="B216" s="45" t="s">
        <v>245</v>
      </c>
      <c r="C216" s="45" t="s">
        <v>1643</v>
      </c>
      <c r="D216" s="43" t="s">
        <v>270</v>
      </c>
      <c r="E216" s="43" t="s">
        <v>1447</v>
      </c>
      <c r="F216" s="43" t="s">
        <v>1449</v>
      </c>
      <c r="G216" s="41">
        <v>182082</v>
      </c>
      <c r="H216" s="116">
        <v>210</v>
      </c>
      <c r="I216" s="41">
        <v>5</v>
      </c>
      <c r="J216" s="98">
        <f>I216*H216</f>
        <v>1050</v>
      </c>
      <c r="K216" s="60" t="s">
        <v>190</v>
      </c>
      <c r="L216" s="60" t="s">
        <v>857</v>
      </c>
      <c r="M216" s="60" t="str" cm="1">
        <f t="array" ref="M216:N216">VLOOKUP(Q216,[1]CFPL!$A:$D,{3,4},0)</f>
        <v>DATES</v>
      </c>
      <c r="N216" s="60" t="str">
        <v>Medjoul-Jumbo</v>
      </c>
      <c r="O216" s="60" t="s">
        <v>507</v>
      </c>
      <c r="P216" s="60" t="s">
        <v>200</v>
      </c>
      <c r="Q216" s="60" t="s">
        <v>654</v>
      </c>
      <c r="R216" s="45" t="s">
        <v>516</v>
      </c>
      <c r="S216" s="45" t="s">
        <v>6</v>
      </c>
      <c r="T216" s="45" t="s">
        <v>274</v>
      </c>
      <c r="U216" s="119">
        <v>1057</v>
      </c>
      <c r="V216" s="62">
        <f>U216*J216</f>
        <v>1109850</v>
      </c>
      <c r="W216" s="63">
        <f ca="1">$W$4-A216</f>
        <v>42</v>
      </c>
      <c r="X216" s="52" t="str">
        <f ca="1">VLOOKUP(W216,$AA$2:$AB$6,2)</f>
        <v>&lt; 6 Months</v>
      </c>
      <c r="Y216" s="52" t="str">
        <f ca="1">VLOOKUP(W216,$AD$2:$AE$6,2)</f>
        <v>30-60 Days</v>
      </c>
    </row>
    <row r="217" spans="1:25" s="64" customFormat="1" ht="15" customHeight="1">
      <c r="A217" s="127" t="s">
        <v>1645</v>
      </c>
      <c r="B217" s="45" t="s">
        <v>245</v>
      </c>
      <c r="C217" s="45" t="s">
        <v>1648</v>
      </c>
      <c r="D217" s="43" t="s">
        <v>555</v>
      </c>
      <c r="E217" s="43" t="s">
        <v>1652</v>
      </c>
      <c r="F217" s="43" t="s">
        <v>248</v>
      </c>
      <c r="G217" s="41">
        <v>1058</v>
      </c>
      <c r="H217" s="116">
        <v>52</v>
      </c>
      <c r="I217" s="41">
        <v>15</v>
      </c>
      <c r="J217" s="98">
        <f>I217*H217</f>
        <v>780</v>
      </c>
      <c r="K217" s="60" t="s">
        <v>92</v>
      </c>
      <c r="L217" s="60" t="s">
        <v>537</v>
      </c>
      <c r="M217" s="60" t="str" cm="1">
        <f t="array" ref="M217:N217">VLOOKUP(Q217,[1]CFPL!$A:$D,{3,4},0)</f>
        <v>RAISIN</v>
      </c>
      <c r="N217" s="60" t="str">
        <v>Raisin - Indian</v>
      </c>
      <c r="O217" s="60" t="s">
        <v>844</v>
      </c>
      <c r="P217" s="60" t="s">
        <v>93</v>
      </c>
      <c r="Q217" s="60" t="s">
        <v>93</v>
      </c>
      <c r="R217" s="45" t="s">
        <v>516</v>
      </c>
      <c r="S217" s="45" t="s">
        <v>6</v>
      </c>
      <c r="T217" s="45" t="s">
        <v>255</v>
      </c>
      <c r="U217" s="119">
        <v>349</v>
      </c>
      <c r="V217" s="62">
        <f>U217*J217</f>
        <v>272220</v>
      </c>
      <c r="W217" s="63">
        <f ca="1">$W$4-A217</f>
        <v>41</v>
      </c>
      <c r="X217" s="52" t="str">
        <f ca="1">VLOOKUP(W217,$AA$2:$AB$6,2)</f>
        <v>&lt; 6 Months</v>
      </c>
      <c r="Y217" s="52" t="str">
        <f ca="1">VLOOKUP(W217,$AD$2:$AE$6,2)</f>
        <v>30-60 Days</v>
      </c>
    </row>
    <row r="218" spans="1:25" s="64" customFormat="1" ht="15" customHeight="1">
      <c r="A218" s="127" t="s">
        <v>1645</v>
      </c>
      <c r="B218" s="45" t="s">
        <v>245</v>
      </c>
      <c r="C218" s="45" t="s">
        <v>1646</v>
      </c>
      <c r="D218" s="43" t="s">
        <v>270</v>
      </c>
      <c r="E218" s="43" t="s">
        <v>1141</v>
      </c>
      <c r="F218" s="43" t="s">
        <v>1647</v>
      </c>
      <c r="G218" s="41">
        <v>186767</v>
      </c>
      <c r="H218" s="116">
        <v>1755</v>
      </c>
      <c r="I218" s="41">
        <v>5</v>
      </c>
      <c r="J218" s="98">
        <f>I218*H218</f>
        <v>8775</v>
      </c>
      <c r="K218" s="60" t="s">
        <v>152</v>
      </c>
      <c r="L218" s="60" t="s">
        <v>271</v>
      </c>
      <c r="M218" s="60" t="str" cm="1">
        <f t="array" ref="M218:N218">VLOOKUP(Q218,[1]CFPL!$A:$D,{3,4},0)</f>
        <v>DATES</v>
      </c>
      <c r="N218" s="60" t="str">
        <v>Deri</v>
      </c>
      <c r="O218" s="60" t="s">
        <v>271</v>
      </c>
      <c r="P218" s="60" t="s">
        <v>166</v>
      </c>
      <c r="Q218" s="60" t="s">
        <v>166</v>
      </c>
      <c r="R218" s="45" t="s">
        <v>516</v>
      </c>
      <c r="S218" s="45" t="s">
        <v>6</v>
      </c>
      <c r="T218" s="45" t="s">
        <v>274</v>
      </c>
      <c r="U218" s="119">
        <v>303</v>
      </c>
      <c r="V218" s="62">
        <f>U218*J218</f>
        <v>2658825</v>
      </c>
      <c r="W218" s="63">
        <f ca="1">$W$4-A218</f>
        <v>41</v>
      </c>
      <c r="X218" s="52" t="str">
        <f ca="1">VLOOKUP(W218,$AA$2:$AB$6,2)</f>
        <v>&lt; 6 Months</v>
      </c>
      <c r="Y218" s="52" t="str">
        <f ca="1">VLOOKUP(W218,$AD$2:$AE$6,2)</f>
        <v>30-60 Days</v>
      </c>
    </row>
    <row r="219" spans="1:25" s="64" customFormat="1" ht="15" customHeight="1">
      <c r="A219" s="127" t="s">
        <v>1645</v>
      </c>
      <c r="B219" s="45" t="s">
        <v>245</v>
      </c>
      <c r="C219" s="45" t="s">
        <v>1646</v>
      </c>
      <c r="D219" s="43" t="s">
        <v>270</v>
      </c>
      <c r="E219" s="43" t="s">
        <v>1141</v>
      </c>
      <c r="F219" s="43" t="s">
        <v>1647</v>
      </c>
      <c r="G219" s="41">
        <v>186767</v>
      </c>
      <c r="H219" s="116">
        <v>1800</v>
      </c>
      <c r="I219" s="41">
        <v>5</v>
      </c>
      <c r="J219" s="98">
        <f>I219*H219</f>
        <v>9000</v>
      </c>
      <c r="K219" s="60" t="s">
        <v>152</v>
      </c>
      <c r="L219" s="60" t="s">
        <v>271</v>
      </c>
      <c r="M219" s="60" t="str" cm="1">
        <f t="array" ref="M219:N219">VLOOKUP(Q219,[1]CFPL!$A:$D,{3,4},0)</f>
        <v>DATES</v>
      </c>
      <c r="N219" s="60" t="str">
        <v>Deri</v>
      </c>
      <c r="O219" s="60" t="s">
        <v>271</v>
      </c>
      <c r="P219" s="60" t="s">
        <v>166</v>
      </c>
      <c r="Q219" s="60" t="s">
        <v>166</v>
      </c>
      <c r="R219" s="45" t="s">
        <v>516</v>
      </c>
      <c r="S219" s="45" t="s">
        <v>6</v>
      </c>
      <c r="T219" s="45" t="s">
        <v>274</v>
      </c>
      <c r="U219" s="119">
        <v>303</v>
      </c>
      <c r="V219" s="62">
        <f>U219*J219</f>
        <v>2727000</v>
      </c>
      <c r="W219" s="63">
        <f ca="1">$W$4-A219</f>
        <v>41</v>
      </c>
      <c r="X219" s="52" t="str">
        <f ca="1">VLOOKUP(W219,$AA$2:$AB$6,2)</f>
        <v>&lt; 6 Months</v>
      </c>
      <c r="Y219" s="52" t="str">
        <f ca="1">VLOOKUP(W219,$AD$2:$AE$6,2)</f>
        <v>30-60 Days</v>
      </c>
    </row>
    <row r="220" spans="1:25" s="64" customFormat="1" ht="15" customHeight="1">
      <c r="A220" s="127" t="s">
        <v>1645</v>
      </c>
      <c r="B220" s="45" t="s">
        <v>245</v>
      </c>
      <c r="C220" s="45" t="s">
        <v>1646</v>
      </c>
      <c r="D220" s="43" t="s">
        <v>270</v>
      </c>
      <c r="E220" s="43" t="s">
        <v>1141</v>
      </c>
      <c r="F220" s="43" t="s">
        <v>1647</v>
      </c>
      <c r="G220" s="41">
        <v>186794</v>
      </c>
      <c r="H220" s="116">
        <v>423</v>
      </c>
      <c r="I220" s="41">
        <v>5</v>
      </c>
      <c r="J220" s="98">
        <f>I220*H220</f>
        <v>2115</v>
      </c>
      <c r="K220" s="60" t="s">
        <v>152</v>
      </c>
      <c r="L220" s="60" t="s">
        <v>271</v>
      </c>
      <c r="M220" s="60" t="str" cm="1">
        <f t="array" ref="M220:N220">VLOOKUP(Q220,[1]CFPL!$A:$D,{3,4},0)</f>
        <v>DATES</v>
      </c>
      <c r="N220" s="60" t="str">
        <v>Deri</v>
      </c>
      <c r="O220" s="60" t="s">
        <v>271</v>
      </c>
      <c r="P220" s="60" t="s">
        <v>166</v>
      </c>
      <c r="Q220" s="60" t="s">
        <v>166</v>
      </c>
      <c r="R220" s="45" t="s">
        <v>516</v>
      </c>
      <c r="S220" s="45" t="s">
        <v>6</v>
      </c>
      <c r="T220" s="45" t="s">
        <v>274</v>
      </c>
      <c r="U220" s="119">
        <v>303</v>
      </c>
      <c r="V220" s="62">
        <f>U220*J220</f>
        <v>640845</v>
      </c>
      <c r="W220" s="63">
        <f ca="1">$W$4-A220</f>
        <v>41</v>
      </c>
      <c r="X220" s="52" t="str">
        <f ca="1">VLOOKUP(W220,$AA$2:$AB$6,2)</f>
        <v>&lt; 6 Months</v>
      </c>
      <c r="Y220" s="52" t="str">
        <f ca="1">VLOOKUP(W220,$AD$2:$AE$6,2)</f>
        <v>30-60 Days</v>
      </c>
    </row>
    <row r="221" spans="1:25" s="64" customFormat="1" ht="15" customHeight="1">
      <c r="A221" s="127" t="s">
        <v>1645</v>
      </c>
      <c r="B221" s="45" t="s">
        <v>245</v>
      </c>
      <c r="C221" s="45" t="s">
        <v>1648</v>
      </c>
      <c r="D221" s="43" t="s">
        <v>555</v>
      </c>
      <c r="E221" s="43" t="s">
        <v>1649</v>
      </c>
      <c r="F221" s="43" t="s">
        <v>248</v>
      </c>
      <c r="G221" s="41">
        <v>1051</v>
      </c>
      <c r="H221" s="116">
        <v>16</v>
      </c>
      <c r="I221" s="41">
        <v>15</v>
      </c>
      <c r="J221" s="98">
        <f>I221*H221</f>
        <v>240</v>
      </c>
      <c r="K221" s="60" t="s">
        <v>92</v>
      </c>
      <c r="L221" s="60" t="s">
        <v>537</v>
      </c>
      <c r="M221" s="60" t="str" cm="1">
        <f t="array" ref="M221:N221">VLOOKUP(Q221,[1]CFPL!$A:$D,{3,4},0)</f>
        <v>RAISIN</v>
      </c>
      <c r="N221" s="60" t="str">
        <v>Raisin - Indian</v>
      </c>
      <c r="O221" s="60" t="s">
        <v>844</v>
      </c>
      <c r="P221" s="60" t="s">
        <v>93</v>
      </c>
      <c r="Q221" s="60" t="s">
        <v>93</v>
      </c>
      <c r="R221" s="45" t="s">
        <v>516</v>
      </c>
      <c r="S221" s="45" t="s">
        <v>6</v>
      </c>
      <c r="T221" s="45" t="s">
        <v>255</v>
      </c>
      <c r="U221" s="119">
        <v>349</v>
      </c>
      <c r="V221" s="62">
        <f>U221*J221</f>
        <v>83760</v>
      </c>
      <c r="W221" s="63">
        <f ca="1">$W$4-A221</f>
        <v>41</v>
      </c>
      <c r="X221" s="52" t="str">
        <f ca="1">VLOOKUP(W221,$AA$2:$AB$6,2)</f>
        <v>&lt; 6 Months</v>
      </c>
      <c r="Y221" s="52" t="str">
        <f ca="1">VLOOKUP(W221,$AD$2:$AE$6,2)</f>
        <v>30-60 Days</v>
      </c>
    </row>
    <row r="222" spans="1:25" s="64" customFormat="1" ht="15" customHeight="1">
      <c r="A222" s="127" t="s">
        <v>1645</v>
      </c>
      <c r="B222" s="45" t="s">
        <v>245</v>
      </c>
      <c r="C222" s="45" t="s">
        <v>1648</v>
      </c>
      <c r="D222" s="43" t="s">
        <v>555</v>
      </c>
      <c r="E222" s="43" t="s">
        <v>1653</v>
      </c>
      <c r="F222" s="43" t="s">
        <v>248</v>
      </c>
      <c r="G222" s="41">
        <v>1057</v>
      </c>
      <c r="H222" s="116">
        <v>8</v>
      </c>
      <c r="I222" s="41">
        <v>15</v>
      </c>
      <c r="J222" s="98">
        <f>I222*H222</f>
        <v>120</v>
      </c>
      <c r="K222" s="60" t="s">
        <v>92</v>
      </c>
      <c r="L222" s="60" t="s">
        <v>537</v>
      </c>
      <c r="M222" s="60" t="str" cm="1">
        <f t="array" ref="M222:N222">VLOOKUP(Q222,[1]CFPL!$A:$D,{3,4},0)</f>
        <v>RAISIN</v>
      </c>
      <c r="N222" s="60" t="str">
        <v>Raisin - Indian</v>
      </c>
      <c r="O222" s="60" t="s">
        <v>844</v>
      </c>
      <c r="P222" s="60" t="s">
        <v>93</v>
      </c>
      <c r="Q222" s="60" t="s">
        <v>93</v>
      </c>
      <c r="R222" s="45" t="s">
        <v>516</v>
      </c>
      <c r="S222" s="45" t="s">
        <v>6</v>
      </c>
      <c r="T222" s="45" t="s">
        <v>255</v>
      </c>
      <c r="U222" s="119">
        <v>349</v>
      </c>
      <c r="V222" s="62">
        <f>U222*J222</f>
        <v>41880</v>
      </c>
      <c r="W222" s="63">
        <f ca="1">$W$4-A222</f>
        <v>41</v>
      </c>
      <c r="X222" s="52" t="str">
        <f ca="1">VLOOKUP(W222,$AA$2:$AB$6,2)</f>
        <v>&lt; 6 Months</v>
      </c>
      <c r="Y222" s="52" t="str">
        <f ca="1">VLOOKUP(W222,$AD$2:$AE$6,2)</f>
        <v>30-60 Days</v>
      </c>
    </row>
    <row r="223" spans="1:25" s="64" customFormat="1" ht="15" customHeight="1">
      <c r="A223" s="127" t="s">
        <v>1645</v>
      </c>
      <c r="B223" s="45" t="s">
        <v>245</v>
      </c>
      <c r="C223" s="45" t="s">
        <v>1648</v>
      </c>
      <c r="D223" s="43" t="s">
        <v>555</v>
      </c>
      <c r="E223" s="43" t="s">
        <v>1654</v>
      </c>
      <c r="F223" s="43" t="s">
        <v>248</v>
      </c>
      <c r="G223" s="41">
        <v>1054</v>
      </c>
      <c r="H223" s="116">
        <v>1</v>
      </c>
      <c r="I223" s="41">
        <v>15</v>
      </c>
      <c r="J223" s="98">
        <f>I223*H223</f>
        <v>15</v>
      </c>
      <c r="K223" s="60" t="s">
        <v>92</v>
      </c>
      <c r="L223" s="60" t="s">
        <v>537</v>
      </c>
      <c r="M223" s="60" t="str" cm="1">
        <f t="array" ref="M223:N223">VLOOKUP(Q223,[1]CFPL!$A:$D,{3,4},0)</f>
        <v>RAISIN</v>
      </c>
      <c r="N223" s="60" t="str">
        <v>Raisin - Indian</v>
      </c>
      <c r="O223" s="60" t="s">
        <v>844</v>
      </c>
      <c r="P223" s="60" t="s">
        <v>93</v>
      </c>
      <c r="Q223" s="60" t="s">
        <v>93</v>
      </c>
      <c r="R223" s="45" t="s">
        <v>516</v>
      </c>
      <c r="S223" s="45" t="s">
        <v>6</v>
      </c>
      <c r="T223" s="45" t="s">
        <v>255</v>
      </c>
      <c r="U223" s="119">
        <v>349</v>
      </c>
      <c r="V223" s="62">
        <f>U223*J223</f>
        <v>5235</v>
      </c>
      <c r="W223" s="63">
        <f ca="1">$W$4-A223</f>
        <v>41</v>
      </c>
      <c r="X223" s="52" t="str">
        <f ca="1">VLOOKUP(W223,$AA$2:$AB$6,2)</f>
        <v>&lt; 6 Months</v>
      </c>
      <c r="Y223" s="52" t="str">
        <f ca="1">VLOOKUP(W223,$AD$2:$AE$6,2)</f>
        <v>30-60 Days</v>
      </c>
    </row>
    <row r="224" spans="1:25" s="64" customFormat="1" ht="15" customHeight="1">
      <c r="A224" s="127" t="s">
        <v>1645</v>
      </c>
      <c r="B224" s="45" t="s">
        <v>245</v>
      </c>
      <c r="C224" s="45" t="s">
        <v>1648</v>
      </c>
      <c r="D224" s="43" t="s">
        <v>555</v>
      </c>
      <c r="E224" s="43" t="s">
        <v>1651</v>
      </c>
      <c r="F224" s="43" t="s">
        <v>248</v>
      </c>
      <c r="G224" s="41">
        <v>1053</v>
      </c>
      <c r="H224" s="116">
        <v>17</v>
      </c>
      <c r="I224" s="41">
        <v>15</v>
      </c>
      <c r="J224" s="98">
        <f>I224*H224</f>
        <v>255</v>
      </c>
      <c r="K224" s="60" t="s">
        <v>92</v>
      </c>
      <c r="L224" s="60" t="s">
        <v>537</v>
      </c>
      <c r="M224" s="60" t="str" cm="1">
        <f t="array" ref="M224:N224">VLOOKUP(Q224,[1]CFPL!$A:$D,{3,4},0)</f>
        <v>RAISIN</v>
      </c>
      <c r="N224" s="60" t="str">
        <v>Raisin - Indian</v>
      </c>
      <c r="O224" s="60" t="s">
        <v>844</v>
      </c>
      <c r="P224" s="60" t="s">
        <v>93</v>
      </c>
      <c r="Q224" s="60" t="s">
        <v>93</v>
      </c>
      <c r="R224" s="45" t="s">
        <v>516</v>
      </c>
      <c r="S224" s="45" t="s">
        <v>6</v>
      </c>
      <c r="T224" s="45" t="s">
        <v>255</v>
      </c>
      <c r="U224" s="119">
        <v>349</v>
      </c>
      <c r="V224" s="62">
        <f>U224*J224</f>
        <v>88995</v>
      </c>
      <c r="W224" s="63">
        <f ca="1">$W$4-A224</f>
        <v>41</v>
      </c>
      <c r="X224" s="52" t="str">
        <f ca="1">VLOOKUP(W224,$AA$2:$AB$6,2)</f>
        <v>&lt; 6 Months</v>
      </c>
      <c r="Y224" s="52" t="str">
        <f ca="1">VLOOKUP(W224,$AD$2:$AE$6,2)</f>
        <v>30-60 Days</v>
      </c>
    </row>
    <row r="225" spans="1:25" s="64" customFormat="1" ht="15" customHeight="1">
      <c r="A225" s="127" t="s">
        <v>1645</v>
      </c>
      <c r="B225" s="45" t="s">
        <v>245</v>
      </c>
      <c r="C225" s="45" t="s">
        <v>1648</v>
      </c>
      <c r="D225" s="43" t="s">
        <v>555</v>
      </c>
      <c r="E225" s="43" t="s">
        <v>1655</v>
      </c>
      <c r="F225" s="43" t="s">
        <v>248</v>
      </c>
      <c r="G225" s="41">
        <v>1052</v>
      </c>
      <c r="H225" s="116">
        <v>23</v>
      </c>
      <c r="I225" s="41">
        <v>15</v>
      </c>
      <c r="J225" s="98">
        <f>I225*H225</f>
        <v>345</v>
      </c>
      <c r="K225" s="60" t="s">
        <v>92</v>
      </c>
      <c r="L225" s="60" t="s">
        <v>537</v>
      </c>
      <c r="M225" s="60" t="str" cm="1">
        <f t="array" ref="M225:N225">VLOOKUP(Q225,[1]CFPL!$A:$D,{3,4},0)</f>
        <v>RAISIN</v>
      </c>
      <c r="N225" s="60" t="str">
        <v>Raisin - Indian</v>
      </c>
      <c r="O225" s="60" t="s">
        <v>844</v>
      </c>
      <c r="P225" s="60" t="s">
        <v>93</v>
      </c>
      <c r="Q225" s="60" t="s">
        <v>93</v>
      </c>
      <c r="R225" s="45" t="s">
        <v>516</v>
      </c>
      <c r="S225" s="45" t="s">
        <v>6</v>
      </c>
      <c r="T225" s="45" t="s">
        <v>255</v>
      </c>
      <c r="U225" s="119">
        <v>349</v>
      </c>
      <c r="V225" s="62">
        <f>U225*J225</f>
        <v>120405</v>
      </c>
      <c r="W225" s="63">
        <f ca="1">$W$4-A225</f>
        <v>41</v>
      </c>
      <c r="X225" s="52" t="str">
        <f ca="1">VLOOKUP(W225,$AA$2:$AB$6,2)</f>
        <v>&lt; 6 Months</v>
      </c>
      <c r="Y225" s="52" t="str">
        <f ca="1">VLOOKUP(W225,$AD$2:$AE$6,2)</f>
        <v>30-60 Days</v>
      </c>
    </row>
    <row r="226" spans="1:25" s="64" customFormat="1" ht="15" customHeight="1">
      <c r="A226" s="127" t="s">
        <v>1645</v>
      </c>
      <c r="B226" s="45" t="s">
        <v>245</v>
      </c>
      <c r="C226" s="45" t="s">
        <v>1646</v>
      </c>
      <c r="D226" s="43" t="s">
        <v>270</v>
      </c>
      <c r="E226" s="43" t="s">
        <v>1650</v>
      </c>
      <c r="F226" s="43" t="s">
        <v>1647</v>
      </c>
      <c r="G226" s="41">
        <v>186795</v>
      </c>
      <c r="H226" s="116">
        <v>21</v>
      </c>
      <c r="I226" s="41">
        <v>5</v>
      </c>
      <c r="J226" s="98">
        <f>I226*H226</f>
        <v>105</v>
      </c>
      <c r="K226" s="60" t="s">
        <v>152</v>
      </c>
      <c r="L226" s="60" t="s">
        <v>271</v>
      </c>
      <c r="M226" s="60" t="str" cm="1">
        <f t="array" ref="M226:N226">VLOOKUP(Q226,[1]CFPL!$A:$D,{3,4},0)</f>
        <v>DATES</v>
      </c>
      <c r="N226" s="60" t="str">
        <v>Deri</v>
      </c>
      <c r="O226" s="60" t="s">
        <v>271</v>
      </c>
      <c r="P226" s="60" t="s">
        <v>166</v>
      </c>
      <c r="Q226" s="60" t="s">
        <v>166</v>
      </c>
      <c r="R226" s="45" t="s">
        <v>516</v>
      </c>
      <c r="S226" s="45" t="s">
        <v>6</v>
      </c>
      <c r="T226" s="45" t="s">
        <v>274</v>
      </c>
      <c r="U226" s="119">
        <v>303</v>
      </c>
      <c r="V226" s="62">
        <f>U226*J226</f>
        <v>31815</v>
      </c>
      <c r="W226" s="63">
        <f ca="1">$W$4-A226</f>
        <v>41</v>
      </c>
      <c r="X226" s="52" t="str">
        <f ca="1">VLOOKUP(W226,$AA$2:$AB$6,2)</f>
        <v>&lt; 6 Months</v>
      </c>
      <c r="Y226" s="52" t="str">
        <f ca="1">VLOOKUP(W226,$AD$2:$AE$6,2)</f>
        <v>30-60 Days</v>
      </c>
    </row>
    <row r="227" spans="1:25" s="64" customFormat="1" ht="15" customHeight="1">
      <c r="A227" s="127" t="s">
        <v>1657</v>
      </c>
      <c r="B227" s="45" t="s">
        <v>245</v>
      </c>
      <c r="C227" s="45" t="s">
        <v>1658</v>
      </c>
      <c r="D227" s="43" t="s">
        <v>528</v>
      </c>
      <c r="E227" s="43" t="s">
        <v>248</v>
      </c>
      <c r="F227" s="43" t="s">
        <v>1659</v>
      </c>
      <c r="G227" s="41">
        <v>1344</v>
      </c>
      <c r="H227" s="116">
        <v>28</v>
      </c>
      <c r="I227" s="41">
        <v>11.34</v>
      </c>
      <c r="J227" s="98">
        <f>I227*H227</f>
        <v>317.52</v>
      </c>
      <c r="K227" s="60" t="s">
        <v>867</v>
      </c>
      <c r="L227" s="60" t="s">
        <v>889</v>
      </c>
      <c r="M227" s="60" t="str" cm="1">
        <f t="array" ref="M227:N227">VLOOKUP(Q227,[1]CFPL!$A:$D,{3,4},0)</f>
        <v>PREMIUM NUTS</v>
      </c>
      <c r="N227" s="60" t="str">
        <v>Macadamia Nuts</v>
      </c>
      <c r="O227" s="60" t="s">
        <v>845</v>
      </c>
      <c r="P227" s="60" t="s">
        <v>71</v>
      </c>
      <c r="Q227" s="60" t="s">
        <v>71</v>
      </c>
      <c r="R227" s="45" t="s">
        <v>516</v>
      </c>
      <c r="S227" s="45" t="s">
        <v>6</v>
      </c>
      <c r="T227" s="45">
        <v>0</v>
      </c>
      <c r="U227" s="119">
        <v>900</v>
      </c>
      <c r="V227" s="62">
        <f>U227*J227</f>
        <v>285768</v>
      </c>
      <c r="W227" s="63">
        <f ca="1">$W$4-A227</f>
        <v>39</v>
      </c>
      <c r="X227" s="52" t="str">
        <f ca="1">VLOOKUP(W227,$AA$2:$AB$6,2)</f>
        <v>&lt; 6 Months</v>
      </c>
      <c r="Y227" s="52" t="str">
        <f ca="1">VLOOKUP(W227,$AD$2:$AE$6,2)</f>
        <v>30-60 Days</v>
      </c>
    </row>
    <row r="228" spans="1:25" s="64" customFormat="1" ht="15" customHeight="1">
      <c r="A228" s="127" t="s">
        <v>1660</v>
      </c>
      <c r="B228" s="45" t="s">
        <v>258</v>
      </c>
      <c r="C228" s="45" t="s">
        <v>1661</v>
      </c>
      <c r="D228" s="43" t="s">
        <v>1662</v>
      </c>
      <c r="E228" s="43" t="s">
        <v>1663</v>
      </c>
      <c r="F228" s="43" t="s">
        <v>1664</v>
      </c>
      <c r="G228" s="41">
        <v>15192</v>
      </c>
      <c r="H228" s="116">
        <v>30</v>
      </c>
      <c r="I228" s="41">
        <v>10</v>
      </c>
      <c r="J228" s="98">
        <f>I228*H228</f>
        <v>300</v>
      </c>
      <c r="K228" s="60" t="s">
        <v>129</v>
      </c>
      <c r="L228" s="60" t="s">
        <v>1665</v>
      </c>
      <c r="M228" s="60" t="str" cm="1">
        <f t="array" ref="M228:N228">VLOOKUP(Q228,[1]CFPL!$A:$D,{3,4},0)</f>
        <v>WALNUT</v>
      </c>
      <c r="N228" s="60" t="str">
        <v>Walnut - Kernel</v>
      </c>
      <c r="O228" s="60" t="s">
        <v>1666</v>
      </c>
      <c r="P228" s="60" t="s">
        <v>1667</v>
      </c>
      <c r="Q228" s="60" t="s">
        <v>1667</v>
      </c>
      <c r="R228" s="45" t="s">
        <v>516</v>
      </c>
      <c r="S228" s="45" t="s">
        <v>6</v>
      </c>
      <c r="T228" s="45">
        <v>0</v>
      </c>
      <c r="U228" s="119">
        <v>1000</v>
      </c>
      <c r="V228" s="62">
        <f>U228*J228</f>
        <v>300000</v>
      </c>
      <c r="W228" s="63">
        <f ca="1">$W$4-A228</f>
        <v>38</v>
      </c>
      <c r="X228" s="52" t="str">
        <f ca="1">VLOOKUP(W228,$AA$2:$AB$6,2)</f>
        <v>&lt; 6 Months</v>
      </c>
      <c r="Y228" s="52" t="str">
        <f ca="1">VLOOKUP(W228,$AD$2:$AE$6,2)</f>
        <v>30-60 Days</v>
      </c>
    </row>
    <row r="229" spans="1:25" s="64" customFormat="1" ht="15" customHeight="1">
      <c r="A229" s="127" t="s">
        <v>1668</v>
      </c>
      <c r="B229" s="45" t="s">
        <v>258</v>
      </c>
      <c r="C229" s="45" t="s">
        <v>1669</v>
      </c>
      <c r="D229" s="43" t="s">
        <v>1670</v>
      </c>
      <c r="E229" s="43" t="s">
        <v>1671</v>
      </c>
      <c r="F229" s="43" t="s">
        <v>1672</v>
      </c>
      <c r="G229" s="41">
        <v>15231</v>
      </c>
      <c r="H229" s="116">
        <v>28</v>
      </c>
      <c r="I229" s="41">
        <v>6</v>
      </c>
      <c r="J229" s="98">
        <f>I229*H229</f>
        <v>168</v>
      </c>
      <c r="K229" s="60" t="s">
        <v>867</v>
      </c>
      <c r="L229" s="60" t="s">
        <v>1673</v>
      </c>
      <c r="M229" s="60" t="str" cm="1">
        <f t="array" ref="M229:N229">VLOOKUP(Q229,[1]CFPL!$A:$D,{3,4},0)</f>
        <v>PREMIUM NUTS</v>
      </c>
      <c r="N229" s="60" t="str">
        <v>Macadamia Nuts</v>
      </c>
      <c r="O229" s="60" t="s">
        <v>536</v>
      </c>
      <c r="P229" s="60" t="s">
        <v>1674</v>
      </c>
      <c r="Q229" s="60" t="s">
        <v>73</v>
      </c>
      <c r="R229" s="45" t="s">
        <v>516</v>
      </c>
      <c r="S229" s="45" t="s">
        <v>6</v>
      </c>
      <c r="T229" s="45" t="s">
        <v>274</v>
      </c>
      <c r="U229" s="119">
        <v>1721</v>
      </c>
      <c r="V229" s="62">
        <f>U229*J229</f>
        <v>289128</v>
      </c>
      <c r="W229" s="63">
        <f ca="1">$W$4-A229</f>
        <v>35</v>
      </c>
      <c r="X229" s="52" t="str">
        <f ca="1">VLOOKUP(W229,$AA$2:$AB$6,2)</f>
        <v>&lt; 6 Months</v>
      </c>
      <c r="Y229" s="52" t="str">
        <f ca="1">VLOOKUP(W229,$AD$2:$AE$6,2)</f>
        <v>30-60 Days</v>
      </c>
    </row>
    <row r="230" spans="1:25" s="64" customFormat="1" ht="15" customHeight="1">
      <c r="A230" s="127" t="s">
        <v>1675</v>
      </c>
      <c r="B230" s="45" t="s">
        <v>245</v>
      </c>
      <c r="C230" s="45" t="s">
        <v>1678</v>
      </c>
      <c r="D230" s="43" t="s">
        <v>555</v>
      </c>
      <c r="E230" s="43" t="s">
        <v>1681</v>
      </c>
      <c r="F230" s="43" t="s">
        <v>248</v>
      </c>
      <c r="G230" s="41">
        <v>2359</v>
      </c>
      <c r="H230" s="116">
        <v>44</v>
      </c>
      <c r="I230" s="41">
        <v>15</v>
      </c>
      <c r="J230" s="98">
        <f>I230*H230</f>
        <v>660</v>
      </c>
      <c r="K230" s="60" t="s">
        <v>92</v>
      </c>
      <c r="L230" s="60" t="s">
        <v>537</v>
      </c>
      <c r="M230" s="60" t="str" cm="1">
        <f t="array" ref="M230:N230">VLOOKUP(Q230,[1]CFPL!$A:$D,{3,4},0)</f>
        <v>RAISIN</v>
      </c>
      <c r="N230" s="60" t="str">
        <v>Raisin - Indian</v>
      </c>
      <c r="O230" s="60" t="s">
        <v>556</v>
      </c>
      <c r="P230" s="60" t="s">
        <v>93</v>
      </c>
      <c r="Q230" s="60" t="s">
        <v>93</v>
      </c>
      <c r="R230" s="45" t="s">
        <v>516</v>
      </c>
      <c r="S230" s="45" t="s">
        <v>6</v>
      </c>
      <c r="T230" s="45" t="s">
        <v>1711</v>
      </c>
      <c r="U230" s="119">
        <v>382</v>
      </c>
      <c r="V230" s="62">
        <f>U230*J230</f>
        <v>252120</v>
      </c>
      <c r="W230" s="63">
        <f ca="1">$W$4-A230</f>
        <v>31</v>
      </c>
      <c r="X230" s="52" t="str">
        <f ca="1">VLOOKUP(W230,$AA$2:$AB$6,2)</f>
        <v>&lt; 6 Months</v>
      </c>
      <c r="Y230" s="52" t="str">
        <f ca="1">VLOOKUP(W230,$AD$2:$AE$6,2)</f>
        <v>30-60 Days</v>
      </c>
    </row>
    <row r="231" spans="1:25" s="64" customFormat="1" ht="15" customHeight="1">
      <c r="A231" s="127" t="s">
        <v>1675</v>
      </c>
      <c r="B231" s="45" t="s">
        <v>245</v>
      </c>
      <c r="C231" s="45" t="s">
        <v>1678</v>
      </c>
      <c r="D231" s="43" t="s">
        <v>555</v>
      </c>
      <c r="E231" s="43" t="s">
        <v>1682</v>
      </c>
      <c r="F231" s="43" t="s">
        <v>248</v>
      </c>
      <c r="G231" s="41">
        <v>2360</v>
      </c>
      <c r="H231" s="116">
        <v>49</v>
      </c>
      <c r="I231" s="41">
        <v>15</v>
      </c>
      <c r="J231" s="98">
        <f>I231*H231</f>
        <v>735</v>
      </c>
      <c r="K231" s="60" t="s">
        <v>92</v>
      </c>
      <c r="L231" s="60" t="s">
        <v>537</v>
      </c>
      <c r="M231" s="60" t="str" cm="1">
        <f t="array" ref="M231:N231">VLOOKUP(Q231,[1]CFPL!$A:$D,{3,4},0)</f>
        <v>RAISIN</v>
      </c>
      <c r="N231" s="60" t="str">
        <v>Raisin - Indian</v>
      </c>
      <c r="O231" s="60" t="s">
        <v>556</v>
      </c>
      <c r="P231" s="60" t="s">
        <v>93</v>
      </c>
      <c r="Q231" s="60" t="s">
        <v>93</v>
      </c>
      <c r="R231" s="45" t="s">
        <v>516</v>
      </c>
      <c r="S231" s="45" t="s">
        <v>6</v>
      </c>
      <c r="T231" s="45" t="s">
        <v>1711</v>
      </c>
      <c r="U231" s="119">
        <v>382</v>
      </c>
      <c r="V231" s="62">
        <f>U231*J231</f>
        <v>280770</v>
      </c>
      <c r="W231" s="63">
        <f ca="1">$W$4-A231</f>
        <v>31</v>
      </c>
      <c r="X231" s="52" t="str">
        <f ca="1">VLOOKUP(W231,$AA$2:$AB$6,2)</f>
        <v>&lt; 6 Months</v>
      </c>
      <c r="Y231" s="52" t="str">
        <f ca="1">VLOOKUP(W231,$AD$2:$AE$6,2)</f>
        <v>30-60 Days</v>
      </c>
    </row>
    <row r="232" spans="1:25" s="64" customFormat="1" ht="15" customHeight="1">
      <c r="A232" s="127" t="s">
        <v>1675</v>
      </c>
      <c r="B232" s="45" t="s">
        <v>245</v>
      </c>
      <c r="C232" s="45" t="s">
        <v>1678</v>
      </c>
      <c r="D232" s="43" t="s">
        <v>555</v>
      </c>
      <c r="E232" s="43" t="s">
        <v>1683</v>
      </c>
      <c r="F232" s="43" t="s">
        <v>248</v>
      </c>
      <c r="G232" s="41">
        <v>2361</v>
      </c>
      <c r="H232" s="116">
        <v>11</v>
      </c>
      <c r="I232" s="41">
        <v>15</v>
      </c>
      <c r="J232" s="98">
        <f>I232*H232</f>
        <v>165</v>
      </c>
      <c r="K232" s="60" t="s">
        <v>92</v>
      </c>
      <c r="L232" s="60" t="s">
        <v>537</v>
      </c>
      <c r="M232" s="60" t="str" cm="1">
        <f t="array" ref="M232:N232">VLOOKUP(Q232,[1]CFPL!$A:$D,{3,4},0)</f>
        <v>RAISIN</v>
      </c>
      <c r="N232" s="60" t="str">
        <v>Raisin - Indian</v>
      </c>
      <c r="O232" s="60" t="s">
        <v>556</v>
      </c>
      <c r="P232" s="60" t="s">
        <v>93</v>
      </c>
      <c r="Q232" s="60" t="s">
        <v>93</v>
      </c>
      <c r="R232" s="45" t="s">
        <v>516</v>
      </c>
      <c r="S232" s="45" t="s">
        <v>6</v>
      </c>
      <c r="T232" s="45" t="s">
        <v>1711</v>
      </c>
      <c r="U232" s="119">
        <v>382</v>
      </c>
      <c r="V232" s="62">
        <f>U232*J232</f>
        <v>63030</v>
      </c>
      <c r="W232" s="63">
        <f ca="1">$W$4-A232</f>
        <v>31</v>
      </c>
      <c r="X232" s="52" t="str">
        <f ca="1">VLOOKUP(W232,$AA$2:$AB$6,2)</f>
        <v>&lt; 6 Months</v>
      </c>
      <c r="Y232" s="52" t="str">
        <f ca="1">VLOOKUP(W232,$AD$2:$AE$6,2)</f>
        <v>30-60 Days</v>
      </c>
    </row>
    <row r="233" spans="1:25" s="64" customFormat="1" ht="15" customHeight="1">
      <c r="A233" s="127" t="s">
        <v>1675</v>
      </c>
      <c r="B233" s="45" t="s">
        <v>245</v>
      </c>
      <c r="C233" s="45" t="s">
        <v>1678</v>
      </c>
      <c r="D233" s="43" t="s">
        <v>555</v>
      </c>
      <c r="E233" s="43" t="s">
        <v>1686</v>
      </c>
      <c r="F233" s="43" t="s">
        <v>248</v>
      </c>
      <c r="G233" s="41">
        <v>2362</v>
      </c>
      <c r="H233" s="116">
        <v>22</v>
      </c>
      <c r="I233" s="41">
        <v>15</v>
      </c>
      <c r="J233" s="98">
        <f>I233*H233</f>
        <v>330</v>
      </c>
      <c r="K233" s="60" t="s">
        <v>92</v>
      </c>
      <c r="L233" s="60" t="s">
        <v>537</v>
      </c>
      <c r="M233" s="60" t="str" cm="1">
        <f t="array" ref="M233:N233">VLOOKUP(Q233,[1]CFPL!$A:$D,{3,4},0)</f>
        <v>RAISIN</v>
      </c>
      <c r="N233" s="60" t="str">
        <v>Raisin - Indian</v>
      </c>
      <c r="O233" s="60" t="s">
        <v>556</v>
      </c>
      <c r="P233" s="60" t="s">
        <v>93</v>
      </c>
      <c r="Q233" s="60" t="s">
        <v>93</v>
      </c>
      <c r="R233" s="45" t="s">
        <v>516</v>
      </c>
      <c r="S233" s="45" t="s">
        <v>6</v>
      </c>
      <c r="T233" s="45" t="s">
        <v>1711</v>
      </c>
      <c r="U233" s="119">
        <v>382</v>
      </c>
      <c r="V233" s="62">
        <f>U233*J233</f>
        <v>126060</v>
      </c>
      <c r="W233" s="63">
        <f ca="1">$W$4-A233</f>
        <v>31</v>
      </c>
      <c r="X233" s="52" t="str">
        <f ca="1">VLOOKUP(W233,$AA$2:$AB$6,2)</f>
        <v>&lt; 6 Months</v>
      </c>
      <c r="Y233" s="52" t="str">
        <f ca="1">VLOOKUP(W233,$AD$2:$AE$6,2)</f>
        <v>30-60 Days</v>
      </c>
    </row>
    <row r="234" spans="1:25" s="64" customFormat="1" ht="15" customHeight="1">
      <c r="A234" s="127" t="s">
        <v>1675</v>
      </c>
      <c r="B234" s="45" t="s">
        <v>245</v>
      </c>
      <c r="C234" s="45" t="s">
        <v>1678</v>
      </c>
      <c r="D234" s="43" t="s">
        <v>555</v>
      </c>
      <c r="E234" s="43" t="s">
        <v>1687</v>
      </c>
      <c r="F234" s="43" t="s">
        <v>248</v>
      </c>
      <c r="G234" s="41">
        <v>2363</v>
      </c>
      <c r="H234" s="116">
        <v>11</v>
      </c>
      <c r="I234" s="41">
        <v>15</v>
      </c>
      <c r="J234" s="98">
        <f>I234*H234</f>
        <v>165</v>
      </c>
      <c r="K234" s="60" t="s">
        <v>92</v>
      </c>
      <c r="L234" s="60" t="s">
        <v>537</v>
      </c>
      <c r="M234" s="60" t="str" cm="1">
        <f t="array" ref="M234:N234">VLOOKUP(Q234,[1]CFPL!$A:$D,{3,4},0)</f>
        <v>RAISIN</v>
      </c>
      <c r="N234" s="60" t="str">
        <v>Raisin - Indian</v>
      </c>
      <c r="O234" s="60" t="s">
        <v>556</v>
      </c>
      <c r="P234" s="60" t="s">
        <v>93</v>
      </c>
      <c r="Q234" s="60" t="s">
        <v>93</v>
      </c>
      <c r="R234" s="45" t="s">
        <v>516</v>
      </c>
      <c r="S234" s="45" t="s">
        <v>6</v>
      </c>
      <c r="T234" s="45" t="s">
        <v>1711</v>
      </c>
      <c r="U234" s="119">
        <v>382</v>
      </c>
      <c r="V234" s="62">
        <f>U234*J234</f>
        <v>63030</v>
      </c>
      <c r="W234" s="63">
        <f ca="1">$W$4-A234</f>
        <v>31</v>
      </c>
      <c r="X234" s="52" t="str">
        <f ca="1">VLOOKUP(W234,$AA$2:$AB$6,2)</f>
        <v>&lt; 6 Months</v>
      </c>
      <c r="Y234" s="52" t="str">
        <f ca="1">VLOOKUP(W234,$AD$2:$AE$6,2)</f>
        <v>30-60 Days</v>
      </c>
    </row>
    <row r="235" spans="1:25" s="64" customFormat="1" ht="15" customHeight="1">
      <c r="A235" s="127" t="s">
        <v>1675</v>
      </c>
      <c r="B235" s="45" t="s">
        <v>245</v>
      </c>
      <c r="C235" s="45" t="s">
        <v>1678</v>
      </c>
      <c r="D235" s="43" t="s">
        <v>555</v>
      </c>
      <c r="E235" s="43" t="s">
        <v>1688</v>
      </c>
      <c r="F235" s="43" t="s">
        <v>248</v>
      </c>
      <c r="G235" s="41">
        <v>2364</v>
      </c>
      <c r="H235" s="116">
        <v>11</v>
      </c>
      <c r="I235" s="41">
        <v>15</v>
      </c>
      <c r="J235" s="98">
        <f>I235*H235</f>
        <v>165</v>
      </c>
      <c r="K235" s="60" t="s">
        <v>92</v>
      </c>
      <c r="L235" s="60" t="s">
        <v>537</v>
      </c>
      <c r="M235" s="60" t="str" cm="1">
        <f t="array" ref="M235:N235">VLOOKUP(Q235,[1]CFPL!$A:$D,{3,4},0)</f>
        <v>RAISIN</v>
      </c>
      <c r="N235" s="60" t="str">
        <v>Raisin - Indian</v>
      </c>
      <c r="O235" s="60" t="s">
        <v>556</v>
      </c>
      <c r="P235" s="60" t="s">
        <v>93</v>
      </c>
      <c r="Q235" s="60" t="s">
        <v>93</v>
      </c>
      <c r="R235" s="45" t="s">
        <v>516</v>
      </c>
      <c r="S235" s="45" t="s">
        <v>6</v>
      </c>
      <c r="T235" s="45" t="s">
        <v>1711</v>
      </c>
      <c r="U235" s="119">
        <v>382</v>
      </c>
      <c r="V235" s="62">
        <f>U235*J235</f>
        <v>63030</v>
      </c>
      <c r="W235" s="63">
        <f ca="1">$W$4-A235</f>
        <v>31</v>
      </c>
      <c r="X235" s="52" t="str">
        <f ca="1">VLOOKUP(W235,$AA$2:$AB$6,2)</f>
        <v>&lt; 6 Months</v>
      </c>
      <c r="Y235" s="52" t="str">
        <f ca="1">VLOOKUP(W235,$AD$2:$AE$6,2)</f>
        <v>30-60 Days</v>
      </c>
    </row>
    <row r="236" spans="1:25" s="64" customFormat="1" ht="15" customHeight="1">
      <c r="A236" s="127" t="s">
        <v>1675</v>
      </c>
      <c r="B236" s="45" t="s">
        <v>245</v>
      </c>
      <c r="C236" s="45" t="s">
        <v>1678</v>
      </c>
      <c r="D236" s="43" t="s">
        <v>555</v>
      </c>
      <c r="E236" s="43" t="s">
        <v>1689</v>
      </c>
      <c r="F236" s="43" t="s">
        <v>248</v>
      </c>
      <c r="G236" s="41">
        <v>2365</v>
      </c>
      <c r="H236" s="116">
        <v>48</v>
      </c>
      <c r="I236" s="41">
        <v>15</v>
      </c>
      <c r="J236" s="98">
        <f>I236*H236</f>
        <v>720</v>
      </c>
      <c r="K236" s="60" t="s">
        <v>92</v>
      </c>
      <c r="L236" s="60" t="s">
        <v>537</v>
      </c>
      <c r="M236" s="60" t="str" cm="1">
        <f t="array" ref="M236:N236">VLOOKUP(Q236,[1]CFPL!$A:$D,{3,4},0)</f>
        <v>RAISIN</v>
      </c>
      <c r="N236" s="60" t="str">
        <v>Raisin - Indian</v>
      </c>
      <c r="O236" s="60" t="s">
        <v>556</v>
      </c>
      <c r="P236" s="60" t="s">
        <v>93</v>
      </c>
      <c r="Q236" s="60" t="s">
        <v>93</v>
      </c>
      <c r="R236" s="45" t="s">
        <v>516</v>
      </c>
      <c r="S236" s="45" t="s">
        <v>6</v>
      </c>
      <c r="T236" s="45" t="s">
        <v>1711</v>
      </c>
      <c r="U236" s="119">
        <v>382</v>
      </c>
      <c r="V236" s="62">
        <f>U236*J236</f>
        <v>275040</v>
      </c>
      <c r="W236" s="63">
        <f ca="1">$W$4-A236</f>
        <v>31</v>
      </c>
      <c r="X236" s="52" t="str">
        <f ca="1">VLOOKUP(W236,$AA$2:$AB$6,2)</f>
        <v>&lt; 6 Months</v>
      </c>
      <c r="Y236" s="52" t="str">
        <f ca="1">VLOOKUP(W236,$AD$2:$AE$6,2)</f>
        <v>30-60 Days</v>
      </c>
    </row>
    <row r="237" spans="1:25" s="64" customFormat="1" ht="15" customHeight="1">
      <c r="A237" s="127" t="s">
        <v>1675</v>
      </c>
      <c r="B237" s="45" t="s">
        <v>245</v>
      </c>
      <c r="C237" s="45" t="s">
        <v>1678</v>
      </c>
      <c r="D237" s="43" t="s">
        <v>555</v>
      </c>
      <c r="E237" s="43" t="s">
        <v>1690</v>
      </c>
      <c r="F237" s="43" t="s">
        <v>248</v>
      </c>
      <c r="G237" s="41">
        <v>2366</v>
      </c>
      <c r="H237" s="116">
        <v>37</v>
      </c>
      <c r="I237" s="41">
        <v>15</v>
      </c>
      <c r="J237" s="98">
        <f>I237*H237</f>
        <v>555</v>
      </c>
      <c r="K237" s="60" t="s">
        <v>92</v>
      </c>
      <c r="L237" s="60" t="s">
        <v>537</v>
      </c>
      <c r="M237" s="60" t="str" cm="1">
        <f t="array" ref="M237:N237">VLOOKUP(Q237,[1]CFPL!$A:$D,{3,4},0)</f>
        <v>RAISIN</v>
      </c>
      <c r="N237" s="60" t="str">
        <v>Raisin - Indian</v>
      </c>
      <c r="O237" s="60" t="s">
        <v>556</v>
      </c>
      <c r="P237" s="60" t="s">
        <v>93</v>
      </c>
      <c r="Q237" s="60" t="s">
        <v>93</v>
      </c>
      <c r="R237" s="45" t="s">
        <v>516</v>
      </c>
      <c r="S237" s="45" t="s">
        <v>6</v>
      </c>
      <c r="T237" s="45" t="s">
        <v>1711</v>
      </c>
      <c r="U237" s="119">
        <v>382</v>
      </c>
      <c r="V237" s="62">
        <f>U237*J237</f>
        <v>212010</v>
      </c>
      <c r="W237" s="63">
        <f ca="1">$W$4-A237</f>
        <v>31</v>
      </c>
      <c r="X237" s="52" t="str">
        <f ca="1">VLOOKUP(W237,$AA$2:$AB$6,2)</f>
        <v>&lt; 6 Months</v>
      </c>
      <c r="Y237" s="52" t="str">
        <f ca="1">VLOOKUP(W237,$AD$2:$AE$6,2)</f>
        <v>30-60 Days</v>
      </c>
    </row>
    <row r="238" spans="1:25" s="64" customFormat="1" ht="15" customHeight="1">
      <c r="A238" s="127" t="s">
        <v>1675</v>
      </c>
      <c r="B238" s="45" t="s">
        <v>245</v>
      </c>
      <c r="C238" s="45" t="s">
        <v>1678</v>
      </c>
      <c r="D238" s="43" t="s">
        <v>555</v>
      </c>
      <c r="E238" s="43" t="s">
        <v>1691</v>
      </c>
      <c r="F238" s="43" t="s">
        <v>248</v>
      </c>
      <c r="G238" s="41">
        <v>2367</v>
      </c>
      <c r="H238" s="116">
        <v>50</v>
      </c>
      <c r="I238" s="41">
        <v>15</v>
      </c>
      <c r="J238" s="98">
        <f>I238*H238</f>
        <v>750</v>
      </c>
      <c r="K238" s="60" t="s">
        <v>92</v>
      </c>
      <c r="L238" s="60" t="s">
        <v>537</v>
      </c>
      <c r="M238" s="60" t="str" cm="1">
        <f t="array" ref="M238:N238">VLOOKUP(Q238,[1]CFPL!$A:$D,{3,4},0)</f>
        <v>RAISIN</v>
      </c>
      <c r="N238" s="60" t="str">
        <v>Raisin - Indian</v>
      </c>
      <c r="O238" s="60" t="s">
        <v>556</v>
      </c>
      <c r="P238" s="60" t="s">
        <v>93</v>
      </c>
      <c r="Q238" s="60" t="s">
        <v>93</v>
      </c>
      <c r="R238" s="45" t="s">
        <v>516</v>
      </c>
      <c r="S238" s="45" t="s">
        <v>6</v>
      </c>
      <c r="T238" s="45" t="s">
        <v>1711</v>
      </c>
      <c r="U238" s="119">
        <v>382</v>
      </c>
      <c r="V238" s="62">
        <f>U238*J238</f>
        <v>286500</v>
      </c>
      <c r="W238" s="63">
        <f ca="1">$W$4-A238</f>
        <v>31</v>
      </c>
      <c r="X238" s="52" t="str">
        <f ca="1">VLOOKUP(W238,$AA$2:$AB$6,2)</f>
        <v>&lt; 6 Months</v>
      </c>
      <c r="Y238" s="52" t="str">
        <f ca="1">VLOOKUP(W238,$AD$2:$AE$6,2)</f>
        <v>30-60 Days</v>
      </c>
    </row>
    <row r="239" spans="1:25" s="64" customFormat="1" ht="15" customHeight="1">
      <c r="A239" s="127" t="s">
        <v>1675</v>
      </c>
      <c r="B239" s="45" t="s">
        <v>245</v>
      </c>
      <c r="C239" s="45" t="s">
        <v>1678</v>
      </c>
      <c r="D239" s="43" t="s">
        <v>555</v>
      </c>
      <c r="E239" s="43" t="s">
        <v>1692</v>
      </c>
      <c r="F239" s="43" t="s">
        <v>248</v>
      </c>
      <c r="G239" s="41">
        <v>2368</v>
      </c>
      <c r="H239" s="116">
        <v>22</v>
      </c>
      <c r="I239" s="41">
        <v>15</v>
      </c>
      <c r="J239" s="98">
        <f>I239*H239</f>
        <v>330</v>
      </c>
      <c r="K239" s="60" t="s">
        <v>92</v>
      </c>
      <c r="L239" s="60" t="s">
        <v>537</v>
      </c>
      <c r="M239" s="60" t="str" cm="1">
        <f t="array" ref="M239:N239">VLOOKUP(Q239,[1]CFPL!$A:$D,{3,4},0)</f>
        <v>RAISIN</v>
      </c>
      <c r="N239" s="60" t="str">
        <v>Raisin - Indian</v>
      </c>
      <c r="O239" s="60" t="s">
        <v>556</v>
      </c>
      <c r="P239" s="60" t="s">
        <v>93</v>
      </c>
      <c r="Q239" s="60" t="s">
        <v>93</v>
      </c>
      <c r="R239" s="45" t="s">
        <v>516</v>
      </c>
      <c r="S239" s="45" t="s">
        <v>6</v>
      </c>
      <c r="T239" s="45" t="s">
        <v>1711</v>
      </c>
      <c r="U239" s="119">
        <v>382</v>
      </c>
      <c r="V239" s="62">
        <f>U239*J239</f>
        <v>126060</v>
      </c>
      <c r="W239" s="63">
        <f ca="1">$W$4-A239</f>
        <v>31</v>
      </c>
      <c r="X239" s="52" t="str">
        <f ca="1">VLOOKUP(W239,$AA$2:$AB$6,2)</f>
        <v>&lt; 6 Months</v>
      </c>
      <c r="Y239" s="52" t="str">
        <f ca="1">VLOOKUP(W239,$AD$2:$AE$6,2)</f>
        <v>30-60 Days</v>
      </c>
    </row>
    <row r="240" spans="1:25" s="64" customFormat="1" ht="15" customHeight="1">
      <c r="A240" s="127" t="s">
        <v>1675</v>
      </c>
      <c r="B240" s="45" t="s">
        <v>245</v>
      </c>
      <c r="C240" s="45" t="s">
        <v>1678</v>
      </c>
      <c r="D240" s="43" t="s">
        <v>555</v>
      </c>
      <c r="E240" s="43" t="s">
        <v>1693</v>
      </c>
      <c r="F240" s="43" t="s">
        <v>248</v>
      </c>
      <c r="G240" s="41">
        <v>2369</v>
      </c>
      <c r="H240" s="116">
        <v>12</v>
      </c>
      <c r="I240" s="41">
        <v>15</v>
      </c>
      <c r="J240" s="98">
        <f>I240*H240</f>
        <v>180</v>
      </c>
      <c r="K240" s="60" t="s">
        <v>92</v>
      </c>
      <c r="L240" s="60" t="s">
        <v>537</v>
      </c>
      <c r="M240" s="60" t="str" cm="1">
        <f t="array" ref="M240:N240">VLOOKUP(Q240,[1]CFPL!$A:$D,{3,4},0)</f>
        <v>RAISIN</v>
      </c>
      <c r="N240" s="60" t="str">
        <v>Raisin - Indian</v>
      </c>
      <c r="O240" s="60" t="s">
        <v>556</v>
      </c>
      <c r="P240" s="60" t="s">
        <v>93</v>
      </c>
      <c r="Q240" s="60" t="s">
        <v>93</v>
      </c>
      <c r="R240" s="45" t="s">
        <v>516</v>
      </c>
      <c r="S240" s="45" t="s">
        <v>6</v>
      </c>
      <c r="T240" s="45" t="s">
        <v>1711</v>
      </c>
      <c r="U240" s="119">
        <v>382</v>
      </c>
      <c r="V240" s="62">
        <f>U240*J240</f>
        <v>68760</v>
      </c>
      <c r="W240" s="63">
        <f ca="1">$W$4-A240</f>
        <v>31</v>
      </c>
      <c r="X240" s="52" t="str">
        <f ca="1">VLOOKUP(W240,$AA$2:$AB$6,2)</f>
        <v>&lt; 6 Months</v>
      </c>
      <c r="Y240" s="52" t="str">
        <f ca="1">VLOOKUP(W240,$AD$2:$AE$6,2)</f>
        <v>30-60 Days</v>
      </c>
    </row>
    <row r="241" spans="1:25" s="64" customFormat="1" ht="15" customHeight="1">
      <c r="A241" s="127" t="s">
        <v>1675</v>
      </c>
      <c r="B241" s="45" t="s">
        <v>245</v>
      </c>
      <c r="C241" s="45" t="s">
        <v>1678</v>
      </c>
      <c r="D241" s="43" t="s">
        <v>555</v>
      </c>
      <c r="E241" s="43" t="s">
        <v>1694</v>
      </c>
      <c r="F241" s="43" t="s">
        <v>248</v>
      </c>
      <c r="G241" s="41">
        <v>2370</v>
      </c>
      <c r="H241" s="116">
        <v>18</v>
      </c>
      <c r="I241" s="41">
        <v>15</v>
      </c>
      <c r="J241" s="98">
        <f>I241*H241</f>
        <v>270</v>
      </c>
      <c r="K241" s="60" t="s">
        <v>92</v>
      </c>
      <c r="L241" s="60" t="s">
        <v>537</v>
      </c>
      <c r="M241" s="60" t="str" cm="1">
        <f t="array" ref="M241:N241">VLOOKUP(Q241,[1]CFPL!$A:$D,{3,4},0)</f>
        <v>RAISIN</v>
      </c>
      <c r="N241" s="60" t="str">
        <v>Raisin - Indian</v>
      </c>
      <c r="O241" s="60" t="s">
        <v>556</v>
      </c>
      <c r="P241" s="60" t="s">
        <v>93</v>
      </c>
      <c r="Q241" s="60" t="s">
        <v>93</v>
      </c>
      <c r="R241" s="45" t="s">
        <v>516</v>
      </c>
      <c r="S241" s="45" t="s">
        <v>6</v>
      </c>
      <c r="T241" s="45" t="s">
        <v>1711</v>
      </c>
      <c r="U241" s="119">
        <v>382</v>
      </c>
      <c r="V241" s="62">
        <f>U241*J241</f>
        <v>103140</v>
      </c>
      <c r="W241" s="63">
        <f ca="1">$W$4-A241</f>
        <v>31</v>
      </c>
      <c r="X241" s="52" t="str">
        <f ca="1">VLOOKUP(W241,$AA$2:$AB$6,2)</f>
        <v>&lt; 6 Months</v>
      </c>
      <c r="Y241" s="52" t="str">
        <f ca="1">VLOOKUP(W241,$AD$2:$AE$6,2)</f>
        <v>30-60 Days</v>
      </c>
    </row>
    <row r="242" spans="1:25" s="64" customFormat="1" ht="15" customHeight="1">
      <c r="A242" s="127" t="s">
        <v>1675</v>
      </c>
      <c r="B242" s="45" t="s">
        <v>245</v>
      </c>
      <c r="C242" s="45" t="s">
        <v>1678</v>
      </c>
      <c r="D242" s="43" t="s">
        <v>555</v>
      </c>
      <c r="E242" s="43" t="s">
        <v>1695</v>
      </c>
      <c r="F242" s="43" t="s">
        <v>248</v>
      </c>
      <c r="G242" s="41">
        <v>2371</v>
      </c>
      <c r="H242" s="116">
        <v>15</v>
      </c>
      <c r="I242" s="41">
        <v>15</v>
      </c>
      <c r="J242" s="98">
        <f>I242*H242</f>
        <v>225</v>
      </c>
      <c r="K242" s="60" t="s">
        <v>92</v>
      </c>
      <c r="L242" s="60" t="s">
        <v>537</v>
      </c>
      <c r="M242" s="60" t="str" cm="1">
        <f t="array" ref="M242:N242">VLOOKUP(Q242,[1]CFPL!$A:$D,{3,4},0)</f>
        <v>RAISIN</v>
      </c>
      <c r="N242" s="60" t="str">
        <v>Raisin - Indian</v>
      </c>
      <c r="O242" s="60" t="s">
        <v>556</v>
      </c>
      <c r="P242" s="60" t="s">
        <v>93</v>
      </c>
      <c r="Q242" s="60" t="s">
        <v>93</v>
      </c>
      <c r="R242" s="45" t="s">
        <v>516</v>
      </c>
      <c r="S242" s="45" t="s">
        <v>6</v>
      </c>
      <c r="T242" s="45" t="s">
        <v>1711</v>
      </c>
      <c r="U242" s="119">
        <v>382</v>
      </c>
      <c r="V242" s="62">
        <f>U242*J242</f>
        <v>85950</v>
      </c>
      <c r="W242" s="63">
        <f ca="1">$W$4-A242</f>
        <v>31</v>
      </c>
      <c r="X242" s="52" t="str">
        <f ca="1">VLOOKUP(W242,$AA$2:$AB$6,2)</f>
        <v>&lt; 6 Months</v>
      </c>
      <c r="Y242" s="52" t="str">
        <f ca="1">VLOOKUP(W242,$AD$2:$AE$6,2)</f>
        <v>30-60 Days</v>
      </c>
    </row>
    <row r="243" spans="1:25" s="64" customFormat="1" ht="15" customHeight="1">
      <c r="A243" s="127" t="s">
        <v>1675</v>
      </c>
      <c r="B243" s="45" t="s">
        <v>245</v>
      </c>
      <c r="C243" s="45" t="s">
        <v>1678</v>
      </c>
      <c r="D243" s="43" t="s">
        <v>555</v>
      </c>
      <c r="E243" s="43" t="s">
        <v>1696</v>
      </c>
      <c r="F243" s="43" t="s">
        <v>248</v>
      </c>
      <c r="G243" s="41">
        <v>2372</v>
      </c>
      <c r="H243" s="116">
        <v>34</v>
      </c>
      <c r="I243" s="41">
        <v>15</v>
      </c>
      <c r="J243" s="98">
        <f>I243*H243</f>
        <v>510</v>
      </c>
      <c r="K243" s="60" t="s">
        <v>92</v>
      </c>
      <c r="L243" s="60" t="s">
        <v>537</v>
      </c>
      <c r="M243" s="60" t="str" cm="1">
        <f t="array" ref="M243:N243">VLOOKUP(Q243,[1]CFPL!$A:$D,{3,4},0)</f>
        <v>RAISIN</v>
      </c>
      <c r="N243" s="60" t="str">
        <v>Raisin - Indian</v>
      </c>
      <c r="O243" s="60" t="s">
        <v>556</v>
      </c>
      <c r="P243" s="60" t="s">
        <v>93</v>
      </c>
      <c r="Q243" s="60" t="s">
        <v>93</v>
      </c>
      <c r="R243" s="45" t="s">
        <v>516</v>
      </c>
      <c r="S243" s="45" t="s">
        <v>6</v>
      </c>
      <c r="T243" s="45" t="s">
        <v>1711</v>
      </c>
      <c r="U243" s="119">
        <v>382</v>
      </c>
      <c r="V243" s="62">
        <f>U243*J243</f>
        <v>194820</v>
      </c>
      <c r="W243" s="63">
        <f ca="1">$W$4-A243</f>
        <v>31</v>
      </c>
      <c r="X243" s="52" t="str">
        <f ca="1">VLOOKUP(W243,$AA$2:$AB$6,2)</f>
        <v>&lt; 6 Months</v>
      </c>
      <c r="Y243" s="52" t="str">
        <f ca="1">VLOOKUP(W243,$AD$2:$AE$6,2)</f>
        <v>30-60 Days</v>
      </c>
    </row>
    <row r="244" spans="1:25" s="64" customFormat="1" ht="15" customHeight="1">
      <c r="A244" s="127" t="s">
        <v>1675</v>
      </c>
      <c r="B244" s="45" t="s">
        <v>245</v>
      </c>
      <c r="C244" s="45" t="s">
        <v>1678</v>
      </c>
      <c r="D244" s="43" t="s">
        <v>555</v>
      </c>
      <c r="E244" s="43" t="s">
        <v>1697</v>
      </c>
      <c r="F244" s="43" t="s">
        <v>248</v>
      </c>
      <c r="G244" s="41">
        <v>2373</v>
      </c>
      <c r="H244" s="116">
        <v>14</v>
      </c>
      <c r="I244" s="41">
        <v>15</v>
      </c>
      <c r="J244" s="98">
        <f>I244*H244</f>
        <v>210</v>
      </c>
      <c r="K244" s="60" t="s">
        <v>92</v>
      </c>
      <c r="L244" s="60" t="s">
        <v>537</v>
      </c>
      <c r="M244" s="60" t="str" cm="1">
        <f t="array" ref="M244:N244">VLOOKUP(Q244,[1]CFPL!$A:$D,{3,4},0)</f>
        <v>RAISIN</v>
      </c>
      <c r="N244" s="60" t="str">
        <v>Raisin - Indian</v>
      </c>
      <c r="O244" s="60" t="s">
        <v>556</v>
      </c>
      <c r="P244" s="60" t="s">
        <v>93</v>
      </c>
      <c r="Q244" s="60" t="s">
        <v>93</v>
      </c>
      <c r="R244" s="45" t="s">
        <v>516</v>
      </c>
      <c r="S244" s="45" t="s">
        <v>6</v>
      </c>
      <c r="T244" s="45" t="s">
        <v>1711</v>
      </c>
      <c r="U244" s="119">
        <v>382</v>
      </c>
      <c r="V244" s="62">
        <f>U244*J244</f>
        <v>80220</v>
      </c>
      <c r="W244" s="63">
        <f ca="1">$W$4-A244</f>
        <v>31</v>
      </c>
      <c r="X244" s="52" t="str">
        <f ca="1">VLOOKUP(W244,$AA$2:$AB$6,2)</f>
        <v>&lt; 6 Months</v>
      </c>
      <c r="Y244" s="52" t="str">
        <f ca="1">VLOOKUP(W244,$AD$2:$AE$6,2)</f>
        <v>30-60 Days</v>
      </c>
    </row>
    <row r="245" spans="1:25" s="64" customFormat="1" ht="15" customHeight="1">
      <c r="A245" s="127" t="s">
        <v>1675</v>
      </c>
      <c r="B245" s="45" t="s">
        <v>245</v>
      </c>
      <c r="C245" s="45" t="s">
        <v>1678</v>
      </c>
      <c r="D245" s="43" t="s">
        <v>555</v>
      </c>
      <c r="E245" s="43" t="s">
        <v>1698</v>
      </c>
      <c r="F245" s="43" t="s">
        <v>248</v>
      </c>
      <c r="G245" s="41">
        <v>2374</v>
      </c>
      <c r="H245" s="116">
        <v>15</v>
      </c>
      <c r="I245" s="41">
        <v>15</v>
      </c>
      <c r="J245" s="98">
        <f>I245*H245</f>
        <v>225</v>
      </c>
      <c r="K245" s="60" t="s">
        <v>92</v>
      </c>
      <c r="L245" s="60" t="s">
        <v>537</v>
      </c>
      <c r="M245" s="60" t="str" cm="1">
        <f t="array" ref="M245:N245">VLOOKUP(Q245,[1]CFPL!$A:$D,{3,4},0)</f>
        <v>RAISIN</v>
      </c>
      <c r="N245" s="60" t="str">
        <v>Raisin - Indian</v>
      </c>
      <c r="O245" s="60" t="s">
        <v>556</v>
      </c>
      <c r="P245" s="60" t="s">
        <v>93</v>
      </c>
      <c r="Q245" s="60" t="s">
        <v>93</v>
      </c>
      <c r="R245" s="45" t="s">
        <v>516</v>
      </c>
      <c r="S245" s="45" t="s">
        <v>6</v>
      </c>
      <c r="T245" s="45" t="s">
        <v>1711</v>
      </c>
      <c r="U245" s="119">
        <v>382</v>
      </c>
      <c r="V245" s="62">
        <f>U245*J245</f>
        <v>85950</v>
      </c>
      <c r="W245" s="63">
        <f ca="1">$W$4-A245</f>
        <v>31</v>
      </c>
      <c r="X245" s="52" t="str">
        <f ca="1">VLOOKUP(W245,$AA$2:$AB$6,2)</f>
        <v>&lt; 6 Months</v>
      </c>
      <c r="Y245" s="52" t="str">
        <f ca="1">VLOOKUP(W245,$AD$2:$AE$6,2)</f>
        <v>30-60 Days</v>
      </c>
    </row>
    <row r="246" spans="1:25" s="64" customFormat="1" ht="15" customHeight="1">
      <c r="A246" s="127" t="s">
        <v>1675</v>
      </c>
      <c r="B246" s="45" t="s">
        <v>245</v>
      </c>
      <c r="C246" s="45" t="s">
        <v>1678</v>
      </c>
      <c r="D246" s="43" t="s">
        <v>555</v>
      </c>
      <c r="E246" s="43" t="s">
        <v>1699</v>
      </c>
      <c r="F246" s="43" t="s">
        <v>248</v>
      </c>
      <c r="G246" s="41">
        <v>2375</v>
      </c>
      <c r="H246" s="116">
        <v>40</v>
      </c>
      <c r="I246" s="41">
        <v>15</v>
      </c>
      <c r="J246" s="98">
        <f>I246*H246</f>
        <v>600</v>
      </c>
      <c r="K246" s="60" t="s">
        <v>92</v>
      </c>
      <c r="L246" s="60" t="s">
        <v>537</v>
      </c>
      <c r="M246" s="60" t="str" cm="1">
        <f t="array" ref="M246:N246">VLOOKUP(Q246,[1]CFPL!$A:$D,{3,4},0)</f>
        <v>RAISIN</v>
      </c>
      <c r="N246" s="60" t="str">
        <v>Raisin - Indian</v>
      </c>
      <c r="O246" s="60" t="s">
        <v>556</v>
      </c>
      <c r="P246" s="60" t="s">
        <v>93</v>
      </c>
      <c r="Q246" s="60" t="s">
        <v>93</v>
      </c>
      <c r="R246" s="45" t="s">
        <v>516</v>
      </c>
      <c r="S246" s="45" t="s">
        <v>6</v>
      </c>
      <c r="T246" s="45" t="s">
        <v>1711</v>
      </c>
      <c r="U246" s="119">
        <v>382</v>
      </c>
      <c r="V246" s="62">
        <f>U246*J246</f>
        <v>229200</v>
      </c>
      <c r="W246" s="63">
        <f ca="1">$W$4-A246</f>
        <v>31</v>
      </c>
      <c r="X246" s="52" t="str">
        <f ca="1">VLOOKUP(W246,$AA$2:$AB$6,2)</f>
        <v>&lt; 6 Months</v>
      </c>
      <c r="Y246" s="52" t="str">
        <f ca="1">VLOOKUP(W246,$AD$2:$AE$6,2)</f>
        <v>30-60 Days</v>
      </c>
    </row>
    <row r="247" spans="1:25" s="64" customFormat="1" ht="15" customHeight="1">
      <c r="A247" s="127" t="s">
        <v>1675</v>
      </c>
      <c r="B247" s="45" t="s">
        <v>245</v>
      </c>
      <c r="C247" s="45" t="s">
        <v>1678</v>
      </c>
      <c r="D247" s="43" t="s">
        <v>555</v>
      </c>
      <c r="E247" s="43" t="s">
        <v>1700</v>
      </c>
      <c r="F247" s="43" t="s">
        <v>248</v>
      </c>
      <c r="G247" s="41">
        <v>2376</v>
      </c>
      <c r="H247" s="116">
        <v>28</v>
      </c>
      <c r="I247" s="41">
        <v>15</v>
      </c>
      <c r="J247" s="98">
        <f>I247*H247</f>
        <v>420</v>
      </c>
      <c r="K247" s="60" t="s">
        <v>92</v>
      </c>
      <c r="L247" s="60" t="s">
        <v>537</v>
      </c>
      <c r="M247" s="60" t="str" cm="1">
        <f t="array" ref="M247:N247">VLOOKUP(Q247,[1]CFPL!$A:$D,{3,4},0)</f>
        <v>RAISIN</v>
      </c>
      <c r="N247" s="60" t="str">
        <v>Raisin - Indian</v>
      </c>
      <c r="O247" s="60" t="s">
        <v>556</v>
      </c>
      <c r="P247" s="60" t="s">
        <v>93</v>
      </c>
      <c r="Q247" s="60" t="s">
        <v>93</v>
      </c>
      <c r="R247" s="45" t="s">
        <v>516</v>
      </c>
      <c r="S247" s="45" t="s">
        <v>6</v>
      </c>
      <c r="T247" s="45" t="s">
        <v>1711</v>
      </c>
      <c r="U247" s="119">
        <v>382</v>
      </c>
      <c r="V247" s="62">
        <f>U247*J247</f>
        <v>160440</v>
      </c>
      <c r="W247" s="63">
        <f ca="1">$W$4-A247</f>
        <v>31</v>
      </c>
      <c r="X247" s="52" t="str">
        <f ca="1">VLOOKUP(W247,$AA$2:$AB$6,2)</f>
        <v>&lt; 6 Months</v>
      </c>
      <c r="Y247" s="52" t="str">
        <f ca="1">VLOOKUP(W247,$AD$2:$AE$6,2)</f>
        <v>30-60 Days</v>
      </c>
    </row>
    <row r="248" spans="1:25" s="64" customFormat="1" ht="15" customHeight="1">
      <c r="A248" s="127" t="s">
        <v>1675</v>
      </c>
      <c r="B248" s="45" t="s">
        <v>245</v>
      </c>
      <c r="C248" s="45" t="s">
        <v>1678</v>
      </c>
      <c r="D248" s="43" t="s">
        <v>555</v>
      </c>
      <c r="E248" s="43" t="s">
        <v>1701</v>
      </c>
      <c r="F248" s="43" t="s">
        <v>248</v>
      </c>
      <c r="G248" s="41">
        <v>2377</v>
      </c>
      <c r="H248" s="116">
        <v>32</v>
      </c>
      <c r="I248" s="41">
        <v>15</v>
      </c>
      <c r="J248" s="98">
        <f>I248*H248</f>
        <v>480</v>
      </c>
      <c r="K248" s="60" t="s">
        <v>92</v>
      </c>
      <c r="L248" s="60" t="s">
        <v>537</v>
      </c>
      <c r="M248" s="60" t="str" cm="1">
        <f t="array" ref="M248:N248">VLOOKUP(Q248,[1]CFPL!$A:$D,{3,4},0)</f>
        <v>RAISIN</v>
      </c>
      <c r="N248" s="60" t="str">
        <v>Raisin - Indian</v>
      </c>
      <c r="O248" s="60" t="s">
        <v>556</v>
      </c>
      <c r="P248" s="60" t="s">
        <v>93</v>
      </c>
      <c r="Q248" s="60" t="s">
        <v>93</v>
      </c>
      <c r="R248" s="45" t="s">
        <v>516</v>
      </c>
      <c r="S248" s="45" t="s">
        <v>6</v>
      </c>
      <c r="T248" s="45" t="s">
        <v>1711</v>
      </c>
      <c r="U248" s="119">
        <v>382</v>
      </c>
      <c r="V248" s="62">
        <f>U248*J248</f>
        <v>183360</v>
      </c>
      <c r="W248" s="63">
        <f ca="1">$W$4-A248</f>
        <v>31</v>
      </c>
      <c r="X248" s="52" t="str">
        <f ca="1">VLOOKUP(W248,$AA$2:$AB$6,2)</f>
        <v>&lt; 6 Months</v>
      </c>
      <c r="Y248" s="52" t="str">
        <f ca="1">VLOOKUP(W248,$AD$2:$AE$6,2)</f>
        <v>30-60 Days</v>
      </c>
    </row>
    <row r="249" spans="1:25" s="64" customFormat="1" ht="15" customHeight="1">
      <c r="A249" s="127" t="s">
        <v>1675</v>
      </c>
      <c r="B249" s="45" t="s">
        <v>245</v>
      </c>
      <c r="C249" s="45" t="s">
        <v>1678</v>
      </c>
      <c r="D249" s="43" t="s">
        <v>555</v>
      </c>
      <c r="E249" s="43" t="s">
        <v>1702</v>
      </c>
      <c r="F249" s="43" t="s">
        <v>248</v>
      </c>
      <c r="G249" s="41">
        <v>2378</v>
      </c>
      <c r="H249" s="116">
        <v>32</v>
      </c>
      <c r="I249" s="41">
        <v>15</v>
      </c>
      <c r="J249" s="98">
        <f>I249*H249</f>
        <v>480</v>
      </c>
      <c r="K249" s="60" t="s">
        <v>92</v>
      </c>
      <c r="L249" s="60" t="s">
        <v>537</v>
      </c>
      <c r="M249" s="60" t="str" cm="1">
        <f t="array" ref="M249:N249">VLOOKUP(Q249,[1]CFPL!$A:$D,{3,4},0)</f>
        <v>RAISIN</v>
      </c>
      <c r="N249" s="60" t="str">
        <v>Raisin - Indian</v>
      </c>
      <c r="O249" s="60" t="s">
        <v>556</v>
      </c>
      <c r="P249" s="60" t="s">
        <v>93</v>
      </c>
      <c r="Q249" s="60" t="s">
        <v>93</v>
      </c>
      <c r="R249" s="45" t="s">
        <v>516</v>
      </c>
      <c r="S249" s="45" t="s">
        <v>6</v>
      </c>
      <c r="T249" s="45" t="s">
        <v>1711</v>
      </c>
      <c r="U249" s="119">
        <v>382</v>
      </c>
      <c r="V249" s="62">
        <f>U249*J249</f>
        <v>183360</v>
      </c>
      <c r="W249" s="63">
        <f ca="1">$W$4-A249</f>
        <v>31</v>
      </c>
      <c r="X249" s="52" t="str">
        <f ca="1">VLOOKUP(W249,$AA$2:$AB$6,2)</f>
        <v>&lt; 6 Months</v>
      </c>
      <c r="Y249" s="52" t="str">
        <f ca="1">VLOOKUP(W249,$AD$2:$AE$6,2)</f>
        <v>30-60 Days</v>
      </c>
    </row>
    <row r="250" spans="1:25" s="64" customFormat="1" ht="15" customHeight="1">
      <c r="A250" s="127" t="s">
        <v>1675</v>
      </c>
      <c r="B250" s="45" t="s">
        <v>245</v>
      </c>
      <c r="C250" s="45" t="s">
        <v>1678</v>
      </c>
      <c r="D250" s="43" t="s">
        <v>555</v>
      </c>
      <c r="E250" s="43" t="s">
        <v>1703</v>
      </c>
      <c r="F250" s="43" t="s">
        <v>248</v>
      </c>
      <c r="G250" s="41">
        <v>2379</v>
      </c>
      <c r="H250" s="116">
        <v>47</v>
      </c>
      <c r="I250" s="41">
        <v>15</v>
      </c>
      <c r="J250" s="98">
        <f>I250*H250</f>
        <v>705</v>
      </c>
      <c r="K250" s="60" t="s">
        <v>92</v>
      </c>
      <c r="L250" s="60" t="s">
        <v>537</v>
      </c>
      <c r="M250" s="60" t="str" cm="1">
        <f t="array" ref="M250:N250">VLOOKUP(Q250,[1]CFPL!$A:$D,{3,4},0)</f>
        <v>RAISIN</v>
      </c>
      <c r="N250" s="60" t="str">
        <v>Raisin - Indian</v>
      </c>
      <c r="O250" s="60" t="s">
        <v>556</v>
      </c>
      <c r="P250" s="60" t="s">
        <v>93</v>
      </c>
      <c r="Q250" s="60" t="s">
        <v>93</v>
      </c>
      <c r="R250" s="45" t="s">
        <v>516</v>
      </c>
      <c r="S250" s="45" t="s">
        <v>6</v>
      </c>
      <c r="T250" s="45" t="s">
        <v>1711</v>
      </c>
      <c r="U250" s="119">
        <v>382</v>
      </c>
      <c r="V250" s="62">
        <f>U250*J250</f>
        <v>269310</v>
      </c>
      <c r="W250" s="63">
        <f ca="1">$W$4-A250</f>
        <v>31</v>
      </c>
      <c r="X250" s="52" t="str">
        <f ca="1">VLOOKUP(W250,$AA$2:$AB$6,2)</f>
        <v>&lt; 6 Months</v>
      </c>
      <c r="Y250" s="52" t="str">
        <f ca="1">VLOOKUP(W250,$AD$2:$AE$6,2)</f>
        <v>30-60 Days</v>
      </c>
    </row>
    <row r="251" spans="1:25" s="64" customFormat="1" ht="15" customHeight="1">
      <c r="A251" s="127" t="s">
        <v>1675</v>
      </c>
      <c r="B251" s="45" t="s">
        <v>245</v>
      </c>
      <c r="C251" s="45" t="s">
        <v>1678</v>
      </c>
      <c r="D251" s="43" t="s">
        <v>555</v>
      </c>
      <c r="E251" s="43" t="s">
        <v>1704</v>
      </c>
      <c r="F251" s="43" t="s">
        <v>248</v>
      </c>
      <c r="G251" s="41">
        <v>2380</v>
      </c>
      <c r="H251" s="116">
        <v>42</v>
      </c>
      <c r="I251" s="41">
        <v>15</v>
      </c>
      <c r="J251" s="98">
        <f>I251*H251</f>
        <v>630</v>
      </c>
      <c r="K251" s="60" t="s">
        <v>92</v>
      </c>
      <c r="L251" s="60" t="s">
        <v>537</v>
      </c>
      <c r="M251" s="60" t="str" cm="1">
        <f t="array" ref="M251:N251">VLOOKUP(Q251,[1]CFPL!$A:$D,{3,4},0)</f>
        <v>RAISIN</v>
      </c>
      <c r="N251" s="60" t="str">
        <v>Raisin - Indian</v>
      </c>
      <c r="O251" s="60" t="s">
        <v>556</v>
      </c>
      <c r="P251" s="60" t="s">
        <v>93</v>
      </c>
      <c r="Q251" s="60" t="s">
        <v>93</v>
      </c>
      <c r="R251" s="45" t="s">
        <v>516</v>
      </c>
      <c r="S251" s="45" t="s">
        <v>6</v>
      </c>
      <c r="T251" s="45" t="s">
        <v>1711</v>
      </c>
      <c r="U251" s="119">
        <v>382</v>
      </c>
      <c r="V251" s="62">
        <f>U251*J251</f>
        <v>240660</v>
      </c>
      <c r="W251" s="63">
        <f ca="1">$W$4-A251</f>
        <v>31</v>
      </c>
      <c r="X251" s="52" t="str">
        <f ca="1">VLOOKUP(W251,$AA$2:$AB$6,2)</f>
        <v>&lt; 6 Months</v>
      </c>
      <c r="Y251" s="52" t="str">
        <f ca="1">VLOOKUP(W251,$AD$2:$AE$6,2)</f>
        <v>30-60 Days</v>
      </c>
    </row>
    <row r="252" spans="1:25" s="64" customFormat="1" ht="15" customHeight="1">
      <c r="A252" s="127" t="s">
        <v>1675</v>
      </c>
      <c r="B252" s="45" t="s">
        <v>245</v>
      </c>
      <c r="C252" s="45" t="s">
        <v>1678</v>
      </c>
      <c r="D252" s="43" t="s">
        <v>555</v>
      </c>
      <c r="E252" s="43" t="s">
        <v>1705</v>
      </c>
      <c r="F252" s="43" t="s">
        <v>248</v>
      </c>
      <c r="G252" s="41">
        <v>2381</v>
      </c>
      <c r="H252" s="116">
        <v>59</v>
      </c>
      <c r="I252" s="41">
        <v>15</v>
      </c>
      <c r="J252" s="98">
        <f>I252*H252</f>
        <v>885</v>
      </c>
      <c r="K252" s="60" t="s">
        <v>92</v>
      </c>
      <c r="L252" s="60" t="s">
        <v>537</v>
      </c>
      <c r="M252" s="60" t="str" cm="1">
        <f t="array" ref="M252:N252">VLOOKUP(Q252,[1]CFPL!$A:$D,{3,4},0)</f>
        <v>RAISIN</v>
      </c>
      <c r="N252" s="60" t="str">
        <v>Raisin - Indian</v>
      </c>
      <c r="O252" s="60" t="s">
        <v>556</v>
      </c>
      <c r="P252" s="60" t="s">
        <v>93</v>
      </c>
      <c r="Q252" s="60" t="s">
        <v>93</v>
      </c>
      <c r="R252" s="45" t="s">
        <v>516</v>
      </c>
      <c r="S252" s="45" t="s">
        <v>6</v>
      </c>
      <c r="T252" s="45" t="s">
        <v>1711</v>
      </c>
      <c r="U252" s="119">
        <v>382</v>
      </c>
      <c r="V252" s="62">
        <f>U252*J252</f>
        <v>338070</v>
      </c>
      <c r="W252" s="63">
        <f ca="1">$W$4-A252</f>
        <v>31</v>
      </c>
      <c r="X252" s="52" t="str">
        <f ca="1">VLOOKUP(W252,$AA$2:$AB$6,2)</f>
        <v>&lt; 6 Months</v>
      </c>
      <c r="Y252" s="52" t="str">
        <f ca="1">VLOOKUP(W252,$AD$2:$AE$6,2)</f>
        <v>30-60 Days</v>
      </c>
    </row>
    <row r="253" spans="1:25" s="64" customFormat="1" ht="15" customHeight="1">
      <c r="A253" s="127" t="s">
        <v>1675</v>
      </c>
      <c r="B253" s="45" t="s">
        <v>245</v>
      </c>
      <c r="C253" s="45" t="s">
        <v>1678</v>
      </c>
      <c r="D253" s="43" t="s">
        <v>555</v>
      </c>
      <c r="E253" s="43" t="s">
        <v>1706</v>
      </c>
      <c r="F253" s="43" t="s">
        <v>248</v>
      </c>
      <c r="G253" s="41">
        <v>2382</v>
      </c>
      <c r="H253" s="116">
        <v>49</v>
      </c>
      <c r="I253" s="41">
        <v>15</v>
      </c>
      <c r="J253" s="98">
        <f>I253*H253</f>
        <v>735</v>
      </c>
      <c r="K253" s="60" t="s">
        <v>92</v>
      </c>
      <c r="L253" s="60" t="s">
        <v>537</v>
      </c>
      <c r="M253" s="60" t="str" cm="1">
        <f t="array" ref="M253:N253">VLOOKUP(Q253,[1]CFPL!$A:$D,{3,4},0)</f>
        <v>RAISIN</v>
      </c>
      <c r="N253" s="60" t="str">
        <v>Raisin - Indian</v>
      </c>
      <c r="O253" s="60" t="s">
        <v>556</v>
      </c>
      <c r="P253" s="60" t="s">
        <v>93</v>
      </c>
      <c r="Q253" s="60" t="s">
        <v>93</v>
      </c>
      <c r="R253" s="45" t="s">
        <v>516</v>
      </c>
      <c r="S253" s="45" t="s">
        <v>6</v>
      </c>
      <c r="T253" s="45" t="s">
        <v>1711</v>
      </c>
      <c r="U253" s="119">
        <v>382</v>
      </c>
      <c r="V253" s="62">
        <f>U253*J253</f>
        <v>280770</v>
      </c>
      <c r="W253" s="63">
        <f ca="1">$W$4-A253</f>
        <v>31</v>
      </c>
      <c r="X253" s="52" t="str">
        <f ca="1">VLOOKUP(W253,$AA$2:$AB$6,2)</f>
        <v>&lt; 6 Months</v>
      </c>
      <c r="Y253" s="52" t="str">
        <f ca="1">VLOOKUP(W253,$AD$2:$AE$6,2)</f>
        <v>30-60 Days</v>
      </c>
    </row>
    <row r="254" spans="1:25" s="64" customFormat="1" ht="15" customHeight="1">
      <c r="A254" s="127" t="s">
        <v>1675</v>
      </c>
      <c r="B254" s="45" t="s">
        <v>245</v>
      </c>
      <c r="C254" s="45" t="s">
        <v>1678</v>
      </c>
      <c r="D254" s="43" t="s">
        <v>555</v>
      </c>
      <c r="E254" s="43" t="s">
        <v>1707</v>
      </c>
      <c r="F254" s="43" t="s">
        <v>248</v>
      </c>
      <c r="G254" s="41">
        <v>2355</v>
      </c>
      <c r="H254" s="116">
        <v>20</v>
      </c>
      <c r="I254" s="41">
        <v>15</v>
      </c>
      <c r="J254" s="98">
        <f>I254*H254</f>
        <v>300</v>
      </c>
      <c r="K254" s="60" t="s">
        <v>92</v>
      </c>
      <c r="L254" s="60" t="s">
        <v>537</v>
      </c>
      <c r="M254" s="60" t="str" cm="1">
        <f t="array" ref="M254:N254">VLOOKUP(Q254,[1]CFPL!$A:$D,{3,4},0)</f>
        <v>RAISIN</v>
      </c>
      <c r="N254" s="60" t="str">
        <v>Raisin - Indian</v>
      </c>
      <c r="O254" s="60" t="s">
        <v>556</v>
      </c>
      <c r="P254" s="60" t="s">
        <v>93</v>
      </c>
      <c r="Q254" s="60" t="s">
        <v>93</v>
      </c>
      <c r="R254" s="45" t="s">
        <v>516</v>
      </c>
      <c r="S254" s="45" t="s">
        <v>6</v>
      </c>
      <c r="T254" s="45" t="s">
        <v>1711</v>
      </c>
      <c r="U254" s="119">
        <v>382</v>
      </c>
      <c r="V254" s="62">
        <f>U254*J254</f>
        <v>114600</v>
      </c>
      <c r="W254" s="63">
        <f ca="1">$W$4-A254</f>
        <v>31</v>
      </c>
      <c r="X254" s="52" t="str">
        <f ca="1">VLOOKUP(W254,$AA$2:$AB$6,2)</f>
        <v>&lt; 6 Months</v>
      </c>
      <c r="Y254" s="52" t="str">
        <f ca="1">VLOOKUP(W254,$AD$2:$AE$6,2)</f>
        <v>30-60 Days</v>
      </c>
    </row>
    <row r="255" spans="1:25" s="64" customFormat="1" ht="15" customHeight="1">
      <c r="A255" s="127" t="s">
        <v>1675</v>
      </c>
      <c r="B255" s="45" t="s">
        <v>245</v>
      </c>
      <c r="C255" s="45" t="s">
        <v>1678</v>
      </c>
      <c r="D255" s="43" t="s">
        <v>555</v>
      </c>
      <c r="E255" s="43" t="s">
        <v>1708</v>
      </c>
      <c r="F255" s="43" t="s">
        <v>248</v>
      </c>
      <c r="G255" s="41">
        <v>2356</v>
      </c>
      <c r="H255" s="116">
        <v>14</v>
      </c>
      <c r="I255" s="41">
        <v>15</v>
      </c>
      <c r="J255" s="98">
        <f>I255*H255</f>
        <v>210</v>
      </c>
      <c r="K255" s="60" t="s">
        <v>92</v>
      </c>
      <c r="L255" s="60" t="s">
        <v>537</v>
      </c>
      <c r="M255" s="60" t="str" cm="1">
        <f t="array" ref="M255:N255">VLOOKUP(Q255,[1]CFPL!$A:$D,{3,4},0)</f>
        <v>RAISIN</v>
      </c>
      <c r="N255" s="60" t="str">
        <v>Raisin - Indian</v>
      </c>
      <c r="O255" s="60" t="s">
        <v>556</v>
      </c>
      <c r="P255" s="60" t="s">
        <v>93</v>
      </c>
      <c r="Q255" s="60" t="s">
        <v>93</v>
      </c>
      <c r="R255" s="45" t="s">
        <v>516</v>
      </c>
      <c r="S255" s="45" t="s">
        <v>6</v>
      </c>
      <c r="T255" s="45" t="s">
        <v>1711</v>
      </c>
      <c r="U255" s="119">
        <v>382</v>
      </c>
      <c r="V255" s="62">
        <f>U255*J255</f>
        <v>80220</v>
      </c>
      <c r="W255" s="63">
        <f ca="1">$W$4-A255</f>
        <v>31</v>
      </c>
      <c r="X255" s="52" t="str">
        <f ca="1">VLOOKUP(W255,$AA$2:$AB$6,2)</f>
        <v>&lt; 6 Months</v>
      </c>
      <c r="Y255" s="52" t="str">
        <f ca="1">VLOOKUP(W255,$AD$2:$AE$6,2)</f>
        <v>30-60 Days</v>
      </c>
    </row>
    <row r="256" spans="1:25" s="64" customFormat="1" ht="15" customHeight="1">
      <c r="A256" s="127" t="s">
        <v>1675</v>
      </c>
      <c r="B256" s="45" t="s">
        <v>245</v>
      </c>
      <c r="C256" s="45" t="s">
        <v>1678</v>
      </c>
      <c r="D256" s="43" t="s">
        <v>555</v>
      </c>
      <c r="E256" s="43" t="s">
        <v>1679</v>
      </c>
      <c r="F256" s="43" t="s">
        <v>248</v>
      </c>
      <c r="G256" s="41">
        <v>2357</v>
      </c>
      <c r="H256" s="116">
        <v>21</v>
      </c>
      <c r="I256" s="41">
        <v>15</v>
      </c>
      <c r="J256" s="98">
        <f>I256*H256</f>
        <v>315</v>
      </c>
      <c r="K256" s="60" t="s">
        <v>92</v>
      </c>
      <c r="L256" s="60" t="s">
        <v>537</v>
      </c>
      <c r="M256" s="60" t="str" cm="1">
        <f t="array" ref="M256:N256">VLOOKUP(Q256,[1]CFPL!$A:$D,{3,4},0)</f>
        <v>RAISIN</v>
      </c>
      <c r="N256" s="60" t="str">
        <v>Raisin - Indian</v>
      </c>
      <c r="O256" s="60" t="s">
        <v>556</v>
      </c>
      <c r="P256" s="60" t="s">
        <v>93</v>
      </c>
      <c r="Q256" s="60" t="s">
        <v>93</v>
      </c>
      <c r="R256" s="45" t="s">
        <v>516</v>
      </c>
      <c r="S256" s="45" t="s">
        <v>6</v>
      </c>
      <c r="T256" s="45" t="s">
        <v>1711</v>
      </c>
      <c r="U256" s="119">
        <v>382</v>
      </c>
      <c r="V256" s="62">
        <f>U256*J256</f>
        <v>120330</v>
      </c>
      <c r="W256" s="63">
        <f ca="1">$W$4-A256</f>
        <v>31</v>
      </c>
      <c r="X256" s="52" t="str">
        <f ca="1">VLOOKUP(W256,$AA$2:$AB$6,2)</f>
        <v>&lt; 6 Months</v>
      </c>
      <c r="Y256" s="52" t="str">
        <f ca="1">VLOOKUP(W256,$AD$2:$AE$6,2)</f>
        <v>30-60 Days</v>
      </c>
    </row>
    <row r="257" spans="1:25" s="64" customFormat="1" ht="15" customHeight="1">
      <c r="A257" s="127" t="s">
        <v>1675</v>
      </c>
      <c r="B257" s="45" t="s">
        <v>245</v>
      </c>
      <c r="C257" s="45" t="s">
        <v>1678</v>
      </c>
      <c r="D257" s="43" t="s">
        <v>555</v>
      </c>
      <c r="E257" s="43" t="s">
        <v>1680</v>
      </c>
      <c r="F257" s="43" t="s">
        <v>248</v>
      </c>
      <c r="G257" s="41">
        <v>2358</v>
      </c>
      <c r="H257" s="116">
        <v>9</v>
      </c>
      <c r="I257" s="41">
        <v>15</v>
      </c>
      <c r="J257" s="98">
        <f>I257*H257</f>
        <v>135</v>
      </c>
      <c r="K257" s="60" t="s">
        <v>92</v>
      </c>
      <c r="L257" s="60" t="s">
        <v>537</v>
      </c>
      <c r="M257" s="60" t="str" cm="1">
        <f t="array" ref="M257:N257">VLOOKUP(Q257,[1]CFPL!$A:$D,{3,4},0)</f>
        <v>RAISIN</v>
      </c>
      <c r="N257" s="60" t="str">
        <v>Raisin - Indian</v>
      </c>
      <c r="O257" s="60" t="s">
        <v>556</v>
      </c>
      <c r="P257" s="60" t="s">
        <v>93</v>
      </c>
      <c r="Q257" s="60" t="s">
        <v>93</v>
      </c>
      <c r="R257" s="45" t="s">
        <v>516</v>
      </c>
      <c r="S257" s="45" t="s">
        <v>6</v>
      </c>
      <c r="T257" s="45" t="s">
        <v>1711</v>
      </c>
      <c r="U257" s="119">
        <v>382</v>
      </c>
      <c r="V257" s="62">
        <f>U257*J257</f>
        <v>51570</v>
      </c>
      <c r="W257" s="63">
        <f ca="1">$W$4-A257</f>
        <v>31</v>
      </c>
      <c r="X257" s="52" t="str">
        <f ca="1">VLOOKUP(W257,$AA$2:$AB$6,2)</f>
        <v>&lt; 6 Months</v>
      </c>
      <c r="Y257" s="52" t="str">
        <f ca="1">VLOOKUP(W257,$AD$2:$AE$6,2)</f>
        <v>30-60 Days</v>
      </c>
    </row>
    <row r="258" spans="1:25" s="64" customFormat="1" ht="15" customHeight="1">
      <c r="A258" s="127" t="s">
        <v>1675</v>
      </c>
      <c r="B258" s="45" t="s">
        <v>245</v>
      </c>
      <c r="C258" s="45" t="s">
        <v>1684</v>
      </c>
      <c r="D258" s="43" t="s">
        <v>528</v>
      </c>
      <c r="E258" s="43" t="s">
        <v>1685</v>
      </c>
      <c r="F258" s="43" t="s">
        <v>248</v>
      </c>
      <c r="G258" s="41">
        <v>2259</v>
      </c>
      <c r="H258" s="116">
        <v>4</v>
      </c>
      <c r="I258" s="41">
        <v>10</v>
      </c>
      <c r="J258" s="98">
        <f>I258*H258</f>
        <v>40</v>
      </c>
      <c r="K258" s="60" t="s">
        <v>867</v>
      </c>
      <c r="L258" s="60" t="s">
        <v>1335</v>
      </c>
      <c r="M258" s="60" t="str" cm="1">
        <f t="array" ref="M258:N258">VLOOKUP(Q258,[1]CFPL!$A:$D,{3,4},0)</f>
        <v>PREMIUM NUTS</v>
      </c>
      <c r="N258" s="60" t="str">
        <v>Macadamia Nuts</v>
      </c>
      <c r="O258" s="60" t="s">
        <v>1335</v>
      </c>
      <c r="P258" s="60" t="s">
        <v>1340</v>
      </c>
      <c r="Q258" s="60" t="s">
        <v>1340</v>
      </c>
      <c r="R258" s="45" t="s">
        <v>516</v>
      </c>
      <c r="S258" s="45" t="s">
        <v>6</v>
      </c>
      <c r="T258" s="45" t="s">
        <v>1341</v>
      </c>
      <c r="U258" s="119">
        <v>910</v>
      </c>
      <c r="V258" s="62">
        <f>U258*J258</f>
        <v>36400</v>
      </c>
      <c r="W258" s="63">
        <f ca="1">$W$4-A258</f>
        <v>31</v>
      </c>
      <c r="X258" s="52" t="str">
        <f ca="1">VLOOKUP(W258,$AA$2:$AB$6,2)</f>
        <v>&lt; 6 Months</v>
      </c>
      <c r="Y258" s="52" t="str">
        <f ca="1">VLOOKUP(W258,$AD$2:$AE$6,2)</f>
        <v>30-60 Days</v>
      </c>
    </row>
    <row r="259" spans="1:25" s="64" customFormat="1" ht="15" customHeight="1">
      <c r="A259" s="127" t="s">
        <v>1712</v>
      </c>
      <c r="B259" s="45" t="s">
        <v>245</v>
      </c>
      <c r="C259" s="45" t="s">
        <v>1713</v>
      </c>
      <c r="D259" s="43" t="s">
        <v>1322</v>
      </c>
      <c r="E259" s="43" t="s">
        <v>1716</v>
      </c>
      <c r="F259" s="43" t="s">
        <v>1715</v>
      </c>
      <c r="G259" s="41">
        <v>2576</v>
      </c>
      <c r="H259" s="116">
        <v>650</v>
      </c>
      <c r="I259" s="41">
        <v>10</v>
      </c>
      <c r="J259" s="98">
        <f>I259*H259</f>
        <v>6500</v>
      </c>
      <c r="K259" s="60" t="s">
        <v>83</v>
      </c>
      <c r="L259" s="60" t="s">
        <v>1555</v>
      </c>
      <c r="M259" s="60" t="str" cm="1">
        <f t="array" ref="M259:N259">VLOOKUP(Q259,[1]CFPL!$A:$D,{3,4},0)</f>
        <v>PISTA</v>
      </c>
      <c r="N259" s="60" t="str">
        <v>Pista - Inshell</v>
      </c>
      <c r="O259" s="60" t="s">
        <v>1727</v>
      </c>
      <c r="P259" s="60" t="s">
        <v>85</v>
      </c>
      <c r="Q259" s="60" t="s">
        <v>616</v>
      </c>
      <c r="R259" s="45" t="s">
        <v>516</v>
      </c>
      <c r="S259" s="45" t="s">
        <v>6</v>
      </c>
      <c r="T259" s="45" t="s">
        <v>1727</v>
      </c>
      <c r="U259" s="119">
        <v>950</v>
      </c>
      <c r="V259" s="62">
        <f>U259*J259</f>
        <v>6175000</v>
      </c>
      <c r="W259" s="63">
        <f ca="1">$W$4-A259</f>
        <v>28</v>
      </c>
      <c r="X259" s="52" t="str">
        <f ca="1">VLOOKUP(W259,$AA$2:$AB$6,2)</f>
        <v>&lt; 6 Months</v>
      </c>
      <c r="Y259" s="52" t="str">
        <f ca="1">VLOOKUP(W259,$AD$2:$AE$6,2)</f>
        <v>&lt;30 Days</v>
      </c>
    </row>
    <row r="260" spans="1:25" s="64" customFormat="1" ht="15" customHeight="1">
      <c r="A260" s="127" t="s">
        <v>1712</v>
      </c>
      <c r="B260" s="45" t="s">
        <v>245</v>
      </c>
      <c r="C260" s="45" t="s">
        <v>1713</v>
      </c>
      <c r="D260" s="43" t="s">
        <v>1322</v>
      </c>
      <c r="E260" s="43" t="s">
        <v>1716</v>
      </c>
      <c r="F260" s="43" t="s">
        <v>1715</v>
      </c>
      <c r="G260" s="41">
        <v>2576</v>
      </c>
      <c r="H260" s="116">
        <v>654</v>
      </c>
      <c r="I260" s="41">
        <v>10</v>
      </c>
      <c r="J260" s="98">
        <f>I260*H260</f>
        <v>6540</v>
      </c>
      <c r="K260" s="60" t="s">
        <v>83</v>
      </c>
      <c r="L260" s="60" t="s">
        <v>1555</v>
      </c>
      <c r="M260" s="60" t="str" cm="1">
        <f t="array" ref="M260:N260">VLOOKUP(Q260,[1]CFPL!$A:$D,{3,4},0)</f>
        <v>PISTA</v>
      </c>
      <c r="N260" s="60" t="str">
        <v>Pista - Inshell</v>
      </c>
      <c r="O260" s="60" t="s">
        <v>1727</v>
      </c>
      <c r="P260" s="60" t="s">
        <v>85</v>
      </c>
      <c r="Q260" s="60" t="s">
        <v>616</v>
      </c>
      <c r="R260" s="45" t="s">
        <v>516</v>
      </c>
      <c r="S260" s="45" t="s">
        <v>6</v>
      </c>
      <c r="T260" s="45" t="s">
        <v>1727</v>
      </c>
      <c r="U260" s="119">
        <v>950</v>
      </c>
      <c r="V260" s="62">
        <f>U260*J260</f>
        <v>6213000</v>
      </c>
      <c r="W260" s="63">
        <f ca="1">$W$4-A260</f>
        <v>28</v>
      </c>
      <c r="X260" s="52" t="str">
        <f ca="1">VLOOKUP(W260,$AA$2:$AB$6,2)</f>
        <v>&lt; 6 Months</v>
      </c>
      <c r="Y260" s="52" t="str">
        <f ca="1">VLOOKUP(W260,$AD$2:$AE$6,2)</f>
        <v>&lt;30 Days</v>
      </c>
    </row>
    <row r="261" spans="1:25" s="64" customFormat="1" ht="15" customHeight="1">
      <c r="A261" s="127" t="s">
        <v>1712</v>
      </c>
      <c r="B261" s="45" t="s">
        <v>245</v>
      </c>
      <c r="C261" s="45" t="s">
        <v>1713</v>
      </c>
      <c r="D261" s="43" t="s">
        <v>1322</v>
      </c>
      <c r="E261" s="43" t="s">
        <v>1716</v>
      </c>
      <c r="F261" s="43" t="s">
        <v>1715</v>
      </c>
      <c r="G261" s="41">
        <v>2576</v>
      </c>
      <c r="H261" s="116">
        <v>360</v>
      </c>
      <c r="I261" s="41">
        <v>10</v>
      </c>
      <c r="J261" s="98">
        <f>I261*H261</f>
        <v>3600</v>
      </c>
      <c r="K261" s="60" t="s">
        <v>83</v>
      </c>
      <c r="L261" s="60" t="s">
        <v>1555</v>
      </c>
      <c r="M261" s="60" t="str" cm="1">
        <f t="array" ref="M261:N261">VLOOKUP(Q261,[1]CFPL!$A:$D,{3,4},0)</f>
        <v>PISTA</v>
      </c>
      <c r="N261" s="60" t="str">
        <v>Pista - Inshell</v>
      </c>
      <c r="O261" s="60" t="s">
        <v>1727</v>
      </c>
      <c r="P261" s="60" t="s">
        <v>85</v>
      </c>
      <c r="Q261" s="60" t="s">
        <v>616</v>
      </c>
      <c r="R261" s="45" t="s">
        <v>516</v>
      </c>
      <c r="S261" s="45" t="s">
        <v>6</v>
      </c>
      <c r="T261" s="45" t="s">
        <v>1727</v>
      </c>
      <c r="U261" s="119">
        <v>950</v>
      </c>
      <c r="V261" s="62">
        <f>U261*J261</f>
        <v>3420000</v>
      </c>
      <c r="W261" s="63">
        <f ca="1">$W$4-A261</f>
        <v>28</v>
      </c>
      <c r="X261" s="52" t="str">
        <f ca="1">VLOOKUP(W261,$AA$2:$AB$6,2)</f>
        <v>&lt; 6 Months</v>
      </c>
      <c r="Y261" s="52" t="str">
        <f ca="1">VLOOKUP(W261,$AD$2:$AE$6,2)</f>
        <v>&lt;30 Days</v>
      </c>
    </row>
    <row r="262" spans="1:25" s="64" customFormat="1" ht="15" customHeight="1">
      <c r="A262" s="127" t="s">
        <v>1712</v>
      </c>
      <c r="B262" s="45" t="s">
        <v>245</v>
      </c>
      <c r="C262" s="45" t="s">
        <v>1713</v>
      </c>
      <c r="D262" s="43" t="s">
        <v>1322</v>
      </c>
      <c r="E262" s="43" t="s">
        <v>1714</v>
      </c>
      <c r="F262" s="43" t="s">
        <v>1715</v>
      </c>
      <c r="G262" s="41">
        <v>2609</v>
      </c>
      <c r="H262" s="116">
        <v>32</v>
      </c>
      <c r="I262" s="41">
        <v>10</v>
      </c>
      <c r="J262" s="98">
        <f>I262*H262</f>
        <v>320</v>
      </c>
      <c r="K262" s="60" t="s">
        <v>83</v>
      </c>
      <c r="L262" s="60" t="s">
        <v>1555</v>
      </c>
      <c r="M262" s="60" t="str" cm="1">
        <f t="array" ref="M262:N262">VLOOKUP(Q262,[1]CFPL!$A:$D,{3,4},0)</f>
        <v>PISTA</v>
      </c>
      <c r="N262" s="60" t="str">
        <v>Pista - Inshell</v>
      </c>
      <c r="O262" s="60" t="s">
        <v>1727</v>
      </c>
      <c r="P262" s="60" t="s">
        <v>85</v>
      </c>
      <c r="Q262" s="60" t="s">
        <v>616</v>
      </c>
      <c r="R262" s="45" t="s">
        <v>516</v>
      </c>
      <c r="S262" s="45" t="s">
        <v>6</v>
      </c>
      <c r="T262" s="45" t="s">
        <v>1727</v>
      </c>
      <c r="U262" s="119">
        <v>950</v>
      </c>
      <c r="V262" s="62">
        <f>U262*J262</f>
        <v>304000</v>
      </c>
      <c r="W262" s="63">
        <f ca="1">$W$4-A262</f>
        <v>28</v>
      </c>
      <c r="X262" s="52" t="str">
        <f ca="1">VLOOKUP(W262,$AA$2:$AB$6,2)</f>
        <v>&lt; 6 Months</v>
      </c>
      <c r="Y262" s="52" t="str">
        <f ca="1">VLOOKUP(W262,$AD$2:$AE$6,2)</f>
        <v>&lt;30 Days</v>
      </c>
    </row>
    <row r="263" spans="1:25" s="64" customFormat="1" ht="15" customHeight="1">
      <c r="A263" s="127" t="s">
        <v>1717</v>
      </c>
      <c r="B263" s="45" t="s">
        <v>245</v>
      </c>
      <c r="C263" s="45" t="s">
        <v>1722</v>
      </c>
      <c r="D263" s="43" t="s">
        <v>644</v>
      </c>
      <c r="E263" s="43" t="s">
        <v>1723</v>
      </c>
      <c r="F263" s="43" t="s">
        <v>1724</v>
      </c>
      <c r="G263" s="41">
        <v>2744</v>
      </c>
      <c r="H263" s="116">
        <v>1440</v>
      </c>
      <c r="I263" s="41">
        <v>11.34</v>
      </c>
      <c r="J263" s="98">
        <f>I263*H263</f>
        <v>16329.6</v>
      </c>
      <c r="K263" s="60" t="s">
        <v>51</v>
      </c>
      <c r="L263" s="60" t="s">
        <v>645</v>
      </c>
      <c r="M263" s="60" t="str" cm="1">
        <f t="array" ref="M263:N263">VLOOKUP(Q263,[1]CFPL!$A:$D,{3,4},0)</f>
        <v>CRANBERRY</v>
      </c>
      <c r="N263" s="60" t="str">
        <v>Cranberry - Sliced</v>
      </c>
      <c r="O263" s="60" t="s">
        <v>1726</v>
      </c>
      <c r="P263" s="60" t="s">
        <v>1473</v>
      </c>
      <c r="Q263" s="60" t="s">
        <v>52</v>
      </c>
      <c r="R263" s="45" t="s">
        <v>516</v>
      </c>
      <c r="S263" s="45" t="s">
        <v>6</v>
      </c>
      <c r="T263" s="45" t="s">
        <v>659</v>
      </c>
      <c r="U263" s="119">
        <v>395</v>
      </c>
      <c r="V263" s="62">
        <f>U263*J263</f>
        <v>6450192</v>
      </c>
      <c r="W263" s="63">
        <f ca="1">$W$4-A263</f>
        <v>27</v>
      </c>
      <c r="X263" s="52" t="str">
        <f ca="1">VLOOKUP(W263,$AA$2:$AB$6,2)</f>
        <v>&lt; 6 Months</v>
      </c>
      <c r="Y263" s="52" t="str">
        <f ca="1">VLOOKUP(W263,$AD$2:$AE$6,2)</f>
        <v>&lt;30 Days</v>
      </c>
    </row>
    <row r="264" spans="1:25" s="64" customFormat="1" ht="15" customHeight="1">
      <c r="A264" s="127" t="s">
        <v>1717</v>
      </c>
      <c r="B264" s="45" t="s">
        <v>245</v>
      </c>
      <c r="C264" s="45" t="s">
        <v>1719</v>
      </c>
      <c r="D264" s="43" t="s">
        <v>1381</v>
      </c>
      <c r="E264" s="43" t="s">
        <v>1720</v>
      </c>
      <c r="F264" s="43" t="s">
        <v>1721</v>
      </c>
      <c r="G264" s="41">
        <v>2685</v>
      </c>
      <c r="H264" s="116">
        <v>10</v>
      </c>
      <c r="I264" s="41">
        <v>10</v>
      </c>
      <c r="J264" s="98">
        <f>I264*H264</f>
        <v>100</v>
      </c>
      <c r="K264" s="60" t="s">
        <v>79</v>
      </c>
      <c r="L264" s="60" t="s">
        <v>848</v>
      </c>
      <c r="M264" s="60" t="str" cm="1">
        <f t="array" ref="M264:N264">VLOOKUP(Q264,[1]CFPL!$A:$D,{3,4},0)</f>
        <v>PREMIUM NUTS</v>
      </c>
      <c r="N264" s="60" t="str">
        <v>Pecan Nuts</v>
      </c>
      <c r="O264" s="60" t="s">
        <v>617</v>
      </c>
      <c r="P264" s="60" t="s">
        <v>1563</v>
      </c>
      <c r="Q264" s="60" t="s">
        <v>80</v>
      </c>
      <c r="R264" s="45" t="s">
        <v>516</v>
      </c>
      <c r="S264" s="45" t="s">
        <v>6</v>
      </c>
      <c r="T264" s="45" t="s">
        <v>255</v>
      </c>
      <c r="U264" s="119">
        <v>1380</v>
      </c>
      <c r="V264" s="62">
        <f>U264*J264</f>
        <v>138000</v>
      </c>
      <c r="W264" s="63">
        <f ca="1">$W$4-A264</f>
        <v>27</v>
      </c>
      <c r="X264" s="52" t="str">
        <f ca="1">VLOOKUP(W264,$AA$2:$AB$6,2)</f>
        <v>&lt; 6 Months</v>
      </c>
      <c r="Y264" s="52" t="str">
        <f ca="1">VLOOKUP(W264,$AD$2:$AE$6,2)</f>
        <v>&lt;30 Days</v>
      </c>
    </row>
    <row r="265" spans="1:25" s="64" customFormat="1" ht="15" customHeight="1">
      <c r="A265" s="127" t="s">
        <v>1717</v>
      </c>
      <c r="B265" s="45" t="s">
        <v>245</v>
      </c>
      <c r="C265" s="45" t="s">
        <v>1718</v>
      </c>
      <c r="D265" s="43" t="s">
        <v>1537</v>
      </c>
      <c r="E265" s="43" t="s">
        <v>365</v>
      </c>
      <c r="F265" s="43" t="s">
        <v>248</v>
      </c>
      <c r="G265" s="41">
        <v>2580</v>
      </c>
      <c r="H265" s="116">
        <v>880</v>
      </c>
      <c r="I265" s="41">
        <v>25</v>
      </c>
      <c r="J265" s="98">
        <f>I265*H265</f>
        <v>22000</v>
      </c>
      <c r="K265" s="60" t="s">
        <v>762</v>
      </c>
      <c r="L265" s="60" t="s">
        <v>1430</v>
      </c>
      <c r="M265" s="60" t="str" cm="1">
        <f t="array" ref="M265:N265">VLOOKUP(Q265,[1]CFPL!$A:$D,{3,4},0)</f>
        <v>SEEDS</v>
      </c>
      <c r="N265" s="60" t="str">
        <v>Pumpkin</v>
      </c>
      <c r="O265" s="60" t="s">
        <v>1725</v>
      </c>
      <c r="P265" s="60" t="s">
        <v>1728</v>
      </c>
      <c r="Q265" s="60" t="s">
        <v>1603</v>
      </c>
      <c r="R265" s="45" t="s">
        <v>516</v>
      </c>
      <c r="S265" s="45" t="s">
        <v>6</v>
      </c>
      <c r="T265" s="45" t="s">
        <v>255</v>
      </c>
      <c r="U265" s="119">
        <v>368.57</v>
      </c>
      <c r="V265" s="62">
        <f>U265*J265</f>
        <v>8108540</v>
      </c>
      <c r="W265" s="63">
        <f ca="1">$W$4-A265</f>
        <v>27</v>
      </c>
      <c r="X265" s="52" t="str">
        <f ca="1">VLOOKUP(W265,$AA$2:$AB$6,2)</f>
        <v>&lt; 6 Months</v>
      </c>
      <c r="Y265" s="52" t="str">
        <f ca="1">VLOOKUP(W265,$AD$2:$AE$6,2)</f>
        <v>&lt;30 Days</v>
      </c>
    </row>
    <row r="266" spans="1:25" s="64" customFormat="1" ht="15" customHeight="1">
      <c r="A266" s="127" t="s">
        <v>1734</v>
      </c>
      <c r="B266" s="45" t="s">
        <v>258</v>
      </c>
      <c r="C266" s="45" t="s">
        <v>1737</v>
      </c>
      <c r="D266" s="43" t="s">
        <v>270</v>
      </c>
      <c r="E266" s="43" t="s">
        <v>1738</v>
      </c>
      <c r="F266" s="43" t="s">
        <v>1360</v>
      </c>
      <c r="G266" s="41">
        <v>15705</v>
      </c>
      <c r="H266" s="116">
        <v>210</v>
      </c>
      <c r="I266" s="41">
        <v>5</v>
      </c>
      <c r="J266" s="98">
        <f>I266*H266</f>
        <v>1050</v>
      </c>
      <c r="K266" s="60" t="s">
        <v>190</v>
      </c>
      <c r="L266" s="60" t="s">
        <v>857</v>
      </c>
      <c r="M266" s="60" t="str" cm="1">
        <f t="array" ref="M266:N266">VLOOKUP(Q266,[1]CFPL!$A:$D,{3,4},0)</f>
        <v>DATES</v>
      </c>
      <c r="N266" s="60" t="str">
        <v>Medjoul-Jumbo</v>
      </c>
      <c r="O266" s="60" t="s">
        <v>507</v>
      </c>
      <c r="P266" s="60" t="s">
        <v>200</v>
      </c>
      <c r="Q266" s="60" t="s">
        <v>654</v>
      </c>
      <c r="R266" s="45" t="s">
        <v>516</v>
      </c>
      <c r="S266" s="45" t="s">
        <v>6</v>
      </c>
      <c r="T266" s="45" t="s">
        <v>274</v>
      </c>
      <c r="U266" s="119">
        <v>1057</v>
      </c>
      <c r="V266" s="62">
        <f>U266*J266</f>
        <v>1109850</v>
      </c>
      <c r="W266" s="63">
        <f ca="1">$W$4-A266</f>
        <v>22</v>
      </c>
      <c r="X266" s="52" t="str">
        <f ca="1">VLOOKUP(W266,$AA$2:$AB$6,2)</f>
        <v>&lt; 6 Months</v>
      </c>
      <c r="Y266" s="52" t="str">
        <f ca="1">VLOOKUP(W266,$AD$2:$AE$6,2)</f>
        <v>&lt;30 Days</v>
      </c>
    </row>
    <row r="267" spans="1:25" s="64" customFormat="1" ht="15" customHeight="1">
      <c r="A267" s="127" t="s">
        <v>1734</v>
      </c>
      <c r="B267" s="45" t="s">
        <v>258</v>
      </c>
      <c r="C267" s="45" t="s">
        <v>1735</v>
      </c>
      <c r="D267" s="43" t="s">
        <v>270</v>
      </c>
      <c r="E267" s="43" t="s">
        <v>1736</v>
      </c>
      <c r="F267" s="43" t="s">
        <v>1350</v>
      </c>
      <c r="G267" s="41">
        <v>15706</v>
      </c>
      <c r="H267" s="116">
        <v>210</v>
      </c>
      <c r="I267" s="41">
        <v>5</v>
      </c>
      <c r="J267" s="98">
        <f>I267*H267</f>
        <v>1050</v>
      </c>
      <c r="K267" s="60" t="s">
        <v>190</v>
      </c>
      <c r="L267" s="60" t="s">
        <v>859</v>
      </c>
      <c r="M267" s="60" t="str" cm="1">
        <f t="array" ref="M267:N267">VLOOKUP(Q267,[1]CFPL!$A:$D,{3,4},0)</f>
        <v>DATES</v>
      </c>
      <c r="N267" s="60" t="str">
        <v>Medjoul-Large</v>
      </c>
      <c r="O267" s="60" t="s">
        <v>440</v>
      </c>
      <c r="P267" s="60" t="s">
        <v>204</v>
      </c>
      <c r="Q267" s="60" t="s">
        <v>967</v>
      </c>
      <c r="R267" s="45" t="s">
        <v>516</v>
      </c>
      <c r="S267" s="45" t="s">
        <v>6</v>
      </c>
      <c r="T267" s="45" t="s">
        <v>274</v>
      </c>
      <c r="U267" s="119">
        <v>871.2</v>
      </c>
      <c r="V267" s="62">
        <f>U267*J267</f>
        <v>914760</v>
      </c>
      <c r="W267" s="63">
        <f ca="1">$W$4-A267</f>
        <v>22</v>
      </c>
      <c r="X267" s="52" t="str">
        <f ca="1">VLOOKUP(W267,$AA$2:$AB$6,2)</f>
        <v>&lt; 6 Months</v>
      </c>
      <c r="Y267" s="52" t="str">
        <f ca="1">VLOOKUP(W267,$AD$2:$AE$6,2)</f>
        <v>&lt;30 Days</v>
      </c>
    </row>
    <row r="268" spans="1:25" s="64" customFormat="1" ht="15" customHeight="1">
      <c r="A268" s="127" t="s">
        <v>1734</v>
      </c>
      <c r="B268" s="45" t="s">
        <v>258</v>
      </c>
      <c r="C268" s="45" t="s">
        <v>1735</v>
      </c>
      <c r="D268" s="43" t="s">
        <v>270</v>
      </c>
      <c r="E268" s="43" t="s">
        <v>1751</v>
      </c>
      <c r="F268" s="43" t="s">
        <v>1351</v>
      </c>
      <c r="G268" s="41">
        <v>15707</v>
      </c>
      <c r="H268" s="116">
        <v>210</v>
      </c>
      <c r="I268" s="41">
        <v>5</v>
      </c>
      <c r="J268" s="98">
        <f>I268*H268</f>
        <v>1050</v>
      </c>
      <c r="K268" s="60" t="s">
        <v>190</v>
      </c>
      <c r="L268" s="60" t="s">
        <v>859</v>
      </c>
      <c r="M268" s="60" t="str" cm="1">
        <f t="array" ref="M268:N268">VLOOKUP(Q268,[1]CFPL!$A:$D,{3,4},0)</f>
        <v>DATES</v>
      </c>
      <c r="N268" s="60" t="str">
        <v>Medjoul-Large</v>
      </c>
      <c r="O268" s="60" t="s">
        <v>440</v>
      </c>
      <c r="P268" s="60" t="s">
        <v>204</v>
      </c>
      <c r="Q268" s="60" t="s">
        <v>967</v>
      </c>
      <c r="R268" s="45" t="s">
        <v>516</v>
      </c>
      <c r="S268" s="45" t="s">
        <v>6</v>
      </c>
      <c r="T268" s="45" t="s">
        <v>274</v>
      </c>
      <c r="U268" s="119">
        <v>871.2</v>
      </c>
      <c r="V268" s="62">
        <f>U268*J268</f>
        <v>914760</v>
      </c>
      <c r="W268" s="63">
        <f ca="1">$W$4-A268</f>
        <v>22</v>
      </c>
      <c r="X268" s="52" t="str">
        <f ca="1">VLOOKUP(W268,$AA$2:$AB$6,2)</f>
        <v>&lt; 6 Months</v>
      </c>
      <c r="Y268" s="52" t="str">
        <f ca="1">VLOOKUP(W268,$AD$2:$AE$6,2)</f>
        <v>&lt;30 Days</v>
      </c>
    </row>
    <row r="269" spans="1:25" s="64" customFormat="1" ht="15" customHeight="1">
      <c r="A269" s="127" t="s">
        <v>1734</v>
      </c>
      <c r="B269" s="45" t="s">
        <v>258</v>
      </c>
      <c r="C269" s="45" t="s">
        <v>1735</v>
      </c>
      <c r="D269" s="43" t="s">
        <v>270</v>
      </c>
      <c r="E269" s="43" t="s">
        <v>1739</v>
      </c>
      <c r="F269" s="43" t="s">
        <v>1352</v>
      </c>
      <c r="G269" s="41">
        <v>15708</v>
      </c>
      <c r="H269" s="116">
        <v>210</v>
      </c>
      <c r="I269" s="41">
        <v>5</v>
      </c>
      <c r="J269" s="98">
        <f>I269*H269</f>
        <v>1050</v>
      </c>
      <c r="K269" s="60" t="s">
        <v>190</v>
      </c>
      <c r="L269" s="60" t="s">
        <v>859</v>
      </c>
      <c r="M269" s="60" t="str" cm="1">
        <f t="array" ref="M269:N269">VLOOKUP(Q269,[1]CFPL!$A:$D,{3,4},0)</f>
        <v>DATES</v>
      </c>
      <c r="N269" s="60" t="str">
        <v>Medjoul-Large</v>
      </c>
      <c r="O269" s="60" t="s">
        <v>440</v>
      </c>
      <c r="P269" s="60" t="s">
        <v>204</v>
      </c>
      <c r="Q269" s="60" t="s">
        <v>967</v>
      </c>
      <c r="R269" s="45" t="s">
        <v>516</v>
      </c>
      <c r="S269" s="45" t="s">
        <v>6</v>
      </c>
      <c r="T269" s="45" t="s">
        <v>274</v>
      </c>
      <c r="U269" s="119">
        <v>871.2</v>
      </c>
      <c r="V269" s="62">
        <f>U269*J269</f>
        <v>914760</v>
      </c>
      <c r="W269" s="63">
        <f ca="1">$W$4-A269</f>
        <v>22</v>
      </c>
      <c r="X269" s="52" t="str">
        <f ca="1">VLOOKUP(W269,$AA$2:$AB$6,2)</f>
        <v>&lt; 6 Months</v>
      </c>
      <c r="Y269" s="52" t="str">
        <f ca="1">VLOOKUP(W269,$AD$2:$AE$6,2)</f>
        <v>&lt;30 Days</v>
      </c>
    </row>
    <row r="270" spans="1:25" s="64" customFormat="1" ht="15" customHeight="1">
      <c r="A270" s="127" t="s">
        <v>1734</v>
      </c>
      <c r="B270" s="45" t="s">
        <v>258</v>
      </c>
      <c r="C270" s="45" t="s">
        <v>1735</v>
      </c>
      <c r="D270" s="43" t="s">
        <v>270</v>
      </c>
      <c r="E270" s="43" t="s">
        <v>1740</v>
      </c>
      <c r="F270" s="43" t="s">
        <v>1353</v>
      </c>
      <c r="G270" s="41">
        <v>15709</v>
      </c>
      <c r="H270" s="116">
        <v>208</v>
      </c>
      <c r="I270" s="41">
        <v>5</v>
      </c>
      <c r="J270" s="98">
        <f>I270*H270</f>
        <v>1040</v>
      </c>
      <c r="K270" s="60" t="s">
        <v>190</v>
      </c>
      <c r="L270" s="60" t="s">
        <v>859</v>
      </c>
      <c r="M270" s="60" t="str" cm="1">
        <f t="array" ref="M270:N270">VLOOKUP(Q270,[1]CFPL!$A:$D,{3,4},0)</f>
        <v>DATES</v>
      </c>
      <c r="N270" s="60" t="str">
        <v>Medjoul-Large</v>
      </c>
      <c r="O270" s="60" t="s">
        <v>440</v>
      </c>
      <c r="P270" s="60" t="s">
        <v>204</v>
      </c>
      <c r="Q270" s="60" t="s">
        <v>967</v>
      </c>
      <c r="R270" s="45" t="s">
        <v>516</v>
      </c>
      <c r="S270" s="45" t="s">
        <v>6</v>
      </c>
      <c r="T270" s="45" t="s">
        <v>274</v>
      </c>
      <c r="U270" s="119">
        <v>871.2</v>
      </c>
      <c r="V270" s="62">
        <f>U270*J270</f>
        <v>906048</v>
      </c>
      <c r="W270" s="63">
        <f ca="1">$W$4-A270</f>
        <v>22</v>
      </c>
      <c r="X270" s="52" t="str">
        <f ca="1">VLOOKUP(W270,$AA$2:$AB$6,2)</f>
        <v>&lt; 6 Months</v>
      </c>
      <c r="Y270" s="52" t="str">
        <f ca="1">VLOOKUP(W270,$AD$2:$AE$6,2)</f>
        <v>&lt;30 Days</v>
      </c>
    </row>
    <row r="271" spans="1:25" s="64" customFormat="1" ht="15" customHeight="1">
      <c r="A271" s="127" t="s">
        <v>1734</v>
      </c>
      <c r="B271" s="45" t="s">
        <v>258</v>
      </c>
      <c r="C271" s="45" t="s">
        <v>1735</v>
      </c>
      <c r="D271" s="43" t="s">
        <v>270</v>
      </c>
      <c r="E271" s="43" t="s">
        <v>1741</v>
      </c>
      <c r="F271" s="43" t="s">
        <v>1354</v>
      </c>
      <c r="G271" s="41">
        <v>15710</v>
      </c>
      <c r="H271" s="116">
        <v>210</v>
      </c>
      <c r="I271" s="41">
        <v>5</v>
      </c>
      <c r="J271" s="98">
        <f>I271*H271</f>
        <v>1050</v>
      </c>
      <c r="K271" s="60" t="s">
        <v>190</v>
      </c>
      <c r="L271" s="60" t="s">
        <v>859</v>
      </c>
      <c r="M271" s="60" t="str" cm="1">
        <f t="array" ref="M271:N271">VLOOKUP(Q271,[1]CFPL!$A:$D,{3,4},0)</f>
        <v>DATES</v>
      </c>
      <c r="N271" s="60" t="str">
        <v>Medjoul-Large</v>
      </c>
      <c r="O271" s="60" t="s">
        <v>440</v>
      </c>
      <c r="P271" s="60" t="s">
        <v>204</v>
      </c>
      <c r="Q271" s="60" t="s">
        <v>967</v>
      </c>
      <c r="R271" s="45" t="s">
        <v>516</v>
      </c>
      <c r="S271" s="45" t="s">
        <v>6</v>
      </c>
      <c r="T271" s="45" t="s">
        <v>274</v>
      </c>
      <c r="U271" s="119">
        <v>871.2</v>
      </c>
      <c r="V271" s="62">
        <f>U271*J271</f>
        <v>914760</v>
      </c>
      <c r="W271" s="63">
        <f ca="1">$W$4-A271</f>
        <v>22</v>
      </c>
      <c r="X271" s="52" t="str">
        <f ca="1">VLOOKUP(W271,$AA$2:$AB$6,2)</f>
        <v>&lt; 6 Months</v>
      </c>
      <c r="Y271" s="52" t="str">
        <f ca="1">VLOOKUP(W271,$AD$2:$AE$6,2)</f>
        <v>&lt;30 Days</v>
      </c>
    </row>
    <row r="272" spans="1:25" s="64" customFormat="1" ht="15" customHeight="1">
      <c r="A272" s="127" t="s">
        <v>1734</v>
      </c>
      <c r="B272" s="45" t="s">
        <v>258</v>
      </c>
      <c r="C272" s="45" t="s">
        <v>1735</v>
      </c>
      <c r="D272" s="43" t="s">
        <v>270</v>
      </c>
      <c r="E272" s="43" t="s">
        <v>1742</v>
      </c>
      <c r="F272" s="43" t="s">
        <v>1355</v>
      </c>
      <c r="G272" s="41">
        <v>15711</v>
      </c>
      <c r="H272" s="116">
        <v>210</v>
      </c>
      <c r="I272" s="41">
        <v>5</v>
      </c>
      <c r="J272" s="98">
        <f>I272*H272</f>
        <v>1050</v>
      </c>
      <c r="K272" s="60" t="s">
        <v>190</v>
      </c>
      <c r="L272" s="60" t="s">
        <v>859</v>
      </c>
      <c r="M272" s="60" t="str" cm="1">
        <f t="array" ref="M272:N272">VLOOKUP(Q272,[1]CFPL!$A:$D,{3,4},0)</f>
        <v>DATES</v>
      </c>
      <c r="N272" s="60" t="str">
        <v>Medjoul-Large</v>
      </c>
      <c r="O272" s="60" t="s">
        <v>440</v>
      </c>
      <c r="P272" s="60" t="s">
        <v>204</v>
      </c>
      <c r="Q272" s="60" t="s">
        <v>967</v>
      </c>
      <c r="R272" s="45" t="s">
        <v>516</v>
      </c>
      <c r="S272" s="45" t="s">
        <v>6</v>
      </c>
      <c r="T272" s="45" t="s">
        <v>274</v>
      </c>
      <c r="U272" s="119">
        <v>871.2</v>
      </c>
      <c r="V272" s="62">
        <f>U272*J272</f>
        <v>914760</v>
      </c>
      <c r="W272" s="63">
        <f ca="1">$W$4-A272</f>
        <v>22</v>
      </c>
      <c r="X272" s="52" t="str">
        <f ca="1">VLOOKUP(W272,$AA$2:$AB$6,2)</f>
        <v>&lt; 6 Months</v>
      </c>
      <c r="Y272" s="52" t="str">
        <f ca="1">VLOOKUP(W272,$AD$2:$AE$6,2)</f>
        <v>&lt;30 Days</v>
      </c>
    </row>
    <row r="273" spans="1:25" s="64" customFormat="1" ht="15" customHeight="1">
      <c r="A273" s="127" t="s">
        <v>1734</v>
      </c>
      <c r="B273" s="45" t="s">
        <v>258</v>
      </c>
      <c r="C273" s="45" t="s">
        <v>1735</v>
      </c>
      <c r="D273" s="43" t="s">
        <v>270</v>
      </c>
      <c r="E273" s="43" t="s">
        <v>1743</v>
      </c>
      <c r="F273" s="43" t="s">
        <v>1356</v>
      </c>
      <c r="G273" s="41">
        <v>15712</v>
      </c>
      <c r="H273" s="116">
        <v>210</v>
      </c>
      <c r="I273" s="41">
        <v>5</v>
      </c>
      <c r="J273" s="98">
        <f>I273*H273</f>
        <v>1050</v>
      </c>
      <c r="K273" s="60" t="s">
        <v>190</v>
      </c>
      <c r="L273" s="60" t="s">
        <v>859</v>
      </c>
      <c r="M273" s="60" t="str" cm="1">
        <f t="array" ref="M273:N273">VLOOKUP(Q273,[1]CFPL!$A:$D,{3,4},0)</f>
        <v>DATES</v>
      </c>
      <c r="N273" s="60" t="str">
        <v>Medjoul-Large</v>
      </c>
      <c r="O273" s="60" t="s">
        <v>440</v>
      </c>
      <c r="P273" s="60" t="s">
        <v>204</v>
      </c>
      <c r="Q273" s="60" t="s">
        <v>967</v>
      </c>
      <c r="R273" s="45" t="s">
        <v>516</v>
      </c>
      <c r="S273" s="45" t="s">
        <v>6</v>
      </c>
      <c r="T273" s="45" t="s">
        <v>274</v>
      </c>
      <c r="U273" s="119">
        <v>871.2</v>
      </c>
      <c r="V273" s="62">
        <f>U273*J273</f>
        <v>914760</v>
      </c>
      <c r="W273" s="63">
        <f ca="1">$W$4-A273</f>
        <v>22</v>
      </c>
      <c r="X273" s="52" t="str">
        <f ca="1">VLOOKUP(W273,$AA$2:$AB$6,2)</f>
        <v>&lt; 6 Months</v>
      </c>
      <c r="Y273" s="52" t="str">
        <f ca="1">VLOOKUP(W273,$AD$2:$AE$6,2)</f>
        <v>&lt;30 Days</v>
      </c>
    </row>
    <row r="274" spans="1:25" s="64" customFormat="1" ht="15" customHeight="1">
      <c r="A274" s="127" t="s">
        <v>1734</v>
      </c>
      <c r="B274" s="45" t="s">
        <v>258</v>
      </c>
      <c r="C274" s="45" t="s">
        <v>1735</v>
      </c>
      <c r="D274" s="43" t="s">
        <v>270</v>
      </c>
      <c r="E274" s="43" t="s">
        <v>1744</v>
      </c>
      <c r="F274" s="43" t="s">
        <v>1357</v>
      </c>
      <c r="G274" s="41">
        <v>15713</v>
      </c>
      <c r="H274" s="116">
        <v>210</v>
      </c>
      <c r="I274" s="41">
        <v>5</v>
      </c>
      <c r="J274" s="98">
        <f>I274*H274</f>
        <v>1050</v>
      </c>
      <c r="K274" s="60" t="s">
        <v>190</v>
      </c>
      <c r="L274" s="60" t="s">
        <v>859</v>
      </c>
      <c r="M274" s="60" t="str" cm="1">
        <f t="array" ref="M274:N274">VLOOKUP(Q274,[1]CFPL!$A:$D,{3,4},0)</f>
        <v>DATES</v>
      </c>
      <c r="N274" s="60" t="str">
        <v>Medjoul-Large</v>
      </c>
      <c r="O274" s="60" t="s">
        <v>440</v>
      </c>
      <c r="P274" s="60" t="s">
        <v>204</v>
      </c>
      <c r="Q274" s="60" t="s">
        <v>967</v>
      </c>
      <c r="R274" s="45" t="s">
        <v>516</v>
      </c>
      <c r="S274" s="45" t="s">
        <v>6</v>
      </c>
      <c r="T274" s="45" t="s">
        <v>274</v>
      </c>
      <c r="U274" s="119">
        <v>871.2</v>
      </c>
      <c r="V274" s="62">
        <f>U274*J274</f>
        <v>914760</v>
      </c>
      <c r="W274" s="63">
        <f ca="1">$W$4-A274</f>
        <v>22</v>
      </c>
      <c r="X274" s="52" t="str">
        <f ca="1">VLOOKUP(W274,$AA$2:$AB$6,2)</f>
        <v>&lt; 6 Months</v>
      </c>
      <c r="Y274" s="52" t="str">
        <f ca="1">VLOOKUP(W274,$AD$2:$AE$6,2)</f>
        <v>&lt;30 Days</v>
      </c>
    </row>
    <row r="275" spans="1:25" s="64" customFormat="1" ht="15" customHeight="1">
      <c r="A275" s="127" t="s">
        <v>1734</v>
      </c>
      <c r="B275" s="45" t="s">
        <v>258</v>
      </c>
      <c r="C275" s="45" t="s">
        <v>1735</v>
      </c>
      <c r="D275" s="43" t="s">
        <v>270</v>
      </c>
      <c r="E275" s="43" t="s">
        <v>1745</v>
      </c>
      <c r="F275" s="43" t="s">
        <v>1358</v>
      </c>
      <c r="G275" s="41">
        <v>15714</v>
      </c>
      <c r="H275" s="116">
        <v>210</v>
      </c>
      <c r="I275" s="41">
        <v>5</v>
      </c>
      <c r="J275" s="98">
        <f>I275*H275</f>
        <v>1050</v>
      </c>
      <c r="K275" s="60" t="s">
        <v>190</v>
      </c>
      <c r="L275" s="60" t="s">
        <v>859</v>
      </c>
      <c r="M275" s="60" t="str" cm="1">
        <f t="array" ref="M275:N275">VLOOKUP(Q275,[1]CFPL!$A:$D,{3,4},0)</f>
        <v>DATES</v>
      </c>
      <c r="N275" s="60" t="str">
        <v>Medjoul-Large</v>
      </c>
      <c r="O275" s="60" t="s">
        <v>440</v>
      </c>
      <c r="P275" s="60" t="s">
        <v>204</v>
      </c>
      <c r="Q275" s="60" t="s">
        <v>967</v>
      </c>
      <c r="R275" s="45" t="s">
        <v>516</v>
      </c>
      <c r="S275" s="45" t="s">
        <v>6</v>
      </c>
      <c r="T275" s="45" t="s">
        <v>274</v>
      </c>
      <c r="U275" s="119">
        <v>871.2</v>
      </c>
      <c r="V275" s="62">
        <f>U275*J275</f>
        <v>914760</v>
      </c>
      <c r="W275" s="63">
        <f ca="1">$W$4-A275</f>
        <v>22</v>
      </c>
      <c r="X275" s="52" t="str">
        <f ca="1">VLOOKUP(W275,$AA$2:$AB$6,2)</f>
        <v>&lt; 6 Months</v>
      </c>
      <c r="Y275" s="52" t="str">
        <f ca="1">VLOOKUP(W275,$AD$2:$AE$6,2)</f>
        <v>&lt;30 Days</v>
      </c>
    </row>
    <row r="276" spans="1:25" s="64" customFormat="1" ht="15" customHeight="1">
      <c r="A276" s="127" t="s">
        <v>1734</v>
      </c>
      <c r="B276" s="45" t="s">
        <v>258</v>
      </c>
      <c r="C276" s="45" t="s">
        <v>1735</v>
      </c>
      <c r="D276" s="43" t="s">
        <v>270</v>
      </c>
      <c r="E276" s="43" t="s">
        <v>1746</v>
      </c>
      <c r="F276" s="43" t="s">
        <v>1359</v>
      </c>
      <c r="G276" s="41">
        <v>15715</v>
      </c>
      <c r="H276" s="116">
        <v>210</v>
      </c>
      <c r="I276" s="41">
        <v>5</v>
      </c>
      <c r="J276" s="98">
        <f>I276*H276</f>
        <v>1050</v>
      </c>
      <c r="K276" s="60" t="s">
        <v>190</v>
      </c>
      <c r="L276" s="60" t="s">
        <v>859</v>
      </c>
      <c r="M276" s="60" t="str" cm="1">
        <f t="array" ref="M276:N276">VLOOKUP(Q276,[1]CFPL!$A:$D,{3,4},0)</f>
        <v>DATES</v>
      </c>
      <c r="N276" s="60" t="str">
        <v>Medjoul-Large</v>
      </c>
      <c r="O276" s="60" t="s">
        <v>440</v>
      </c>
      <c r="P276" s="60" t="s">
        <v>204</v>
      </c>
      <c r="Q276" s="60" t="s">
        <v>967</v>
      </c>
      <c r="R276" s="45" t="s">
        <v>516</v>
      </c>
      <c r="S276" s="45" t="s">
        <v>6</v>
      </c>
      <c r="T276" s="45" t="s">
        <v>274</v>
      </c>
      <c r="U276" s="119">
        <v>871.2</v>
      </c>
      <c r="V276" s="62">
        <f>U276*J276</f>
        <v>914760</v>
      </c>
      <c r="W276" s="63">
        <f ca="1">$W$4-A276</f>
        <v>22</v>
      </c>
      <c r="X276" s="52" t="str">
        <f ca="1">VLOOKUP(W276,$AA$2:$AB$6,2)</f>
        <v>&lt; 6 Months</v>
      </c>
      <c r="Y276" s="52" t="str">
        <f ca="1">VLOOKUP(W276,$AD$2:$AE$6,2)</f>
        <v>&lt;30 Days</v>
      </c>
    </row>
    <row r="277" spans="1:25" s="64" customFormat="1" ht="15" customHeight="1">
      <c r="A277" s="127" t="s">
        <v>1734</v>
      </c>
      <c r="B277" s="45" t="s">
        <v>258</v>
      </c>
      <c r="C277" s="45" t="s">
        <v>1737</v>
      </c>
      <c r="D277" s="43" t="s">
        <v>270</v>
      </c>
      <c r="E277" s="43" t="s">
        <v>1747</v>
      </c>
      <c r="F277" s="43" t="s">
        <v>1748</v>
      </c>
      <c r="G277" s="41">
        <v>15701</v>
      </c>
      <c r="H277" s="116">
        <v>9</v>
      </c>
      <c r="I277" s="41">
        <v>5</v>
      </c>
      <c r="J277" s="98">
        <f>I277*H277</f>
        <v>45</v>
      </c>
      <c r="K277" s="60" t="s">
        <v>190</v>
      </c>
      <c r="L277" s="60" t="s">
        <v>861</v>
      </c>
      <c r="M277" s="60" t="str" cm="1">
        <f t="array" ref="M277:N277">VLOOKUP(Q277,[1]CFPL!$A:$D,{3,4},0)</f>
        <v>DATES</v>
      </c>
      <c r="N277" s="60" t="str">
        <v>Medjoul-Super Jumbo</v>
      </c>
      <c r="O277" s="60" t="s">
        <v>378</v>
      </c>
      <c r="P277" s="60" t="s">
        <v>202</v>
      </c>
      <c r="Q277" s="60" t="s">
        <v>1394</v>
      </c>
      <c r="R277" s="45" t="s">
        <v>516</v>
      </c>
      <c r="S277" s="45" t="s">
        <v>6</v>
      </c>
      <c r="T277" s="45" t="s">
        <v>274</v>
      </c>
      <c r="U277" s="119">
        <v>1152</v>
      </c>
      <c r="V277" s="62">
        <f>U277*J277</f>
        <v>51840</v>
      </c>
      <c r="W277" s="63">
        <f ca="1">$W$4-A277</f>
        <v>22</v>
      </c>
      <c r="X277" s="52" t="str">
        <f ca="1">VLOOKUP(W277,$AA$2:$AB$6,2)</f>
        <v>&lt; 6 Months</v>
      </c>
      <c r="Y277" s="52" t="str">
        <f ca="1">VLOOKUP(W277,$AD$2:$AE$6,2)</f>
        <v>&lt;30 Days</v>
      </c>
    </row>
    <row r="278" spans="1:25" s="64" customFormat="1" ht="15" customHeight="1">
      <c r="A278" s="127" t="s">
        <v>1734</v>
      </c>
      <c r="B278" s="45" t="s">
        <v>258</v>
      </c>
      <c r="C278" s="45" t="s">
        <v>1737</v>
      </c>
      <c r="D278" s="43" t="s">
        <v>270</v>
      </c>
      <c r="E278" s="43" t="s">
        <v>1749</v>
      </c>
      <c r="F278" s="43" t="s">
        <v>1362</v>
      </c>
      <c r="G278" s="41">
        <v>15703</v>
      </c>
      <c r="H278" s="116">
        <v>210</v>
      </c>
      <c r="I278" s="41">
        <v>5</v>
      </c>
      <c r="J278" s="98">
        <f>I278*H278</f>
        <v>1050</v>
      </c>
      <c r="K278" s="60" t="s">
        <v>190</v>
      </c>
      <c r="L278" s="60" t="s">
        <v>857</v>
      </c>
      <c r="M278" s="60" t="str" cm="1">
        <f t="array" ref="M278:N278">VLOOKUP(Q278,[1]CFPL!$A:$D,{3,4},0)</f>
        <v>DATES</v>
      </c>
      <c r="N278" s="60" t="str">
        <v>Medjoul-Jumbo</v>
      </c>
      <c r="O278" s="60" t="s">
        <v>507</v>
      </c>
      <c r="P278" s="60" t="s">
        <v>200</v>
      </c>
      <c r="Q278" s="60" t="s">
        <v>654</v>
      </c>
      <c r="R278" s="45" t="s">
        <v>516</v>
      </c>
      <c r="S278" s="45" t="s">
        <v>6</v>
      </c>
      <c r="T278" s="45" t="s">
        <v>274</v>
      </c>
      <c r="U278" s="119">
        <v>1057</v>
      </c>
      <c r="V278" s="62">
        <f>U278*J278</f>
        <v>1109850</v>
      </c>
      <c r="W278" s="63">
        <f ca="1">$W$4-A278</f>
        <v>22</v>
      </c>
      <c r="X278" s="52" t="str">
        <f ca="1">VLOOKUP(W278,$AA$2:$AB$6,2)</f>
        <v>&lt; 6 Months</v>
      </c>
      <c r="Y278" s="52" t="str">
        <f ca="1">VLOOKUP(W278,$AD$2:$AE$6,2)</f>
        <v>&lt;30 Days</v>
      </c>
    </row>
    <row r="279" spans="1:25" s="64" customFormat="1" ht="15" customHeight="1">
      <c r="A279" s="127" t="s">
        <v>1734</v>
      </c>
      <c r="B279" s="45" t="s">
        <v>258</v>
      </c>
      <c r="C279" s="45" t="s">
        <v>1737</v>
      </c>
      <c r="D279" s="43" t="s">
        <v>270</v>
      </c>
      <c r="E279" s="43" t="s">
        <v>1750</v>
      </c>
      <c r="F279" s="43" t="s">
        <v>1361</v>
      </c>
      <c r="G279" s="41">
        <v>15704</v>
      </c>
      <c r="H279" s="116">
        <v>210</v>
      </c>
      <c r="I279" s="41">
        <v>5</v>
      </c>
      <c r="J279" s="98">
        <f>I279*H279</f>
        <v>1050</v>
      </c>
      <c r="K279" s="60" t="s">
        <v>190</v>
      </c>
      <c r="L279" s="60" t="s">
        <v>857</v>
      </c>
      <c r="M279" s="60" t="str" cm="1">
        <f t="array" ref="M279:N279">VLOOKUP(Q279,[1]CFPL!$A:$D,{3,4},0)</f>
        <v>DATES</v>
      </c>
      <c r="N279" s="60" t="str">
        <v>Medjoul-Jumbo</v>
      </c>
      <c r="O279" s="60" t="s">
        <v>507</v>
      </c>
      <c r="P279" s="60" t="s">
        <v>200</v>
      </c>
      <c r="Q279" s="60" t="s">
        <v>654</v>
      </c>
      <c r="R279" s="45" t="s">
        <v>516</v>
      </c>
      <c r="S279" s="45" t="s">
        <v>6</v>
      </c>
      <c r="T279" s="45" t="s">
        <v>274</v>
      </c>
      <c r="U279" s="119">
        <v>1057</v>
      </c>
      <c r="V279" s="62">
        <f>U279*J279</f>
        <v>1109850</v>
      </c>
      <c r="W279" s="63">
        <f ca="1">$W$4-A279</f>
        <v>22</v>
      </c>
      <c r="X279" s="52" t="str">
        <f ca="1">VLOOKUP(W279,$AA$2:$AB$6,2)</f>
        <v>&lt; 6 Months</v>
      </c>
      <c r="Y279" s="52" t="str">
        <f ca="1">VLOOKUP(W279,$AD$2:$AE$6,2)</f>
        <v>&lt;30 Days</v>
      </c>
    </row>
    <row r="280" spans="1:25" s="64" customFormat="1" ht="15" customHeight="1">
      <c r="A280" s="127" t="s">
        <v>1730</v>
      </c>
      <c r="B280" s="45" t="s">
        <v>245</v>
      </c>
      <c r="C280" s="45" t="s">
        <v>1754</v>
      </c>
      <c r="D280" s="43" t="s">
        <v>555</v>
      </c>
      <c r="E280" s="43" t="s">
        <v>1761</v>
      </c>
      <c r="F280" s="43" t="s">
        <v>248</v>
      </c>
      <c r="G280" s="41">
        <v>3624</v>
      </c>
      <c r="H280" s="116">
        <v>1</v>
      </c>
      <c r="I280" s="41">
        <v>15</v>
      </c>
      <c r="J280" s="98">
        <f>I280*H280</f>
        <v>15</v>
      </c>
      <c r="K280" s="60" t="s">
        <v>92</v>
      </c>
      <c r="L280" s="60" t="s">
        <v>537</v>
      </c>
      <c r="M280" s="60" t="str" cm="1">
        <f t="array" ref="M280:N280">VLOOKUP(Q280,[1]CFPL!$A:$D,{3,4},0)</f>
        <v>RAISIN</v>
      </c>
      <c r="N280" s="60" t="str">
        <v>Raisin - Indian</v>
      </c>
      <c r="O280" s="60" t="s">
        <v>556</v>
      </c>
      <c r="P280" s="60" t="s">
        <v>93</v>
      </c>
      <c r="Q280" s="60" t="s">
        <v>93</v>
      </c>
      <c r="R280" s="45" t="s">
        <v>516</v>
      </c>
      <c r="S280" s="45" t="s">
        <v>6</v>
      </c>
      <c r="T280" s="45" t="s">
        <v>1711</v>
      </c>
      <c r="U280" s="119">
        <v>382</v>
      </c>
      <c r="V280" s="62">
        <f>U280*J280</f>
        <v>5730</v>
      </c>
      <c r="W280" s="63">
        <f ca="1">$W$4-A280</f>
        <v>21</v>
      </c>
      <c r="X280" s="52" t="str">
        <f ca="1">VLOOKUP(W280,$AA$2:$AB$6,2)</f>
        <v>&lt; 6 Months</v>
      </c>
      <c r="Y280" s="52" t="str">
        <f ca="1">VLOOKUP(W280,$AD$2:$AE$6,2)</f>
        <v>&lt;30 Days</v>
      </c>
    </row>
    <row r="281" spans="1:25" s="64" customFormat="1" ht="15" customHeight="1">
      <c r="A281" s="127" t="s">
        <v>1730</v>
      </c>
      <c r="B281" s="45" t="s">
        <v>245</v>
      </c>
      <c r="C281" s="45" t="s">
        <v>1754</v>
      </c>
      <c r="D281" s="43" t="s">
        <v>555</v>
      </c>
      <c r="E281" s="43" t="s">
        <v>1760</v>
      </c>
      <c r="F281" s="43" t="s">
        <v>248</v>
      </c>
      <c r="G281" s="41">
        <v>3642</v>
      </c>
      <c r="H281" s="116">
        <v>1</v>
      </c>
      <c r="I281" s="41">
        <v>15</v>
      </c>
      <c r="J281" s="98">
        <f>I281*H281</f>
        <v>15</v>
      </c>
      <c r="K281" s="60" t="s">
        <v>92</v>
      </c>
      <c r="L281" s="60" t="s">
        <v>537</v>
      </c>
      <c r="M281" s="60" t="str" cm="1">
        <f t="array" ref="M281:N281">VLOOKUP(Q281,[1]CFPL!$A:$D,{3,4},0)</f>
        <v>RAISIN</v>
      </c>
      <c r="N281" s="60" t="str">
        <v>Raisin - Indian</v>
      </c>
      <c r="O281" s="60" t="s">
        <v>556</v>
      </c>
      <c r="P281" s="60" t="s">
        <v>93</v>
      </c>
      <c r="Q281" s="60" t="s">
        <v>93</v>
      </c>
      <c r="R281" s="45" t="s">
        <v>516</v>
      </c>
      <c r="S281" s="45" t="s">
        <v>6</v>
      </c>
      <c r="T281" s="45" t="s">
        <v>1711</v>
      </c>
      <c r="U281" s="119">
        <v>382</v>
      </c>
      <c r="V281" s="62">
        <f>U281*J281</f>
        <v>5730</v>
      </c>
      <c r="W281" s="63">
        <f ca="1">$W$4-A281</f>
        <v>21</v>
      </c>
      <c r="X281" s="52" t="str">
        <f ca="1">VLOOKUP(W281,$AA$2:$AB$6,2)</f>
        <v>&lt; 6 Months</v>
      </c>
      <c r="Y281" s="52" t="str">
        <f ca="1">VLOOKUP(W281,$AD$2:$AE$6,2)</f>
        <v>&lt;30 Days</v>
      </c>
    </row>
    <row r="282" spans="1:25" s="64" customFormat="1" ht="15" customHeight="1">
      <c r="A282" s="127" t="s">
        <v>1730</v>
      </c>
      <c r="B282" s="45" t="s">
        <v>245</v>
      </c>
      <c r="C282" s="45" t="s">
        <v>1754</v>
      </c>
      <c r="D282" s="43" t="s">
        <v>555</v>
      </c>
      <c r="E282" s="43" t="s">
        <v>1763</v>
      </c>
      <c r="F282" s="43" t="s">
        <v>248</v>
      </c>
      <c r="G282" s="41">
        <v>3626</v>
      </c>
      <c r="H282" s="116">
        <v>1</v>
      </c>
      <c r="I282" s="41">
        <v>15</v>
      </c>
      <c r="J282" s="98">
        <f>I282*H282</f>
        <v>15</v>
      </c>
      <c r="K282" s="60" t="s">
        <v>92</v>
      </c>
      <c r="L282" s="60" t="s">
        <v>537</v>
      </c>
      <c r="M282" s="60" t="str" cm="1">
        <f t="array" ref="M282:N282">VLOOKUP(Q282,[1]CFPL!$A:$D,{3,4},0)</f>
        <v>RAISIN</v>
      </c>
      <c r="N282" s="60" t="str">
        <v>Raisin - Indian</v>
      </c>
      <c r="O282" s="60" t="s">
        <v>556</v>
      </c>
      <c r="P282" s="60" t="s">
        <v>93</v>
      </c>
      <c r="Q282" s="60" t="s">
        <v>93</v>
      </c>
      <c r="R282" s="45" t="s">
        <v>516</v>
      </c>
      <c r="S282" s="45" t="s">
        <v>6</v>
      </c>
      <c r="T282" s="45" t="s">
        <v>1711</v>
      </c>
      <c r="U282" s="119">
        <v>382</v>
      </c>
      <c r="V282" s="62">
        <f>U282*J282</f>
        <v>5730</v>
      </c>
      <c r="W282" s="63">
        <f ca="1">$W$4-A282</f>
        <v>21</v>
      </c>
      <c r="X282" s="52" t="str">
        <f ca="1">VLOOKUP(W282,$AA$2:$AB$6,2)</f>
        <v>&lt; 6 Months</v>
      </c>
      <c r="Y282" s="52" t="str">
        <f ca="1">VLOOKUP(W282,$AD$2:$AE$6,2)</f>
        <v>&lt;30 Days</v>
      </c>
    </row>
    <row r="283" spans="1:25" s="64" customFormat="1" ht="15" customHeight="1">
      <c r="A283" s="127" t="s">
        <v>1730</v>
      </c>
      <c r="B283" s="45" t="s">
        <v>245</v>
      </c>
      <c r="C283" s="45" t="s">
        <v>1754</v>
      </c>
      <c r="D283" s="43" t="s">
        <v>555</v>
      </c>
      <c r="E283" s="43" t="s">
        <v>1764</v>
      </c>
      <c r="F283" s="43" t="s">
        <v>248</v>
      </c>
      <c r="G283" s="41">
        <v>3628</v>
      </c>
      <c r="H283" s="116">
        <v>1</v>
      </c>
      <c r="I283" s="41">
        <v>15</v>
      </c>
      <c r="J283" s="98">
        <f>I283*H283</f>
        <v>15</v>
      </c>
      <c r="K283" s="60" t="s">
        <v>92</v>
      </c>
      <c r="L283" s="60" t="s">
        <v>537</v>
      </c>
      <c r="M283" s="60" t="str" cm="1">
        <f t="array" ref="M283:N283">VLOOKUP(Q283,[1]CFPL!$A:$D,{3,4},0)</f>
        <v>RAISIN</v>
      </c>
      <c r="N283" s="60" t="str">
        <v>Raisin - Indian</v>
      </c>
      <c r="O283" s="60" t="s">
        <v>556</v>
      </c>
      <c r="P283" s="60" t="s">
        <v>93</v>
      </c>
      <c r="Q283" s="60" t="s">
        <v>93</v>
      </c>
      <c r="R283" s="45" t="s">
        <v>516</v>
      </c>
      <c r="S283" s="45" t="s">
        <v>6</v>
      </c>
      <c r="T283" s="45" t="s">
        <v>1711</v>
      </c>
      <c r="U283" s="119">
        <v>382</v>
      </c>
      <c r="V283" s="62">
        <f>U283*J283</f>
        <v>5730</v>
      </c>
      <c r="W283" s="63">
        <f ca="1">$W$4-A283</f>
        <v>21</v>
      </c>
      <c r="X283" s="52" t="str">
        <f ca="1">VLOOKUP(W283,$AA$2:$AB$6,2)</f>
        <v>&lt; 6 Months</v>
      </c>
      <c r="Y283" s="52" t="str">
        <f ca="1">VLOOKUP(W283,$AD$2:$AE$6,2)</f>
        <v>&lt;30 Days</v>
      </c>
    </row>
    <row r="284" spans="1:25" s="64" customFormat="1" ht="15" customHeight="1">
      <c r="A284" s="127" t="s">
        <v>1730</v>
      </c>
      <c r="B284" s="45" t="s">
        <v>245</v>
      </c>
      <c r="C284" s="45" t="s">
        <v>1754</v>
      </c>
      <c r="D284" s="43" t="s">
        <v>555</v>
      </c>
      <c r="E284" s="43" t="s">
        <v>1765</v>
      </c>
      <c r="F284" s="43" t="s">
        <v>248</v>
      </c>
      <c r="G284" s="41">
        <v>3629</v>
      </c>
      <c r="H284" s="116">
        <v>1</v>
      </c>
      <c r="I284" s="41">
        <v>15</v>
      </c>
      <c r="J284" s="98">
        <f>I284*H284</f>
        <v>15</v>
      </c>
      <c r="K284" s="60" t="s">
        <v>92</v>
      </c>
      <c r="L284" s="60" t="s">
        <v>537</v>
      </c>
      <c r="M284" s="60" t="str" cm="1">
        <f t="array" ref="M284:N284">VLOOKUP(Q284,[1]CFPL!$A:$D,{3,4},0)</f>
        <v>RAISIN</v>
      </c>
      <c r="N284" s="60" t="str">
        <v>Raisin - Indian</v>
      </c>
      <c r="O284" s="60" t="s">
        <v>556</v>
      </c>
      <c r="P284" s="60" t="s">
        <v>93</v>
      </c>
      <c r="Q284" s="60" t="s">
        <v>93</v>
      </c>
      <c r="R284" s="45" t="s">
        <v>516</v>
      </c>
      <c r="S284" s="45" t="s">
        <v>6</v>
      </c>
      <c r="T284" s="45" t="s">
        <v>1711</v>
      </c>
      <c r="U284" s="119">
        <v>382</v>
      </c>
      <c r="V284" s="62">
        <f>U284*J284</f>
        <v>5730</v>
      </c>
      <c r="W284" s="63">
        <f ca="1">$W$4-A284</f>
        <v>21</v>
      </c>
      <c r="X284" s="52" t="str">
        <f ca="1">VLOOKUP(W284,$AA$2:$AB$6,2)</f>
        <v>&lt; 6 Months</v>
      </c>
      <c r="Y284" s="52" t="str">
        <f ca="1">VLOOKUP(W284,$AD$2:$AE$6,2)</f>
        <v>&lt;30 Days</v>
      </c>
    </row>
    <row r="285" spans="1:25" s="64" customFormat="1" ht="15" customHeight="1">
      <c r="A285" s="127" t="s">
        <v>1730</v>
      </c>
      <c r="B285" s="45" t="s">
        <v>245</v>
      </c>
      <c r="C285" s="45" t="s">
        <v>1754</v>
      </c>
      <c r="D285" s="43" t="s">
        <v>555</v>
      </c>
      <c r="E285" s="43" t="s">
        <v>1682</v>
      </c>
      <c r="F285" s="43" t="s">
        <v>248</v>
      </c>
      <c r="G285" s="41">
        <v>3630</v>
      </c>
      <c r="H285" s="116">
        <v>1</v>
      </c>
      <c r="I285" s="41">
        <v>15</v>
      </c>
      <c r="J285" s="98">
        <f>I285*H285</f>
        <v>15</v>
      </c>
      <c r="K285" s="60" t="s">
        <v>92</v>
      </c>
      <c r="L285" s="60" t="s">
        <v>537</v>
      </c>
      <c r="M285" s="60" t="str" cm="1">
        <f t="array" ref="M285:N285">VLOOKUP(Q285,[1]CFPL!$A:$D,{3,4},0)</f>
        <v>RAISIN</v>
      </c>
      <c r="N285" s="60" t="str">
        <v>Raisin - Indian</v>
      </c>
      <c r="O285" s="60" t="s">
        <v>556</v>
      </c>
      <c r="P285" s="60" t="s">
        <v>93</v>
      </c>
      <c r="Q285" s="60" t="s">
        <v>93</v>
      </c>
      <c r="R285" s="45" t="s">
        <v>516</v>
      </c>
      <c r="S285" s="45" t="s">
        <v>6</v>
      </c>
      <c r="T285" s="45" t="s">
        <v>1711</v>
      </c>
      <c r="U285" s="119">
        <v>382</v>
      </c>
      <c r="V285" s="62">
        <f>U285*J285</f>
        <v>5730</v>
      </c>
      <c r="W285" s="63">
        <f ca="1">$W$4-A285</f>
        <v>21</v>
      </c>
      <c r="X285" s="52" t="str">
        <f ca="1">VLOOKUP(W285,$AA$2:$AB$6,2)</f>
        <v>&lt; 6 Months</v>
      </c>
      <c r="Y285" s="52" t="str">
        <f ca="1">VLOOKUP(W285,$AD$2:$AE$6,2)</f>
        <v>&lt;30 Days</v>
      </c>
    </row>
    <row r="286" spans="1:25" s="64" customFormat="1" ht="15" customHeight="1">
      <c r="A286" s="127" t="s">
        <v>1730</v>
      </c>
      <c r="B286" s="45" t="s">
        <v>245</v>
      </c>
      <c r="C286" s="45" t="s">
        <v>1754</v>
      </c>
      <c r="D286" s="43" t="s">
        <v>555</v>
      </c>
      <c r="E286" s="43" t="s">
        <v>1766</v>
      </c>
      <c r="F286" s="43" t="s">
        <v>248</v>
      </c>
      <c r="G286" s="41">
        <v>3631</v>
      </c>
      <c r="H286" s="116">
        <v>1</v>
      </c>
      <c r="I286" s="41">
        <v>15</v>
      </c>
      <c r="J286" s="98">
        <f>I286*H286</f>
        <v>15</v>
      </c>
      <c r="K286" s="60" t="s">
        <v>92</v>
      </c>
      <c r="L286" s="60" t="s">
        <v>537</v>
      </c>
      <c r="M286" s="60" t="str" cm="1">
        <f t="array" ref="M286:N286">VLOOKUP(Q286,[1]CFPL!$A:$D,{3,4},0)</f>
        <v>RAISIN</v>
      </c>
      <c r="N286" s="60" t="str">
        <v>Raisin - Indian</v>
      </c>
      <c r="O286" s="60" t="s">
        <v>556</v>
      </c>
      <c r="P286" s="60" t="s">
        <v>93</v>
      </c>
      <c r="Q286" s="60" t="s">
        <v>93</v>
      </c>
      <c r="R286" s="45" t="s">
        <v>516</v>
      </c>
      <c r="S286" s="45" t="s">
        <v>6</v>
      </c>
      <c r="T286" s="45" t="s">
        <v>1711</v>
      </c>
      <c r="U286" s="119">
        <v>382</v>
      </c>
      <c r="V286" s="62">
        <f>U286*J286</f>
        <v>5730</v>
      </c>
      <c r="W286" s="63">
        <f ca="1">$W$4-A286</f>
        <v>21</v>
      </c>
      <c r="X286" s="52" t="str">
        <f ca="1">VLOOKUP(W286,$AA$2:$AB$6,2)</f>
        <v>&lt; 6 Months</v>
      </c>
      <c r="Y286" s="52" t="str">
        <f ca="1">VLOOKUP(W286,$AD$2:$AE$6,2)</f>
        <v>&lt;30 Days</v>
      </c>
    </row>
    <row r="287" spans="1:25" s="64" customFormat="1" ht="15" customHeight="1">
      <c r="A287" s="127" t="s">
        <v>1730</v>
      </c>
      <c r="B287" s="45" t="s">
        <v>245</v>
      </c>
      <c r="C287" s="45" t="s">
        <v>1754</v>
      </c>
      <c r="D287" s="43" t="s">
        <v>555</v>
      </c>
      <c r="E287" s="43" t="s">
        <v>1702</v>
      </c>
      <c r="F287" s="43" t="s">
        <v>248</v>
      </c>
      <c r="G287" s="41">
        <v>3632</v>
      </c>
      <c r="H287" s="116">
        <v>1</v>
      </c>
      <c r="I287" s="41">
        <v>15</v>
      </c>
      <c r="J287" s="98">
        <f>I287*H287</f>
        <v>15</v>
      </c>
      <c r="K287" s="60" t="s">
        <v>92</v>
      </c>
      <c r="L287" s="60" t="s">
        <v>537</v>
      </c>
      <c r="M287" s="60" t="str" cm="1">
        <f t="array" ref="M287:N287">VLOOKUP(Q287,[1]CFPL!$A:$D,{3,4},0)</f>
        <v>RAISIN</v>
      </c>
      <c r="N287" s="60" t="str">
        <v>Raisin - Indian</v>
      </c>
      <c r="O287" s="60" t="s">
        <v>556</v>
      </c>
      <c r="P287" s="60" t="s">
        <v>93</v>
      </c>
      <c r="Q287" s="60" t="s">
        <v>93</v>
      </c>
      <c r="R287" s="45" t="s">
        <v>516</v>
      </c>
      <c r="S287" s="45" t="s">
        <v>6</v>
      </c>
      <c r="T287" s="45" t="s">
        <v>1711</v>
      </c>
      <c r="U287" s="119">
        <v>382</v>
      </c>
      <c r="V287" s="62">
        <f>U287*J287</f>
        <v>5730</v>
      </c>
      <c r="W287" s="63">
        <f ca="1">$W$4-A287</f>
        <v>21</v>
      </c>
      <c r="X287" s="52" t="str">
        <f ca="1">VLOOKUP(W287,$AA$2:$AB$6,2)</f>
        <v>&lt; 6 Months</v>
      </c>
      <c r="Y287" s="52" t="str">
        <f ca="1">VLOOKUP(W287,$AD$2:$AE$6,2)</f>
        <v>&lt;30 Days</v>
      </c>
    </row>
    <row r="288" spans="1:25" s="64" customFormat="1" ht="15" customHeight="1">
      <c r="A288" s="127" t="s">
        <v>1730</v>
      </c>
      <c r="B288" s="45" t="s">
        <v>245</v>
      </c>
      <c r="C288" s="45" t="s">
        <v>1754</v>
      </c>
      <c r="D288" s="43" t="s">
        <v>555</v>
      </c>
      <c r="E288" s="43" t="s">
        <v>1767</v>
      </c>
      <c r="F288" s="43" t="s">
        <v>248</v>
      </c>
      <c r="G288" s="41">
        <v>3633</v>
      </c>
      <c r="H288" s="116">
        <v>1</v>
      </c>
      <c r="I288" s="41">
        <v>15</v>
      </c>
      <c r="J288" s="98">
        <f>I288*H288</f>
        <v>15</v>
      </c>
      <c r="K288" s="60" t="s">
        <v>92</v>
      </c>
      <c r="L288" s="60" t="s">
        <v>537</v>
      </c>
      <c r="M288" s="60" t="str" cm="1">
        <f t="array" ref="M288:N288">VLOOKUP(Q288,[1]CFPL!$A:$D,{3,4},0)</f>
        <v>RAISIN</v>
      </c>
      <c r="N288" s="60" t="str">
        <v>Raisin - Indian</v>
      </c>
      <c r="O288" s="60" t="s">
        <v>556</v>
      </c>
      <c r="P288" s="60" t="s">
        <v>93</v>
      </c>
      <c r="Q288" s="60" t="s">
        <v>93</v>
      </c>
      <c r="R288" s="45" t="s">
        <v>516</v>
      </c>
      <c r="S288" s="45" t="s">
        <v>6</v>
      </c>
      <c r="T288" s="45" t="s">
        <v>1711</v>
      </c>
      <c r="U288" s="119">
        <v>382</v>
      </c>
      <c r="V288" s="62">
        <f>U288*J288</f>
        <v>5730</v>
      </c>
      <c r="W288" s="63">
        <f ca="1">$W$4-A288</f>
        <v>21</v>
      </c>
      <c r="X288" s="52" t="str">
        <f ca="1">VLOOKUP(W288,$AA$2:$AB$6,2)</f>
        <v>&lt; 6 Months</v>
      </c>
      <c r="Y288" s="52" t="str">
        <f ca="1">VLOOKUP(W288,$AD$2:$AE$6,2)</f>
        <v>&lt;30 Days</v>
      </c>
    </row>
    <row r="289" spans="1:25" s="64" customFormat="1" ht="15" customHeight="1">
      <c r="A289" s="127" t="s">
        <v>1730</v>
      </c>
      <c r="B289" s="45" t="s">
        <v>245</v>
      </c>
      <c r="C289" s="45" t="s">
        <v>1754</v>
      </c>
      <c r="D289" s="43" t="s">
        <v>555</v>
      </c>
      <c r="E289" s="43" t="s">
        <v>1681</v>
      </c>
      <c r="F289" s="43" t="s">
        <v>248</v>
      </c>
      <c r="G289" s="41">
        <v>3634</v>
      </c>
      <c r="H289" s="116">
        <v>1</v>
      </c>
      <c r="I289" s="41">
        <v>15</v>
      </c>
      <c r="J289" s="98">
        <f>I289*H289</f>
        <v>15</v>
      </c>
      <c r="K289" s="60" t="s">
        <v>92</v>
      </c>
      <c r="L289" s="60" t="s">
        <v>537</v>
      </c>
      <c r="M289" s="60" t="str" cm="1">
        <f t="array" ref="M289:N289">VLOOKUP(Q289,[1]CFPL!$A:$D,{3,4},0)</f>
        <v>RAISIN</v>
      </c>
      <c r="N289" s="60" t="str">
        <v>Raisin - Indian</v>
      </c>
      <c r="O289" s="60" t="s">
        <v>556</v>
      </c>
      <c r="P289" s="60" t="s">
        <v>93</v>
      </c>
      <c r="Q289" s="60" t="s">
        <v>93</v>
      </c>
      <c r="R289" s="45" t="s">
        <v>516</v>
      </c>
      <c r="S289" s="45" t="s">
        <v>6</v>
      </c>
      <c r="T289" s="45" t="s">
        <v>1711</v>
      </c>
      <c r="U289" s="119">
        <v>382</v>
      </c>
      <c r="V289" s="62">
        <f>U289*J289</f>
        <v>5730</v>
      </c>
      <c r="W289" s="63">
        <f ca="1">$W$4-A289</f>
        <v>21</v>
      </c>
      <c r="X289" s="52" t="str">
        <f ca="1">VLOOKUP(W289,$AA$2:$AB$6,2)</f>
        <v>&lt; 6 Months</v>
      </c>
      <c r="Y289" s="52" t="str">
        <f ca="1">VLOOKUP(W289,$AD$2:$AE$6,2)</f>
        <v>&lt;30 Days</v>
      </c>
    </row>
    <row r="290" spans="1:25" s="64" customFormat="1" ht="15" customHeight="1">
      <c r="A290" s="127" t="s">
        <v>1730</v>
      </c>
      <c r="B290" s="45" t="s">
        <v>245</v>
      </c>
      <c r="C290" s="45" t="s">
        <v>1754</v>
      </c>
      <c r="D290" s="43" t="s">
        <v>555</v>
      </c>
      <c r="E290" s="43" t="s">
        <v>1689</v>
      </c>
      <c r="F290" s="43" t="s">
        <v>248</v>
      </c>
      <c r="G290" s="41">
        <v>3635</v>
      </c>
      <c r="H290" s="116">
        <v>1</v>
      </c>
      <c r="I290" s="41">
        <v>15</v>
      </c>
      <c r="J290" s="98">
        <f>I290*H290</f>
        <v>15</v>
      </c>
      <c r="K290" s="60" t="s">
        <v>92</v>
      </c>
      <c r="L290" s="60" t="s">
        <v>537</v>
      </c>
      <c r="M290" s="60" t="str" cm="1">
        <f t="array" ref="M290:N290">VLOOKUP(Q290,[1]CFPL!$A:$D,{3,4},0)</f>
        <v>RAISIN</v>
      </c>
      <c r="N290" s="60" t="str">
        <v>Raisin - Indian</v>
      </c>
      <c r="O290" s="60" t="s">
        <v>556</v>
      </c>
      <c r="P290" s="60" t="s">
        <v>93</v>
      </c>
      <c r="Q290" s="60" t="s">
        <v>93</v>
      </c>
      <c r="R290" s="45" t="s">
        <v>516</v>
      </c>
      <c r="S290" s="45" t="s">
        <v>6</v>
      </c>
      <c r="T290" s="45" t="s">
        <v>1711</v>
      </c>
      <c r="U290" s="119">
        <v>382</v>
      </c>
      <c r="V290" s="62">
        <f>U290*J290</f>
        <v>5730</v>
      </c>
      <c r="W290" s="63">
        <f ca="1">$W$4-A290</f>
        <v>21</v>
      </c>
      <c r="X290" s="52" t="str">
        <f ca="1">VLOOKUP(W290,$AA$2:$AB$6,2)</f>
        <v>&lt; 6 Months</v>
      </c>
      <c r="Y290" s="52" t="str">
        <f ca="1">VLOOKUP(W290,$AD$2:$AE$6,2)</f>
        <v>&lt;30 Days</v>
      </c>
    </row>
    <row r="291" spans="1:25" s="64" customFormat="1" ht="15" customHeight="1">
      <c r="A291" s="127" t="s">
        <v>1730</v>
      </c>
      <c r="B291" s="45" t="s">
        <v>245</v>
      </c>
      <c r="C291" s="45" t="s">
        <v>1754</v>
      </c>
      <c r="D291" s="43" t="s">
        <v>555</v>
      </c>
      <c r="E291" s="43" t="s">
        <v>1768</v>
      </c>
      <c r="F291" s="43" t="s">
        <v>248</v>
      </c>
      <c r="G291" s="41">
        <v>3641</v>
      </c>
      <c r="H291" s="116">
        <v>1</v>
      </c>
      <c r="I291" s="41">
        <v>15</v>
      </c>
      <c r="J291" s="98">
        <f>I291*H291</f>
        <v>15</v>
      </c>
      <c r="K291" s="60" t="s">
        <v>92</v>
      </c>
      <c r="L291" s="60" t="s">
        <v>537</v>
      </c>
      <c r="M291" s="60" t="str" cm="1">
        <f t="array" ref="M291:N291">VLOOKUP(Q291,[1]CFPL!$A:$D,{3,4},0)</f>
        <v>RAISIN</v>
      </c>
      <c r="N291" s="60" t="str">
        <v>Raisin - Indian</v>
      </c>
      <c r="O291" s="60" t="s">
        <v>556</v>
      </c>
      <c r="P291" s="60" t="s">
        <v>93</v>
      </c>
      <c r="Q291" s="60" t="s">
        <v>93</v>
      </c>
      <c r="R291" s="45" t="s">
        <v>516</v>
      </c>
      <c r="S291" s="45" t="s">
        <v>6</v>
      </c>
      <c r="T291" s="45" t="s">
        <v>1711</v>
      </c>
      <c r="U291" s="119">
        <v>382</v>
      </c>
      <c r="V291" s="62">
        <f>U291*J291</f>
        <v>5730</v>
      </c>
      <c r="W291" s="63">
        <f ca="1">$W$4-A291</f>
        <v>21</v>
      </c>
      <c r="X291" s="52" t="str">
        <f ca="1">VLOOKUP(W291,$AA$2:$AB$6,2)</f>
        <v>&lt; 6 Months</v>
      </c>
      <c r="Y291" s="52" t="str">
        <f ca="1">VLOOKUP(W291,$AD$2:$AE$6,2)</f>
        <v>&lt;30 Days</v>
      </c>
    </row>
    <row r="292" spans="1:25" s="64" customFormat="1" ht="15" customHeight="1">
      <c r="A292" s="127" t="s">
        <v>1730</v>
      </c>
      <c r="B292" s="45" t="s">
        <v>245</v>
      </c>
      <c r="C292" s="45" t="s">
        <v>1754</v>
      </c>
      <c r="D292" s="43" t="s">
        <v>555</v>
      </c>
      <c r="E292" s="43" t="s">
        <v>1755</v>
      </c>
      <c r="F292" s="43" t="s">
        <v>248</v>
      </c>
      <c r="G292" s="41">
        <v>3643</v>
      </c>
      <c r="H292" s="116">
        <v>1</v>
      </c>
      <c r="I292" s="41">
        <v>15</v>
      </c>
      <c r="J292" s="98">
        <f>I292*H292</f>
        <v>15</v>
      </c>
      <c r="K292" s="60" t="s">
        <v>92</v>
      </c>
      <c r="L292" s="60" t="s">
        <v>537</v>
      </c>
      <c r="M292" s="60" t="str" cm="1">
        <f t="array" ref="M292:N292">VLOOKUP(Q292,[1]CFPL!$A:$D,{3,4},0)</f>
        <v>RAISIN</v>
      </c>
      <c r="N292" s="60" t="str">
        <v>Raisin - Indian</v>
      </c>
      <c r="O292" s="60" t="s">
        <v>556</v>
      </c>
      <c r="P292" s="60" t="s">
        <v>93</v>
      </c>
      <c r="Q292" s="60" t="s">
        <v>93</v>
      </c>
      <c r="R292" s="45" t="s">
        <v>516</v>
      </c>
      <c r="S292" s="45" t="s">
        <v>6</v>
      </c>
      <c r="T292" s="45" t="s">
        <v>1711</v>
      </c>
      <c r="U292" s="119">
        <v>382</v>
      </c>
      <c r="V292" s="62">
        <f>U292*J292</f>
        <v>5730</v>
      </c>
      <c r="W292" s="63">
        <f ca="1">$W$4-A292</f>
        <v>21</v>
      </c>
      <c r="X292" s="52" t="str">
        <f ca="1">VLOOKUP(W292,$AA$2:$AB$6,2)</f>
        <v>&lt; 6 Months</v>
      </c>
      <c r="Y292" s="52" t="str">
        <f ca="1">VLOOKUP(W292,$AD$2:$AE$6,2)</f>
        <v>&lt;30 Days</v>
      </c>
    </row>
    <row r="293" spans="1:25" s="64" customFormat="1" ht="15" customHeight="1">
      <c r="A293" s="127" t="s">
        <v>1730</v>
      </c>
      <c r="B293" s="45" t="s">
        <v>245</v>
      </c>
      <c r="C293" s="45" t="s">
        <v>1752</v>
      </c>
      <c r="D293" s="43" t="s">
        <v>270</v>
      </c>
      <c r="E293" s="43" t="s">
        <v>1753</v>
      </c>
      <c r="F293" s="43" t="s">
        <v>248</v>
      </c>
      <c r="G293" s="41">
        <v>3623</v>
      </c>
      <c r="H293" s="116">
        <v>10</v>
      </c>
      <c r="I293" s="41">
        <v>5</v>
      </c>
      <c r="J293" s="98">
        <f>I293*H293</f>
        <v>50</v>
      </c>
      <c r="K293" s="60" t="s">
        <v>152</v>
      </c>
      <c r="L293" s="60" t="s">
        <v>271</v>
      </c>
      <c r="M293" s="60" t="str" cm="1">
        <f t="array" ref="M293:N293">VLOOKUP(Q293,[1]CFPL!$A:$D,{3,4},0)</f>
        <v>DATES</v>
      </c>
      <c r="N293" s="60" t="str">
        <v>Deri</v>
      </c>
      <c r="O293" s="60" t="s">
        <v>271</v>
      </c>
      <c r="P293" s="60" t="s">
        <v>166</v>
      </c>
      <c r="Q293" s="60" t="s">
        <v>166</v>
      </c>
      <c r="R293" s="45" t="s">
        <v>516</v>
      </c>
      <c r="S293" s="45" t="s">
        <v>6</v>
      </c>
      <c r="T293" s="45" t="s">
        <v>274</v>
      </c>
      <c r="U293" s="119">
        <v>303</v>
      </c>
      <c r="V293" s="62">
        <f>U293*J293</f>
        <v>15150</v>
      </c>
      <c r="W293" s="63">
        <f ca="1">$W$4-A293</f>
        <v>21</v>
      </c>
      <c r="X293" s="52" t="str">
        <f ca="1">VLOOKUP(W293,$AA$2:$AB$6,2)</f>
        <v>&lt; 6 Months</v>
      </c>
      <c r="Y293" s="52" t="str">
        <f ca="1">VLOOKUP(W293,$AD$2:$AE$6,2)</f>
        <v>&lt;30 Days</v>
      </c>
    </row>
    <row r="294" spans="1:25" s="64" customFormat="1" ht="15" customHeight="1">
      <c r="A294" s="127" t="s">
        <v>1730</v>
      </c>
      <c r="B294" s="45" t="s">
        <v>245</v>
      </c>
      <c r="C294" s="45" t="s">
        <v>1754</v>
      </c>
      <c r="D294" s="43" t="s">
        <v>555</v>
      </c>
      <c r="E294" s="43" t="s">
        <v>1762</v>
      </c>
      <c r="F294" s="43" t="s">
        <v>248</v>
      </c>
      <c r="G294" s="41">
        <v>3625</v>
      </c>
      <c r="H294" s="116">
        <v>1</v>
      </c>
      <c r="I294" s="41">
        <v>15</v>
      </c>
      <c r="J294" s="98">
        <f>I294*H294</f>
        <v>15</v>
      </c>
      <c r="K294" s="60" t="s">
        <v>92</v>
      </c>
      <c r="L294" s="60" t="s">
        <v>537</v>
      </c>
      <c r="M294" s="60" t="str" cm="1">
        <f t="array" ref="M294:N294">VLOOKUP(Q294,[1]CFPL!$A:$D,{3,4},0)</f>
        <v>RAISIN</v>
      </c>
      <c r="N294" s="60" t="str">
        <v>Raisin - Indian</v>
      </c>
      <c r="O294" s="60" t="s">
        <v>556</v>
      </c>
      <c r="P294" s="60" t="s">
        <v>93</v>
      </c>
      <c r="Q294" s="60" t="s">
        <v>93</v>
      </c>
      <c r="R294" s="45" t="s">
        <v>516</v>
      </c>
      <c r="S294" s="45" t="s">
        <v>6</v>
      </c>
      <c r="T294" s="45" t="s">
        <v>1711</v>
      </c>
      <c r="U294" s="119">
        <v>382</v>
      </c>
      <c r="V294" s="62">
        <f>U294*J294</f>
        <v>5730</v>
      </c>
      <c r="W294" s="63">
        <f ca="1">$W$4-A294</f>
        <v>21</v>
      </c>
      <c r="X294" s="52" t="str">
        <f ca="1">VLOOKUP(W294,$AA$2:$AB$6,2)</f>
        <v>&lt; 6 Months</v>
      </c>
      <c r="Y294" s="52" t="str">
        <f ca="1">VLOOKUP(W294,$AD$2:$AE$6,2)</f>
        <v>&lt;30 Days</v>
      </c>
    </row>
    <row r="295" spans="1:25" s="64" customFormat="1" ht="15" customHeight="1">
      <c r="A295" s="127" t="s">
        <v>1730</v>
      </c>
      <c r="B295" s="45" t="s">
        <v>245</v>
      </c>
      <c r="C295" s="45" t="s">
        <v>1754</v>
      </c>
      <c r="D295" s="43" t="s">
        <v>555</v>
      </c>
      <c r="E295" s="43" t="s">
        <v>1708</v>
      </c>
      <c r="F295" s="43" t="s">
        <v>248</v>
      </c>
      <c r="G295" s="41">
        <v>3640</v>
      </c>
      <c r="H295" s="116">
        <v>1</v>
      </c>
      <c r="I295" s="41">
        <v>15</v>
      </c>
      <c r="J295" s="98">
        <f>I295*H295</f>
        <v>15</v>
      </c>
      <c r="K295" s="60" t="s">
        <v>92</v>
      </c>
      <c r="L295" s="60" t="s">
        <v>537</v>
      </c>
      <c r="M295" s="60" t="str" cm="1">
        <f t="array" ref="M295:N295">VLOOKUP(Q295,[1]CFPL!$A:$D,{3,4},0)</f>
        <v>RAISIN</v>
      </c>
      <c r="N295" s="60" t="str">
        <v>Raisin - Indian</v>
      </c>
      <c r="O295" s="60" t="s">
        <v>556</v>
      </c>
      <c r="P295" s="60" t="s">
        <v>93</v>
      </c>
      <c r="Q295" s="60" t="s">
        <v>93</v>
      </c>
      <c r="R295" s="45" t="s">
        <v>516</v>
      </c>
      <c r="S295" s="45" t="s">
        <v>6</v>
      </c>
      <c r="T295" s="45" t="s">
        <v>1711</v>
      </c>
      <c r="U295" s="119">
        <v>382</v>
      </c>
      <c r="V295" s="62">
        <f>U295*J295</f>
        <v>5730</v>
      </c>
      <c r="W295" s="63">
        <f ca="1">$W$4-A295</f>
        <v>21</v>
      </c>
      <c r="X295" s="52" t="str">
        <f ca="1">VLOOKUP(W295,$AA$2:$AB$6,2)</f>
        <v>&lt; 6 Months</v>
      </c>
      <c r="Y295" s="52" t="str">
        <f ca="1">VLOOKUP(W295,$AD$2:$AE$6,2)</f>
        <v>&lt;30 Days</v>
      </c>
    </row>
    <row r="296" spans="1:25" s="64" customFormat="1" ht="15" customHeight="1">
      <c r="A296" s="127" t="s">
        <v>1730</v>
      </c>
      <c r="B296" s="45" t="s">
        <v>245</v>
      </c>
      <c r="C296" s="45" t="s">
        <v>1754</v>
      </c>
      <c r="D296" s="43" t="s">
        <v>555</v>
      </c>
      <c r="E296" s="43" t="s">
        <v>1759</v>
      </c>
      <c r="F296" s="43" t="s">
        <v>248</v>
      </c>
      <c r="G296" s="41">
        <v>3639</v>
      </c>
      <c r="H296" s="116">
        <v>1</v>
      </c>
      <c r="I296" s="41">
        <v>15</v>
      </c>
      <c r="J296" s="98">
        <f>I296*H296</f>
        <v>15</v>
      </c>
      <c r="K296" s="60" t="s">
        <v>92</v>
      </c>
      <c r="L296" s="60" t="s">
        <v>537</v>
      </c>
      <c r="M296" s="60" t="str" cm="1">
        <f t="array" ref="M296:N296">VLOOKUP(Q296,[1]CFPL!$A:$D,{3,4},0)</f>
        <v>RAISIN</v>
      </c>
      <c r="N296" s="60" t="str">
        <v>Raisin - Indian</v>
      </c>
      <c r="O296" s="60" t="s">
        <v>556</v>
      </c>
      <c r="P296" s="60" t="s">
        <v>93</v>
      </c>
      <c r="Q296" s="60" t="s">
        <v>93</v>
      </c>
      <c r="R296" s="45" t="s">
        <v>516</v>
      </c>
      <c r="S296" s="45" t="s">
        <v>6</v>
      </c>
      <c r="T296" s="45" t="s">
        <v>1711</v>
      </c>
      <c r="U296" s="119">
        <v>382</v>
      </c>
      <c r="V296" s="62">
        <f>U296*J296</f>
        <v>5730</v>
      </c>
      <c r="W296" s="63">
        <f ca="1">$W$4-A296</f>
        <v>21</v>
      </c>
      <c r="X296" s="52" t="str">
        <f ca="1">VLOOKUP(W296,$AA$2:$AB$6,2)</f>
        <v>&lt; 6 Months</v>
      </c>
      <c r="Y296" s="52" t="str">
        <f ca="1">VLOOKUP(W296,$AD$2:$AE$6,2)</f>
        <v>&lt;30 Days</v>
      </c>
    </row>
    <row r="297" spans="1:25" s="64" customFormat="1" ht="15" customHeight="1">
      <c r="A297" s="127" t="s">
        <v>1730</v>
      </c>
      <c r="B297" s="45" t="s">
        <v>245</v>
      </c>
      <c r="C297" s="45" t="s">
        <v>1754</v>
      </c>
      <c r="D297" s="43" t="s">
        <v>555</v>
      </c>
      <c r="E297" s="43" t="s">
        <v>1758</v>
      </c>
      <c r="F297" s="43" t="s">
        <v>248</v>
      </c>
      <c r="G297" s="41">
        <v>3638</v>
      </c>
      <c r="H297" s="116">
        <v>1</v>
      </c>
      <c r="I297" s="41">
        <v>15</v>
      </c>
      <c r="J297" s="98">
        <f>I297*H297</f>
        <v>15</v>
      </c>
      <c r="K297" s="60" t="s">
        <v>92</v>
      </c>
      <c r="L297" s="60" t="s">
        <v>537</v>
      </c>
      <c r="M297" s="60" t="str" cm="1">
        <f t="array" ref="M297:N297">VLOOKUP(Q297,[1]CFPL!$A:$D,{3,4},0)</f>
        <v>RAISIN</v>
      </c>
      <c r="N297" s="60" t="str">
        <v>Raisin - Indian</v>
      </c>
      <c r="O297" s="60" t="s">
        <v>556</v>
      </c>
      <c r="P297" s="60" t="s">
        <v>93</v>
      </c>
      <c r="Q297" s="60" t="s">
        <v>93</v>
      </c>
      <c r="R297" s="45" t="s">
        <v>516</v>
      </c>
      <c r="S297" s="45" t="s">
        <v>6</v>
      </c>
      <c r="T297" s="45" t="s">
        <v>1711</v>
      </c>
      <c r="U297" s="119">
        <v>382</v>
      </c>
      <c r="V297" s="62">
        <f>U297*J297</f>
        <v>5730</v>
      </c>
      <c r="W297" s="63">
        <f ca="1">$W$4-A297</f>
        <v>21</v>
      </c>
      <c r="X297" s="52" t="str">
        <f ca="1">VLOOKUP(W297,$AA$2:$AB$6,2)</f>
        <v>&lt; 6 Months</v>
      </c>
      <c r="Y297" s="52" t="str">
        <f ca="1">VLOOKUP(W297,$AD$2:$AE$6,2)</f>
        <v>&lt;30 Days</v>
      </c>
    </row>
    <row r="298" spans="1:25" s="64" customFormat="1" ht="15" customHeight="1">
      <c r="A298" s="127" t="s">
        <v>1730</v>
      </c>
      <c r="B298" s="45" t="s">
        <v>245</v>
      </c>
      <c r="C298" s="45" t="s">
        <v>1754</v>
      </c>
      <c r="D298" s="43" t="s">
        <v>555</v>
      </c>
      <c r="E298" s="43" t="s">
        <v>1757</v>
      </c>
      <c r="F298" s="43" t="s">
        <v>248</v>
      </c>
      <c r="G298" s="41">
        <v>3637</v>
      </c>
      <c r="H298" s="116">
        <v>1</v>
      </c>
      <c r="I298" s="41">
        <v>15</v>
      </c>
      <c r="J298" s="98">
        <f>I298*H298</f>
        <v>15</v>
      </c>
      <c r="K298" s="60" t="s">
        <v>92</v>
      </c>
      <c r="L298" s="60" t="s">
        <v>537</v>
      </c>
      <c r="M298" s="60" t="str" cm="1">
        <f t="array" ref="M298:N298">VLOOKUP(Q298,[1]CFPL!$A:$D,{3,4},0)</f>
        <v>RAISIN</v>
      </c>
      <c r="N298" s="60" t="str">
        <v>Raisin - Indian</v>
      </c>
      <c r="O298" s="60" t="s">
        <v>556</v>
      </c>
      <c r="P298" s="60" t="s">
        <v>93</v>
      </c>
      <c r="Q298" s="60" t="s">
        <v>93</v>
      </c>
      <c r="R298" s="45" t="s">
        <v>516</v>
      </c>
      <c r="S298" s="45" t="s">
        <v>6</v>
      </c>
      <c r="T298" s="45" t="s">
        <v>1711</v>
      </c>
      <c r="U298" s="119">
        <v>382</v>
      </c>
      <c r="V298" s="62">
        <f>U298*J298</f>
        <v>5730</v>
      </c>
      <c r="W298" s="63">
        <f ca="1">$W$4-A298</f>
        <v>21</v>
      </c>
      <c r="X298" s="52" t="str">
        <f ca="1">VLOOKUP(W298,$AA$2:$AB$6,2)</f>
        <v>&lt; 6 Months</v>
      </c>
      <c r="Y298" s="52" t="str">
        <f ca="1">VLOOKUP(W298,$AD$2:$AE$6,2)</f>
        <v>&lt;30 Days</v>
      </c>
    </row>
    <row r="299" spans="1:25" s="64" customFormat="1" ht="15" customHeight="1">
      <c r="A299" s="127" t="s">
        <v>1730</v>
      </c>
      <c r="B299" s="45" t="s">
        <v>245</v>
      </c>
      <c r="C299" s="45" t="s">
        <v>1754</v>
      </c>
      <c r="D299" s="43" t="s">
        <v>555</v>
      </c>
      <c r="E299" s="43" t="s">
        <v>1756</v>
      </c>
      <c r="F299" s="43" t="s">
        <v>248</v>
      </c>
      <c r="G299" s="41">
        <v>3636</v>
      </c>
      <c r="H299" s="116">
        <v>1</v>
      </c>
      <c r="I299" s="41">
        <v>15</v>
      </c>
      <c r="J299" s="98">
        <f>I299*H299</f>
        <v>15</v>
      </c>
      <c r="K299" s="60" t="s">
        <v>92</v>
      </c>
      <c r="L299" s="60" t="s">
        <v>537</v>
      </c>
      <c r="M299" s="60" t="str" cm="1">
        <f t="array" ref="M299:N299">VLOOKUP(Q299,[1]CFPL!$A:$D,{3,4},0)</f>
        <v>RAISIN</v>
      </c>
      <c r="N299" s="60" t="str">
        <v>Raisin - Indian</v>
      </c>
      <c r="O299" s="60" t="s">
        <v>556</v>
      </c>
      <c r="P299" s="60" t="s">
        <v>93</v>
      </c>
      <c r="Q299" s="60" t="s">
        <v>93</v>
      </c>
      <c r="R299" s="45" t="s">
        <v>516</v>
      </c>
      <c r="S299" s="45" t="s">
        <v>6</v>
      </c>
      <c r="T299" s="45" t="s">
        <v>1711</v>
      </c>
      <c r="U299" s="119">
        <v>382</v>
      </c>
      <c r="V299" s="62">
        <f>U299*J299</f>
        <v>5730</v>
      </c>
      <c r="W299" s="63">
        <f ca="1">$W$4-A299</f>
        <v>21</v>
      </c>
      <c r="X299" s="52" t="str">
        <f ca="1">VLOOKUP(W299,$AA$2:$AB$6,2)</f>
        <v>&lt; 6 Months</v>
      </c>
      <c r="Y299" s="52" t="str">
        <f ca="1">VLOOKUP(W299,$AD$2:$AE$6,2)</f>
        <v>&lt;30 Days</v>
      </c>
    </row>
    <row r="300" spans="1:25" s="64" customFormat="1" ht="15" customHeight="1">
      <c r="A300" s="127" t="s">
        <v>1730</v>
      </c>
      <c r="B300" s="45" t="s">
        <v>245</v>
      </c>
      <c r="C300" s="45" t="s">
        <v>1754</v>
      </c>
      <c r="D300" s="43" t="s">
        <v>555</v>
      </c>
      <c r="E300" s="43" t="s">
        <v>1769</v>
      </c>
      <c r="F300" s="43" t="s">
        <v>248</v>
      </c>
      <c r="G300" s="41">
        <v>3627</v>
      </c>
      <c r="H300" s="116">
        <v>1</v>
      </c>
      <c r="I300" s="41">
        <v>15</v>
      </c>
      <c r="J300" s="98">
        <f>I300*H300</f>
        <v>15</v>
      </c>
      <c r="K300" s="60" t="s">
        <v>92</v>
      </c>
      <c r="L300" s="60" t="s">
        <v>537</v>
      </c>
      <c r="M300" s="60" t="str" cm="1">
        <f t="array" ref="M300:N300">VLOOKUP(Q300,[1]CFPL!$A:$D,{3,4},0)</f>
        <v>RAISIN</v>
      </c>
      <c r="N300" s="60" t="str">
        <v>Raisin - Indian</v>
      </c>
      <c r="O300" s="60" t="s">
        <v>556</v>
      </c>
      <c r="P300" s="60" t="s">
        <v>93</v>
      </c>
      <c r="Q300" s="60" t="s">
        <v>93</v>
      </c>
      <c r="R300" s="45" t="s">
        <v>516</v>
      </c>
      <c r="S300" s="45" t="s">
        <v>6</v>
      </c>
      <c r="T300" s="45" t="s">
        <v>1711</v>
      </c>
      <c r="U300" s="119">
        <v>382</v>
      </c>
      <c r="V300" s="62">
        <f>U300*J300</f>
        <v>5730</v>
      </c>
      <c r="W300" s="63">
        <f ca="1">$W$4-A300</f>
        <v>21</v>
      </c>
      <c r="X300" s="52" t="str">
        <f ca="1">VLOOKUP(W300,$AA$2:$AB$6,2)</f>
        <v>&lt; 6 Months</v>
      </c>
      <c r="Y300" s="52" t="str">
        <f ca="1">VLOOKUP(W300,$AD$2:$AE$6,2)</f>
        <v>&lt;30 Days</v>
      </c>
    </row>
    <row r="301" spans="1:25" s="64" customFormat="1" ht="15" customHeight="1">
      <c r="A301" s="127" t="s">
        <v>1804</v>
      </c>
      <c r="B301" s="45" t="s">
        <v>245</v>
      </c>
      <c r="C301" s="45" t="s">
        <v>1810</v>
      </c>
      <c r="D301" s="43" t="s">
        <v>555</v>
      </c>
      <c r="E301" s="43" t="s">
        <v>1188</v>
      </c>
      <c r="F301" s="43" t="s">
        <v>327</v>
      </c>
      <c r="G301" s="41">
        <v>3585</v>
      </c>
      <c r="H301" s="116">
        <v>80</v>
      </c>
      <c r="I301" s="41">
        <v>15</v>
      </c>
      <c r="J301" s="98">
        <f>I301*H301</f>
        <v>1200</v>
      </c>
      <c r="K301" s="60" t="s">
        <v>92</v>
      </c>
      <c r="L301" s="60" t="s">
        <v>537</v>
      </c>
      <c r="M301" s="60" t="str" cm="1">
        <f t="array" ref="M301:N301">VLOOKUP(Q301,[1]CFPL!$A:$D,{3,4},0)</f>
        <v>RAISIN</v>
      </c>
      <c r="N301" s="60" t="str">
        <v>Raisin - Indian</v>
      </c>
      <c r="O301" s="60" t="s">
        <v>556</v>
      </c>
      <c r="P301" s="60" t="s">
        <v>93</v>
      </c>
      <c r="Q301" s="60" t="s">
        <v>93</v>
      </c>
      <c r="R301" s="45" t="s">
        <v>516</v>
      </c>
      <c r="S301" s="45" t="s">
        <v>6</v>
      </c>
      <c r="T301" s="45" t="s">
        <v>1811</v>
      </c>
      <c r="U301" s="119">
        <v>361</v>
      </c>
      <c r="V301" s="62">
        <f>U301*J301</f>
        <v>433200</v>
      </c>
      <c r="W301" s="63">
        <f ca="1">$W$4-A301</f>
        <v>19</v>
      </c>
      <c r="X301" s="52" t="str">
        <f ca="1">VLOOKUP(W301,$AA$2:$AB$6,2)</f>
        <v>&lt; 6 Months</v>
      </c>
      <c r="Y301" s="52" t="str">
        <f ca="1">VLOOKUP(W301,$AD$2:$AE$6,2)</f>
        <v>&lt;30 Days</v>
      </c>
    </row>
    <row r="302" spans="1:25" s="64" customFormat="1" ht="15" customHeight="1">
      <c r="A302" s="127" t="s">
        <v>1804</v>
      </c>
      <c r="B302" s="45" t="s">
        <v>245</v>
      </c>
      <c r="C302" s="45" t="s">
        <v>1810</v>
      </c>
      <c r="D302" s="43" t="s">
        <v>555</v>
      </c>
      <c r="E302" s="43" t="s">
        <v>1188</v>
      </c>
      <c r="F302" s="43" t="s">
        <v>327</v>
      </c>
      <c r="G302" s="41">
        <v>3585</v>
      </c>
      <c r="H302" s="116">
        <v>90</v>
      </c>
      <c r="I302" s="41">
        <v>15</v>
      </c>
      <c r="J302" s="98">
        <f>I302*H302</f>
        <v>1350</v>
      </c>
      <c r="K302" s="60" t="s">
        <v>92</v>
      </c>
      <c r="L302" s="60" t="s">
        <v>537</v>
      </c>
      <c r="M302" s="60" t="str" cm="1">
        <f t="array" ref="M302:N302">VLOOKUP(Q302,[1]CFPL!$A:$D,{3,4},0)</f>
        <v>RAISIN</v>
      </c>
      <c r="N302" s="60" t="str">
        <v>Raisin - Indian</v>
      </c>
      <c r="O302" s="60" t="s">
        <v>556</v>
      </c>
      <c r="P302" s="60" t="s">
        <v>93</v>
      </c>
      <c r="Q302" s="60" t="s">
        <v>93</v>
      </c>
      <c r="R302" s="45" t="s">
        <v>516</v>
      </c>
      <c r="S302" s="45" t="s">
        <v>6</v>
      </c>
      <c r="T302" s="45" t="s">
        <v>1811</v>
      </c>
      <c r="U302" s="119">
        <v>361</v>
      </c>
      <c r="V302" s="62">
        <f>U302*J302</f>
        <v>487350</v>
      </c>
      <c r="W302" s="63">
        <f ca="1">$W$4-A302</f>
        <v>19</v>
      </c>
      <c r="X302" s="52" t="str">
        <f ca="1">VLOOKUP(W302,$AA$2:$AB$6,2)</f>
        <v>&lt; 6 Months</v>
      </c>
      <c r="Y302" s="52" t="str">
        <f ca="1">VLOOKUP(W302,$AD$2:$AE$6,2)</f>
        <v>&lt;30 Days</v>
      </c>
    </row>
    <row r="303" spans="1:25" s="64" customFormat="1" ht="15" customHeight="1">
      <c r="A303" s="127" t="s">
        <v>1804</v>
      </c>
      <c r="B303" s="45" t="s">
        <v>245</v>
      </c>
      <c r="C303" s="45" t="s">
        <v>1810</v>
      </c>
      <c r="D303" s="43" t="s">
        <v>555</v>
      </c>
      <c r="E303" s="43" t="s">
        <v>1188</v>
      </c>
      <c r="F303" s="43" t="s">
        <v>327</v>
      </c>
      <c r="G303" s="41">
        <v>3585</v>
      </c>
      <c r="H303" s="116">
        <v>66</v>
      </c>
      <c r="I303" s="41">
        <v>15</v>
      </c>
      <c r="J303" s="98">
        <f>I303*H303</f>
        <v>990</v>
      </c>
      <c r="K303" s="60" t="s">
        <v>92</v>
      </c>
      <c r="L303" s="60" t="s">
        <v>537</v>
      </c>
      <c r="M303" s="60" t="str" cm="1">
        <f t="array" ref="M303:N303">VLOOKUP(Q303,[1]CFPL!$A:$D,{3,4},0)</f>
        <v>RAISIN</v>
      </c>
      <c r="N303" s="60" t="str">
        <v>Raisin - Indian</v>
      </c>
      <c r="O303" s="60" t="s">
        <v>556</v>
      </c>
      <c r="P303" s="60" t="s">
        <v>93</v>
      </c>
      <c r="Q303" s="60" t="s">
        <v>93</v>
      </c>
      <c r="R303" s="45" t="s">
        <v>516</v>
      </c>
      <c r="S303" s="45" t="s">
        <v>6</v>
      </c>
      <c r="T303" s="45" t="s">
        <v>1811</v>
      </c>
      <c r="U303" s="119">
        <v>361</v>
      </c>
      <c r="V303" s="62">
        <f>U303*J303</f>
        <v>357390</v>
      </c>
      <c r="W303" s="63">
        <f ca="1">$W$4-A303</f>
        <v>19</v>
      </c>
      <c r="X303" s="52" t="str">
        <f ca="1">VLOOKUP(W303,$AA$2:$AB$6,2)</f>
        <v>&lt; 6 Months</v>
      </c>
      <c r="Y303" s="52" t="str">
        <f ca="1">VLOOKUP(W303,$AD$2:$AE$6,2)</f>
        <v>&lt;30 Days</v>
      </c>
    </row>
    <row r="304" spans="1:25" s="64" customFormat="1" ht="15" customHeight="1">
      <c r="A304" s="127" t="s">
        <v>1804</v>
      </c>
      <c r="B304" s="45" t="s">
        <v>245</v>
      </c>
      <c r="C304" s="45" t="s">
        <v>1810</v>
      </c>
      <c r="D304" s="43" t="s">
        <v>555</v>
      </c>
      <c r="E304" s="43" t="s">
        <v>1188</v>
      </c>
      <c r="F304" s="43" t="s">
        <v>327</v>
      </c>
      <c r="G304" s="41">
        <v>3585</v>
      </c>
      <c r="H304" s="116">
        <v>48</v>
      </c>
      <c r="I304" s="41">
        <v>15</v>
      </c>
      <c r="J304" s="98">
        <f>I304*H304</f>
        <v>720</v>
      </c>
      <c r="K304" s="60" t="s">
        <v>92</v>
      </c>
      <c r="L304" s="60" t="s">
        <v>537</v>
      </c>
      <c r="M304" s="60" t="str" cm="1">
        <f t="array" ref="M304:N304">VLOOKUP(Q304,[1]CFPL!$A:$D,{3,4},0)</f>
        <v>RAISIN</v>
      </c>
      <c r="N304" s="60" t="str">
        <v>Raisin - Indian</v>
      </c>
      <c r="O304" s="60" t="s">
        <v>556</v>
      </c>
      <c r="P304" s="60" t="s">
        <v>93</v>
      </c>
      <c r="Q304" s="60" t="s">
        <v>93</v>
      </c>
      <c r="R304" s="45" t="s">
        <v>516</v>
      </c>
      <c r="S304" s="45" t="s">
        <v>6</v>
      </c>
      <c r="T304" s="45" t="s">
        <v>1811</v>
      </c>
      <c r="U304" s="119">
        <v>361</v>
      </c>
      <c r="V304" s="62">
        <f>U304*J304</f>
        <v>259920</v>
      </c>
      <c r="W304" s="63">
        <f ca="1">$W$4-A304</f>
        <v>19</v>
      </c>
      <c r="X304" s="52" t="str">
        <f ca="1">VLOOKUP(W304,$AA$2:$AB$6,2)</f>
        <v>&lt; 6 Months</v>
      </c>
      <c r="Y304" s="52" t="str">
        <f ca="1">VLOOKUP(W304,$AD$2:$AE$6,2)</f>
        <v>&lt;30 Days</v>
      </c>
    </row>
    <row r="305" spans="1:25" s="64" customFormat="1" ht="15" customHeight="1">
      <c r="A305" s="127" t="s">
        <v>1804</v>
      </c>
      <c r="B305" s="45" t="s">
        <v>245</v>
      </c>
      <c r="C305" s="45" t="s">
        <v>1810</v>
      </c>
      <c r="D305" s="43" t="s">
        <v>555</v>
      </c>
      <c r="E305" s="43" t="s">
        <v>1188</v>
      </c>
      <c r="F305" s="43" t="s">
        <v>327</v>
      </c>
      <c r="G305" s="41">
        <v>3585</v>
      </c>
      <c r="H305" s="116">
        <v>54</v>
      </c>
      <c r="I305" s="41">
        <v>15</v>
      </c>
      <c r="J305" s="98">
        <f>I305*H305</f>
        <v>810</v>
      </c>
      <c r="K305" s="60" t="s">
        <v>92</v>
      </c>
      <c r="L305" s="60" t="s">
        <v>537</v>
      </c>
      <c r="M305" s="60" t="str" cm="1">
        <f t="array" ref="M305:N305">VLOOKUP(Q305,[1]CFPL!$A:$D,{3,4},0)</f>
        <v>RAISIN</v>
      </c>
      <c r="N305" s="60" t="str">
        <v>Raisin - Indian</v>
      </c>
      <c r="O305" s="60" t="s">
        <v>556</v>
      </c>
      <c r="P305" s="60" t="s">
        <v>93</v>
      </c>
      <c r="Q305" s="60" t="s">
        <v>93</v>
      </c>
      <c r="R305" s="45" t="s">
        <v>516</v>
      </c>
      <c r="S305" s="45" t="s">
        <v>6</v>
      </c>
      <c r="T305" s="45" t="s">
        <v>1811</v>
      </c>
      <c r="U305" s="119">
        <v>361</v>
      </c>
      <c r="V305" s="62">
        <f>U305*J305</f>
        <v>292410</v>
      </c>
      <c r="W305" s="63">
        <f ca="1">$W$4-A305</f>
        <v>19</v>
      </c>
      <c r="X305" s="52" t="str">
        <f ca="1">VLOOKUP(W305,$AA$2:$AB$6,2)</f>
        <v>&lt; 6 Months</v>
      </c>
      <c r="Y305" s="52" t="str">
        <f ca="1">VLOOKUP(W305,$AD$2:$AE$6,2)</f>
        <v>&lt;30 Days</v>
      </c>
    </row>
    <row r="306" spans="1:25" s="64" customFormat="1" ht="15" customHeight="1">
      <c r="A306" s="127" t="s">
        <v>1804</v>
      </c>
      <c r="B306" s="45" t="s">
        <v>245</v>
      </c>
      <c r="C306" s="45" t="s">
        <v>1810</v>
      </c>
      <c r="D306" s="43" t="s">
        <v>555</v>
      </c>
      <c r="E306" s="43" t="s">
        <v>1188</v>
      </c>
      <c r="F306" s="43" t="s">
        <v>327</v>
      </c>
      <c r="G306" s="41">
        <v>3585</v>
      </c>
      <c r="H306" s="116">
        <v>93</v>
      </c>
      <c r="I306" s="41">
        <v>15</v>
      </c>
      <c r="J306" s="98">
        <f>I306*H306</f>
        <v>1395</v>
      </c>
      <c r="K306" s="60" t="s">
        <v>92</v>
      </c>
      <c r="L306" s="60" t="s">
        <v>537</v>
      </c>
      <c r="M306" s="60" t="str" cm="1">
        <f t="array" ref="M306:N306">VLOOKUP(Q306,[1]CFPL!$A:$D,{3,4},0)</f>
        <v>RAISIN</v>
      </c>
      <c r="N306" s="60" t="str">
        <v>Raisin - Indian</v>
      </c>
      <c r="O306" s="60" t="s">
        <v>556</v>
      </c>
      <c r="P306" s="60" t="s">
        <v>93</v>
      </c>
      <c r="Q306" s="60" t="s">
        <v>93</v>
      </c>
      <c r="R306" s="45" t="s">
        <v>516</v>
      </c>
      <c r="S306" s="45" t="s">
        <v>6</v>
      </c>
      <c r="T306" s="45" t="s">
        <v>1811</v>
      </c>
      <c r="U306" s="119">
        <v>361</v>
      </c>
      <c r="V306" s="62">
        <f>U306*J306</f>
        <v>503595</v>
      </c>
      <c r="W306" s="63">
        <f ca="1">$W$4-A306</f>
        <v>19</v>
      </c>
      <c r="X306" s="52" t="str">
        <f ca="1">VLOOKUP(W306,$AA$2:$AB$6,2)</f>
        <v>&lt; 6 Months</v>
      </c>
      <c r="Y306" s="52" t="str">
        <f ca="1">VLOOKUP(W306,$AD$2:$AE$6,2)</f>
        <v>&lt;30 Days</v>
      </c>
    </row>
    <row r="307" spans="1:25" s="64" customFormat="1" ht="15" customHeight="1">
      <c r="A307" s="127" t="s">
        <v>1804</v>
      </c>
      <c r="B307" s="45" t="s">
        <v>245</v>
      </c>
      <c r="C307" s="45" t="s">
        <v>1810</v>
      </c>
      <c r="D307" s="43" t="s">
        <v>555</v>
      </c>
      <c r="E307" s="43" t="s">
        <v>1188</v>
      </c>
      <c r="F307" s="43" t="s">
        <v>327</v>
      </c>
      <c r="G307" s="41">
        <v>3585</v>
      </c>
      <c r="H307" s="116">
        <v>84</v>
      </c>
      <c r="I307" s="41">
        <v>15</v>
      </c>
      <c r="J307" s="98">
        <f>I307*H307</f>
        <v>1260</v>
      </c>
      <c r="K307" s="60" t="s">
        <v>92</v>
      </c>
      <c r="L307" s="60" t="s">
        <v>537</v>
      </c>
      <c r="M307" s="60" t="str" cm="1">
        <f t="array" ref="M307:N307">VLOOKUP(Q307,[1]CFPL!$A:$D,{3,4},0)</f>
        <v>RAISIN</v>
      </c>
      <c r="N307" s="60" t="str">
        <v>Raisin - Indian</v>
      </c>
      <c r="O307" s="60" t="s">
        <v>556</v>
      </c>
      <c r="P307" s="60" t="s">
        <v>93</v>
      </c>
      <c r="Q307" s="60" t="s">
        <v>93</v>
      </c>
      <c r="R307" s="45" t="s">
        <v>516</v>
      </c>
      <c r="S307" s="45" t="s">
        <v>6</v>
      </c>
      <c r="T307" s="45" t="s">
        <v>1811</v>
      </c>
      <c r="U307" s="119">
        <v>361</v>
      </c>
      <c r="V307" s="62">
        <f>U307*J307</f>
        <v>454860</v>
      </c>
      <c r="W307" s="63">
        <f ca="1">$W$4-A307</f>
        <v>19</v>
      </c>
      <c r="X307" s="52" t="str">
        <f ca="1">VLOOKUP(W307,$AA$2:$AB$6,2)</f>
        <v>&lt; 6 Months</v>
      </c>
      <c r="Y307" s="52" t="str">
        <f ca="1">VLOOKUP(W307,$AD$2:$AE$6,2)</f>
        <v>&lt;30 Days</v>
      </c>
    </row>
    <row r="308" spans="1:25" s="64" customFormat="1" ht="15" customHeight="1">
      <c r="A308" s="127" t="s">
        <v>1804</v>
      </c>
      <c r="B308" s="45" t="s">
        <v>245</v>
      </c>
      <c r="C308" s="45" t="s">
        <v>1810</v>
      </c>
      <c r="D308" s="43" t="s">
        <v>555</v>
      </c>
      <c r="E308" s="43" t="s">
        <v>1188</v>
      </c>
      <c r="F308" s="43" t="s">
        <v>327</v>
      </c>
      <c r="G308" s="41">
        <v>3585</v>
      </c>
      <c r="H308" s="116">
        <v>84</v>
      </c>
      <c r="I308" s="41">
        <v>15</v>
      </c>
      <c r="J308" s="98">
        <f>I308*H308</f>
        <v>1260</v>
      </c>
      <c r="K308" s="60" t="s">
        <v>92</v>
      </c>
      <c r="L308" s="60" t="s">
        <v>537</v>
      </c>
      <c r="M308" s="60" t="str" cm="1">
        <f t="array" ref="M308:N308">VLOOKUP(Q308,[1]CFPL!$A:$D,{3,4},0)</f>
        <v>RAISIN</v>
      </c>
      <c r="N308" s="60" t="str">
        <v>Raisin - Indian</v>
      </c>
      <c r="O308" s="60" t="s">
        <v>556</v>
      </c>
      <c r="P308" s="60" t="s">
        <v>93</v>
      </c>
      <c r="Q308" s="60" t="s">
        <v>93</v>
      </c>
      <c r="R308" s="45" t="s">
        <v>516</v>
      </c>
      <c r="S308" s="45" t="s">
        <v>6</v>
      </c>
      <c r="T308" s="45" t="s">
        <v>1811</v>
      </c>
      <c r="U308" s="119">
        <v>361</v>
      </c>
      <c r="V308" s="62">
        <f>U308*J308</f>
        <v>454860</v>
      </c>
      <c r="W308" s="63">
        <f ca="1">$W$4-A308</f>
        <v>19</v>
      </c>
      <c r="X308" s="52" t="str">
        <f ca="1">VLOOKUP(W308,$AA$2:$AB$6,2)</f>
        <v>&lt; 6 Months</v>
      </c>
      <c r="Y308" s="52" t="str">
        <f ca="1">VLOOKUP(W308,$AD$2:$AE$6,2)</f>
        <v>&lt;30 Days</v>
      </c>
    </row>
    <row r="309" spans="1:25" s="64" customFormat="1" ht="15" customHeight="1">
      <c r="A309" s="127" t="s">
        <v>1828</v>
      </c>
      <c r="B309" s="45" t="s">
        <v>245</v>
      </c>
      <c r="C309" s="45" t="s">
        <v>1829</v>
      </c>
      <c r="D309" s="43" t="s">
        <v>1830</v>
      </c>
      <c r="E309" s="43" t="s">
        <v>1831</v>
      </c>
      <c r="F309" s="43" t="s">
        <v>1834</v>
      </c>
      <c r="G309" s="41">
        <v>5025</v>
      </c>
      <c r="H309" s="116">
        <v>157</v>
      </c>
      <c r="I309" s="41">
        <v>30</v>
      </c>
      <c r="J309" s="98">
        <f>I309*H309</f>
        <v>4710</v>
      </c>
      <c r="K309" s="60" t="s">
        <v>98</v>
      </c>
      <c r="L309" s="60" t="s">
        <v>1867</v>
      </c>
      <c r="M309" s="60" t="str" cm="1">
        <f t="array" ref="M309:N309">VLOOKUP(Q309,[1]CFPL!$A:$D,{3,4},0)</f>
        <v>ALMOND</v>
      </c>
      <c r="N309" s="60" t="str">
        <v>Almond - Kernels</v>
      </c>
      <c r="O309" s="60" t="s">
        <v>1866</v>
      </c>
      <c r="P309" s="60" t="s">
        <v>948</v>
      </c>
      <c r="Q309" s="60" t="s">
        <v>948</v>
      </c>
      <c r="R309" s="45" t="s">
        <v>516</v>
      </c>
      <c r="S309" s="45" t="s">
        <v>6</v>
      </c>
      <c r="T309" s="45">
        <v>0</v>
      </c>
      <c r="U309" s="119">
        <v>745</v>
      </c>
      <c r="V309" s="62">
        <f>U309*J309</f>
        <v>3508950</v>
      </c>
      <c r="W309" s="63">
        <f ca="1">$W$4-A309</f>
        <v>9</v>
      </c>
      <c r="X309" s="52" t="str">
        <f ca="1">VLOOKUP(W309,$AA$2:$AB$6,2)</f>
        <v>&lt; 6 Months</v>
      </c>
      <c r="Y309" s="52" t="str">
        <f ca="1">VLOOKUP(W309,$AD$2:$AE$6,2)</f>
        <v>&lt;30 Days</v>
      </c>
    </row>
    <row r="310" spans="1:25" s="64" customFormat="1" ht="15" customHeight="1">
      <c r="A310" s="127" t="s">
        <v>1828</v>
      </c>
      <c r="B310" s="45" t="s">
        <v>245</v>
      </c>
      <c r="C310" s="45" t="s">
        <v>1829</v>
      </c>
      <c r="D310" s="43" t="s">
        <v>1830</v>
      </c>
      <c r="E310" s="43" t="s">
        <v>1831</v>
      </c>
      <c r="F310" s="43" t="s">
        <v>1833</v>
      </c>
      <c r="G310" s="41">
        <v>5026</v>
      </c>
      <c r="H310" s="116">
        <v>14</v>
      </c>
      <c r="I310" s="41">
        <v>30</v>
      </c>
      <c r="J310" s="98">
        <f>I310*H310</f>
        <v>420</v>
      </c>
      <c r="K310" s="60" t="s">
        <v>98</v>
      </c>
      <c r="L310" s="60" t="s">
        <v>1865</v>
      </c>
      <c r="M310" s="60" t="str" cm="1">
        <f t="array" ref="M310:N310">VLOOKUP(Q310,[1]CFPL!$A:$D,{3,4},0)</f>
        <v>ALMOND</v>
      </c>
      <c r="N310" s="60" t="str">
        <v>Almond - Kernels</v>
      </c>
      <c r="O310" s="60" t="s">
        <v>1866</v>
      </c>
      <c r="P310" s="60" t="s">
        <v>770</v>
      </c>
      <c r="Q310" s="60" t="s">
        <v>770</v>
      </c>
      <c r="R310" s="45" t="s">
        <v>516</v>
      </c>
      <c r="S310" s="45" t="s">
        <v>6</v>
      </c>
      <c r="T310" s="45">
        <v>0</v>
      </c>
      <c r="U310" s="119">
        <v>820</v>
      </c>
      <c r="V310" s="62">
        <f>U310*J310</f>
        <v>344400</v>
      </c>
      <c r="W310" s="63">
        <f ca="1">$W$4-A310</f>
        <v>9</v>
      </c>
      <c r="X310" s="52" t="str">
        <f ca="1">VLOOKUP(W310,$AA$2:$AB$6,2)</f>
        <v>&lt; 6 Months</v>
      </c>
      <c r="Y310" s="52" t="str">
        <f ca="1">VLOOKUP(W310,$AD$2:$AE$6,2)</f>
        <v>&lt;30 Days</v>
      </c>
    </row>
    <row r="311" spans="1:25" s="64" customFormat="1" ht="15" customHeight="1">
      <c r="A311" s="127" t="s">
        <v>1828</v>
      </c>
      <c r="B311" s="45" t="s">
        <v>245</v>
      </c>
      <c r="C311" s="45" t="s">
        <v>1829</v>
      </c>
      <c r="D311" s="43" t="s">
        <v>1830</v>
      </c>
      <c r="E311" s="43" t="s">
        <v>1831</v>
      </c>
      <c r="F311" s="43" t="s">
        <v>1832</v>
      </c>
      <c r="G311" s="41">
        <v>5027</v>
      </c>
      <c r="H311" s="116">
        <v>31</v>
      </c>
      <c r="I311" s="41">
        <v>30</v>
      </c>
      <c r="J311" s="98">
        <f>I311*H311</f>
        <v>930</v>
      </c>
      <c r="K311" s="60" t="s">
        <v>98</v>
      </c>
      <c r="L311" s="60" t="s">
        <v>1864</v>
      </c>
      <c r="M311" s="60" t="str" cm="1">
        <f t="array" ref="M311:N311">VLOOKUP(Q311,[1]CFPL!$A:$D,{3,4},0)</f>
        <v>ALMOND</v>
      </c>
      <c r="N311" s="60" t="str">
        <v>Almond - Kernels</v>
      </c>
      <c r="O311" s="60" t="s">
        <v>1866</v>
      </c>
      <c r="P311" s="60" t="s">
        <v>1868</v>
      </c>
      <c r="Q311" s="60" t="s">
        <v>1868</v>
      </c>
      <c r="R311" s="45" t="s">
        <v>516</v>
      </c>
      <c r="S311" s="45" t="s">
        <v>6</v>
      </c>
      <c r="T311" s="45">
        <v>0</v>
      </c>
      <c r="U311" s="119">
        <v>850</v>
      </c>
      <c r="V311" s="62">
        <f>U311*J311</f>
        <v>790500</v>
      </c>
      <c r="W311" s="63">
        <f ca="1">$W$4-A311</f>
        <v>9</v>
      </c>
      <c r="X311" s="52" t="str">
        <f ca="1">VLOOKUP(W311,$AA$2:$AB$6,2)</f>
        <v>&lt; 6 Months</v>
      </c>
      <c r="Y311" s="52" t="str">
        <f ca="1">VLOOKUP(W311,$AD$2:$AE$6,2)</f>
        <v>&lt;30 Days</v>
      </c>
    </row>
    <row r="312" spans="1:25" s="64" customFormat="1" ht="15" customHeight="1">
      <c r="A312" s="127" t="s">
        <v>1835</v>
      </c>
      <c r="B312" s="45" t="s">
        <v>245</v>
      </c>
      <c r="C312" s="45" t="s">
        <v>1836</v>
      </c>
      <c r="D312" s="43" t="s">
        <v>555</v>
      </c>
      <c r="E312" s="43" t="s">
        <v>1188</v>
      </c>
      <c r="F312" s="43" t="s">
        <v>1841</v>
      </c>
      <c r="G312" s="41">
        <v>5403</v>
      </c>
      <c r="H312" s="116">
        <v>25</v>
      </c>
      <c r="I312" s="41">
        <v>15</v>
      </c>
      <c r="J312" s="98">
        <f>I312*H312</f>
        <v>375</v>
      </c>
      <c r="K312" s="60" t="s">
        <v>92</v>
      </c>
      <c r="L312" s="60" t="s">
        <v>537</v>
      </c>
      <c r="M312" s="60" t="str" cm="1">
        <f t="array" ref="M312:N312">VLOOKUP(Q312,[1]CFPL!$A:$D,{3,4},0)</f>
        <v>RAISIN</v>
      </c>
      <c r="N312" s="60" t="str">
        <v>Raisin - Indian</v>
      </c>
      <c r="O312" s="60" t="s">
        <v>556</v>
      </c>
      <c r="P312" s="60" t="s">
        <v>93</v>
      </c>
      <c r="Q312" s="60" t="s">
        <v>93</v>
      </c>
      <c r="R312" s="45" t="s">
        <v>516</v>
      </c>
      <c r="S312" s="45" t="s">
        <v>6</v>
      </c>
      <c r="T312" s="45" t="s">
        <v>1711</v>
      </c>
      <c r="U312" s="119">
        <v>364</v>
      </c>
      <c r="V312" s="62">
        <f>U312*J312</f>
        <v>136500</v>
      </c>
      <c r="W312" s="63">
        <f ca="1">$W$4-A312</f>
        <v>6</v>
      </c>
      <c r="X312" s="52" t="str">
        <f ca="1">VLOOKUP(W312,$AA$2:$AB$6,2)</f>
        <v>&lt; 6 Months</v>
      </c>
      <c r="Y312" s="52" t="str">
        <f ca="1">VLOOKUP(W312,$AD$2:$AE$6,2)</f>
        <v>&lt;30 Days</v>
      </c>
    </row>
    <row r="313" spans="1:25" s="64" customFormat="1" ht="15" customHeight="1">
      <c r="A313" s="127" t="s">
        <v>1835</v>
      </c>
      <c r="B313" s="45" t="s">
        <v>245</v>
      </c>
      <c r="C313" s="45" t="s">
        <v>1836</v>
      </c>
      <c r="D313" s="43" t="s">
        <v>555</v>
      </c>
      <c r="E313" s="43" t="s">
        <v>1188</v>
      </c>
      <c r="F313" s="43" t="s">
        <v>1842</v>
      </c>
      <c r="G313" s="41">
        <v>5404</v>
      </c>
      <c r="H313" s="116">
        <v>24</v>
      </c>
      <c r="I313" s="41">
        <v>15</v>
      </c>
      <c r="J313" s="98">
        <f>I313*H313</f>
        <v>360</v>
      </c>
      <c r="K313" s="60" t="s">
        <v>92</v>
      </c>
      <c r="L313" s="60" t="s">
        <v>537</v>
      </c>
      <c r="M313" s="60" t="str" cm="1">
        <f t="array" ref="M313:N313">VLOOKUP(Q313,[1]CFPL!$A:$D,{3,4},0)</f>
        <v>RAISIN</v>
      </c>
      <c r="N313" s="60" t="str">
        <v>Raisin - Indian</v>
      </c>
      <c r="O313" s="60" t="s">
        <v>556</v>
      </c>
      <c r="P313" s="60" t="s">
        <v>93</v>
      </c>
      <c r="Q313" s="60" t="s">
        <v>93</v>
      </c>
      <c r="R313" s="45" t="s">
        <v>516</v>
      </c>
      <c r="S313" s="45" t="s">
        <v>6</v>
      </c>
      <c r="T313" s="45" t="s">
        <v>1711</v>
      </c>
      <c r="U313" s="119">
        <v>364</v>
      </c>
      <c r="V313" s="62">
        <f>U313*J313</f>
        <v>131040</v>
      </c>
      <c r="W313" s="63">
        <f ca="1">$W$4-A313</f>
        <v>6</v>
      </c>
      <c r="X313" s="52" t="str">
        <f ca="1">VLOOKUP(W313,$AA$2:$AB$6,2)</f>
        <v>&lt; 6 Months</v>
      </c>
      <c r="Y313" s="52" t="str">
        <f ca="1">VLOOKUP(W313,$AD$2:$AE$6,2)</f>
        <v>&lt;30 Days</v>
      </c>
    </row>
    <row r="314" spans="1:25" s="64" customFormat="1" ht="15" customHeight="1">
      <c r="A314" s="127" t="s">
        <v>1835</v>
      </c>
      <c r="B314" s="45" t="s">
        <v>245</v>
      </c>
      <c r="C314" s="45" t="s">
        <v>1836</v>
      </c>
      <c r="D314" s="43" t="s">
        <v>555</v>
      </c>
      <c r="E314" s="43" t="s">
        <v>1188</v>
      </c>
      <c r="F314" s="43" t="s">
        <v>1843</v>
      </c>
      <c r="G314" s="41">
        <v>5405</v>
      </c>
      <c r="H314" s="116">
        <v>44</v>
      </c>
      <c r="I314" s="41">
        <v>15</v>
      </c>
      <c r="J314" s="98">
        <f>I314*H314</f>
        <v>660</v>
      </c>
      <c r="K314" s="60" t="s">
        <v>92</v>
      </c>
      <c r="L314" s="60" t="s">
        <v>537</v>
      </c>
      <c r="M314" s="60" t="str" cm="1">
        <f t="array" ref="M314:N314">VLOOKUP(Q314,[1]CFPL!$A:$D,{3,4},0)</f>
        <v>RAISIN</v>
      </c>
      <c r="N314" s="60" t="str">
        <v>Raisin - Indian</v>
      </c>
      <c r="O314" s="60" t="s">
        <v>556</v>
      </c>
      <c r="P314" s="60" t="s">
        <v>93</v>
      </c>
      <c r="Q314" s="60" t="s">
        <v>93</v>
      </c>
      <c r="R314" s="45" t="s">
        <v>516</v>
      </c>
      <c r="S314" s="45" t="s">
        <v>6</v>
      </c>
      <c r="T314" s="45" t="s">
        <v>1711</v>
      </c>
      <c r="U314" s="119">
        <v>364</v>
      </c>
      <c r="V314" s="62">
        <f>U314*J314</f>
        <v>240240</v>
      </c>
      <c r="W314" s="63">
        <f ca="1">$W$4-A314</f>
        <v>6</v>
      </c>
      <c r="X314" s="52" t="str">
        <f ca="1">VLOOKUP(W314,$AA$2:$AB$6,2)</f>
        <v>&lt; 6 Months</v>
      </c>
      <c r="Y314" s="52" t="str">
        <f ca="1">VLOOKUP(W314,$AD$2:$AE$6,2)</f>
        <v>&lt;30 Days</v>
      </c>
    </row>
    <row r="315" spans="1:25" s="64" customFormat="1" ht="15" customHeight="1">
      <c r="A315" s="127" t="s">
        <v>1835</v>
      </c>
      <c r="B315" s="45" t="s">
        <v>245</v>
      </c>
      <c r="C315" s="45" t="s">
        <v>1836</v>
      </c>
      <c r="D315" s="43" t="s">
        <v>555</v>
      </c>
      <c r="E315" s="43" t="s">
        <v>1188</v>
      </c>
      <c r="F315" s="43" t="s">
        <v>1861</v>
      </c>
      <c r="G315" s="41">
        <v>5406</v>
      </c>
      <c r="H315" s="116">
        <v>70</v>
      </c>
      <c r="I315" s="41">
        <v>15</v>
      </c>
      <c r="J315" s="98">
        <f>I315*H315</f>
        <v>1050</v>
      </c>
      <c r="K315" s="60" t="s">
        <v>92</v>
      </c>
      <c r="L315" s="60" t="s">
        <v>537</v>
      </c>
      <c r="M315" s="60" t="str" cm="1">
        <f t="array" ref="M315:N315">VLOOKUP(Q315,[1]CFPL!$A:$D,{3,4},0)</f>
        <v>RAISIN</v>
      </c>
      <c r="N315" s="60" t="str">
        <v>Raisin - Indian</v>
      </c>
      <c r="O315" s="60" t="s">
        <v>556</v>
      </c>
      <c r="P315" s="60" t="s">
        <v>93</v>
      </c>
      <c r="Q315" s="60" t="s">
        <v>93</v>
      </c>
      <c r="R315" s="45" t="s">
        <v>516</v>
      </c>
      <c r="S315" s="45" t="s">
        <v>6</v>
      </c>
      <c r="T315" s="45" t="s">
        <v>1711</v>
      </c>
      <c r="U315" s="119">
        <v>364</v>
      </c>
      <c r="V315" s="62">
        <f>U315*J315</f>
        <v>382200</v>
      </c>
      <c r="W315" s="63">
        <f ca="1">$W$4-A315</f>
        <v>6</v>
      </c>
      <c r="X315" s="52" t="str">
        <f ca="1">VLOOKUP(W315,$AA$2:$AB$6,2)</f>
        <v>&lt; 6 Months</v>
      </c>
      <c r="Y315" s="52" t="str">
        <f ca="1">VLOOKUP(W315,$AD$2:$AE$6,2)</f>
        <v>&lt;30 Days</v>
      </c>
    </row>
    <row r="316" spans="1:25" s="64" customFormat="1" ht="15" customHeight="1">
      <c r="A316" s="127" t="s">
        <v>1835</v>
      </c>
      <c r="B316" s="45" t="s">
        <v>245</v>
      </c>
      <c r="C316" s="45" t="s">
        <v>1836</v>
      </c>
      <c r="D316" s="43" t="s">
        <v>555</v>
      </c>
      <c r="E316" s="43" t="s">
        <v>1188</v>
      </c>
      <c r="F316" s="43" t="s">
        <v>1845</v>
      </c>
      <c r="G316" s="41">
        <v>5407</v>
      </c>
      <c r="H316" s="116">
        <v>17</v>
      </c>
      <c r="I316" s="41">
        <v>15</v>
      </c>
      <c r="J316" s="98">
        <f>I316*H316</f>
        <v>255</v>
      </c>
      <c r="K316" s="60" t="s">
        <v>92</v>
      </c>
      <c r="L316" s="60" t="s">
        <v>537</v>
      </c>
      <c r="M316" s="60" t="str" cm="1">
        <f t="array" ref="M316:N316">VLOOKUP(Q316,[1]CFPL!$A:$D,{3,4},0)</f>
        <v>RAISIN</v>
      </c>
      <c r="N316" s="60" t="str">
        <v>Raisin - Indian</v>
      </c>
      <c r="O316" s="60" t="s">
        <v>556</v>
      </c>
      <c r="P316" s="60" t="s">
        <v>93</v>
      </c>
      <c r="Q316" s="60" t="s">
        <v>93</v>
      </c>
      <c r="R316" s="45" t="s">
        <v>516</v>
      </c>
      <c r="S316" s="45" t="s">
        <v>6</v>
      </c>
      <c r="T316" s="45" t="s">
        <v>1711</v>
      </c>
      <c r="U316" s="119">
        <v>364</v>
      </c>
      <c r="V316" s="62">
        <f>U316*J316</f>
        <v>92820</v>
      </c>
      <c r="W316" s="63">
        <f ca="1">$W$4-A316</f>
        <v>6</v>
      </c>
      <c r="X316" s="52" t="str">
        <f ca="1">VLOOKUP(W316,$AA$2:$AB$6,2)</f>
        <v>&lt; 6 Months</v>
      </c>
      <c r="Y316" s="52" t="str">
        <f ca="1">VLOOKUP(W316,$AD$2:$AE$6,2)</f>
        <v>&lt;30 Days</v>
      </c>
    </row>
    <row r="317" spans="1:25" s="64" customFormat="1" ht="15" customHeight="1">
      <c r="A317" s="127" t="s">
        <v>1835</v>
      </c>
      <c r="B317" s="45" t="s">
        <v>245</v>
      </c>
      <c r="C317" s="45" t="s">
        <v>1836</v>
      </c>
      <c r="D317" s="43" t="s">
        <v>555</v>
      </c>
      <c r="E317" s="43" t="s">
        <v>1188</v>
      </c>
      <c r="F317" s="43" t="s">
        <v>1846</v>
      </c>
      <c r="G317" s="41">
        <v>5408</v>
      </c>
      <c r="H317" s="116">
        <v>22</v>
      </c>
      <c r="I317" s="41">
        <v>15</v>
      </c>
      <c r="J317" s="98">
        <f>I317*H317</f>
        <v>330</v>
      </c>
      <c r="K317" s="60" t="s">
        <v>92</v>
      </c>
      <c r="L317" s="60" t="s">
        <v>537</v>
      </c>
      <c r="M317" s="60" t="str" cm="1">
        <f t="array" ref="M317:N317">VLOOKUP(Q317,[1]CFPL!$A:$D,{3,4},0)</f>
        <v>RAISIN</v>
      </c>
      <c r="N317" s="60" t="str">
        <v>Raisin - Indian</v>
      </c>
      <c r="O317" s="60" t="s">
        <v>556</v>
      </c>
      <c r="P317" s="60" t="s">
        <v>93</v>
      </c>
      <c r="Q317" s="60" t="s">
        <v>93</v>
      </c>
      <c r="R317" s="45" t="s">
        <v>516</v>
      </c>
      <c r="S317" s="45" t="s">
        <v>6</v>
      </c>
      <c r="T317" s="45" t="s">
        <v>1711</v>
      </c>
      <c r="U317" s="119">
        <v>364</v>
      </c>
      <c r="V317" s="62">
        <f>U317*J317</f>
        <v>120120</v>
      </c>
      <c r="W317" s="63">
        <f ca="1">$W$4-A317</f>
        <v>6</v>
      </c>
      <c r="X317" s="52" t="str">
        <f ca="1">VLOOKUP(W317,$AA$2:$AB$6,2)</f>
        <v>&lt; 6 Months</v>
      </c>
      <c r="Y317" s="52" t="str">
        <f ca="1">VLOOKUP(W317,$AD$2:$AE$6,2)</f>
        <v>&lt;30 Days</v>
      </c>
    </row>
    <row r="318" spans="1:25" s="64" customFormat="1" ht="15" customHeight="1">
      <c r="A318" s="127" t="s">
        <v>1835</v>
      </c>
      <c r="B318" s="45" t="s">
        <v>245</v>
      </c>
      <c r="C318" s="45" t="s">
        <v>1836</v>
      </c>
      <c r="D318" s="43" t="s">
        <v>555</v>
      </c>
      <c r="E318" s="43" t="s">
        <v>1188</v>
      </c>
      <c r="F318" s="43" t="s">
        <v>1847</v>
      </c>
      <c r="G318" s="41">
        <v>5409</v>
      </c>
      <c r="H318" s="116">
        <v>47</v>
      </c>
      <c r="I318" s="41">
        <v>15</v>
      </c>
      <c r="J318" s="98">
        <f>I318*H318</f>
        <v>705</v>
      </c>
      <c r="K318" s="60" t="s">
        <v>92</v>
      </c>
      <c r="L318" s="60" t="s">
        <v>537</v>
      </c>
      <c r="M318" s="60" t="str" cm="1">
        <f t="array" ref="M318:N318">VLOOKUP(Q318,[1]CFPL!$A:$D,{3,4},0)</f>
        <v>RAISIN</v>
      </c>
      <c r="N318" s="60" t="str">
        <v>Raisin - Indian</v>
      </c>
      <c r="O318" s="60" t="s">
        <v>556</v>
      </c>
      <c r="P318" s="60" t="s">
        <v>93</v>
      </c>
      <c r="Q318" s="60" t="s">
        <v>93</v>
      </c>
      <c r="R318" s="45" t="s">
        <v>516</v>
      </c>
      <c r="S318" s="45" t="s">
        <v>6</v>
      </c>
      <c r="T318" s="45" t="s">
        <v>1711</v>
      </c>
      <c r="U318" s="119">
        <v>364</v>
      </c>
      <c r="V318" s="62">
        <f>U318*J318</f>
        <v>256620</v>
      </c>
      <c r="W318" s="63">
        <f ca="1">$W$4-A318</f>
        <v>6</v>
      </c>
      <c r="X318" s="52" t="str">
        <f ca="1">VLOOKUP(W318,$AA$2:$AB$6,2)</f>
        <v>&lt; 6 Months</v>
      </c>
      <c r="Y318" s="52" t="str">
        <f ca="1">VLOOKUP(W318,$AD$2:$AE$6,2)</f>
        <v>&lt;30 Days</v>
      </c>
    </row>
    <row r="319" spans="1:25" s="64" customFormat="1" ht="15" customHeight="1">
      <c r="A319" s="127" t="s">
        <v>1835</v>
      </c>
      <c r="B319" s="45" t="s">
        <v>245</v>
      </c>
      <c r="C319" s="45" t="s">
        <v>1836</v>
      </c>
      <c r="D319" s="43" t="s">
        <v>555</v>
      </c>
      <c r="E319" s="43" t="s">
        <v>1188</v>
      </c>
      <c r="F319" s="43" t="s">
        <v>1848</v>
      </c>
      <c r="G319" s="41">
        <v>5410</v>
      </c>
      <c r="H319" s="116">
        <v>25</v>
      </c>
      <c r="I319" s="41">
        <v>15</v>
      </c>
      <c r="J319" s="98">
        <f>I319*H319</f>
        <v>375</v>
      </c>
      <c r="K319" s="60" t="s">
        <v>92</v>
      </c>
      <c r="L319" s="60" t="s">
        <v>537</v>
      </c>
      <c r="M319" s="60" t="str" cm="1">
        <f t="array" ref="M319:N319">VLOOKUP(Q319,[1]CFPL!$A:$D,{3,4},0)</f>
        <v>RAISIN</v>
      </c>
      <c r="N319" s="60" t="str">
        <v>Raisin - Indian</v>
      </c>
      <c r="O319" s="60" t="s">
        <v>556</v>
      </c>
      <c r="P319" s="60" t="s">
        <v>93</v>
      </c>
      <c r="Q319" s="60" t="s">
        <v>93</v>
      </c>
      <c r="R319" s="45" t="s">
        <v>516</v>
      </c>
      <c r="S319" s="45" t="s">
        <v>6</v>
      </c>
      <c r="T319" s="45" t="s">
        <v>1711</v>
      </c>
      <c r="U319" s="119">
        <v>364</v>
      </c>
      <c r="V319" s="62">
        <f>U319*J319</f>
        <v>136500</v>
      </c>
      <c r="W319" s="63">
        <f ca="1">$W$4-A319</f>
        <v>6</v>
      </c>
      <c r="X319" s="52" t="str">
        <f ca="1">VLOOKUP(W319,$AA$2:$AB$6,2)</f>
        <v>&lt; 6 Months</v>
      </c>
      <c r="Y319" s="52" t="str">
        <f ca="1">VLOOKUP(W319,$AD$2:$AE$6,2)</f>
        <v>&lt;30 Days</v>
      </c>
    </row>
    <row r="320" spans="1:25" s="64" customFormat="1" ht="15" customHeight="1">
      <c r="A320" s="127" t="s">
        <v>1835</v>
      </c>
      <c r="B320" s="45" t="s">
        <v>245</v>
      </c>
      <c r="C320" s="45" t="s">
        <v>1836</v>
      </c>
      <c r="D320" s="43" t="s">
        <v>555</v>
      </c>
      <c r="E320" s="43" t="s">
        <v>1188</v>
      </c>
      <c r="F320" s="43" t="s">
        <v>1849</v>
      </c>
      <c r="G320" s="41">
        <v>5411</v>
      </c>
      <c r="H320" s="116">
        <v>17</v>
      </c>
      <c r="I320" s="41">
        <v>15</v>
      </c>
      <c r="J320" s="98">
        <f>I320*H320</f>
        <v>255</v>
      </c>
      <c r="K320" s="60" t="s">
        <v>92</v>
      </c>
      <c r="L320" s="60" t="s">
        <v>537</v>
      </c>
      <c r="M320" s="60" t="str" cm="1">
        <f t="array" ref="M320:N320">VLOOKUP(Q320,[1]CFPL!$A:$D,{3,4},0)</f>
        <v>RAISIN</v>
      </c>
      <c r="N320" s="60" t="str">
        <v>Raisin - Indian</v>
      </c>
      <c r="O320" s="60" t="s">
        <v>556</v>
      </c>
      <c r="P320" s="60" t="s">
        <v>93</v>
      </c>
      <c r="Q320" s="60" t="s">
        <v>93</v>
      </c>
      <c r="R320" s="45" t="s">
        <v>516</v>
      </c>
      <c r="S320" s="45" t="s">
        <v>6</v>
      </c>
      <c r="T320" s="45" t="s">
        <v>1711</v>
      </c>
      <c r="U320" s="119">
        <v>364</v>
      </c>
      <c r="V320" s="62">
        <f>U320*J320</f>
        <v>92820</v>
      </c>
      <c r="W320" s="63">
        <f ca="1">$W$4-A320</f>
        <v>6</v>
      </c>
      <c r="X320" s="52" t="str">
        <f ca="1">VLOOKUP(W320,$AA$2:$AB$6,2)</f>
        <v>&lt; 6 Months</v>
      </c>
      <c r="Y320" s="52" t="str">
        <f ca="1">VLOOKUP(W320,$AD$2:$AE$6,2)</f>
        <v>&lt;30 Days</v>
      </c>
    </row>
    <row r="321" spans="1:25" s="64" customFormat="1" ht="15" customHeight="1">
      <c r="A321" s="127" t="s">
        <v>1835</v>
      </c>
      <c r="B321" s="45" t="s">
        <v>245</v>
      </c>
      <c r="C321" s="45" t="s">
        <v>1836</v>
      </c>
      <c r="D321" s="43" t="s">
        <v>555</v>
      </c>
      <c r="E321" s="43" t="s">
        <v>1188</v>
      </c>
      <c r="F321" s="43" t="s">
        <v>1850</v>
      </c>
      <c r="G321" s="41">
        <v>5412</v>
      </c>
      <c r="H321" s="116">
        <v>35</v>
      </c>
      <c r="I321" s="41">
        <v>15</v>
      </c>
      <c r="J321" s="98">
        <f>I321*H321</f>
        <v>525</v>
      </c>
      <c r="K321" s="60" t="s">
        <v>92</v>
      </c>
      <c r="L321" s="60" t="s">
        <v>537</v>
      </c>
      <c r="M321" s="60" t="str" cm="1">
        <f t="array" ref="M321:N321">VLOOKUP(Q321,[1]CFPL!$A:$D,{3,4},0)</f>
        <v>RAISIN</v>
      </c>
      <c r="N321" s="60" t="str">
        <v>Raisin - Indian</v>
      </c>
      <c r="O321" s="60" t="s">
        <v>556</v>
      </c>
      <c r="P321" s="60" t="s">
        <v>93</v>
      </c>
      <c r="Q321" s="60" t="s">
        <v>93</v>
      </c>
      <c r="R321" s="45" t="s">
        <v>516</v>
      </c>
      <c r="S321" s="45" t="s">
        <v>6</v>
      </c>
      <c r="T321" s="45" t="s">
        <v>1711</v>
      </c>
      <c r="U321" s="119">
        <v>364</v>
      </c>
      <c r="V321" s="62">
        <f>U321*J321</f>
        <v>191100</v>
      </c>
      <c r="W321" s="63">
        <f ca="1">$W$4-A321</f>
        <v>6</v>
      </c>
      <c r="X321" s="52" t="str">
        <f ca="1">VLOOKUP(W321,$AA$2:$AB$6,2)</f>
        <v>&lt; 6 Months</v>
      </c>
      <c r="Y321" s="52" t="str">
        <f ca="1">VLOOKUP(W321,$AD$2:$AE$6,2)</f>
        <v>&lt;30 Days</v>
      </c>
    </row>
    <row r="322" spans="1:25" s="64" customFormat="1" ht="15" customHeight="1">
      <c r="A322" s="127" t="s">
        <v>1835</v>
      </c>
      <c r="B322" s="45" t="s">
        <v>245</v>
      </c>
      <c r="C322" s="45" t="s">
        <v>1836</v>
      </c>
      <c r="D322" s="43" t="s">
        <v>555</v>
      </c>
      <c r="E322" s="43" t="s">
        <v>1188</v>
      </c>
      <c r="F322" s="43" t="s">
        <v>1851</v>
      </c>
      <c r="G322" s="41">
        <v>5413</v>
      </c>
      <c r="H322" s="116">
        <v>19</v>
      </c>
      <c r="I322" s="41">
        <v>15</v>
      </c>
      <c r="J322" s="98">
        <f>I322*H322</f>
        <v>285</v>
      </c>
      <c r="K322" s="60" t="s">
        <v>92</v>
      </c>
      <c r="L322" s="60" t="s">
        <v>537</v>
      </c>
      <c r="M322" s="60" t="str" cm="1">
        <f t="array" ref="M322:N322">VLOOKUP(Q322,[1]CFPL!$A:$D,{3,4},0)</f>
        <v>RAISIN</v>
      </c>
      <c r="N322" s="60" t="str">
        <v>Raisin - Indian</v>
      </c>
      <c r="O322" s="60" t="s">
        <v>556</v>
      </c>
      <c r="P322" s="60" t="s">
        <v>93</v>
      </c>
      <c r="Q322" s="60" t="s">
        <v>93</v>
      </c>
      <c r="R322" s="45" t="s">
        <v>516</v>
      </c>
      <c r="S322" s="45" t="s">
        <v>6</v>
      </c>
      <c r="T322" s="45" t="s">
        <v>1711</v>
      </c>
      <c r="U322" s="119">
        <v>364</v>
      </c>
      <c r="V322" s="62">
        <f>U322*J322</f>
        <v>103740</v>
      </c>
      <c r="W322" s="63">
        <f ca="1">$W$4-A322</f>
        <v>6</v>
      </c>
      <c r="X322" s="52" t="str">
        <f ca="1">VLOOKUP(W322,$AA$2:$AB$6,2)</f>
        <v>&lt; 6 Months</v>
      </c>
      <c r="Y322" s="52" t="str">
        <f ca="1">VLOOKUP(W322,$AD$2:$AE$6,2)</f>
        <v>&lt;30 Days</v>
      </c>
    </row>
    <row r="323" spans="1:25" s="64" customFormat="1" ht="15" customHeight="1">
      <c r="A323" s="127" t="s">
        <v>1835</v>
      </c>
      <c r="B323" s="45" t="s">
        <v>245</v>
      </c>
      <c r="C323" s="45" t="s">
        <v>1836</v>
      </c>
      <c r="D323" s="43" t="s">
        <v>555</v>
      </c>
      <c r="E323" s="43" t="s">
        <v>1188</v>
      </c>
      <c r="F323" s="43" t="s">
        <v>1852</v>
      </c>
      <c r="G323" s="41">
        <v>5414</v>
      </c>
      <c r="H323" s="116">
        <v>34</v>
      </c>
      <c r="I323" s="41">
        <v>15</v>
      </c>
      <c r="J323" s="98">
        <f>I323*H323</f>
        <v>510</v>
      </c>
      <c r="K323" s="60" t="s">
        <v>92</v>
      </c>
      <c r="L323" s="60" t="s">
        <v>537</v>
      </c>
      <c r="M323" s="60" t="str" cm="1">
        <f t="array" ref="M323:N323">VLOOKUP(Q323,[1]CFPL!$A:$D,{3,4},0)</f>
        <v>RAISIN</v>
      </c>
      <c r="N323" s="60" t="str">
        <v>Raisin - Indian</v>
      </c>
      <c r="O323" s="60" t="s">
        <v>556</v>
      </c>
      <c r="P323" s="60" t="s">
        <v>93</v>
      </c>
      <c r="Q323" s="60" t="s">
        <v>93</v>
      </c>
      <c r="R323" s="45" t="s">
        <v>516</v>
      </c>
      <c r="S323" s="45" t="s">
        <v>6</v>
      </c>
      <c r="T323" s="45" t="s">
        <v>1711</v>
      </c>
      <c r="U323" s="119">
        <v>364</v>
      </c>
      <c r="V323" s="62">
        <f>U323*J323</f>
        <v>185640</v>
      </c>
      <c r="W323" s="63">
        <f ca="1">$W$4-A323</f>
        <v>6</v>
      </c>
      <c r="X323" s="52" t="str">
        <f ca="1">VLOOKUP(W323,$AA$2:$AB$6,2)</f>
        <v>&lt; 6 Months</v>
      </c>
      <c r="Y323" s="52" t="str">
        <f ca="1">VLOOKUP(W323,$AD$2:$AE$6,2)</f>
        <v>&lt;30 Days</v>
      </c>
    </row>
    <row r="324" spans="1:25" s="64" customFormat="1" ht="15" customHeight="1">
      <c r="A324" s="127" t="s">
        <v>1835</v>
      </c>
      <c r="B324" s="45" t="s">
        <v>245</v>
      </c>
      <c r="C324" s="45" t="s">
        <v>1836</v>
      </c>
      <c r="D324" s="43" t="s">
        <v>555</v>
      </c>
      <c r="E324" s="43" t="s">
        <v>1188</v>
      </c>
      <c r="F324" s="43" t="s">
        <v>1853</v>
      </c>
      <c r="G324" s="41">
        <v>5415</v>
      </c>
      <c r="H324" s="116">
        <v>11</v>
      </c>
      <c r="I324" s="41">
        <v>15</v>
      </c>
      <c r="J324" s="98">
        <f>I324*H324</f>
        <v>165</v>
      </c>
      <c r="K324" s="60" t="s">
        <v>92</v>
      </c>
      <c r="L324" s="60" t="s">
        <v>537</v>
      </c>
      <c r="M324" s="60" t="str" cm="1">
        <f t="array" ref="M324:N324">VLOOKUP(Q324,[1]CFPL!$A:$D,{3,4},0)</f>
        <v>RAISIN</v>
      </c>
      <c r="N324" s="60" t="str">
        <v>Raisin - Indian</v>
      </c>
      <c r="O324" s="60" t="s">
        <v>556</v>
      </c>
      <c r="P324" s="60" t="s">
        <v>93</v>
      </c>
      <c r="Q324" s="60" t="s">
        <v>93</v>
      </c>
      <c r="R324" s="45" t="s">
        <v>516</v>
      </c>
      <c r="S324" s="45" t="s">
        <v>6</v>
      </c>
      <c r="T324" s="45" t="s">
        <v>1711</v>
      </c>
      <c r="U324" s="119">
        <v>364</v>
      </c>
      <c r="V324" s="62">
        <f>U324*J324</f>
        <v>60060</v>
      </c>
      <c r="W324" s="63">
        <f ca="1">$W$4-A324</f>
        <v>6</v>
      </c>
      <c r="X324" s="52" t="str">
        <f ca="1">VLOOKUP(W324,$AA$2:$AB$6,2)</f>
        <v>&lt; 6 Months</v>
      </c>
      <c r="Y324" s="52" t="str">
        <f ca="1">VLOOKUP(W324,$AD$2:$AE$6,2)</f>
        <v>&lt;30 Days</v>
      </c>
    </row>
    <row r="325" spans="1:25" s="64" customFormat="1" ht="15" customHeight="1">
      <c r="A325" s="127" t="s">
        <v>1835</v>
      </c>
      <c r="B325" s="45" t="s">
        <v>245</v>
      </c>
      <c r="C325" s="45" t="s">
        <v>1836</v>
      </c>
      <c r="D325" s="43" t="s">
        <v>555</v>
      </c>
      <c r="E325" s="43" t="s">
        <v>1188</v>
      </c>
      <c r="F325" s="43" t="s">
        <v>1854</v>
      </c>
      <c r="G325" s="41">
        <v>5416</v>
      </c>
      <c r="H325" s="116">
        <v>15</v>
      </c>
      <c r="I325" s="41">
        <v>15</v>
      </c>
      <c r="J325" s="98">
        <f>I325*H325</f>
        <v>225</v>
      </c>
      <c r="K325" s="60" t="s">
        <v>92</v>
      </c>
      <c r="L325" s="60" t="s">
        <v>537</v>
      </c>
      <c r="M325" s="60" t="str" cm="1">
        <f t="array" ref="M325:N325">VLOOKUP(Q325,[1]CFPL!$A:$D,{3,4},0)</f>
        <v>RAISIN</v>
      </c>
      <c r="N325" s="60" t="str">
        <v>Raisin - Indian</v>
      </c>
      <c r="O325" s="60" t="s">
        <v>556</v>
      </c>
      <c r="P325" s="60" t="s">
        <v>93</v>
      </c>
      <c r="Q325" s="60" t="s">
        <v>93</v>
      </c>
      <c r="R325" s="45" t="s">
        <v>516</v>
      </c>
      <c r="S325" s="45" t="s">
        <v>6</v>
      </c>
      <c r="T325" s="45" t="s">
        <v>1711</v>
      </c>
      <c r="U325" s="119">
        <v>364</v>
      </c>
      <c r="V325" s="62">
        <f>U325*J325</f>
        <v>81900</v>
      </c>
      <c r="W325" s="63">
        <f ca="1">$W$4-A325</f>
        <v>6</v>
      </c>
      <c r="X325" s="52" t="str">
        <f ca="1">VLOOKUP(W325,$AA$2:$AB$6,2)</f>
        <v>&lt; 6 Months</v>
      </c>
      <c r="Y325" s="52" t="str">
        <f ca="1">VLOOKUP(W325,$AD$2:$AE$6,2)</f>
        <v>&lt;30 Days</v>
      </c>
    </row>
    <row r="326" spans="1:25" s="64" customFormat="1" ht="15" customHeight="1">
      <c r="A326" s="127" t="s">
        <v>1835</v>
      </c>
      <c r="B326" s="45" t="s">
        <v>245</v>
      </c>
      <c r="C326" s="45" t="s">
        <v>1836</v>
      </c>
      <c r="D326" s="43" t="s">
        <v>555</v>
      </c>
      <c r="E326" s="43" t="s">
        <v>1188</v>
      </c>
      <c r="F326" s="43" t="s">
        <v>1855</v>
      </c>
      <c r="G326" s="41">
        <v>5417</v>
      </c>
      <c r="H326" s="116">
        <v>20</v>
      </c>
      <c r="I326" s="41">
        <v>15</v>
      </c>
      <c r="J326" s="98">
        <f>I326*H326</f>
        <v>300</v>
      </c>
      <c r="K326" s="60" t="s">
        <v>92</v>
      </c>
      <c r="L326" s="60" t="s">
        <v>537</v>
      </c>
      <c r="M326" s="60" t="str" cm="1">
        <f t="array" ref="M326:N326">VLOOKUP(Q326,[1]CFPL!$A:$D,{3,4},0)</f>
        <v>RAISIN</v>
      </c>
      <c r="N326" s="60" t="str">
        <v>Raisin - Indian</v>
      </c>
      <c r="O326" s="60" t="s">
        <v>556</v>
      </c>
      <c r="P326" s="60" t="s">
        <v>93</v>
      </c>
      <c r="Q326" s="60" t="s">
        <v>93</v>
      </c>
      <c r="R326" s="45" t="s">
        <v>516</v>
      </c>
      <c r="S326" s="45" t="s">
        <v>6</v>
      </c>
      <c r="T326" s="45" t="s">
        <v>1711</v>
      </c>
      <c r="U326" s="119">
        <v>364</v>
      </c>
      <c r="V326" s="62">
        <f>U326*J326</f>
        <v>109200</v>
      </c>
      <c r="W326" s="63">
        <f ca="1">$W$4-A326</f>
        <v>6</v>
      </c>
      <c r="X326" s="52" t="str">
        <f ca="1">VLOOKUP(W326,$AA$2:$AB$6,2)</f>
        <v>&lt; 6 Months</v>
      </c>
      <c r="Y326" s="52" t="str">
        <f ca="1">VLOOKUP(W326,$AD$2:$AE$6,2)</f>
        <v>&lt;30 Days</v>
      </c>
    </row>
    <row r="327" spans="1:25" s="64" customFormat="1" ht="15" customHeight="1">
      <c r="A327" s="127" t="s">
        <v>1835</v>
      </c>
      <c r="B327" s="45" t="s">
        <v>245</v>
      </c>
      <c r="C327" s="45" t="s">
        <v>1836</v>
      </c>
      <c r="D327" s="43" t="s">
        <v>555</v>
      </c>
      <c r="E327" s="43" t="s">
        <v>1188</v>
      </c>
      <c r="F327" s="43" t="s">
        <v>1856</v>
      </c>
      <c r="G327" s="41">
        <v>5418</v>
      </c>
      <c r="H327" s="116">
        <v>21</v>
      </c>
      <c r="I327" s="41">
        <v>15</v>
      </c>
      <c r="J327" s="98">
        <f>I327*H327</f>
        <v>315</v>
      </c>
      <c r="K327" s="60" t="s">
        <v>92</v>
      </c>
      <c r="L327" s="60" t="s">
        <v>537</v>
      </c>
      <c r="M327" s="60" t="str" cm="1">
        <f t="array" ref="M327:N327">VLOOKUP(Q327,[1]CFPL!$A:$D,{3,4},0)</f>
        <v>RAISIN</v>
      </c>
      <c r="N327" s="60" t="str">
        <v>Raisin - Indian</v>
      </c>
      <c r="O327" s="60" t="s">
        <v>556</v>
      </c>
      <c r="P327" s="60" t="s">
        <v>93</v>
      </c>
      <c r="Q327" s="60" t="s">
        <v>93</v>
      </c>
      <c r="R327" s="45" t="s">
        <v>516</v>
      </c>
      <c r="S327" s="45" t="s">
        <v>6</v>
      </c>
      <c r="T327" s="45" t="s">
        <v>1711</v>
      </c>
      <c r="U327" s="119">
        <v>364</v>
      </c>
      <c r="V327" s="62">
        <f>U327*J327</f>
        <v>114660</v>
      </c>
      <c r="W327" s="63">
        <f ca="1">$W$4-A327</f>
        <v>6</v>
      </c>
      <c r="X327" s="52" t="str">
        <f ca="1">VLOOKUP(W327,$AA$2:$AB$6,2)</f>
        <v>&lt; 6 Months</v>
      </c>
      <c r="Y327" s="52" t="str">
        <f ca="1">VLOOKUP(W327,$AD$2:$AE$6,2)</f>
        <v>&lt;30 Days</v>
      </c>
    </row>
    <row r="328" spans="1:25" s="64" customFormat="1" ht="15" customHeight="1">
      <c r="A328" s="127" t="s">
        <v>1835</v>
      </c>
      <c r="B328" s="45" t="s">
        <v>245</v>
      </c>
      <c r="C328" s="45" t="s">
        <v>1836</v>
      </c>
      <c r="D328" s="43" t="s">
        <v>555</v>
      </c>
      <c r="E328" s="43" t="s">
        <v>1188</v>
      </c>
      <c r="F328" s="43" t="s">
        <v>1857</v>
      </c>
      <c r="G328" s="41">
        <v>5419</v>
      </c>
      <c r="H328" s="116">
        <v>34</v>
      </c>
      <c r="I328" s="41">
        <v>15</v>
      </c>
      <c r="J328" s="98">
        <f>I328*H328</f>
        <v>510</v>
      </c>
      <c r="K328" s="60" t="s">
        <v>92</v>
      </c>
      <c r="L328" s="60" t="s">
        <v>537</v>
      </c>
      <c r="M328" s="60" t="str" cm="1">
        <f t="array" ref="M328:N328">VLOOKUP(Q328,[1]CFPL!$A:$D,{3,4},0)</f>
        <v>RAISIN</v>
      </c>
      <c r="N328" s="60" t="str">
        <v>Raisin - Indian</v>
      </c>
      <c r="O328" s="60" t="s">
        <v>556</v>
      </c>
      <c r="P328" s="60" t="s">
        <v>93</v>
      </c>
      <c r="Q328" s="60" t="s">
        <v>93</v>
      </c>
      <c r="R328" s="45" t="s">
        <v>516</v>
      </c>
      <c r="S328" s="45" t="s">
        <v>6</v>
      </c>
      <c r="T328" s="45" t="s">
        <v>1711</v>
      </c>
      <c r="U328" s="119">
        <v>364</v>
      </c>
      <c r="V328" s="62">
        <f>U328*J328</f>
        <v>185640</v>
      </c>
      <c r="W328" s="63">
        <f ca="1">$W$4-A328</f>
        <v>6</v>
      </c>
      <c r="X328" s="52" t="str">
        <f ca="1">VLOOKUP(W328,$AA$2:$AB$6,2)</f>
        <v>&lt; 6 Months</v>
      </c>
      <c r="Y328" s="52" t="str">
        <f ca="1">VLOOKUP(W328,$AD$2:$AE$6,2)</f>
        <v>&lt;30 Days</v>
      </c>
    </row>
    <row r="329" spans="1:25" s="64" customFormat="1" ht="15" customHeight="1">
      <c r="A329" s="127" t="s">
        <v>1835</v>
      </c>
      <c r="B329" s="45" t="s">
        <v>245</v>
      </c>
      <c r="C329" s="45" t="s">
        <v>1836</v>
      </c>
      <c r="D329" s="43" t="s">
        <v>555</v>
      </c>
      <c r="E329" s="43" t="s">
        <v>1188</v>
      </c>
      <c r="F329" s="43" t="s">
        <v>1844</v>
      </c>
      <c r="G329" s="41">
        <v>5420</v>
      </c>
      <c r="H329" s="116">
        <v>21</v>
      </c>
      <c r="I329" s="41">
        <v>15</v>
      </c>
      <c r="J329" s="98">
        <f>I329*H329</f>
        <v>315</v>
      </c>
      <c r="K329" s="60" t="s">
        <v>92</v>
      </c>
      <c r="L329" s="60" t="s">
        <v>537</v>
      </c>
      <c r="M329" s="60" t="str" cm="1">
        <f t="array" ref="M329:N329">VLOOKUP(Q329,[1]CFPL!$A:$D,{3,4},0)</f>
        <v>RAISIN</v>
      </c>
      <c r="N329" s="60" t="str">
        <v>Raisin - Indian</v>
      </c>
      <c r="O329" s="60" t="s">
        <v>556</v>
      </c>
      <c r="P329" s="60" t="s">
        <v>93</v>
      </c>
      <c r="Q329" s="60" t="s">
        <v>93</v>
      </c>
      <c r="R329" s="45" t="s">
        <v>516</v>
      </c>
      <c r="S329" s="45" t="s">
        <v>6</v>
      </c>
      <c r="T329" s="45" t="s">
        <v>1711</v>
      </c>
      <c r="U329" s="119">
        <v>364</v>
      </c>
      <c r="V329" s="62">
        <f>U329*J329</f>
        <v>114660</v>
      </c>
      <c r="W329" s="63">
        <f ca="1">$W$4-A329</f>
        <v>6</v>
      </c>
      <c r="X329" s="52" t="str">
        <f ca="1">VLOOKUP(W329,$AA$2:$AB$6,2)</f>
        <v>&lt; 6 Months</v>
      </c>
      <c r="Y329" s="52" t="str">
        <f ca="1">VLOOKUP(W329,$AD$2:$AE$6,2)</f>
        <v>&lt;30 Days</v>
      </c>
    </row>
    <row r="330" spans="1:25" s="64" customFormat="1" ht="15" customHeight="1">
      <c r="A330" s="127" t="s">
        <v>1835</v>
      </c>
      <c r="B330" s="45" t="s">
        <v>245</v>
      </c>
      <c r="C330" s="45" t="s">
        <v>1836</v>
      </c>
      <c r="D330" s="43" t="s">
        <v>555</v>
      </c>
      <c r="E330" s="43" t="s">
        <v>1188</v>
      </c>
      <c r="F330" s="43" t="s">
        <v>1840</v>
      </c>
      <c r="G330" s="41">
        <v>5402</v>
      </c>
      <c r="H330" s="116">
        <v>66</v>
      </c>
      <c r="I330" s="41">
        <v>15</v>
      </c>
      <c r="J330" s="98">
        <f>I330*H330</f>
        <v>990</v>
      </c>
      <c r="K330" s="60" t="s">
        <v>92</v>
      </c>
      <c r="L330" s="60" t="s">
        <v>537</v>
      </c>
      <c r="M330" s="60" t="str" cm="1">
        <f t="array" ref="M330:N330">VLOOKUP(Q330,[1]CFPL!$A:$D,{3,4},0)</f>
        <v>RAISIN</v>
      </c>
      <c r="N330" s="60" t="str">
        <v>Raisin - Indian</v>
      </c>
      <c r="O330" s="60" t="s">
        <v>556</v>
      </c>
      <c r="P330" s="60" t="s">
        <v>93</v>
      </c>
      <c r="Q330" s="60" t="s">
        <v>93</v>
      </c>
      <c r="R330" s="45" t="s">
        <v>516</v>
      </c>
      <c r="S330" s="45" t="s">
        <v>6</v>
      </c>
      <c r="T330" s="45" t="s">
        <v>1711</v>
      </c>
      <c r="U330" s="119">
        <v>364</v>
      </c>
      <c r="V330" s="62">
        <f>U330*J330</f>
        <v>360360</v>
      </c>
      <c r="W330" s="63">
        <f ca="1">$W$4-A330</f>
        <v>6</v>
      </c>
      <c r="X330" s="52" t="str">
        <f ca="1">VLOOKUP(W330,$AA$2:$AB$6,2)</f>
        <v>&lt; 6 Months</v>
      </c>
      <c r="Y330" s="52" t="str">
        <f ca="1">VLOOKUP(W330,$AD$2:$AE$6,2)</f>
        <v>&lt;30 Days</v>
      </c>
    </row>
    <row r="331" spans="1:25" s="64" customFormat="1" ht="15" customHeight="1">
      <c r="A331" s="127" t="s">
        <v>1835</v>
      </c>
      <c r="B331" s="45" t="s">
        <v>245</v>
      </c>
      <c r="C331" s="45" t="s">
        <v>1836</v>
      </c>
      <c r="D331" s="43" t="s">
        <v>555</v>
      </c>
      <c r="E331" s="43" t="s">
        <v>1188</v>
      </c>
      <c r="F331" s="43" t="s">
        <v>1837</v>
      </c>
      <c r="G331" s="41">
        <v>5399</v>
      </c>
      <c r="H331" s="116">
        <v>69</v>
      </c>
      <c r="I331" s="41">
        <v>15</v>
      </c>
      <c r="J331" s="98">
        <f>I331*H331</f>
        <v>1035</v>
      </c>
      <c r="K331" s="60" t="s">
        <v>92</v>
      </c>
      <c r="L331" s="60" t="s">
        <v>537</v>
      </c>
      <c r="M331" s="60" t="str" cm="1">
        <f t="array" ref="M331:N331">VLOOKUP(Q331,[1]CFPL!$A:$D,{3,4},0)</f>
        <v>RAISIN</v>
      </c>
      <c r="N331" s="60" t="str">
        <v>Raisin - Indian</v>
      </c>
      <c r="O331" s="60" t="s">
        <v>556</v>
      </c>
      <c r="P331" s="60" t="s">
        <v>93</v>
      </c>
      <c r="Q331" s="60" t="s">
        <v>93</v>
      </c>
      <c r="R331" s="45" t="s">
        <v>516</v>
      </c>
      <c r="S331" s="45" t="s">
        <v>6</v>
      </c>
      <c r="T331" s="45" t="s">
        <v>1711</v>
      </c>
      <c r="U331" s="119">
        <v>364</v>
      </c>
      <c r="V331" s="62">
        <f>U331*J331</f>
        <v>376740</v>
      </c>
      <c r="W331" s="63">
        <f ca="1">$W$4-A331</f>
        <v>6</v>
      </c>
      <c r="X331" s="52" t="str">
        <f ca="1">VLOOKUP(W331,$AA$2:$AB$6,2)</f>
        <v>&lt; 6 Months</v>
      </c>
      <c r="Y331" s="52" t="str">
        <f ca="1">VLOOKUP(W331,$AD$2:$AE$6,2)</f>
        <v>&lt;30 Days</v>
      </c>
    </row>
    <row r="332" spans="1:25" s="64" customFormat="1" ht="15" customHeight="1">
      <c r="A332" s="127" t="s">
        <v>1835</v>
      </c>
      <c r="B332" s="45" t="s">
        <v>245</v>
      </c>
      <c r="C332" s="45" t="s">
        <v>1836</v>
      </c>
      <c r="D332" s="43" t="s">
        <v>555</v>
      </c>
      <c r="E332" s="43" t="s">
        <v>1188</v>
      </c>
      <c r="F332" s="43" t="s">
        <v>1838</v>
      </c>
      <c r="G332" s="41">
        <v>5400</v>
      </c>
      <c r="H332" s="116">
        <v>44</v>
      </c>
      <c r="I332" s="41">
        <v>15</v>
      </c>
      <c r="J332" s="98">
        <f>I332*H332</f>
        <v>660</v>
      </c>
      <c r="K332" s="60" t="s">
        <v>92</v>
      </c>
      <c r="L332" s="60" t="s">
        <v>537</v>
      </c>
      <c r="M332" s="60" t="str" cm="1">
        <f t="array" ref="M332:N332">VLOOKUP(Q332,[1]CFPL!$A:$D,{3,4},0)</f>
        <v>RAISIN</v>
      </c>
      <c r="N332" s="60" t="str">
        <v>Raisin - Indian</v>
      </c>
      <c r="O332" s="60" t="s">
        <v>556</v>
      </c>
      <c r="P332" s="60" t="s">
        <v>93</v>
      </c>
      <c r="Q332" s="60" t="s">
        <v>93</v>
      </c>
      <c r="R332" s="45" t="s">
        <v>516</v>
      </c>
      <c r="S332" s="45" t="s">
        <v>6</v>
      </c>
      <c r="T332" s="45" t="s">
        <v>1711</v>
      </c>
      <c r="U332" s="119">
        <v>364</v>
      </c>
      <c r="V332" s="62">
        <f>U332*J332</f>
        <v>240240</v>
      </c>
      <c r="W332" s="63">
        <f ca="1">$W$4-A332</f>
        <v>6</v>
      </c>
      <c r="X332" s="52" t="str">
        <f ca="1">VLOOKUP(W332,$AA$2:$AB$6,2)</f>
        <v>&lt; 6 Months</v>
      </c>
      <c r="Y332" s="52" t="str">
        <f ca="1">VLOOKUP(W332,$AD$2:$AE$6,2)</f>
        <v>&lt;30 Days</v>
      </c>
    </row>
    <row r="333" spans="1:25" s="64" customFormat="1" ht="15" customHeight="1">
      <c r="A333" s="127" t="s">
        <v>1835</v>
      </c>
      <c r="B333" s="45" t="s">
        <v>245</v>
      </c>
      <c r="C333" s="45" t="s">
        <v>1836</v>
      </c>
      <c r="D333" s="43" t="s">
        <v>555</v>
      </c>
      <c r="E333" s="43" t="s">
        <v>1188</v>
      </c>
      <c r="F333" s="43" t="s">
        <v>1839</v>
      </c>
      <c r="G333" s="41">
        <v>5401</v>
      </c>
      <c r="H333" s="116">
        <v>132</v>
      </c>
      <c r="I333" s="41">
        <v>15</v>
      </c>
      <c r="J333" s="98">
        <f>I333*H333</f>
        <v>1980</v>
      </c>
      <c r="K333" s="60" t="s">
        <v>92</v>
      </c>
      <c r="L333" s="60" t="s">
        <v>537</v>
      </c>
      <c r="M333" s="60" t="str" cm="1">
        <f t="array" ref="M333:N333">VLOOKUP(Q333,[1]CFPL!$A:$D,{3,4},0)</f>
        <v>RAISIN</v>
      </c>
      <c r="N333" s="60" t="str">
        <v>Raisin - Indian</v>
      </c>
      <c r="O333" s="60" t="s">
        <v>556</v>
      </c>
      <c r="P333" s="60" t="s">
        <v>93</v>
      </c>
      <c r="Q333" s="60" t="s">
        <v>93</v>
      </c>
      <c r="R333" s="45" t="s">
        <v>516</v>
      </c>
      <c r="S333" s="45" t="s">
        <v>6</v>
      </c>
      <c r="T333" s="45" t="s">
        <v>1711</v>
      </c>
      <c r="U333" s="119">
        <v>364</v>
      </c>
      <c r="V333" s="62">
        <f>U333*J333</f>
        <v>720720</v>
      </c>
      <c r="W333" s="63">
        <f ca="1">$W$4-A333</f>
        <v>6</v>
      </c>
      <c r="X333" s="52" t="str">
        <f ca="1">VLOOKUP(W333,$AA$2:$AB$6,2)</f>
        <v>&lt; 6 Months</v>
      </c>
      <c r="Y333" s="52" t="str">
        <f ca="1">VLOOKUP(W333,$AD$2:$AE$6,2)</f>
        <v>&lt;30 Days</v>
      </c>
    </row>
    <row r="334" spans="1:25" s="64" customFormat="1" ht="15" customHeight="1">
      <c r="A334" s="127" t="s">
        <v>1835</v>
      </c>
      <c r="B334" s="45" t="s">
        <v>245</v>
      </c>
      <c r="C334" s="45" t="s">
        <v>1836</v>
      </c>
      <c r="D334" s="43" t="s">
        <v>555</v>
      </c>
      <c r="E334" s="43" t="s">
        <v>1188</v>
      </c>
      <c r="F334" s="43" t="s">
        <v>1858</v>
      </c>
      <c r="G334" s="41">
        <v>5398</v>
      </c>
      <c r="H334" s="116">
        <v>29</v>
      </c>
      <c r="I334" s="41">
        <v>15</v>
      </c>
      <c r="J334" s="98">
        <f>I334*H334</f>
        <v>435</v>
      </c>
      <c r="K334" s="60" t="s">
        <v>92</v>
      </c>
      <c r="L334" s="60" t="s">
        <v>537</v>
      </c>
      <c r="M334" s="60" t="str" cm="1">
        <f t="array" ref="M334:N334">VLOOKUP(Q334,[1]CFPL!$A:$D,{3,4},0)</f>
        <v>RAISIN</v>
      </c>
      <c r="N334" s="60" t="str">
        <v>Raisin - Indian</v>
      </c>
      <c r="O334" s="60" t="s">
        <v>556</v>
      </c>
      <c r="P334" s="60" t="s">
        <v>93</v>
      </c>
      <c r="Q334" s="60" t="s">
        <v>93</v>
      </c>
      <c r="R334" s="45" t="s">
        <v>516</v>
      </c>
      <c r="S334" s="45" t="s">
        <v>6</v>
      </c>
      <c r="T334" s="45" t="s">
        <v>1711</v>
      </c>
      <c r="U334" s="119">
        <v>364</v>
      </c>
      <c r="V334" s="62">
        <f>U334*J334</f>
        <v>158340</v>
      </c>
      <c r="W334" s="63">
        <f ca="1">$W$4-A334</f>
        <v>6</v>
      </c>
      <c r="X334" s="52" t="str">
        <f ca="1">VLOOKUP(W334,$AA$2:$AB$6,2)</f>
        <v>&lt; 6 Months</v>
      </c>
      <c r="Y334" s="52" t="str">
        <f ca="1">VLOOKUP(W334,$AD$2:$AE$6,2)</f>
        <v>&lt;30 Days</v>
      </c>
    </row>
    <row r="335" spans="1:25" s="64" customFormat="1" ht="15" customHeight="1">
      <c r="A335" s="127" t="s">
        <v>1835</v>
      </c>
      <c r="B335" s="45" t="s">
        <v>245</v>
      </c>
      <c r="C335" s="45" t="s">
        <v>1836</v>
      </c>
      <c r="D335" s="43" t="s">
        <v>555</v>
      </c>
      <c r="E335" s="43" t="s">
        <v>1188</v>
      </c>
      <c r="F335" s="43" t="s">
        <v>1859</v>
      </c>
      <c r="G335" s="41">
        <v>5397</v>
      </c>
      <c r="H335" s="116">
        <v>52</v>
      </c>
      <c r="I335" s="41">
        <v>15</v>
      </c>
      <c r="J335" s="98">
        <f>I335*H335</f>
        <v>780</v>
      </c>
      <c r="K335" s="60" t="s">
        <v>92</v>
      </c>
      <c r="L335" s="60" t="s">
        <v>537</v>
      </c>
      <c r="M335" s="60" t="str" cm="1">
        <f t="array" ref="M335:N335">VLOOKUP(Q335,[1]CFPL!$A:$D,{3,4},0)</f>
        <v>RAISIN</v>
      </c>
      <c r="N335" s="60" t="str">
        <v>Raisin - Indian</v>
      </c>
      <c r="O335" s="60" t="s">
        <v>556</v>
      </c>
      <c r="P335" s="60" t="s">
        <v>93</v>
      </c>
      <c r="Q335" s="60" t="s">
        <v>93</v>
      </c>
      <c r="R335" s="45" t="s">
        <v>516</v>
      </c>
      <c r="S335" s="45" t="s">
        <v>6</v>
      </c>
      <c r="T335" s="45" t="s">
        <v>1711</v>
      </c>
      <c r="U335" s="119">
        <v>364</v>
      </c>
      <c r="V335" s="62">
        <f>U335*J335</f>
        <v>283920</v>
      </c>
      <c r="W335" s="63">
        <f ca="1">$W$4-A335</f>
        <v>6</v>
      </c>
      <c r="X335" s="52" t="str">
        <f ca="1">VLOOKUP(W335,$AA$2:$AB$6,2)</f>
        <v>&lt; 6 Months</v>
      </c>
      <c r="Y335" s="52" t="str">
        <f ca="1">VLOOKUP(W335,$AD$2:$AE$6,2)</f>
        <v>&lt;30 Days</v>
      </c>
    </row>
    <row r="336" spans="1:25" s="64" customFormat="1" ht="15" customHeight="1">
      <c r="A336" s="127" t="s">
        <v>1835</v>
      </c>
      <c r="B336" s="45" t="s">
        <v>245</v>
      </c>
      <c r="C336" s="45" t="s">
        <v>1860</v>
      </c>
      <c r="D336" s="43" t="s">
        <v>1322</v>
      </c>
      <c r="E336" s="43" t="s">
        <v>1323</v>
      </c>
      <c r="F336" s="43" t="s">
        <v>248</v>
      </c>
      <c r="G336" s="41">
        <v>5396</v>
      </c>
      <c r="H336" s="116">
        <v>120</v>
      </c>
      <c r="I336" s="41">
        <v>11.34</v>
      </c>
      <c r="J336" s="98">
        <f>I336*H336</f>
        <v>1360.8</v>
      </c>
      <c r="K336" s="60" t="s">
        <v>83</v>
      </c>
      <c r="L336" s="60" t="s">
        <v>1386</v>
      </c>
      <c r="M336" s="60" t="str" cm="1">
        <f t="array" ref="M336:N336">VLOOKUP(Q336,[1]CFPL!$A:$D,{3,4},0)</f>
        <v>PISTA</v>
      </c>
      <c r="N336" s="60" t="str">
        <v>Pista - Inshell</v>
      </c>
      <c r="O336" s="60" t="s">
        <v>569</v>
      </c>
      <c r="P336" s="60" t="s">
        <v>1869</v>
      </c>
      <c r="Q336" s="60" t="s">
        <v>616</v>
      </c>
      <c r="R336" s="45" t="s">
        <v>516</v>
      </c>
      <c r="S336" s="45" t="s">
        <v>6</v>
      </c>
      <c r="T336" s="45" t="s">
        <v>1556</v>
      </c>
      <c r="U336" s="119">
        <v>1045</v>
      </c>
      <c r="V336" s="62">
        <f>U336*J336</f>
        <v>1422036</v>
      </c>
      <c r="W336" s="63">
        <f ca="1">$W$4-A336</f>
        <v>6</v>
      </c>
      <c r="X336" s="52" t="str">
        <f ca="1">VLOOKUP(W336,$AA$2:$AB$6,2)</f>
        <v>&lt; 6 Months</v>
      </c>
      <c r="Y336" s="52" t="str">
        <f ca="1">VLOOKUP(W336,$AD$2:$AE$6,2)</f>
        <v>&lt;30 Days</v>
      </c>
    </row>
    <row r="337" spans="1:25" s="64" customFormat="1" ht="15" customHeight="1">
      <c r="A337" s="127" t="s">
        <v>1835</v>
      </c>
      <c r="B337" s="45" t="s">
        <v>245</v>
      </c>
      <c r="C337" s="45" t="s">
        <v>1860</v>
      </c>
      <c r="D337" s="43" t="s">
        <v>1322</v>
      </c>
      <c r="E337" s="43" t="s">
        <v>1323</v>
      </c>
      <c r="F337" s="43" t="s">
        <v>248</v>
      </c>
      <c r="G337" s="41">
        <v>5396</v>
      </c>
      <c r="H337" s="116">
        <v>88</v>
      </c>
      <c r="I337" s="41">
        <v>11.34</v>
      </c>
      <c r="J337" s="98">
        <f>I337*H337</f>
        <v>997.92</v>
      </c>
      <c r="K337" s="60" t="s">
        <v>83</v>
      </c>
      <c r="L337" s="60" t="s">
        <v>1386</v>
      </c>
      <c r="M337" s="60" t="str" cm="1">
        <f t="array" ref="M337:N337">VLOOKUP(Q337,[1]CFPL!$A:$D,{3,4},0)</f>
        <v>PISTA</v>
      </c>
      <c r="N337" s="60" t="str">
        <v>Pista - Inshell</v>
      </c>
      <c r="O337" s="60" t="s">
        <v>569</v>
      </c>
      <c r="P337" s="60" t="s">
        <v>1869</v>
      </c>
      <c r="Q337" s="60" t="s">
        <v>616</v>
      </c>
      <c r="R337" s="45" t="s">
        <v>516</v>
      </c>
      <c r="S337" s="45" t="s">
        <v>6</v>
      </c>
      <c r="T337" s="45" t="s">
        <v>1556</v>
      </c>
      <c r="U337" s="119">
        <v>1045</v>
      </c>
      <c r="V337" s="62">
        <f>U337*J337</f>
        <v>1042826.3999999999</v>
      </c>
      <c r="W337" s="63">
        <f ca="1">$W$4-A337</f>
        <v>6</v>
      </c>
      <c r="X337" s="52" t="str">
        <f ca="1">VLOOKUP(W337,$AA$2:$AB$6,2)</f>
        <v>&lt; 6 Months</v>
      </c>
      <c r="Y337" s="52" t="str">
        <f ca="1">VLOOKUP(W337,$AD$2:$AE$6,2)</f>
        <v>&lt;30 Days</v>
      </c>
    </row>
    <row r="338" spans="1:25" s="64" customFormat="1" ht="15" customHeight="1">
      <c r="A338" s="127" t="s">
        <v>1835</v>
      </c>
      <c r="B338" s="45" t="s">
        <v>245</v>
      </c>
      <c r="C338" s="45" t="s">
        <v>1860</v>
      </c>
      <c r="D338" s="43" t="s">
        <v>1322</v>
      </c>
      <c r="E338" s="43" t="s">
        <v>1323</v>
      </c>
      <c r="F338" s="43" t="s">
        <v>248</v>
      </c>
      <c r="G338" s="41">
        <v>5396</v>
      </c>
      <c r="H338" s="116">
        <v>78</v>
      </c>
      <c r="I338" s="41">
        <v>11.34</v>
      </c>
      <c r="J338" s="98">
        <f>I338*H338</f>
        <v>884.52</v>
      </c>
      <c r="K338" s="60" t="s">
        <v>83</v>
      </c>
      <c r="L338" s="60" t="s">
        <v>1386</v>
      </c>
      <c r="M338" s="60" t="str" cm="1">
        <f t="array" ref="M338:N338">VLOOKUP(Q338,[1]CFPL!$A:$D,{3,4},0)</f>
        <v>PISTA</v>
      </c>
      <c r="N338" s="60" t="str">
        <v>Pista - Inshell</v>
      </c>
      <c r="O338" s="60" t="s">
        <v>569</v>
      </c>
      <c r="P338" s="60" t="s">
        <v>1869</v>
      </c>
      <c r="Q338" s="60" t="s">
        <v>616</v>
      </c>
      <c r="R338" s="45" t="s">
        <v>516</v>
      </c>
      <c r="S338" s="45" t="s">
        <v>6</v>
      </c>
      <c r="T338" s="45" t="s">
        <v>1556</v>
      </c>
      <c r="U338" s="119">
        <v>1045</v>
      </c>
      <c r="V338" s="62">
        <f>U338*J338</f>
        <v>924323.4</v>
      </c>
      <c r="W338" s="63">
        <f ca="1">$W$4-A338</f>
        <v>6</v>
      </c>
      <c r="X338" s="52" t="str">
        <f ca="1">VLOOKUP(W338,$AA$2:$AB$6,2)</f>
        <v>&lt; 6 Months</v>
      </c>
      <c r="Y338" s="52" t="str">
        <f ca="1">VLOOKUP(W338,$AD$2:$AE$6,2)</f>
        <v>&lt;30 Days</v>
      </c>
    </row>
    <row r="339" spans="1:25" s="64" customFormat="1" ht="15" customHeight="1">
      <c r="A339" s="127" t="s">
        <v>1835</v>
      </c>
      <c r="B339" s="45" t="s">
        <v>245</v>
      </c>
      <c r="C339" s="45" t="s">
        <v>1860</v>
      </c>
      <c r="D339" s="43" t="s">
        <v>1322</v>
      </c>
      <c r="E339" s="43" t="s">
        <v>1323</v>
      </c>
      <c r="F339" s="43" t="s">
        <v>248</v>
      </c>
      <c r="G339" s="41">
        <v>5396</v>
      </c>
      <c r="H339" s="116">
        <v>92</v>
      </c>
      <c r="I339" s="41">
        <v>11.34</v>
      </c>
      <c r="J339" s="98">
        <f>I339*H339</f>
        <v>1043.28</v>
      </c>
      <c r="K339" s="60" t="s">
        <v>83</v>
      </c>
      <c r="L339" s="60" t="s">
        <v>1386</v>
      </c>
      <c r="M339" s="60" t="str" cm="1">
        <f t="array" ref="M339:N339">VLOOKUP(Q339,[1]CFPL!$A:$D,{3,4},0)</f>
        <v>PISTA</v>
      </c>
      <c r="N339" s="60" t="str">
        <v>Pista - Inshell</v>
      </c>
      <c r="O339" s="60" t="s">
        <v>569</v>
      </c>
      <c r="P339" s="60" t="s">
        <v>1869</v>
      </c>
      <c r="Q339" s="60" t="s">
        <v>616</v>
      </c>
      <c r="R339" s="45" t="s">
        <v>516</v>
      </c>
      <c r="S339" s="45" t="s">
        <v>6</v>
      </c>
      <c r="T339" s="45" t="s">
        <v>1556</v>
      </c>
      <c r="U339" s="119">
        <v>1045</v>
      </c>
      <c r="V339" s="62">
        <f>U339*J339</f>
        <v>1090227.5999999999</v>
      </c>
      <c r="W339" s="63">
        <f ca="1">$W$4-A339</f>
        <v>6</v>
      </c>
      <c r="X339" s="52" t="str">
        <f ca="1">VLOOKUP(W339,$AA$2:$AB$6,2)</f>
        <v>&lt; 6 Months</v>
      </c>
      <c r="Y339" s="52" t="str">
        <f ca="1">VLOOKUP(W339,$AD$2:$AE$6,2)</f>
        <v>&lt;30 Days</v>
      </c>
    </row>
    <row r="340" spans="1:25" s="64" customFormat="1" ht="15" customHeight="1">
      <c r="A340" s="127" t="s">
        <v>1835</v>
      </c>
      <c r="B340" s="45" t="s">
        <v>245</v>
      </c>
      <c r="C340" s="45" t="s">
        <v>1860</v>
      </c>
      <c r="D340" s="43" t="s">
        <v>1322</v>
      </c>
      <c r="E340" s="43" t="s">
        <v>1323</v>
      </c>
      <c r="F340" s="43" t="s">
        <v>248</v>
      </c>
      <c r="G340" s="41">
        <v>5396</v>
      </c>
      <c r="H340" s="116">
        <v>88</v>
      </c>
      <c r="I340" s="41">
        <v>11.34</v>
      </c>
      <c r="J340" s="98">
        <f>I340*H340</f>
        <v>997.92</v>
      </c>
      <c r="K340" s="60" t="s">
        <v>83</v>
      </c>
      <c r="L340" s="60" t="s">
        <v>1386</v>
      </c>
      <c r="M340" s="60" t="str" cm="1">
        <f t="array" ref="M340:N340">VLOOKUP(Q340,[1]CFPL!$A:$D,{3,4},0)</f>
        <v>PISTA</v>
      </c>
      <c r="N340" s="60" t="str">
        <v>Pista - Inshell</v>
      </c>
      <c r="O340" s="60" t="s">
        <v>569</v>
      </c>
      <c r="P340" s="60" t="s">
        <v>1869</v>
      </c>
      <c r="Q340" s="60" t="s">
        <v>616</v>
      </c>
      <c r="R340" s="45" t="s">
        <v>516</v>
      </c>
      <c r="S340" s="45" t="s">
        <v>6</v>
      </c>
      <c r="T340" s="45" t="s">
        <v>1556</v>
      </c>
      <c r="U340" s="119">
        <v>1045</v>
      </c>
      <c r="V340" s="62">
        <f>U340*J340</f>
        <v>1042826.3999999999</v>
      </c>
      <c r="W340" s="63">
        <f ca="1">$W$4-A340</f>
        <v>6</v>
      </c>
      <c r="X340" s="52" t="str">
        <f ca="1">VLOOKUP(W340,$AA$2:$AB$6,2)</f>
        <v>&lt; 6 Months</v>
      </c>
      <c r="Y340" s="52" t="str">
        <f ca="1">VLOOKUP(W340,$AD$2:$AE$6,2)</f>
        <v>&lt;30 Days</v>
      </c>
    </row>
    <row r="341" spans="1:25" s="64" customFormat="1" ht="15" customHeight="1">
      <c r="A341" s="127" t="s">
        <v>1835</v>
      </c>
      <c r="B341" s="45" t="s">
        <v>245</v>
      </c>
      <c r="C341" s="45" t="s">
        <v>1860</v>
      </c>
      <c r="D341" s="43" t="s">
        <v>1322</v>
      </c>
      <c r="E341" s="43" t="s">
        <v>1323</v>
      </c>
      <c r="F341" s="43" t="s">
        <v>248</v>
      </c>
      <c r="G341" s="41">
        <v>5396</v>
      </c>
      <c r="H341" s="116">
        <v>84</v>
      </c>
      <c r="I341" s="41">
        <v>11.34</v>
      </c>
      <c r="J341" s="98">
        <f>I341*H341</f>
        <v>952.56</v>
      </c>
      <c r="K341" s="60" t="s">
        <v>83</v>
      </c>
      <c r="L341" s="60" t="s">
        <v>1386</v>
      </c>
      <c r="M341" s="60" t="str" cm="1">
        <f t="array" ref="M341:N341">VLOOKUP(Q341,[1]CFPL!$A:$D,{3,4},0)</f>
        <v>PISTA</v>
      </c>
      <c r="N341" s="60" t="str">
        <v>Pista - Inshell</v>
      </c>
      <c r="O341" s="60" t="s">
        <v>569</v>
      </c>
      <c r="P341" s="60" t="s">
        <v>1869</v>
      </c>
      <c r="Q341" s="60" t="s">
        <v>616</v>
      </c>
      <c r="R341" s="45" t="s">
        <v>516</v>
      </c>
      <c r="S341" s="45" t="s">
        <v>6</v>
      </c>
      <c r="T341" s="45" t="s">
        <v>1556</v>
      </c>
      <c r="U341" s="119">
        <v>1045</v>
      </c>
      <c r="V341" s="62">
        <f>U341*J341</f>
        <v>995425.2</v>
      </c>
      <c r="W341" s="63">
        <f ca="1">$W$4-A341</f>
        <v>6</v>
      </c>
      <c r="X341" s="52" t="str">
        <f ca="1">VLOOKUP(W341,$AA$2:$AB$6,2)</f>
        <v>&lt; 6 Months</v>
      </c>
      <c r="Y341" s="52" t="str">
        <f ca="1">VLOOKUP(W341,$AD$2:$AE$6,2)</f>
        <v>&lt;30 Days</v>
      </c>
    </row>
    <row r="342" spans="1:25" s="64" customFormat="1" ht="15" customHeight="1">
      <c r="A342" s="127" t="s">
        <v>1835</v>
      </c>
      <c r="B342" s="45" t="s">
        <v>245</v>
      </c>
      <c r="C342" s="45" t="s">
        <v>1860</v>
      </c>
      <c r="D342" s="43" t="s">
        <v>1322</v>
      </c>
      <c r="E342" s="43" t="s">
        <v>1323</v>
      </c>
      <c r="F342" s="43" t="s">
        <v>248</v>
      </c>
      <c r="G342" s="41">
        <v>5396</v>
      </c>
      <c r="H342" s="116">
        <v>88</v>
      </c>
      <c r="I342" s="41">
        <v>11.34</v>
      </c>
      <c r="J342" s="98">
        <f>I342*H342</f>
        <v>997.92</v>
      </c>
      <c r="K342" s="60" t="s">
        <v>83</v>
      </c>
      <c r="L342" s="60" t="s">
        <v>1386</v>
      </c>
      <c r="M342" s="60" t="str" cm="1">
        <f t="array" ref="M342:N342">VLOOKUP(Q342,[1]CFPL!$A:$D,{3,4},0)</f>
        <v>PISTA</v>
      </c>
      <c r="N342" s="60" t="str">
        <v>Pista - Inshell</v>
      </c>
      <c r="O342" s="60" t="s">
        <v>569</v>
      </c>
      <c r="P342" s="60" t="s">
        <v>1869</v>
      </c>
      <c r="Q342" s="60" t="s">
        <v>616</v>
      </c>
      <c r="R342" s="45" t="s">
        <v>516</v>
      </c>
      <c r="S342" s="45" t="s">
        <v>6</v>
      </c>
      <c r="T342" s="45" t="s">
        <v>1556</v>
      </c>
      <c r="U342" s="119">
        <v>1045</v>
      </c>
      <c r="V342" s="62">
        <f>U342*J342</f>
        <v>1042826.3999999999</v>
      </c>
      <c r="W342" s="63">
        <f ca="1">$W$4-A342</f>
        <v>6</v>
      </c>
      <c r="X342" s="52" t="str">
        <f ca="1">VLOOKUP(W342,$AA$2:$AB$6,2)</f>
        <v>&lt; 6 Months</v>
      </c>
      <c r="Y342" s="52" t="str">
        <f ca="1">VLOOKUP(W342,$AD$2:$AE$6,2)</f>
        <v>&lt;30 Days</v>
      </c>
    </row>
    <row r="343" spans="1:25" s="64" customFormat="1" ht="15" customHeight="1">
      <c r="A343" s="127" t="s">
        <v>1835</v>
      </c>
      <c r="B343" s="45" t="s">
        <v>245</v>
      </c>
      <c r="C343" s="45" t="s">
        <v>1860</v>
      </c>
      <c r="D343" s="43" t="s">
        <v>1322</v>
      </c>
      <c r="E343" s="43" t="s">
        <v>1323</v>
      </c>
      <c r="F343" s="43" t="s">
        <v>248</v>
      </c>
      <c r="G343" s="41">
        <v>5396</v>
      </c>
      <c r="H343" s="116">
        <v>99</v>
      </c>
      <c r="I343" s="41">
        <v>11.34</v>
      </c>
      <c r="J343" s="98">
        <f>I343*H343</f>
        <v>1122.6600000000001</v>
      </c>
      <c r="K343" s="60" t="s">
        <v>83</v>
      </c>
      <c r="L343" s="60" t="s">
        <v>1386</v>
      </c>
      <c r="M343" s="60" t="str" cm="1">
        <f t="array" ref="M343:N343">VLOOKUP(Q343,[1]CFPL!$A:$D,{3,4},0)</f>
        <v>PISTA</v>
      </c>
      <c r="N343" s="60" t="str">
        <v>Pista - Inshell</v>
      </c>
      <c r="O343" s="60" t="s">
        <v>569</v>
      </c>
      <c r="P343" s="60" t="s">
        <v>1869</v>
      </c>
      <c r="Q343" s="60" t="s">
        <v>616</v>
      </c>
      <c r="R343" s="45" t="s">
        <v>516</v>
      </c>
      <c r="S343" s="45" t="s">
        <v>6</v>
      </c>
      <c r="T343" s="45" t="s">
        <v>1556</v>
      </c>
      <c r="U343" s="119">
        <v>1045</v>
      </c>
      <c r="V343" s="62">
        <f>U343*J343</f>
        <v>1173179.7000000002</v>
      </c>
      <c r="W343" s="63">
        <f ca="1">$W$4-A343</f>
        <v>6</v>
      </c>
      <c r="X343" s="52" t="str">
        <f ca="1">VLOOKUP(W343,$AA$2:$AB$6,2)</f>
        <v>&lt; 6 Months</v>
      </c>
      <c r="Y343" s="52" t="str">
        <f ca="1">VLOOKUP(W343,$AD$2:$AE$6,2)</f>
        <v>&lt;30 Days</v>
      </c>
    </row>
    <row r="344" spans="1:25" s="64" customFormat="1" ht="15" customHeight="1">
      <c r="A344" s="127" t="s">
        <v>1835</v>
      </c>
      <c r="B344" s="45" t="s">
        <v>245</v>
      </c>
      <c r="C344" s="45" t="s">
        <v>1860</v>
      </c>
      <c r="D344" s="43" t="s">
        <v>1322</v>
      </c>
      <c r="E344" s="43" t="s">
        <v>1323</v>
      </c>
      <c r="F344" s="43" t="s">
        <v>248</v>
      </c>
      <c r="G344" s="41">
        <v>5396</v>
      </c>
      <c r="H344" s="116">
        <v>92</v>
      </c>
      <c r="I344" s="41">
        <v>11.34</v>
      </c>
      <c r="J344" s="98">
        <f>I344*H344</f>
        <v>1043.28</v>
      </c>
      <c r="K344" s="60" t="s">
        <v>83</v>
      </c>
      <c r="L344" s="60" t="s">
        <v>1386</v>
      </c>
      <c r="M344" s="60" t="str" cm="1">
        <f t="array" ref="M344:N344">VLOOKUP(Q344,[1]CFPL!$A:$D,{3,4},0)</f>
        <v>PISTA</v>
      </c>
      <c r="N344" s="60" t="str">
        <v>Pista - Inshell</v>
      </c>
      <c r="O344" s="60" t="s">
        <v>569</v>
      </c>
      <c r="P344" s="60" t="s">
        <v>1869</v>
      </c>
      <c r="Q344" s="60" t="s">
        <v>616</v>
      </c>
      <c r="R344" s="45" t="s">
        <v>516</v>
      </c>
      <c r="S344" s="45" t="s">
        <v>6</v>
      </c>
      <c r="T344" s="45" t="s">
        <v>1556</v>
      </c>
      <c r="U344" s="119">
        <v>1045</v>
      </c>
      <c r="V344" s="62">
        <f>U344*J344</f>
        <v>1090227.5999999999</v>
      </c>
      <c r="W344" s="63">
        <f ca="1">$W$4-A344</f>
        <v>6</v>
      </c>
      <c r="X344" s="52" t="str">
        <f ca="1">VLOOKUP(W344,$AA$2:$AB$6,2)</f>
        <v>&lt; 6 Months</v>
      </c>
      <c r="Y344" s="52" t="str">
        <f ca="1">VLOOKUP(W344,$AD$2:$AE$6,2)</f>
        <v>&lt;30 Days</v>
      </c>
    </row>
    <row r="345" spans="1:25" s="64" customFormat="1" ht="15" customHeight="1">
      <c r="A345" s="127" t="s">
        <v>1835</v>
      </c>
      <c r="B345" s="45" t="s">
        <v>245</v>
      </c>
      <c r="C345" s="45" t="s">
        <v>1860</v>
      </c>
      <c r="D345" s="43" t="s">
        <v>1322</v>
      </c>
      <c r="E345" s="43" t="s">
        <v>1323</v>
      </c>
      <c r="F345" s="43" t="s">
        <v>248</v>
      </c>
      <c r="G345" s="41">
        <v>5396</v>
      </c>
      <c r="H345" s="116">
        <v>76</v>
      </c>
      <c r="I345" s="41">
        <v>11.34</v>
      </c>
      <c r="J345" s="98">
        <f>I345*H345</f>
        <v>861.84</v>
      </c>
      <c r="K345" s="60" t="s">
        <v>83</v>
      </c>
      <c r="L345" s="60" t="s">
        <v>1386</v>
      </c>
      <c r="M345" s="60" t="str" cm="1">
        <f t="array" ref="M345:N345">VLOOKUP(Q345,[1]CFPL!$A:$D,{3,4},0)</f>
        <v>PISTA</v>
      </c>
      <c r="N345" s="60" t="str">
        <v>Pista - Inshell</v>
      </c>
      <c r="O345" s="60" t="s">
        <v>569</v>
      </c>
      <c r="P345" s="60" t="s">
        <v>1869</v>
      </c>
      <c r="Q345" s="60" t="s">
        <v>616</v>
      </c>
      <c r="R345" s="45" t="s">
        <v>516</v>
      </c>
      <c r="S345" s="45" t="s">
        <v>6</v>
      </c>
      <c r="T345" s="45" t="s">
        <v>1556</v>
      </c>
      <c r="U345" s="119">
        <v>1045</v>
      </c>
      <c r="V345" s="62">
        <f>U345*J345</f>
        <v>900622.8</v>
      </c>
      <c r="W345" s="63">
        <f ca="1">$W$4-A345</f>
        <v>6</v>
      </c>
      <c r="X345" s="52" t="str">
        <f ca="1">VLOOKUP(W345,$AA$2:$AB$6,2)</f>
        <v>&lt; 6 Months</v>
      </c>
      <c r="Y345" s="52" t="str">
        <f ca="1">VLOOKUP(W345,$AD$2:$AE$6,2)</f>
        <v>&lt;30 Days</v>
      </c>
    </row>
    <row r="346" spans="1:25" s="64" customFormat="1" ht="15" customHeight="1">
      <c r="A346" s="127" t="s">
        <v>1835</v>
      </c>
      <c r="B346" s="45" t="s">
        <v>245</v>
      </c>
      <c r="C346" s="45" t="s">
        <v>1860</v>
      </c>
      <c r="D346" s="43" t="s">
        <v>1322</v>
      </c>
      <c r="E346" s="43" t="s">
        <v>1323</v>
      </c>
      <c r="F346" s="43" t="s">
        <v>248</v>
      </c>
      <c r="G346" s="41">
        <v>5396</v>
      </c>
      <c r="H346" s="116">
        <v>87</v>
      </c>
      <c r="I346" s="41">
        <v>11.34</v>
      </c>
      <c r="J346" s="98">
        <f>I346*H346</f>
        <v>986.58</v>
      </c>
      <c r="K346" s="60" t="s">
        <v>83</v>
      </c>
      <c r="L346" s="60" t="s">
        <v>1386</v>
      </c>
      <c r="M346" s="60" t="str" cm="1">
        <f t="array" ref="M346:N346">VLOOKUP(Q346,[1]CFPL!$A:$D,{3,4},0)</f>
        <v>PISTA</v>
      </c>
      <c r="N346" s="60" t="str">
        <v>Pista - Inshell</v>
      </c>
      <c r="O346" s="60" t="s">
        <v>569</v>
      </c>
      <c r="P346" s="60" t="s">
        <v>1869</v>
      </c>
      <c r="Q346" s="60" t="s">
        <v>616</v>
      </c>
      <c r="R346" s="45" t="s">
        <v>516</v>
      </c>
      <c r="S346" s="45" t="s">
        <v>6</v>
      </c>
      <c r="T346" s="45" t="s">
        <v>1556</v>
      </c>
      <c r="U346" s="119">
        <v>1045</v>
      </c>
      <c r="V346" s="62">
        <f>U346*J346</f>
        <v>1030976.1000000001</v>
      </c>
      <c r="W346" s="63">
        <f ca="1">$W$4-A346</f>
        <v>6</v>
      </c>
      <c r="X346" s="52" t="str">
        <f ca="1">VLOOKUP(W346,$AA$2:$AB$6,2)</f>
        <v>&lt; 6 Months</v>
      </c>
      <c r="Y346" s="52" t="str">
        <f ca="1">VLOOKUP(W346,$AD$2:$AE$6,2)</f>
        <v>&lt;30 Days</v>
      </c>
    </row>
    <row r="347" spans="1:25" s="64" customFormat="1" ht="15" customHeight="1">
      <c r="A347" s="127" t="s">
        <v>1835</v>
      </c>
      <c r="B347" s="45" t="s">
        <v>245</v>
      </c>
      <c r="C347" s="45" t="s">
        <v>1860</v>
      </c>
      <c r="D347" s="43" t="s">
        <v>1322</v>
      </c>
      <c r="E347" s="43" t="s">
        <v>1323</v>
      </c>
      <c r="F347" s="43" t="s">
        <v>248</v>
      </c>
      <c r="G347" s="41">
        <v>5396</v>
      </c>
      <c r="H347" s="116">
        <v>77</v>
      </c>
      <c r="I347" s="41">
        <v>11.34</v>
      </c>
      <c r="J347" s="98">
        <f>I347*H347</f>
        <v>873.18</v>
      </c>
      <c r="K347" s="60" t="s">
        <v>83</v>
      </c>
      <c r="L347" s="60" t="s">
        <v>1386</v>
      </c>
      <c r="M347" s="60" t="str" cm="1">
        <f t="array" ref="M347:N347">VLOOKUP(Q347,[1]CFPL!$A:$D,{3,4},0)</f>
        <v>PISTA</v>
      </c>
      <c r="N347" s="60" t="str">
        <v>Pista - Inshell</v>
      </c>
      <c r="O347" s="60" t="s">
        <v>569</v>
      </c>
      <c r="P347" s="60" t="s">
        <v>1869</v>
      </c>
      <c r="Q347" s="60" t="s">
        <v>616</v>
      </c>
      <c r="R347" s="45" t="s">
        <v>516</v>
      </c>
      <c r="S347" s="45" t="s">
        <v>6</v>
      </c>
      <c r="T347" s="45" t="s">
        <v>1556</v>
      </c>
      <c r="U347" s="119">
        <v>1045</v>
      </c>
      <c r="V347" s="62">
        <f>U347*J347</f>
        <v>912473.1</v>
      </c>
      <c r="W347" s="63">
        <f ca="1">$W$4-A347</f>
        <v>6</v>
      </c>
      <c r="X347" s="52" t="str">
        <f ca="1">VLOOKUP(W347,$AA$2:$AB$6,2)</f>
        <v>&lt; 6 Months</v>
      </c>
      <c r="Y347" s="52" t="str">
        <f ca="1">VLOOKUP(W347,$AD$2:$AE$6,2)</f>
        <v>&lt;30 Days</v>
      </c>
    </row>
    <row r="348" spans="1:25" s="64" customFormat="1" ht="15" customHeight="1">
      <c r="A348" s="127" t="s">
        <v>1835</v>
      </c>
      <c r="B348" s="45" t="s">
        <v>245</v>
      </c>
      <c r="C348" s="45" t="s">
        <v>1860</v>
      </c>
      <c r="D348" s="43" t="s">
        <v>1322</v>
      </c>
      <c r="E348" s="43" t="s">
        <v>1323</v>
      </c>
      <c r="F348" s="43" t="s">
        <v>248</v>
      </c>
      <c r="G348" s="41">
        <v>5396</v>
      </c>
      <c r="H348" s="116">
        <v>68</v>
      </c>
      <c r="I348" s="41">
        <v>11.34</v>
      </c>
      <c r="J348" s="98">
        <f>I348*H348</f>
        <v>771.12</v>
      </c>
      <c r="K348" s="60" t="s">
        <v>83</v>
      </c>
      <c r="L348" s="60" t="s">
        <v>1386</v>
      </c>
      <c r="M348" s="60" t="str" cm="1">
        <f t="array" ref="M348:N348">VLOOKUP(Q348,[1]CFPL!$A:$D,{3,4},0)</f>
        <v>PISTA</v>
      </c>
      <c r="N348" s="60" t="str">
        <v>Pista - Inshell</v>
      </c>
      <c r="O348" s="60" t="s">
        <v>569</v>
      </c>
      <c r="P348" s="60" t="s">
        <v>1869</v>
      </c>
      <c r="Q348" s="60" t="s">
        <v>616</v>
      </c>
      <c r="R348" s="45" t="s">
        <v>516</v>
      </c>
      <c r="S348" s="45" t="s">
        <v>6</v>
      </c>
      <c r="T348" s="45" t="s">
        <v>1556</v>
      </c>
      <c r="U348" s="119">
        <v>1045</v>
      </c>
      <c r="V348" s="62">
        <f>U348*J348</f>
        <v>805820.4</v>
      </c>
      <c r="W348" s="63">
        <f ca="1">$W$4-A348</f>
        <v>6</v>
      </c>
      <c r="X348" s="52" t="str">
        <f ca="1">VLOOKUP(W348,$AA$2:$AB$6,2)</f>
        <v>&lt; 6 Months</v>
      </c>
      <c r="Y348" s="52" t="str">
        <f ca="1">VLOOKUP(W348,$AD$2:$AE$6,2)</f>
        <v>&lt;30 Days</v>
      </c>
    </row>
    <row r="349" spans="1:25" s="64" customFormat="1" ht="15" customHeight="1">
      <c r="A349" s="127" t="s">
        <v>1835</v>
      </c>
      <c r="B349" s="45" t="s">
        <v>245</v>
      </c>
      <c r="C349" s="45" t="s">
        <v>1860</v>
      </c>
      <c r="D349" s="43" t="s">
        <v>1322</v>
      </c>
      <c r="E349" s="43" t="s">
        <v>1323</v>
      </c>
      <c r="F349" s="43" t="s">
        <v>248</v>
      </c>
      <c r="G349" s="41">
        <v>5396</v>
      </c>
      <c r="H349" s="116">
        <v>100</v>
      </c>
      <c r="I349" s="41">
        <v>11.34</v>
      </c>
      <c r="J349" s="98">
        <f>I349*H349</f>
        <v>1134</v>
      </c>
      <c r="K349" s="60" t="s">
        <v>83</v>
      </c>
      <c r="L349" s="60" t="s">
        <v>1386</v>
      </c>
      <c r="M349" s="60" t="str" cm="1">
        <f t="array" ref="M349:N349">VLOOKUP(Q349,[1]CFPL!$A:$D,{3,4},0)</f>
        <v>PISTA</v>
      </c>
      <c r="N349" s="60" t="str">
        <v>Pista - Inshell</v>
      </c>
      <c r="O349" s="60" t="s">
        <v>569</v>
      </c>
      <c r="P349" s="60" t="s">
        <v>1869</v>
      </c>
      <c r="Q349" s="60" t="s">
        <v>616</v>
      </c>
      <c r="R349" s="45" t="s">
        <v>516</v>
      </c>
      <c r="S349" s="45" t="s">
        <v>6</v>
      </c>
      <c r="T349" s="45" t="s">
        <v>1556</v>
      </c>
      <c r="U349" s="119">
        <v>1045</v>
      </c>
      <c r="V349" s="62">
        <f>U349*J349</f>
        <v>1185030</v>
      </c>
      <c r="W349" s="63">
        <f ca="1">$W$4-A349</f>
        <v>6</v>
      </c>
      <c r="X349" s="52" t="str">
        <f ca="1">VLOOKUP(W349,$AA$2:$AB$6,2)</f>
        <v>&lt; 6 Months</v>
      </c>
      <c r="Y349" s="52" t="str">
        <f ca="1">VLOOKUP(W349,$AD$2:$AE$6,2)</f>
        <v>&lt;30 Days</v>
      </c>
    </row>
    <row r="350" spans="1:25" s="64" customFormat="1" ht="15" customHeight="1">
      <c r="A350" s="127" t="s">
        <v>1835</v>
      </c>
      <c r="B350" s="45" t="s">
        <v>245</v>
      </c>
      <c r="C350" s="45" t="s">
        <v>1860</v>
      </c>
      <c r="D350" s="43" t="s">
        <v>1322</v>
      </c>
      <c r="E350" s="43" t="s">
        <v>1323</v>
      </c>
      <c r="F350" s="43" t="s">
        <v>248</v>
      </c>
      <c r="G350" s="41">
        <v>5396</v>
      </c>
      <c r="H350" s="116">
        <v>20</v>
      </c>
      <c r="I350" s="41">
        <v>11.34</v>
      </c>
      <c r="J350" s="98">
        <f>I350*H350</f>
        <v>226.8</v>
      </c>
      <c r="K350" s="60" t="s">
        <v>83</v>
      </c>
      <c r="L350" s="60" t="s">
        <v>1386</v>
      </c>
      <c r="M350" s="60" t="str" cm="1">
        <f t="array" ref="M350:N350">VLOOKUP(Q350,[1]CFPL!$A:$D,{3,4},0)</f>
        <v>PISTA</v>
      </c>
      <c r="N350" s="60" t="str">
        <v>Pista - Inshell</v>
      </c>
      <c r="O350" s="60" t="s">
        <v>569</v>
      </c>
      <c r="P350" s="60" t="s">
        <v>1869</v>
      </c>
      <c r="Q350" s="60" t="s">
        <v>616</v>
      </c>
      <c r="R350" s="45" t="s">
        <v>516</v>
      </c>
      <c r="S350" s="45" t="s">
        <v>6</v>
      </c>
      <c r="T350" s="45" t="s">
        <v>1556</v>
      </c>
      <c r="U350" s="119">
        <v>1045</v>
      </c>
      <c r="V350" s="62">
        <f>U350*J350</f>
        <v>237006</v>
      </c>
      <c r="W350" s="63">
        <f ca="1">$W$4-A350</f>
        <v>6</v>
      </c>
      <c r="X350" s="52" t="str">
        <f ca="1">VLOOKUP(W350,$AA$2:$AB$6,2)</f>
        <v>&lt; 6 Months</v>
      </c>
      <c r="Y350" s="52" t="str">
        <f ca="1">VLOOKUP(W350,$AD$2:$AE$6,2)</f>
        <v>&lt;30 Days</v>
      </c>
    </row>
    <row r="351" spans="1:25" s="64" customFormat="1" ht="15" customHeight="1">
      <c r="A351" s="127" t="s">
        <v>1835</v>
      </c>
      <c r="B351" s="45" t="s">
        <v>245</v>
      </c>
      <c r="C351" s="45" t="s">
        <v>1860</v>
      </c>
      <c r="D351" s="43" t="s">
        <v>1322</v>
      </c>
      <c r="E351" s="43" t="s">
        <v>1323</v>
      </c>
      <c r="F351" s="43" t="s">
        <v>248</v>
      </c>
      <c r="G351" s="41">
        <v>5396</v>
      </c>
      <c r="H351" s="116">
        <v>92</v>
      </c>
      <c r="I351" s="41">
        <v>11.34</v>
      </c>
      <c r="J351" s="98">
        <f>I351*H351</f>
        <v>1043.28</v>
      </c>
      <c r="K351" s="60" t="s">
        <v>83</v>
      </c>
      <c r="L351" s="60" t="s">
        <v>1386</v>
      </c>
      <c r="M351" s="60" t="str" cm="1">
        <f t="array" ref="M351:N351">VLOOKUP(Q351,[1]CFPL!$A:$D,{3,4},0)</f>
        <v>PISTA</v>
      </c>
      <c r="N351" s="60" t="str">
        <v>Pista - Inshell</v>
      </c>
      <c r="O351" s="60" t="s">
        <v>569</v>
      </c>
      <c r="P351" s="60" t="s">
        <v>1869</v>
      </c>
      <c r="Q351" s="60" t="s">
        <v>616</v>
      </c>
      <c r="R351" s="45" t="s">
        <v>516</v>
      </c>
      <c r="S351" s="45" t="s">
        <v>6</v>
      </c>
      <c r="T351" s="45" t="s">
        <v>1556</v>
      </c>
      <c r="U351" s="119">
        <v>1045</v>
      </c>
      <c r="V351" s="62">
        <f>U351*J351</f>
        <v>1090227.5999999999</v>
      </c>
      <c r="W351" s="63">
        <f ca="1">$W$4-A351</f>
        <v>6</v>
      </c>
      <c r="X351" s="52" t="str">
        <f ca="1">VLOOKUP(W351,$AA$2:$AB$6,2)</f>
        <v>&lt; 6 Months</v>
      </c>
      <c r="Y351" s="52" t="str">
        <f ca="1">VLOOKUP(W351,$AD$2:$AE$6,2)</f>
        <v>&lt;30 Days</v>
      </c>
    </row>
    <row r="352" spans="1:25" s="64" customFormat="1" ht="15" customHeight="1">
      <c r="A352" s="127" t="s">
        <v>1835</v>
      </c>
      <c r="B352" s="45" t="s">
        <v>245</v>
      </c>
      <c r="C352" s="45" t="s">
        <v>1860</v>
      </c>
      <c r="D352" s="43" t="s">
        <v>1322</v>
      </c>
      <c r="E352" s="43" t="s">
        <v>1323</v>
      </c>
      <c r="F352" s="43" t="s">
        <v>248</v>
      </c>
      <c r="G352" s="41">
        <v>5396</v>
      </c>
      <c r="H352" s="116">
        <v>82</v>
      </c>
      <c r="I352" s="41">
        <v>11.34</v>
      </c>
      <c r="J352" s="98">
        <f>I352*H352</f>
        <v>929.88</v>
      </c>
      <c r="K352" s="60" t="s">
        <v>83</v>
      </c>
      <c r="L352" s="60" t="s">
        <v>1386</v>
      </c>
      <c r="M352" s="60" t="str" cm="1">
        <f t="array" ref="M352:N352">VLOOKUP(Q352,[1]CFPL!$A:$D,{3,4},0)</f>
        <v>PISTA</v>
      </c>
      <c r="N352" s="60" t="str">
        <v>Pista - Inshell</v>
      </c>
      <c r="O352" s="60" t="s">
        <v>569</v>
      </c>
      <c r="P352" s="60" t="s">
        <v>1869</v>
      </c>
      <c r="Q352" s="60" t="s">
        <v>616</v>
      </c>
      <c r="R352" s="45" t="s">
        <v>516</v>
      </c>
      <c r="S352" s="45" t="s">
        <v>6</v>
      </c>
      <c r="T352" s="45" t="s">
        <v>1556</v>
      </c>
      <c r="U352" s="119">
        <v>1045</v>
      </c>
      <c r="V352" s="62">
        <f>U352*J352</f>
        <v>971724.6</v>
      </c>
      <c r="W352" s="63">
        <f ca="1">$W$4-A352</f>
        <v>6</v>
      </c>
      <c r="X352" s="52" t="str">
        <f ca="1">VLOOKUP(W352,$AA$2:$AB$6,2)</f>
        <v>&lt; 6 Months</v>
      </c>
      <c r="Y352" s="52" t="str">
        <f ca="1">VLOOKUP(W352,$AD$2:$AE$6,2)</f>
        <v>&lt;30 Days</v>
      </c>
    </row>
    <row r="353" spans="1:25" s="64" customFormat="1" ht="15" customHeight="1">
      <c r="A353" s="127" t="s">
        <v>1835</v>
      </c>
      <c r="B353" s="45" t="s">
        <v>245</v>
      </c>
      <c r="C353" s="45" t="s">
        <v>1860</v>
      </c>
      <c r="D353" s="43" t="s">
        <v>1322</v>
      </c>
      <c r="E353" s="43" t="s">
        <v>1323</v>
      </c>
      <c r="F353" s="43" t="s">
        <v>248</v>
      </c>
      <c r="G353" s="41">
        <v>5396</v>
      </c>
      <c r="H353" s="116">
        <v>92</v>
      </c>
      <c r="I353" s="41">
        <v>11.34</v>
      </c>
      <c r="J353" s="98">
        <f>I353*H353</f>
        <v>1043.28</v>
      </c>
      <c r="K353" s="60" t="s">
        <v>83</v>
      </c>
      <c r="L353" s="60" t="s">
        <v>1386</v>
      </c>
      <c r="M353" s="60" t="str" cm="1">
        <f t="array" ref="M353:N353">VLOOKUP(Q353,[1]CFPL!$A:$D,{3,4},0)</f>
        <v>PISTA</v>
      </c>
      <c r="N353" s="60" t="str">
        <v>Pista - Inshell</v>
      </c>
      <c r="O353" s="60" t="s">
        <v>569</v>
      </c>
      <c r="P353" s="60" t="s">
        <v>1869</v>
      </c>
      <c r="Q353" s="60" t="s">
        <v>616</v>
      </c>
      <c r="R353" s="45" t="s">
        <v>516</v>
      </c>
      <c r="S353" s="45" t="s">
        <v>6</v>
      </c>
      <c r="T353" s="45" t="s">
        <v>1556</v>
      </c>
      <c r="U353" s="119">
        <v>1045</v>
      </c>
      <c r="V353" s="62">
        <f>U353*J353</f>
        <v>1090227.5999999999</v>
      </c>
      <c r="W353" s="63">
        <f ca="1">$W$4-A353</f>
        <v>6</v>
      </c>
      <c r="X353" s="52" t="str">
        <f ca="1">VLOOKUP(W353,$AA$2:$AB$6,2)</f>
        <v>&lt; 6 Months</v>
      </c>
      <c r="Y353" s="52" t="str">
        <f ca="1">VLOOKUP(W353,$AD$2:$AE$6,2)</f>
        <v>&lt;30 Days</v>
      </c>
    </row>
    <row r="354" spans="1:25" s="64" customFormat="1" ht="15" customHeight="1">
      <c r="A354" s="127" t="s">
        <v>1835</v>
      </c>
      <c r="B354" s="45" t="s">
        <v>245</v>
      </c>
      <c r="C354" s="45" t="s">
        <v>1860</v>
      </c>
      <c r="D354" s="43" t="s">
        <v>1322</v>
      </c>
      <c r="E354" s="43" t="s">
        <v>1323</v>
      </c>
      <c r="F354" s="43" t="s">
        <v>248</v>
      </c>
      <c r="G354" s="41">
        <v>5396</v>
      </c>
      <c r="H354" s="116">
        <v>108</v>
      </c>
      <c r="I354" s="41">
        <v>11.34</v>
      </c>
      <c r="J354" s="98">
        <f>I354*H354</f>
        <v>1224.72</v>
      </c>
      <c r="K354" s="60" t="s">
        <v>83</v>
      </c>
      <c r="L354" s="60" t="s">
        <v>1386</v>
      </c>
      <c r="M354" s="60" t="str" cm="1">
        <f t="array" ref="M354:N354">VLOOKUP(Q354,[1]CFPL!$A:$D,{3,4},0)</f>
        <v>PISTA</v>
      </c>
      <c r="N354" s="60" t="str">
        <v>Pista - Inshell</v>
      </c>
      <c r="O354" s="60" t="s">
        <v>569</v>
      </c>
      <c r="P354" s="60" t="s">
        <v>1869</v>
      </c>
      <c r="Q354" s="60" t="s">
        <v>616</v>
      </c>
      <c r="R354" s="45" t="s">
        <v>516</v>
      </c>
      <c r="S354" s="45" t="s">
        <v>6</v>
      </c>
      <c r="T354" s="45" t="s">
        <v>1556</v>
      </c>
      <c r="U354" s="119">
        <v>1045</v>
      </c>
      <c r="V354" s="62">
        <f>U354*J354</f>
        <v>1279832.4000000001</v>
      </c>
      <c r="W354" s="63">
        <f ca="1">$W$4-A354</f>
        <v>6</v>
      </c>
      <c r="X354" s="52" t="str">
        <f ca="1">VLOOKUP(W354,$AA$2:$AB$6,2)</f>
        <v>&lt; 6 Months</v>
      </c>
      <c r="Y354" s="52" t="str">
        <f ca="1">VLOOKUP(W354,$AD$2:$AE$6,2)</f>
        <v>&lt;30 Days</v>
      </c>
    </row>
    <row r="355" spans="1:25" s="64" customFormat="1" ht="15" customHeight="1">
      <c r="A355" s="127" t="s">
        <v>1835</v>
      </c>
      <c r="B355" s="45" t="s">
        <v>245</v>
      </c>
      <c r="C355" s="45" t="s">
        <v>1860</v>
      </c>
      <c r="D355" s="43" t="s">
        <v>1322</v>
      </c>
      <c r="E355" s="43" t="s">
        <v>1323</v>
      </c>
      <c r="F355" s="43" t="s">
        <v>248</v>
      </c>
      <c r="G355" s="41">
        <v>5396</v>
      </c>
      <c r="H355" s="116">
        <v>84</v>
      </c>
      <c r="I355" s="41">
        <v>11.34</v>
      </c>
      <c r="J355" s="98">
        <f>I355*H355</f>
        <v>952.56</v>
      </c>
      <c r="K355" s="60" t="s">
        <v>83</v>
      </c>
      <c r="L355" s="60" t="s">
        <v>1386</v>
      </c>
      <c r="M355" s="60" t="str" cm="1">
        <f t="array" ref="M355:N355">VLOOKUP(Q355,[1]CFPL!$A:$D,{3,4},0)</f>
        <v>PISTA</v>
      </c>
      <c r="N355" s="60" t="str">
        <v>Pista - Inshell</v>
      </c>
      <c r="O355" s="60" t="s">
        <v>569</v>
      </c>
      <c r="P355" s="60" t="s">
        <v>1869</v>
      </c>
      <c r="Q355" s="60" t="s">
        <v>616</v>
      </c>
      <c r="R355" s="45" t="s">
        <v>516</v>
      </c>
      <c r="S355" s="45" t="s">
        <v>6</v>
      </c>
      <c r="T355" s="45" t="s">
        <v>1556</v>
      </c>
      <c r="U355" s="119">
        <v>1045</v>
      </c>
      <c r="V355" s="62">
        <f>U355*J355</f>
        <v>995425.2</v>
      </c>
      <c r="W355" s="63">
        <f ca="1">$W$4-A355</f>
        <v>6</v>
      </c>
      <c r="X355" s="52" t="str">
        <f ca="1">VLOOKUP(W355,$AA$2:$AB$6,2)</f>
        <v>&lt; 6 Months</v>
      </c>
      <c r="Y355" s="52" t="str">
        <f ca="1">VLOOKUP(W355,$AD$2:$AE$6,2)</f>
        <v>&lt;30 Days</v>
      </c>
    </row>
    <row r="356" spans="1:25" s="64" customFormat="1" ht="15" customHeight="1">
      <c r="A356" s="127" t="s">
        <v>1881</v>
      </c>
      <c r="B356" s="45" t="s">
        <v>245</v>
      </c>
      <c r="C356" s="45" t="s">
        <v>1882</v>
      </c>
      <c r="D356" s="43" t="s">
        <v>1381</v>
      </c>
      <c r="E356" s="43" t="s">
        <v>365</v>
      </c>
      <c r="F356" s="43" t="s">
        <v>1721</v>
      </c>
      <c r="G356" s="41">
        <v>5547</v>
      </c>
      <c r="H356" s="116">
        <v>4</v>
      </c>
      <c r="I356" s="41">
        <v>10</v>
      </c>
      <c r="J356" s="98">
        <f>I356*H356</f>
        <v>40</v>
      </c>
      <c r="K356" s="60" t="s">
        <v>79</v>
      </c>
      <c r="L356" s="60" t="s">
        <v>848</v>
      </c>
      <c r="M356" s="60" t="str" cm="1">
        <f t="array" ref="M356:N356">VLOOKUP(Q356,[1]CFPL!$A:$D,{3,4},0)</f>
        <v>PREMIUM NUTS</v>
      </c>
      <c r="N356" s="60" t="str">
        <v>Pecan Nuts</v>
      </c>
      <c r="O356" s="60" t="s">
        <v>617</v>
      </c>
      <c r="P356" s="60" t="s">
        <v>81</v>
      </c>
      <c r="Q356" s="60" t="s">
        <v>80</v>
      </c>
      <c r="R356" s="45" t="s">
        <v>516</v>
      </c>
      <c r="S356" s="45" t="s">
        <v>6</v>
      </c>
      <c r="T356" s="45" t="s">
        <v>1429</v>
      </c>
      <c r="U356" s="119">
        <v>1380</v>
      </c>
      <c r="V356" s="62">
        <f>U356*J356</f>
        <v>55200</v>
      </c>
      <c r="W356" s="63">
        <f ca="1">$W$4-A356</f>
        <v>4</v>
      </c>
      <c r="X356" s="52" t="str">
        <f ca="1">VLOOKUP(W356,$AA$2:$AB$6,2)</f>
        <v>&lt; 6 Months</v>
      </c>
      <c r="Y356" s="52" t="str">
        <f ca="1">VLOOKUP(W356,$AD$2:$AE$6,2)</f>
        <v>&lt;30 Days</v>
      </c>
    </row>
    <row r="357" spans="1:25" s="64" customFormat="1" ht="15" customHeight="1">
      <c r="A357" s="127" t="s">
        <v>1881</v>
      </c>
      <c r="B357" s="45" t="s">
        <v>245</v>
      </c>
      <c r="C357" s="45" t="s">
        <v>1882</v>
      </c>
      <c r="D357" s="43" t="s">
        <v>1381</v>
      </c>
      <c r="E357" s="43" t="s">
        <v>1883</v>
      </c>
      <c r="F357" s="43" t="s">
        <v>1884</v>
      </c>
      <c r="G357" s="41">
        <v>5548</v>
      </c>
      <c r="H357" s="116">
        <v>1</v>
      </c>
      <c r="I357" s="41">
        <v>13.6</v>
      </c>
      <c r="J357" s="98">
        <f>I357*H357</f>
        <v>13.6</v>
      </c>
      <c r="K357" s="60" t="s">
        <v>79</v>
      </c>
      <c r="L357" s="60" t="s">
        <v>569</v>
      </c>
      <c r="M357" s="60" t="str" cm="1">
        <f t="array" ref="M357:N357">VLOOKUP(Q357,[1]CFPL!$A:$D,{3,4},0)</f>
        <v>PREMIUM NUTS</v>
      </c>
      <c r="N357" s="60" t="str">
        <v>Pecan Nuts</v>
      </c>
      <c r="O357" s="60" t="s">
        <v>1879</v>
      </c>
      <c r="P357" s="60" t="s">
        <v>755</v>
      </c>
      <c r="Q357" s="60" t="s">
        <v>756</v>
      </c>
      <c r="R357" s="45" t="s">
        <v>516</v>
      </c>
      <c r="S357" s="45" t="s">
        <v>6</v>
      </c>
      <c r="T357" s="45" t="s">
        <v>1429</v>
      </c>
      <c r="U357" s="119">
        <v>464.5</v>
      </c>
      <c r="V357" s="62">
        <f>U357*J357</f>
        <v>6317.2</v>
      </c>
      <c r="W357" s="63">
        <f ca="1">$W$4-A357</f>
        <v>4</v>
      </c>
      <c r="X357" s="52" t="str">
        <f ca="1">VLOOKUP(W357,$AA$2:$AB$6,2)</f>
        <v>&lt; 6 Months</v>
      </c>
      <c r="Y357" s="52" t="str">
        <f ca="1">VLOOKUP(W357,$AD$2:$AE$6,2)</f>
        <v>&lt;30 Days</v>
      </c>
    </row>
    <row r="358" spans="1:25" s="64" customFormat="1" ht="15" customHeight="1">
      <c r="A358" s="127" t="s">
        <v>1881</v>
      </c>
      <c r="B358" s="45" t="s">
        <v>245</v>
      </c>
      <c r="C358" s="45" t="s">
        <v>1882</v>
      </c>
      <c r="D358" s="43" t="s">
        <v>528</v>
      </c>
      <c r="E358" s="43" t="s">
        <v>365</v>
      </c>
      <c r="F358" s="43" t="s">
        <v>1885</v>
      </c>
      <c r="G358" s="41">
        <v>5549</v>
      </c>
      <c r="H358" s="116">
        <v>3</v>
      </c>
      <c r="I358" s="41">
        <v>10</v>
      </c>
      <c r="J358" s="98">
        <f>I358*H358</f>
        <v>30</v>
      </c>
      <c r="K358" s="60" t="s">
        <v>867</v>
      </c>
      <c r="L358" s="60" t="s">
        <v>853</v>
      </c>
      <c r="M358" s="60" t="str" cm="1">
        <f t="array" ref="M358:N358">VLOOKUP(Q358,[1]CFPL!$A:$D,{3,4},0)</f>
        <v>PREMIUM NUTS</v>
      </c>
      <c r="N358" s="60" t="str">
        <v>Macadamia Nuts</v>
      </c>
      <c r="O358" s="60" t="s">
        <v>1880</v>
      </c>
      <c r="P358" s="60" t="s">
        <v>65</v>
      </c>
      <c r="Q358" s="60" t="s">
        <v>571</v>
      </c>
      <c r="R358" s="45" t="s">
        <v>516</v>
      </c>
      <c r="S358" s="45" t="s">
        <v>6</v>
      </c>
      <c r="T358" s="45" t="s">
        <v>1429</v>
      </c>
      <c r="U358" s="119">
        <v>625</v>
      </c>
      <c r="V358" s="62">
        <f>U358*J358</f>
        <v>18750</v>
      </c>
      <c r="W358" s="63">
        <f ca="1">$W$4-A358</f>
        <v>4</v>
      </c>
      <c r="X358" s="52" t="str">
        <f ca="1">VLOOKUP(W358,$AA$2:$AB$6,2)</f>
        <v>&lt; 6 Months</v>
      </c>
      <c r="Y358" s="52" t="str">
        <f ca="1">VLOOKUP(W358,$AD$2:$AE$6,2)</f>
        <v>&lt;30 Days</v>
      </c>
    </row>
    <row r="359" spans="1:25" s="64" customFormat="1" ht="15" customHeight="1">
      <c r="A359" s="127" t="s">
        <v>1881</v>
      </c>
      <c r="B359" s="45" t="s">
        <v>245</v>
      </c>
      <c r="C359" s="45" t="s">
        <v>1882</v>
      </c>
      <c r="D359" s="43" t="s">
        <v>528</v>
      </c>
      <c r="E359" s="43" t="s">
        <v>1886</v>
      </c>
      <c r="F359" s="43" t="s">
        <v>1877</v>
      </c>
      <c r="G359" s="41">
        <v>5553</v>
      </c>
      <c r="H359" s="116">
        <v>1</v>
      </c>
      <c r="I359" s="41">
        <v>11.34</v>
      </c>
      <c r="J359" s="98">
        <f>I359*H359</f>
        <v>11.34</v>
      </c>
      <c r="K359" s="60" t="s">
        <v>867</v>
      </c>
      <c r="L359" s="60" t="s">
        <v>889</v>
      </c>
      <c r="M359" s="60" t="str" cm="1">
        <f t="array" ref="M359:N359">VLOOKUP(Q359,[1]CFPL!$A:$D,{3,4},0)</f>
        <v>PREMIUM NUTS</v>
      </c>
      <c r="N359" s="60" t="str">
        <v>Macadamia Nuts</v>
      </c>
      <c r="O359" s="60" t="s">
        <v>1429</v>
      </c>
      <c r="P359" s="60" t="s">
        <v>71</v>
      </c>
      <c r="Q359" s="60" t="s">
        <v>71</v>
      </c>
      <c r="R359" s="45" t="s">
        <v>516</v>
      </c>
      <c r="S359" s="45" t="s">
        <v>6</v>
      </c>
      <c r="T359" s="45" t="s">
        <v>1429</v>
      </c>
      <c r="U359" s="119">
        <v>900</v>
      </c>
      <c r="V359" s="62">
        <f>U359*J359</f>
        <v>10206</v>
      </c>
      <c r="W359" s="63">
        <f ca="1">$W$4-A359</f>
        <v>4</v>
      </c>
      <c r="X359" s="52" t="str">
        <f ca="1">VLOOKUP(W359,$AA$2:$AB$6,2)</f>
        <v>&lt; 6 Months</v>
      </c>
      <c r="Y359" s="52" t="str">
        <f ca="1">VLOOKUP(W359,$AD$2:$AE$6,2)</f>
        <v>&lt;30 Days</v>
      </c>
    </row>
    <row r="360" spans="1:25" s="64" customFormat="1" ht="15" customHeight="1">
      <c r="A360" s="127" t="s">
        <v>1881</v>
      </c>
      <c r="B360" s="45" t="s">
        <v>245</v>
      </c>
      <c r="C360" s="45" t="s">
        <v>1882</v>
      </c>
      <c r="D360" s="43" t="s">
        <v>528</v>
      </c>
      <c r="E360" s="43" t="s">
        <v>589</v>
      </c>
      <c r="F360" s="43" t="s">
        <v>1876</v>
      </c>
      <c r="G360" s="41">
        <v>5552</v>
      </c>
      <c r="H360" s="116">
        <v>1</v>
      </c>
      <c r="I360" s="41">
        <v>11.34</v>
      </c>
      <c r="J360" s="98">
        <f>I360*H360</f>
        <v>11.34</v>
      </c>
      <c r="K360" s="60" t="s">
        <v>867</v>
      </c>
      <c r="L360" s="60" t="s">
        <v>887</v>
      </c>
      <c r="M360" s="60" t="str" cm="1">
        <f t="array" ref="M360:N360">VLOOKUP(Q360,[1]CFPL!$A:$D,{3,4},0)</f>
        <v>PREMIUM NUTS</v>
      </c>
      <c r="N360" s="60" t="str">
        <v>Macadamia Nuts</v>
      </c>
      <c r="O360" s="60" t="s">
        <v>1429</v>
      </c>
      <c r="P360" s="60" t="s">
        <v>70</v>
      </c>
      <c r="Q360" s="60" t="s">
        <v>70</v>
      </c>
      <c r="R360" s="45" t="s">
        <v>516</v>
      </c>
      <c r="S360" s="45" t="s">
        <v>6</v>
      </c>
      <c r="T360" s="45" t="s">
        <v>1429</v>
      </c>
      <c r="U360" s="119">
        <v>1290</v>
      </c>
      <c r="V360" s="62">
        <f>U360*J360</f>
        <v>14628.6</v>
      </c>
      <c r="W360" s="63">
        <f ca="1">$W$4-A360</f>
        <v>4</v>
      </c>
      <c r="X360" s="52" t="str">
        <f ca="1">VLOOKUP(W360,$AA$2:$AB$6,2)</f>
        <v>&lt; 6 Months</v>
      </c>
      <c r="Y360" s="52" t="str">
        <f ca="1">VLOOKUP(W360,$AD$2:$AE$6,2)</f>
        <v>&lt;30 Days</v>
      </c>
    </row>
    <row r="361" spans="1:25" s="64" customFormat="1" ht="15" customHeight="1">
      <c r="A361" s="127" t="s">
        <v>1881</v>
      </c>
      <c r="B361" s="45" t="s">
        <v>245</v>
      </c>
      <c r="C361" s="45" t="s">
        <v>1882</v>
      </c>
      <c r="D361" s="43" t="s">
        <v>528</v>
      </c>
      <c r="E361" s="43" t="s">
        <v>1875</v>
      </c>
      <c r="F361" s="43" t="s">
        <v>1874</v>
      </c>
      <c r="G361" s="41">
        <v>5551</v>
      </c>
      <c r="H361" s="116">
        <v>1</v>
      </c>
      <c r="I361" s="41">
        <v>11.34</v>
      </c>
      <c r="J361" s="98">
        <f>I361*H361</f>
        <v>11.34</v>
      </c>
      <c r="K361" s="60" t="s">
        <v>867</v>
      </c>
      <c r="L361" s="60" t="s">
        <v>886</v>
      </c>
      <c r="M361" s="60" t="str" cm="1">
        <f t="array" ref="M361:N361">VLOOKUP(Q361,[1]CFPL!$A:$D,{3,4},0)</f>
        <v>PREMIUM NUTS</v>
      </c>
      <c r="N361" s="60" t="str">
        <v>Macadamia Nuts</v>
      </c>
      <c r="O361" s="60" t="s">
        <v>1429</v>
      </c>
      <c r="P361" s="60" t="s">
        <v>877</v>
      </c>
      <c r="Q361" s="60" t="s">
        <v>877</v>
      </c>
      <c r="R361" s="45" t="s">
        <v>516</v>
      </c>
      <c r="S361" s="45" t="s">
        <v>6</v>
      </c>
      <c r="T361" s="45" t="s">
        <v>1429</v>
      </c>
      <c r="U361" s="119">
        <v>1820.3</v>
      </c>
      <c r="V361" s="62">
        <f>U361*J361</f>
        <v>20642.201999999997</v>
      </c>
      <c r="W361" s="63">
        <f ca="1">$W$4-A361</f>
        <v>4</v>
      </c>
      <c r="X361" s="52" t="str">
        <f ca="1">VLOOKUP(W361,$AA$2:$AB$6,2)</f>
        <v>&lt; 6 Months</v>
      </c>
      <c r="Y361" s="52" t="str">
        <f ca="1">VLOOKUP(W361,$AD$2:$AE$6,2)</f>
        <v>&lt;30 Days</v>
      </c>
    </row>
    <row r="362" spans="1:25" s="64" customFormat="1" ht="15" customHeight="1">
      <c r="A362" s="127" t="s">
        <v>1881</v>
      </c>
      <c r="B362" s="45" t="s">
        <v>245</v>
      </c>
      <c r="C362" s="45" t="s">
        <v>1882</v>
      </c>
      <c r="D362" s="43" t="s">
        <v>528</v>
      </c>
      <c r="E362" s="43" t="s">
        <v>1878</v>
      </c>
      <c r="F362" s="43" t="s">
        <v>529</v>
      </c>
      <c r="G362" s="41">
        <v>5550</v>
      </c>
      <c r="H362" s="116">
        <v>1</v>
      </c>
      <c r="I362" s="41">
        <v>11.34</v>
      </c>
      <c r="J362" s="98">
        <f>I362*H362</f>
        <v>11.34</v>
      </c>
      <c r="K362" s="60" t="s">
        <v>867</v>
      </c>
      <c r="L362" s="60" t="s">
        <v>885</v>
      </c>
      <c r="M362" s="60" t="str" cm="1">
        <f t="array" ref="M362:N362">VLOOKUP(Q362,[1]CFPL!$A:$D,{3,4},0)</f>
        <v>PREMIUM NUTS</v>
      </c>
      <c r="N362" s="60" t="str">
        <v>Macadamia Nuts</v>
      </c>
      <c r="O362" s="60" t="s">
        <v>1429</v>
      </c>
      <c r="P362" s="60" t="s">
        <v>876</v>
      </c>
      <c r="Q362" s="60" t="s">
        <v>876</v>
      </c>
      <c r="R362" s="45" t="s">
        <v>516</v>
      </c>
      <c r="S362" s="45" t="s">
        <v>6</v>
      </c>
      <c r="T362" s="45" t="s">
        <v>1429</v>
      </c>
      <c r="U362" s="119">
        <v>1964.45</v>
      </c>
      <c r="V362" s="62">
        <f>U362*J362</f>
        <v>22276.863000000001</v>
      </c>
      <c r="W362" s="63">
        <f ca="1">$W$4-A362</f>
        <v>4</v>
      </c>
      <c r="X362" s="52" t="str">
        <f ca="1">VLOOKUP(W362,$AA$2:$AB$6,2)</f>
        <v>&lt; 6 Months</v>
      </c>
      <c r="Y362" s="52" t="str">
        <f ca="1">VLOOKUP(W362,$AD$2:$AE$6,2)</f>
        <v>&lt;30 Days</v>
      </c>
    </row>
    <row r="363" spans="1:25" s="64" customFormat="1" ht="15" customHeight="1">
      <c r="A363" s="127" t="s">
        <v>1406</v>
      </c>
      <c r="B363" s="45" t="s">
        <v>258</v>
      </c>
      <c r="C363" s="45" t="s">
        <v>1407</v>
      </c>
      <c r="D363" s="43" t="s">
        <v>270</v>
      </c>
      <c r="E363" s="43" t="s">
        <v>1426</v>
      </c>
      <c r="F363" s="43" t="s">
        <v>1427</v>
      </c>
      <c r="G363" s="41">
        <v>13295</v>
      </c>
      <c r="H363" s="116">
        <v>200</v>
      </c>
      <c r="I363" s="41">
        <v>5</v>
      </c>
      <c r="J363" s="98">
        <f>I363*H363</f>
        <v>1000</v>
      </c>
      <c r="K363" s="60" t="s">
        <v>190</v>
      </c>
      <c r="L363" s="60" t="s">
        <v>1037</v>
      </c>
      <c r="M363" s="60" t="str" cm="1">
        <f t="array" ref="M363:N363">VLOOKUP(Q363,[1]CFPL!$A:$D,{3,4},0)</f>
        <v>DATES</v>
      </c>
      <c r="N363" s="60" t="str">
        <v>Amary</v>
      </c>
      <c r="O363" s="60" t="s">
        <v>1037</v>
      </c>
      <c r="P363" s="60" t="s">
        <v>1385</v>
      </c>
      <c r="Q363" s="60" t="s">
        <v>1039</v>
      </c>
      <c r="R363" s="45" t="s">
        <v>516</v>
      </c>
      <c r="S363" s="45" t="s">
        <v>24</v>
      </c>
      <c r="T363" s="45" t="s">
        <v>274</v>
      </c>
      <c r="U363" s="119">
        <v>315</v>
      </c>
      <c r="V363" s="62">
        <f>U363*J363</f>
        <v>315000</v>
      </c>
      <c r="W363" s="63">
        <f ca="1">$W$4-A363</f>
        <v>90</v>
      </c>
      <c r="X363" s="52" t="str">
        <f ca="1">VLOOKUP(W363,$AA$2:$AB$6,2)</f>
        <v>&lt; 6 Months</v>
      </c>
      <c r="Y363" s="52" t="str">
        <f ca="1">VLOOKUP(W363,$AD$2:$AE$6,2)</f>
        <v>90-180 Days</v>
      </c>
    </row>
    <row r="364" spans="1:25" s="64" customFormat="1" ht="15" customHeight="1">
      <c r="A364" s="127" t="s">
        <v>1406</v>
      </c>
      <c r="B364" s="45" t="s">
        <v>258</v>
      </c>
      <c r="C364" s="45" t="s">
        <v>1407</v>
      </c>
      <c r="D364" s="43" t="s">
        <v>270</v>
      </c>
      <c r="E364" s="43" t="s">
        <v>1428</v>
      </c>
      <c r="F364" s="43" t="s">
        <v>1167</v>
      </c>
      <c r="G364" s="41">
        <v>13296</v>
      </c>
      <c r="H364" s="116">
        <v>210</v>
      </c>
      <c r="I364" s="41">
        <v>5</v>
      </c>
      <c r="J364" s="98">
        <f>I364*H364</f>
        <v>1050</v>
      </c>
      <c r="K364" s="60" t="s">
        <v>190</v>
      </c>
      <c r="L364" s="60" t="s">
        <v>857</v>
      </c>
      <c r="M364" s="60" t="str" cm="1">
        <f t="array" ref="M364:N364">VLOOKUP(Q364,[1]CFPL!$A:$D,{3,4},0)</f>
        <v>DATES</v>
      </c>
      <c r="N364" s="60" t="str">
        <v>Medjoul-Jumbo</v>
      </c>
      <c r="O364" s="60" t="s">
        <v>507</v>
      </c>
      <c r="P364" s="60" t="s">
        <v>200</v>
      </c>
      <c r="Q364" s="60" t="s">
        <v>654</v>
      </c>
      <c r="R364" s="45" t="s">
        <v>516</v>
      </c>
      <c r="S364" s="45" t="s">
        <v>24</v>
      </c>
      <c r="T364" s="45" t="s">
        <v>274</v>
      </c>
      <c r="U364" s="119">
        <v>1057</v>
      </c>
      <c r="V364" s="62">
        <f>U364*J364</f>
        <v>1109850</v>
      </c>
      <c r="W364" s="63">
        <f ca="1">$W$4-A364</f>
        <v>90</v>
      </c>
      <c r="X364" s="52" t="str">
        <f ca="1">VLOOKUP(W364,$AA$2:$AB$6,2)</f>
        <v>&lt; 6 Months</v>
      </c>
      <c r="Y364" s="52" t="str">
        <f ca="1">VLOOKUP(W364,$AD$2:$AE$6,2)</f>
        <v>90-180 Days</v>
      </c>
    </row>
    <row r="365" spans="1:25" s="64" customFormat="1" ht="15" customHeight="1">
      <c r="A365" s="127" t="s">
        <v>1406</v>
      </c>
      <c r="B365" s="45" t="s">
        <v>258</v>
      </c>
      <c r="C365" s="45" t="s">
        <v>1407</v>
      </c>
      <c r="D365" s="43" t="s">
        <v>270</v>
      </c>
      <c r="E365" s="43" t="s">
        <v>1408</v>
      </c>
      <c r="F365" s="43" t="s">
        <v>1310</v>
      </c>
      <c r="G365" s="41">
        <v>13314</v>
      </c>
      <c r="H365" s="116">
        <v>210</v>
      </c>
      <c r="I365" s="41">
        <v>5</v>
      </c>
      <c r="J365" s="98">
        <f>I365*H365</f>
        <v>1050</v>
      </c>
      <c r="K365" s="60" t="s">
        <v>190</v>
      </c>
      <c r="L365" s="60" t="s">
        <v>859</v>
      </c>
      <c r="M365" s="60" t="str" cm="1">
        <f t="array" ref="M365:N365">VLOOKUP(Q365,[1]CFPL!$A:$D,{3,4},0)</f>
        <v>DATES</v>
      </c>
      <c r="N365" s="60" t="str">
        <v>Medjoul-Large</v>
      </c>
      <c r="O365" s="60" t="s">
        <v>440</v>
      </c>
      <c r="P365" s="60" t="s">
        <v>204</v>
      </c>
      <c r="Q365" s="60" t="s">
        <v>967</v>
      </c>
      <c r="R365" s="45" t="s">
        <v>516</v>
      </c>
      <c r="S365" s="45" t="s">
        <v>24</v>
      </c>
      <c r="T365" s="45" t="s">
        <v>274</v>
      </c>
      <c r="U365" s="119">
        <v>871.2</v>
      </c>
      <c r="V365" s="62">
        <f>U365*J365</f>
        <v>914760</v>
      </c>
      <c r="W365" s="63">
        <f ca="1">$W$4-A365</f>
        <v>90</v>
      </c>
      <c r="X365" s="52" t="str">
        <f ca="1">VLOOKUP(W365,$AA$2:$AB$6,2)</f>
        <v>&lt; 6 Months</v>
      </c>
      <c r="Y365" s="52" t="str">
        <f ca="1">VLOOKUP(W365,$AD$2:$AE$6,2)</f>
        <v>90-180 Days</v>
      </c>
    </row>
    <row r="366" spans="1:25" s="64" customFormat="1" ht="15" customHeight="1">
      <c r="A366" s="127" t="s">
        <v>1406</v>
      </c>
      <c r="B366" s="45" t="s">
        <v>258</v>
      </c>
      <c r="C366" s="45" t="s">
        <v>1407</v>
      </c>
      <c r="D366" s="43" t="s">
        <v>270</v>
      </c>
      <c r="E366" s="43" t="s">
        <v>1409</v>
      </c>
      <c r="F366" s="43" t="s">
        <v>1310</v>
      </c>
      <c r="G366" s="41">
        <v>13313</v>
      </c>
      <c r="H366" s="116">
        <v>210</v>
      </c>
      <c r="I366" s="41">
        <v>5</v>
      </c>
      <c r="J366" s="98">
        <f>I366*H366</f>
        <v>1050</v>
      </c>
      <c r="K366" s="60" t="s">
        <v>190</v>
      </c>
      <c r="L366" s="60" t="s">
        <v>859</v>
      </c>
      <c r="M366" s="60" t="str" cm="1">
        <f t="array" ref="M366:N366">VLOOKUP(Q366,[1]CFPL!$A:$D,{3,4},0)</f>
        <v>DATES</v>
      </c>
      <c r="N366" s="60" t="str">
        <v>Medjoul-Large</v>
      </c>
      <c r="O366" s="60" t="s">
        <v>440</v>
      </c>
      <c r="P366" s="60" t="s">
        <v>204</v>
      </c>
      <c r="Q366" s="60" t="s">
        <v>967</v>
      </c>
      <c r="R366" s="45" t="s">
        <v>516</v>
      </c>
      <c r="S366" s="45" t="s">
        <v>24</v>
      </c>
      <c r="T366" s="45" t="s">
        <v>274</v>
      </c>
      <c r="U366" s="119">
        <v>871.2</v>
      </c>
      <c r="V366" s="62">
        <f>U366*J366</f>
        <v>914760</v>
      </c>
      <c r="W366" s="63">
        <f ca="1">$W$4-A366</f>
        <v>90</v>
      </c>
      <c r="X366" s="52" t="str">
        <f ca="1">VLOOKUP(W366,$AA$2:$AB$6,2)</f>
        <v>&lt; 6 Months</v>
      </c>
      <c r="Y366" s="52" t="str">
        <f ca="1">VLOOKUP(W366,$AD$2:$AE$6,2)</f>
        <v>90-180 Days</v>
      </c>
    </row>
    <row r="367" spans="1:25" s="64" customFormat="1" ht="15" customHeight="1">
      <c r="A367" s="127" t="s">
        <v>1406</v>
      </c>
      <c r="B367" s="45" t="s">
        <v>258</v>
      </c>
      <c r="C367" s="45" t="s">
        <v>1407</v>
      </c>
      <c r="D367" s="43" t="s">
        <v>270</v>
      </c>
      <c r="E367" s="43" t="s">
        <v>1410</v>
      </c>
      <c r="F367" s="43" t="s">
        <v>1310</v>
      </c>
      <c r="G367" s="41">
        <v>13312</v>
      </c>
      <c r="H367" s="116">
        <v>210</v>
      </c>
      <c r="I367" s="41">
        <v>5</v>
      </c>
      <c r="J367" s="98">
        <f>I367*H367</f>
        <v>1050</v>
      </c>
      <c r="K367" s="60" t="s">
        <v>190</v>
      </c>
      <c r="L367" s="60" t="s">
        <v>859</v>
      </c>
      <c r="M367" s="60" t="str" cm="1">
        <f t="array" ref="M367:N367">VLOOKUP(Q367,[1]CFPL!$A:$D,{3,4},0)</f>
        <v>DATES</v>
      </c>
      <c r="N367" s="60" t="str">
        <v>Medjoul-Large</v>
      </c>
      <c r="O367" s="60" t="s">
        <v>440</v>
      </c>
      <c r="P367" s="60" t="s">
        <v>204</v>
      </c>
      <c r="Q367" s="60" t="s">
        <v>967</v>
      </c>
      <c r="R367" s="45" t="s">
        <v>516</v>
      </c>
      <c r="S367" s="45" t="s">
        <v>24</v>
      </c>
      <c r="T367" s="45" t="s">
        <v>274</v>
      </c>
      <c r="U367" s="119">
        <v>871.2</v>
      </c>
      <c r="V367" s="62">
        <f>U367*J367</f>
        <v>914760</v>
      </c>
      <c r="W367" s="63">
        <f ca="1">$W$4-A367</f>
        <v>90</v>
      </c>
      <c r="X367" s="52" t="str">
        <f ca="1">VLOOKUP(W367,$AA$2:$AB$6,2)</f>
        <v>&lt; 6 Months</v>
      </c>
      <c r="Y367" s="52" t="str">
        <f ca="1">VLOOKUP(W367,$AD$2:$AE$6,2)</f>
        <v>90-180 Days</v>
      </c>
    </row>
    <row r="368" spans="1:25" s="64" customFormat="1" ht="15" customHeight="1">
      <c r="A368" s="127" t="s">
        <v>1406</v>
      </c>
      <c r="B368" s="45" t="s">
        <v>258</v>
      </c>
      <c r="C368" s="45" t="s">
        <v>1407</v>
      </c>
      <c r="D368" s="43" t="s">
        <v>270</v>
      </c>
      <c r="E368" s="43" t="s">
        <v>1411</v>
      </c>
      <c r="F368" s="43" t="s">
        <v>1310</v>
      </c>
      <c r="G368" s="41">
        <v>13311</v>
      </c>
      <c r="H368" s="116">
        <v>210</v>
      </c>
      <c r="I368" s="41">
        <v>5</v>
      </c>
      <c r="J368" s="98">
        <f>I368*H368</f>
        <v>1050</v>
      </c>
      <c r="K368" s="60" t="s">
        <v>190</v>
      </c>
      <c r="L368" s="60" t="s">
        <v>859</v>
      </c>
      <c r="M368" s="60" t="str" cm="1">
        <f t="array" ref="M368:N368">VLOOKUP(Q368,[1]CFPL!$A:$D,{3,4},0)</f>
        <v>DATES</v>
      </c>
      <c r="N368" s="60" t="str">
        <v>Medjoul-Large</v>
      </c>
      <c r="O368" s="60" t="s">
        <v>440</v>
      </c>
      <c r="P368" s="60" t="s">
        <v>204</v>
      </c>
      <c r="Q368" s="60" t="s">
        <v>967</v>
      </c>
      <c r="R368" s="45" t="s">
        <v>516</v>
      </c>
      <c r="S368" s="45" t="s">
        <v>24</v>
      </c>
      <c r="T368" s="45" t="s">
        <v>274</v>
      </c>
      <c r="U368" s="119">
        <v>871.2</v>
      </c>
      <c r="V368" s="62">
        <f>U368*J368</f>
        <v>914760</v>
      </c>
      <c r="W368" s="63">
        <f ca="1">$W$4-A368</f>
        <v>90</v>
      </c>
      <c r="X368" s="52" t="str">
        <f ca="1">VLOOKUP(W368,$AA$2:$AB$6,2)</f>
        <v>&lt; 6 Months</v>
      </c>
      <c r="Y368" s="52" t="str">
        <f ca="1">VLOOKUP(W368,$AD$2:$AE$6,2)</f>
        <v>90-180 Days</v>
      </c>
    </row>
    <row r="369" spans="1:25" s="64" customFormat="1" ht="15" customHeight="1">
      <c r="A369" s="127" t="s">
        <v>1406</v>
      </c>
      <c r="B369" s="45" t="s">
        <v>258</v>
      </c>
      <c r="C369" s="45" t="s">
        <v>1407</v>
      </c>
      <c r="D369" s="43" t="s">
        <v>270</v>
      </c>
      <c r="E369" s="43" t="s">
        <v>1412</v>
      </c>
      <c r="F369" s="43" t="s">
        <v>1310</v>
      </c>
      <c r="G369" s="41">
        <v>13310</v>
      </c>
      <c r="H369" s="116">
        <v>210</v>
      </c>
      <c r="I369" s="41">
        <v>5</v>
      </c>
      <c r="J369" s="98">
        <f>I369*H369</f>
        <v>1050</v>
      </c>
      <c r="K369" s="60" t="s">
        <v>190</v>
      </c>
      <c r="L369" s="60" t="s">
        <v>859</v>
      </c>
      <c r="M369" s="60" t="str" cm="1">
        <f t="array" ref="M369:N369">VLOOKUP(Q369,[1]CFPL!$A:$D,{3,4},0)</f>
        <v>DATES</v>
      </c>
      <c r="N369" s="60" t="str">
        <v>Medjoul-Large</v>
      </c>
      <c r="O369" s="60" t="s">
        <v>440</v>
      </c>
      <c r="P369" s="60" t="s">
        <v>204</v>
      </c>
      <c r="Q369" s="60" t="s">
        <v>967</v>
      </c>
      <c r="R369" s="45" t="s">
        <v>516</v>
      </c>
      <c r="S369" s="45" t="s">
        <v>24</v>
      </c>
      <c r="T369" s="45" t="s">
        <v>274</v>
      </c>
      <c r="U369" s="119">
        <v>871.2</v>
      </c>
      <c r="V369" s="62">
        <f>U369*J369</f>
        <v>914760</v>
      </c>
      <c r="W369" s="63">
        <f ca="1">$W$4-A369</f>
        <v>90</v>
      </c>
      <c r="X369" s="52" t="str">
        <f ca="1">VLOOKUP(W369,$AA$2:$AB$6,2)</f>
        <v>&lt; 6 Months</v>
      </c>
      <c r="Y369" s="52" t="str">
        <f ca="1">VLOOKUP(W369,$AD$2:$AE$6,2)</f>
        <v>90-180 Days</v>
      </c>
    </row>
    <row r="370" spans="1:25" s="64" customFormat="1" ht="15" customHeight="1">
      <c r="A370" s="127" t="s">
        <v>1406</v>
      </c>
      <c r="B370" s="45" t="s">
        <v>258</v>
      </c>
      <c r="C370" s="45" t="s">
        <v>1407</v>
      </c>
      <c r="D370" s="43" t="s">
        <v>270</v>
      </c>
      <c r="E370" s="43" t="s">
        <v>1413</v>
      </c>
      <c r="F370" s="43" t="s">
        <v>1310</v>
      </c>
      <c r="G370" s="41">
        <v>13309</v>
      </c>
      <c r="H370" s="116">
        <v>210</v>
      </c>
      <c r="I370" s="41">
        <v>5</v>
      </c>
      <c r="J370" s="98">
        <f>I370*H370</f>
        <v>1050</v>
      </c>
      <c r="K370" s="60" t="s">
        <v>190</v>
      </c>
      <c r="L370" s="60" t="s">
        <v>859</v>
      </c>
      <c r="M370" s="60" t="str" cm="1">
        <f t="array" ref="M370:N370">VLOOKUP(Q370,[1]CFPL!$A:$D,{3,4},0)</f>
        <v>DATES</v>
      </c>
      <c r="N370" s="60" t="str">
        <v>Medjoul-Large</v>
      </c>
      <c r="O370" s="60" t="s">
        <v>440</v>
      </c>
      <c r="P370" s="60" t="s">
        <v>204</v>
      </c>
      <c r="Q370" s="60" t="s">
        <v>967</v>
      </c>
      <c r="R370" s="45" t="s">
        <v>516</v>
      </c>
      <c r="S370" s="45" t="s">
        <v>24</v>
      </c>
      <c r="T370" s="45" t="s">
        <v>274</v>
      </c>
      <c r="U370" s="119">
        <v>871.2</v>
      </c>
      <c r="V370" s="62">
        <f>U370*J370</f>
        <v>914760</v>
      </c>
      <c r="W370" s="63">
        <f ca="1">$W$4-A370</f>
        <v>90</v>
      </c>
      <c r="X370" s="52" t="str">
        <f ca="1">VLOOKUP(W370,$AA$2:$AB$6,2)</f>
        <v>&lt; 6 Months</v>
      </c>
      <c r="Y370" s="52" t="str">
        <f ca="1">VLOOKUP(W370,$AD$2:$AE$6,2)</f>
        <v>90-180 Days</v>
      </c>
    </row>
    <row r="371" spans="1:25" s="64" customFormat="1" ht="15" customHeight="1">
      <c r="A371" s="127" t="s">
        <v>1406</v>
      </c>
      <c r="B371" s="45" t="s">
        <v>258</v>
      </c>
      <c r="C371" s="45" t="s">
        <v>1407</v>
      </c>
      <c r="D371" s="43" t="s">
        <v>270</v>
      </c>
      <c r="E371" s="43" t="s">
        <v>1414</v>
      </c>
      <c r="F371" s="43" t="s">
        <v>1310</v>
      </c>
      <c r="G371" s="41">
        <v>13308</v>
      </c>
      <c r="H371" s="116">
        <v>210</v>
      </c>
      <c r="I371" s="41">
        <v>5</v>
      </c>
      <c r="J371" s="98">
        <f>I371*H371</f>
        <v>1050</v>
      </c>
      <c r="K371" s="60" t="s">
        <v>190</v>
      </c>
      <c r="L371" s="60" t="s">
        <v>859</v>
      </c>
      <c r="M371" s="60" t="str" cm="1">
        <f t="array" ref="M371:N371">VLOOKUP(Q371,[1]CFPL!$A:$D,{3,4},0)</f>
        <v>DATES</v>
      </c>
      <c r="N371" s="60" t="str">
        <v>Medjoul-Large</v>
      </c>
      <c r="O371" s="60" t="s">
        <v>440</v>
      </c>
      <c r="P371" s="60" t="s">
        <v>204</v>
      </c>
      <c r="Q371" s="60" t="s">
        <v>967</v>
      </c>
      <c r="R371" s="45" t="s">
        <v>516</v>
      </c>
      <c r="S371" s="45" t="s">
        <v>24</v>
      </c>
      <c r="T371" s="45" t="s">
        <v>274</v>
      </c>
      <c r="U371" s="119">
        <v>871.2</v>
      </c>
      <c r="V371" s="62">
        <f>U371*J371</f>
        <v>914760</v>
      </c>
      <c r="W371" s="63">
        <f ca="1">$W$4-A371</f>
        <v>90</v>
      </c>
      <c r="X371" s="52" t="str">
        <f ca="1">VLOOKUP(W371,$AA$2:$AB$6,2)</f>
        <v>&lt; 6 Months</v>
      </c>
      <c r="Y371" s="52" t="str">
        <f ca="1">VLOOKUP(W371,$AD$2:$AE$6,2)</f>
        <v>90-180 Days</v>
      </c>
    </row>
    <row r="372" spans="1:25" s="64" customFormat="1" ht="15" customHeight="1">
      <c r="A372" s="127" t="s">
        <v>1406</v>
      </c>
      <c r="B372" s="45" t="s">
        <v>258</v>
      </c>
      <c r="C372" s="45" t="s">
        <v>1407</v>
      </c>
      <c r="D372" s="43" t="s">
        <v>270</v>
      </c>
      <c r="E372" s="43" t="s">
        <v>1415</v>
      </c>
      <c r="F372" s="43" t="s">
        <v>1310</v>
      </c>
      <c r="G372" s="41">
        <v>13307</v>
      </c>
      <c r="H372" s="116">
        <v>210</v>
      </c>
      <c r="I372" s="41">
        <v>5</v>
      </c>
      <c r="J372" s="98">
        <f>I372*H372</f>
        <v>1050</v>
      </c>
      <c r="K372" s="60" t="s">
        <v>190</v>
      </c>
      <c r="L372" s="60" t="s">
        <v>859</v>
      </c>
      <c r="M372" s="60" t="str" cm="1">
        <f t="array" ref="M372:N372">VLOOKUP(Q372,[1]CFPL!$A:$D,{3,4},0)</f>
        <v>DATES</v>
      </c>
      <c r="N372" s="60" t="str">
        <v>Medjoul-Large</v>
      </c>
      <c r="O372" s="60" t="s">
        <v>440</v>
      </c>
      <c r="P372" s="60" t="s">
        <v>204</v>
      </c>
      <c r="Q372" s="60" t="s">
        <v>967</v>
      </c>
      <c r="R372" s="45" t="s">
        <v>516</v>
      </c>
      <c r="S372" s="45" t="s">
        <v>24</v>
      </c>
      <c r="T372" s="45" t="s">
        <v>274</v>
      </c>
      <c r="U372" s="119">
        <v>871.2</v>
      </c>
      <c r="V372" s="62">
        <f>U372*J372</f>
        <v>914760</v>
      </c>
      <c r="W372" s="63">
        <f ca="1">$W$4-A372</f>
        <v>90</v>
      </c>
      <c r="X372" s="52" t="str">
        <f ca="1">VLOOKUP(W372,$AA$2:$AB$6,2)</f>
        <v>&lt; 6 Months</v>
      </c>
      <c r="Y372" s="52" t="str">
        <f ca="1">VLOOKUP(W372,$AD$2:$AE$6,2)</f>
        <v>90-180 Days</v>
      </c>
    </row>
    <row r="373" spans="1:25" s="64" customFormat="1" ht="15" customHeight="1">
      <c r="A373" s="127" t="s">
        <v>1406</v>
      </c>
      <c r="B373" s="45" t="s">
        <v>258</v>
      </c>
      <c r="C373" s="45" t="s">
        <v>1407</v>
      </c>
      <c r="D373" s="43" t="s">
        <v>270</v>
      </c>
      <c r="E373" s="43" t="s">
        <v>1416</v>
      </c>
      <c r="F373" s="43" t="s">
        <v>1310</v>
      </c>
      <c r="G373" s="41">
        <v>13306</v>
      </c>
      <c r="H373" s="116">
        <v>210</v>
      </c>
      <c r="I373" s="41">
        <v>5</v>
      </c>
      <c r="J373" s="98">
        <f>I373*H373</f>
        <v>1050</v>
      </c>
      <c r="K373" s="60" t="s">
        <v>190</v>
      </c>
      <c r="L373" s="60" t="s">
        <v>859</v>
      </c>
      <c r="M373" s="60" t="str" cm="1">
        <f t="array" ref="M373:N373">VLOOKUP(Q373,[1]CFPL!$A:$D,{3,4},0)</f>
        <v>DATES</v>
      </c>
      <c r="N373" s="60" t="str">
        <v>Medjoul-Large</v>
      </c>
      <c r="O373" s="60" t="s">
        <v>440</v>
      </c>
      <c r="P373" s="60" t="s">
        <v>204</v>
      </c>
      <c r="Q373" s="60" t="s">
        <v>967</v>
      </c>
      <c r="R373" s="45" t="s">
        <v>516</v>
      </c>
      <c r="S373" s="45" t="s">
        <v>24</v>
      </c>
      <c r="T373" s="45" t="s">
        <v>274</v>
      </c>
      <c r="U373" s="119">
        <v>871.2</v>
      </c>
      <c r="V373" s="62">
        <f>U373*J373</f>
        <v>914760</v>
      </c>
      <c r="W373" s="63">
        <f ca="1">$W$4-A373</f>
        <v>90</v>
      </c>
      <c r="X373" s="52" t="str">
        <f ca="1">VLOOKUP(W373,$AA$2:$AB$6,2)</f>
        <v>&lt; 6 Months</v>
      </c>
      <c r="Y373" s="52" t="str">
        <f ca="1">VLOOKUP(W373,$AD$2:$AE$6,2)</f>
        <v>90-180 Days</v>
      </c>
    </row>
    <row r="374" spans="1:25" s="64" customFormat="1" ht="15" customHeight="1">
      <c r="A374" s="127" t="s">
        <v>1406</v>
      </c>
      <c r="B374" s="45" t="s">
        <v>258</v>
      </c>
      <c r="C374" s="45" t="s">
        <v>1407</v>
      </c>
      <c r="D374" s="43" t="s">
        <v>270</v>
      </c>
      <c r="E374" s="43" t="s">
        <v>1417</v>
      </c>
      <c r="F374" s="43" t="s">
        <v>1310</v>
      </c>
      <c r="G374" s="41">
        <v>13305</v>
      </c>
      <c r="H374" s="116">
        <v>210</v>
      </c>
      <c r="I374" s="41">
        <v>5</v>
      </c>
      <c r="J374" s="98">
        <f>I374*H374</f>
        <v>1050</v>
      </c>
      <c r="K374" s="60" t="s">
        <v>190</v>
      </c>
      <c r="L374" s="60" t="s">
        <v>859</v>
      </c>
      <c r="M374" s="60" t="str" cm="1">
        <f t="array" ref="M374:N374">VLOOKUP(Q374,[1]CFPL!$A:$D,{3,4},0)</f>
        <v>DATES</v>
      </c>
      <c r="N374" s="60" t="str">
        <v>Medjoul-Large</v>
      </c>
      <c r="O374" s="60" t="s">
        <v>440</v>
      </c>
      <c r="P374" s="60" t="s">
        <v>204</v>
      </c>
      <c r="Q374" s="60" t="s">
        <v>967</v>
      </c>
      <c r="R374" s="45" t="s">
        <v>516</v>
      </c>
      <c r="S374" s="45" t="s">
        <v>24</v>
      </c>
      <c r="T374" s="45" t="s">
        <v>274</v>
      </c>
      <c r="U374" s="119">
        <v>871.2</v>
      </c>
      <c r="V374" s="62">
        <f>U374*J374</f>
        <v>914760</v>
      </c>
      <c r="W374" s="63">
        <f ca="1">$W$4-A374</f>
        <v>90</v>
      </c>
      <c r="X374" s="52" t="str">
        <f ca="1">VLOOKUP(W374,$AA$2:$AB$6,2)</f>
        <v>&lt; 6 Months</v>
      </c>
      <c r="Y374" s="52" t="str">
        <f ca="1">VLOOKUP(W374,$AD$2:$AE$6,2)</f>
        <v>90-180 Days</v>
      </c>
    </row>
    <row r="375" spans="1:25" s="64" customFormat="1" ht="15" customHeight="1">
      <c r="A375" s="127" t="s">
        <v>1406</v>
      </c>
      <c r="B375" s="45" t="s">
        <v>258</v>
      </c>
      <c r="C375" s="45" t="s">
        <v>1407</v>
      </c>
      <c r="D375" s="43" t="s">
        <v>270</v>
      </c>
      <c r="E375" s="43" t="s">
        <v>1418</v>
      </c>
      <c r="F375" s="43" t="s">
        <v>1310</v>
      </c>
      <c r="G375" s="41">
        <v>13304</v>
      </c>
      <c r="H375" s="116">
        <v>210</v>
      </c>
      <c r="I375" s="41">
        <v>5</v>
      </c>
      <c r="J375" s="98">
        <f>I375*H375</f>
        <v>1050</v>
      </c>
      <c r="K375" s="60" t="s">
        <v>190</v>
      </c>
      <c r="L375" s="60" t="s">
        <v>859</v>
      </c>
      <c r="M375" s="60" t="str" cm="1">
        <f t="array" ref="M375:N375">VLOOKUP(Q375,[1]CFPL!$A:$D,{3,4},0)</f>
        <v>DATES</v>
      </c>
      <c r="N375" s="60" t="str">
        <v>Medjoul-Large</v>
      </c>
      <c r="O375" s="60" t="s">
        <v>440</v>
      </c>
      <c r="P375" s="60" t="s">
        <v>204</v>
      </c>
      <c r="Q375" s="60" t="s">
        <v>967</v>
      </c>
      <c r="R375" s="45" t="s">
        <v>516</v>
      </c>
      <c r="S375" s="45" t="s">
        <v>24</v>
      </c>
      <c r="T375" s="45" t="s">
        <v>274</v>
      </c>
      <c r="U375" s="119">
        <v>871.2</v>
      </c>
      <c r="V375" s="62">
        <f>U375*J375</f>
        <v>914760</v>
      </c>
      <c r="W375" s="63">
        <f ca="1">$W$4-A375</f>
        <v>90</v>
      </c>
      <c r="X375" s="52" t="str">
        <f ca="1">VLOOKUP(W375,$AA$2:$AB$6,2)</f>
        <v>&lt; 6 Months</v>
      </c>
      <c r="Y375" s="52" t="str">
        <f ca="1">VLOOKUP(W375,$AD$2:$AE$6,2)</f>
        <v>90-180 Days</v>
      </c>
    </row>
    <row r="376" spans="1:25" s="64" customFormat="1" ht="15" customHeight="1">
      <c r="A376" s="127" t="s">
        <v>1406</v>
      </c>
      <c r="B376" s="45" t="s">
        <v>258</v>
      </c>
      <c r="C376" s="45" t="s">
        <v>1407</v>
      </c>
      <c r="D376" s="43" t="s">
        <v>270</v>
      </c>
      <c r="E376" s="43" t="s">
        <v>1419</v>
      </c>
      <c r="F376" s="43" t="s">
        <v>1310</v>
      </c>
      <c r="G376" s="41">
        <v>13303</v>
      </c>
      <c r="H376" s="116">
        <v>210</v>
      </c>
      <c r="I376" s="41">
        <v>5</v>
      </c>
      <c r="J376" s="98">
        <f>I376*H376</f>
        <v>1050</v>
      </c>
      <c r="K376" s="60" t="s">
        <v>190</v>
      </c>
      <c r="L376" s="60" t="s">
        <v>859</v>
      </c>
      <c r="M376" s="60" t="str" cm="1">
        <f t="array" ref="M376:N376">VLOOKUP(Q376,[1]CFPL!$A:$D,{3,4},0)</f>
        <v>DATES</v>
      </c>
      <c r="N376" s="60" t="str">
        <v>Medjoul-Large</v>
      </c>
      <c r="O376" s="60" t="s">
        <v>440</v>
      </c>
      <c r="P376" s="60" t="s">
        <v>204</v>
      </c>
      <c r="Q376" s="60" t="s">
        <v>967</v>
      </c>
      <c r="R376" s="45" t="s">
        <v>516</v>
      </c>
      <c r="S376" s="45" t="s">
        <v>24</v>
      </c>
      <c r="T376" s="45" t="s">
        <v>274</v>
      </c>
      <c r="U376" s="119">
        <v>871.2</v>
      </c>
      <c r="V376" s="62">
        <f>U376*J376</f>
        <v>914760</v>
      </c>
      <c r="W376" s="63">
        <f ca="1">$W$4-A376</f>
        <v>90</v>
      </c>
      <c r="X376" s="52" t="str">
        <f ca="1">VLOOKUP(W376,$AA$2:$AB$6,2)</f>
        <v>&lt; 6 Months</v>
      </c>
      <c r="Y376" s="52" t="str">
        <f ca="1">VLOOKUP(W376,$AD$2:$AE$6,2)</f>
        <v>90-180 Days</v>
      </c>
    </row>
    <row r="377" spans="1:25" s="64" customFormat="1" ht="15" customHeight="1">
      <c r="A377" s="127" t="s">
        <v>1406</v>
      </c>
      <c r="B377" s="45" t="s">
        <v>258</v>
      </c>
      <c r="C377" s="45" t="s">
        <v>1407</v>
      </c>
      <c r="D377" s="43" t="s">
        <v>270</v>
      </c>
      <c r="E377" s="43" t="s">
        <v>1420</v>
      </c>
      <c r="F377" s="43" t="s">
        <v>1310</v>
      </c>
      <c r="G377" s="41">
        <v>13302</v>
      </c>
      <c r="H377" s="116">
        <v>210</v>
      </c>
      <c r="I377" s="41">
        <v>5</v>
      </c>
      <c r="J377" s="98">
        <f>I377*H377</f>
        <v>1050</v>
      </c>
      <c r="K377" s="60" t="s">
        <v>190</v>
      </c>
      <c r="L377" s="60" t="s">
        <v>859</v>
      </c>
      <c r="M377" s="60" t="str" cm="1">
        <f t="array" ref="M377:N377">VLOOKUP(Q377,[1]CFPL!$A:$D,{3,4},0)</f>
        <v>DATES</v>
      </c>
      <c r="N377" s="60" t="str">
        <v>Medjoul-Large</v>
      </c>
      <c r="O377" s="60" t="s">
        <v>440</v>
      </c>
      <c r="P377" s="60" t="s">
        <v>204</v>
      </c>
      <c r="Q377" s="60" t="s">
        <v>967</v>
      </c>
      <c r="R377" s="45" t="s">
        <v>516</v>
      </c>
      <c r="S377" s="45" t="s">
        <v>24</v>
      </c>
      <c r="T377" s="45" t="s">
        <v>274</v>
      </c>
      <c r="U377" s="119">
        <v>871.2</v>
      </c>
      <c r="V377" s="62">
        <f>U377*J377</f>
        <v>914760</v>
      </c>
      <c r="W377" s="63">
        <f ca="1">$W$4-A377</f>
        <v>90</v>
      </c>
      <c r="X377" s="52" t="str">
        <f ca="1">VLOOKUP(W377,$AA$2:$AB$6,2)</f>
        <v>&lt; 6 Months</v>
      </c>
      <c r="Y377" s="52" t="str">
        <f ca="1">VLOOKUP(W377,$AD$2:$AE$6,2)</f>
        <v>90-180 Days</v>
      </c>
    </row>
    <row r="378" spans="1:25" s="64" customFormat="1" ht="15" customHeight="1">
      <c r="A378" s="127" t="s">
        <v>1406</v>
      </c>
      <c r="B378" s="45" t="s">
        <v>258</v>
      </c>
      <c r="C378" s="45" t="s">
        <v>1407</v>
      </c>
      <c r="D378" s="43" t="s">
        <v>270</v>
      </c>
      <c r="E378" s="43" t="s">
        <v>1421</v>
      </c>
      <c r="F378" s="43" t="s">
        <v>1310</v>
      </c>
      <c r="G378" s="41">
        <v>13301</v>
      </c>
      <c r="H378" s="116">
        <v>210</v>
      </c>
      <c r="I378" s="41">
        <v>5</v>
      </c>
      <c r="J378" s="98">
        <f>I378*H378</f>
        <v>1050</v>
      </c>
      <c r="K378" s="60" t="s">
        <v>190</v>
      </c>
      <c r="L378" s="60" t="s">
        <v>859</v>
      </c>
      <c r="M378" s="60" t="str" cm="1">
        <f t="array" ref="M378:N378">VLOOKUP(Q378,[1]CFPL!$A:$D,{3,4},0)</f>
        <v>DATES</v>
      </c>
      <c r="N378" s="60" t="str">
        <v>Medjoul-Large</v>
      </c>
      <c r="O378" s="60" t="s">
        <v>440</v>
      </c>
      <c r="P378" s="60" t="s">
        <v>204</v>
      </c>
      <c r="Q378" s="60" t="s">
        <v>967</v>
      </c>
      <c r="R378" s="45" t="s">
        <v>516</v>
      </c>
      <c r="S378" s="45" t="s">
        <v>24</v>
      </c>
      <c r="T378" s="45" t="s">
        <v>274</v>
      </c>
      <c r="U378" s="119">
        <v>871.2</v>
      </c>
      <c r="V378" s="62">
        <f>U378*J378</f>
        <v>914760</v>
      </c>
      <c r="W378" s="63">
        <f ca="1">$W$4-A378</f>
        <v>90</v>
      </c>
      <c r="X378" s="52" t="str">
        <f ca="1">VLOOKUP(W378,$AA$2:$AB$6,2)</f>
        <v>&lt; 6 Months</v>
      </c>
      <c r="Y378" s="52" t="str">
        <f ca="1">VLOOKUP(W378,$AD$2:$AE$6,2)</f>
        <v>90-180 Days</v>
      </c>
    </row>
    <row r="379" spans="1:25" s="64" customFormat="1" ht="15" customHeight="1">
      <c r="A379" s="127" t="s">
        <v>1406</v>
      </c>
      <c r="B379" s="45" t="s">
        <v>258</v>
      </c>
      <c r="C379" s="45" t="s">
        <v>1407</v>
      </c>
      <c r="D379" s="43" t="s">
        <v>270</v>
      </c>
      <c r="E379" s="43" t="s">
        <v>1422</v>
      </c>
      <c r="F379" s="43" t="s">
        <v>922</v>
      </c>
      <c r="G379" s="41">
        <v>13300</v>
      </c>
      <c r="H379" s="116">
        <v>210</v>
      </c>
      <c r="I379" s="41">
        <v>5</v>
      </c>
      <c r="J379" s="98">
        <f>I379*H379</f>
        <v>1050</v>
      </c>
      <c r="K379" s="60" t="s">
        <v>190</v>
      </c>
      <c r="L379" s="60" t="s">
        <v>861</v>
      </c>
      <c r="M379" s="60" t="str" cm="1">
        <f t="array" ref="M379:N379">VLOOKUP(Q379,[1]CFPL!$A:$D,{3,4},0)</f>
        <v>DATES</v>
      </c>
      <c r="N379" s="60" t="str">
        <v>Medjoul-Super Jumbo</v>
      </c>
      <c r="O379" s="60" t="s">
        <v>378</v>
      </c>
      <c r="P379" s="60" t="s">
        <v>202</v>
      </c>
      <c r="Q379" s="60" t="s">
        <v>1394</v>
      </c>
      <c r="R379" s="45" t="s">
        <v>516</v>
      </c>
      <c r="S379" s="45" t="s">
        <v>24</v>
      </c>
      <c r="T379" s="45" t="s">
        <v>274</v>
      </c>
      <c r="U379" s="119">
        <v>1152</v>
      </c>
      <c r="V379" s="62">
        <f>U379*J379</f>
        <v>1209600</v>
      </c>
      <c r="W379" s="63">
        <f ca="1">$W$4-A379</f>
        <v>90</v>
      </c>
      <c r="X379" s="52" t="str">
        <f ca="1">VLOOKUP(W379,$AA$2:$AB$6,2)</f>
        <v>&lt; 6 Months</v>
      </c>
      <c r="Y379" s="52" t="str">
        <f ca="1">VLOOKUP(W379,$AD$2:$AE$6,2)</f>
        <v>90-180 Days</v>
      </c>
    </row>
    <row r="380" spans="1:25" s="64" customFormat="1" ht="15" customHeight="1">
      <c r="A380" s="127" t="s">
        <v>1406</v>
      </c>
      <c r="B380" s="45" t="s">
        <v>258</v>
      </c>
      <c r="C380" s="45" t="s">
        <v>1407</v>
      </c>
      <c r="D380" s="43" t="s">
        <v>270</v>
      </c>
      <c r="E380" s="43" t="s">
        <v>1423</v>
      </c>
      <c r="F380" s="43" t="s">
        <v>922</v>
      </c>
      <c r="G380" s="41">
        <v>13299</v>
      </c>
      <c r="H380" s="116">
        <v>210</v>
      </c>
      <c r="I380" s="41">
        <v>5</v>
      </c>
      <c r="J380" s="98">
        <f>I380*H380</f>
        <v>1050</v>
      </c>
      <c r="K380" s="60" t="s">
        <v>190</v>
      </c>
      <c r="L380" s="60" t="s">
        <v>861</v>
      </c>
      <c r="M380" s="60" t="str" cm="1">
        <f t="array" ref="M380:N380">VLOOKUP(Q380,[1]CFPL!$A:$D,{3,4},0)</f>
        <v>DATES</v>
      </c>
      <c r="N380" s="60" t="str">
        <v>Medjoul-Super Jumbo</v>
      </c>
      <c r="O380" s="60" t="s">
        <v>378</v>
      </c>
      <c r="P380" s="60" t="s">
        <v>202</v>
      </c>
      <c r="Q380" s="60" t="s">
        <v>1394</v>
      </c>
      <c r="R380" s="45" t="s">
        <v>516</v>
      </c>
      <c r="S380" s="45" t="s">
        <v>24</v>
      </c>
      <c r="T380" s="45" t="s">
        <v>274</v>
      </c>
      <c r="U380" s="119">
        <v>1152</v>
      </c>
      <c r="V380" s="62">
        <f>U380*J380</f>
        <v>1209600</v>
      </c>
      <c r="W380" s="63">
        <f ca="1">$W$4-A380</f>
        <v>90</v>
      </c>
      <c r="X380" s="52" t="str">
        <f ca="1">VLOOKUP(W380,$AA$2:$AB$6,2)</f>
        <v>&lt; 6 Months</v>
      </c>
      <c r="Y380" s="52" t="str">
        <f ca="1">VLOOKUP(W380,$AD$2:$AE$6,2)</f>
        <v>90-180 Days</v>
      </c>
    </row>
    <row r="381" spans="1:25" s="64" customFormat="1" ht="15" customHeight="1">
      <c r="A381" s="127" t="s">
        <v>1406</v>
      </c>
      <c r="B381" s="45" t="s">
        <v>258</v>
      </c>
      <c r="C381" s="45" t="s">
        <v>1407</v>
      </c>
      <c r="D381" s="43" t="s">
        <v>270</v>
      </c>
      <c r="E381" s="43" t="s">
        <v>1424</v>
      </c>
      <c r="F381" s="43" t="s">
        <v>1167</v>
      </c>
      <c r="G381" s="41">
        <v>13298</v>
      </c>
      <c r="H381" s="116">
        <v>210</v>
      </c>
      <c r="I381" s="41">
        <v>5</v>
      </c>
      <c r="J381" s="98">
        <f>I381*H381</f>
        <v>1050</v>
      </c>
      <c r="K381" s="60" t="s">
        <v>190</v>
      </c>
      <c r="L381" s="60" t="s">
        <v>857</v>
      </c>
      <c r="M381" s="60" t="str" cm="1">
        <f t="array" ref="M381:N381">VLOOKUP(Q381,[1]CFPL!$A:$D,{3,4},0)</f>
        <v>DATES</v>
      </c>
      <c r="N381" s="60" t="str">
        <v>Medjoul-Jumbo</v>
      </c>
      <c r="O381" s="60" t="s">
        <v>507</v>
      </c>
      <c r="P381" s="60" t="s">
        <v>200</v>
      </c>
      <c r="Q381" s="60" t="s">
        <v>654</v>
      </c>
      <c r="R381" s="45" t="s">
        <v>516</v>
      </c>
      <c r="S381" s="45" t="s">
        <v>24</v>
      </c>
      <c r="T381" s="45" t="s">
        <v>274</v>
      </c>
      <c r="U381" s="119">
        <v>1057</v>
      </c>
      <c r="V381" s="62">
        <f>U381*J381</f>
        <v>1109850</v>
      </c>
      <c r="W381" s="63">
        <f ca="1">$W$4-A381</f>
        <v>90</v>
      </c>
      <c r="X381" s="52" t="str">
        <f ca="1">VLOOKUP(W381,$AA$2:$AB$6,2)</f>
        <v>&lt; 6 Months</v>
      </c>
      <c r="Y381" s="52" t="str">
        <f ca="1">VLOOKUP(W381,$AD$2:$AE$6,2)</f>
        <v>90-180 Days</v>
      </c>
    </row>
    <row r="382" spans="1:25" s="64" customFormat="1" ht="15" customHeight="1">
      <c r="A382" s="127" t="s">
        <v>1406</v>
      </c>
      <c r="B382" s="45" t="s">
        <v>258</v>
      </c>
      <c r="C382" s="45" t="s">
        <v>1407</v>
      </c>
      <c r="D382" s="43" t="s">
        <v>270</v>
      </c>
      <c r="E382" s="43" t="s">
        <v>1425</v>
      </c>
      <c r="F382" s="43" t="s">
        <v>1167</v>
      </c>
      <c r="G382" s="41">
        <v>13297</v>
      </c>
      <c r="H382" s="116">
        <v>210</v>
      </c>
      <c r="I382" s="41">
        <v>5</v>
      </c>
      <c r="J382" s="98">
        <f>I382*H382</f>
        <v>1050</v>
      </c>
      <c r="K382" s="60" t="s">
        <v>190</v>
      </c>
      <c r="L382" s="60" t="s">
        <v>857</v>
      </c>
      <c r="M382" s="60" t="str" cm="1">
        <f t="array" ref="M382:N382">VLOOKUP(Q382,[1]CFPL!$A:$D,{3,4},0)</f>
        <v>DATES</v>
      </c>
      <c r="N382" s="60" t="str">
        <v>Medjoul-Jumbo</v>
      </c>
      <c r="O382" s="60" t="s">
        <v>507</v>
      </c>
      <c r="P382" s="60" t="s">
        <v>200</v>
      </c>
      <c r="Q382" s="60" t="s">
        <v>654</v>
      </c>
      <c r="R382" s="45" t="s">
        <v>516</v>
      </c>
      <c r="S382" s="45" t="s">
        <v>24</v>
      </c>
      <c r="T382" s="45" t="s">
        <v>274</v>
      </c>
      <c r="U382" s="119">
        <v>1057</v>
      </c>
      <c r="V382" s="62">
        <f>U382*J382</f>
        <v>1109850</v>
      </c>
      <c r="W382" s="63">
        <f ca="1">$W$4-A382</f>
        <v>90</v>
      </c>
      <c r="X382" s="52" t="str">
        <f ca="1">VLOOKUP(W382,$AA$2:$AB$6,2)</f>
        <v>&lt; 6 Months</v>
      </c>
      <c r="Y382" s="52" t="str">
        <f ca="1">VLOOKUP(W382,$AD$2:$AE$6,2)</f>
        <v>90-180 Days</v>
      </c>
    </row>
    <row r="383" spans="1:25" s="64" customFormat="1" ht="15" customHeight="1">
      <c r="A383" s="127" t="s">
        <v>1730</v>
      </c>
      <c r="B383" s="45" t="s">
        <v>258</v>
      </c>
      <c r="C383" s="45" t="s">
        <v>1770</v>
      </c>
      <c r="D383" s="43" t="s">
        <v>270</v>
      </c>
      <c r="E383" s="43" t="s">
        <v>1771</v>
      </c>
      <c r="F383" s="43" t="s">
        <v>1772</v>
      </c>
      <c r="G383" s="41">
        <v>15717</v>
      </c>
      <c r="H383" s="116">
        <v>200</v>
      </c>
      <c r="I383" s="41">
        <v>5</v>
      </c>
      <c r="J383" s="98">
        <f>I383*H383</f>
        <v>1000</v>
      </c>
      <c r="K383" s="60" t="s">
        <v>190</v>
      </c>
      <c r="L383" s="60" t="s">
        <v>1799</v>
      </c>
      <c r="M383" s="60" t="s">
        <v>1733</v>
      </c>
      <c r="N383" s="60" t="s">
        <v>1895</v>
      </c>
      <c r="O383" s="60" t="s">
        <v>1800</v>
      </c>
      <c r="P383" s="60" t="s">
        <v>1801</v>
      </c>
      <c r="Q383" s="60" t="s">
        <v>1801</v>
      </c>
      <c r="R383" s="45" t="s">
        <v>516</v>
      </c>
      <c r="S383" s="45" t="s">
        <v>24</v>
      </c>
      <c r="T383" s="45" t="s">
        <v>274</v>
      </c>
      <c r="U383" s="119">
        <v>900</v>
      </c>
      <c r="V383" s="62">
        <f>U383*J383</f>
        <v>900000</v>
      </c>
      <c r="W383" s="63">
        <f ca="1">$W$4-A383</f>
        <v>21</v>
      </c>
      <c r="X383" s="52" t="str">
        <f ca="1">VLOOKUP(W383,$AA$2:$AB$6,2)</f>
        <v>&lt; 6 Months</v>
      </c>
      <c r="Y383" s="52" t="str">
        <f ca="1">VLOOKUP(W383,$AD$2:$AE$6,2)</f>
        <v>&lt;30 Days</v>
      </c>
    </row>
    <row r="384" spans="1:25" s="64" customFormat="1" ht="15" customHeight="1">
      <c r="A384" s="127" t="s">
        <v>1730</v>
      </c>
      <c r="B384" s="45" t="s">
        <v>258</v>
      </c>
      <c r="C384" s="45" t="s">
        <v>1770</v>
      </c>
      <c r="D384" s="43" t="s">
        <v>270</v>
      </c>
      <c r="E384" s="43" t="s">
        <v>1773</v>
      </c>
      <c r="F384" s="43" t="s">
        <v>1774</v>
      </c>
      <c r="G384" s="41">
        <v>15736</v>
      </c>
      <c r="H384" s="116">
        <v>200</v>
      </c>
      <c r="I384" s="41">
        <v>5</v>
      </c>
      <c r="J384" s="98">
        <f>I384*H384</f>
        <v>1000</v>
      </c>
      <c r="K384" s="60" t="s">
        <v>190</v>
      </c>
      <c r="L384" s="60" t="s">
        <v>1037</v>
      </c>
      <c r="M384" s="60" t="str" cm="1">
        <f t="array" ref="M384:N384">VLOOKUP(Q384,[1]CFPL!$A:$D,{3,4},0)</f>
        <v>DATES</v>
      </c>
      <c r="N384" s="60" t="str">
        <v>Amary</v>
      </c>
      <c r="O384" s="60" t="s">
        <v>1037</v>
      </c>
      <c r="P384" s="60" t="s">
        <v>1385</v>
      </c>
      <c r="Q384" s="60" t="s">
        <v>1039</v>
      </c>
      <c r="R384" s="45" t="s">
        <v>516</v>
      </c>
      <c r="S384" s="45" t="s">
        <v>24</v>
      </c>
      <c r="T384" s="45" t="s">
        <v>274</v>
      </c>
      <c r="U384" s="119">
        <v>315</v>
      </c>
      <c r="V384" s="62">
        <f>U384*J384</f>
        <v>315000</v>
      </c>
      <c r="W384" s="63">
        <f ca="1">$W$4-A384</f>
        <v>21</v>
      </c>
      <c r="X384" s="52" t="str">
        <f ca="1">VLOOKUP(W384,$AA$2:$AB$6,2)</f>
        <v>&lt; 6 Months</v>
      </c>
      <c r="Y384" s="52" t="str">
        <f ca="1">VLOOKUP(W384,$AD$2:$AE$6,2)</f>
        <v>&lt;30 Days</v>
      </c>
    </row>
    <row r="385" spans="1:25" s="64" customFormat="1" ht="15" customHeight="1">
      <c r="A385" s="127" t="s">
        <v>1730</v>
      </c>
      <c r="B385" s="45" t="s">
        <v>258</v>
      </c>
      <c r="C385" s="45" t="s">
        <v>1770</v>
      </c>
      <c r="D385" s="43" t="s">
        <v>270</v>
      </c>
      <c r="E385" s="43" t="s">
        <v>1775</v>
      </c>
      <c r="F385" s="43" t="s">
        <v>1776</v>
      </c>
      <c r="G385" s="41">
        <v>15734</v>
      </c>
      <c r="H385" s="116">
        <v>210</v>
      </c>
      <c r="I385" s="41">
        <v>5</v>
      </c>
      <c r="J385" s="98">
        <f>I385*H385</f>
        <v>1050</v>
      </c>
      <c r="K385" s="60" t="s">
        <v>190</v>
      </c>
      <c r="L385" s="60" t="s">
        <v>860</v>
      </c>
      <c r="M385" s="60" t="str" cm="1">
        <f t="array" ref="M385:N385">VLOOKUP(Q385,[1]CFPL!$A:$D,{3,4},0)</f>
        <v>DATES</v>
      </c>
      <c r="N385" s="60" t="str">
        <v>Medjoul-Medium</v>
      </c>
      <c r="O385" s="60" t="s">
        <v>295</v>
      </c>
      <c r="P385" s="60" t="s">
        <v>205</v>
      </c>
      <c r="Q385" s="60" t="s">
        <v>602</v>
      </c>
      <c r="R385" s="45" t="s">
        <v>516</v>
      </c>
      <c r="S385" s="45" t="s">
        <v>24</v>
      </c>
      <c r="T385" s="45" t="s">
        <v>274</v>
      </c>
      <c r="U385" s="119">
        <v>753.28</v>
      </c>
      <c r="V385" s="62">
        <f>U385*J385</f>
        <v>790944</v>
      </c>
      <c r="W385" s="63">
        <f ca="1">$W$4-A385</f>
        <v>21</v>
      </c>
      <c r="X385" s="52" t="str">
        <f ca="1">VLOOKUP(W385,$AA$2:$AB$6,2)</f>
        <v>&lt; 6 Months</v>
      </c>
      <c r="Y385" s="52" t="str">
        <f ca="1">VLOOKUP(W385,$AD$2:$AE$6,2)</f>
        <v>&lt;30 Days</v>
      </c>
    </row>
    <row r="386" spans="1:25" s="64" customFormat="1" ht="15" customHeight="1">
      <c r="A386" s="127" t="s">
        <v>1730</v>
      </c>
      <c r="B386" s="45" t="s">
        <v>258</v>
      </c>
      <c r="C386" s="45" t="s">
        <v>1770</v>
      </c>
      <c r="D386" s="43" t="s">
        <v>270</v>
      </c>
      <c r="E386" s="43" t="s">
        <v>1775</v>
      </c>
      <c r="F386" s="43" t="s">
        <v>1777</v>
      </c>
      <c r="G386" s="41">
        <v>15733</v>
      </c>
      <c r="H386" s="116">
        <v>210</v>
      </c>
      <c r="I386" s="41">
        <v>5</v>
      </c>
      <c r="J386" s="98">
        <f>I386*H386</f>
        <v>1050</v>
      </c>
      <c r="K386" s="60" t="s">
        <v>190</v>
      </c>
      <c r="L386" s="60" t="s">
        <v>860</v>
      </c>
      <c r="M386" s="60" t="str" cm="1">
        <f t="array" ref="M386:N386">VLOOKUP(Q386,[1]CFPL!$A:$D,{3,4},0)</f>
        <v>DATES</v>
      </c>
      <c r="N386" s="60" t="str">
        <v>Medjoul-Medium</v>
      </c>
      <c r="O386" s="60" t="s">
        <v>295</v>
      </c>
      <c r="P386" s="60" t="s">
        <v>205</v>
      </c>
      <c r="Q386" s="60" t="s">
        <v>602</v>
      </c>
      <c r="R386" s="45" t="s">
        <v>516</v>
      </c>
      <c r="S386" s="45" t="s">
        <v>24</v>
      </c>
      <c r="T386" s="45" t="s">
        <v>274</v>
      </c>
      <c r="U386" s="119">
        <v>753.28</v>
      </c>
      <c r="V386" s="62">
        <f>U386*J386</f>
        <v>790944</v>
      </c>
      <c r="W386" s="63">
        <f ca="1">$W$4-A386</f>
        <v>21</v>
      </c>
      <c r="X386" s="52" t="str">
        <f ca="1">VLOOKUP(W386,$AA$2:$AB$6,2)</f>
        <v>&lt; 6 Months</v>
      </c>
      <c r="Y386" s="52" t="str">
        <f ca="1">VLOOKUP(W386,$AD$2:$AE$6,2)</f>
        <v>&lt;30 Days</v>
      </c>
    </row>
    <row r="387" spans="1:25" s="64" customFormat="1" ht="15" customHeight="1">
      <c r="A387" s="127" t="s">
        <v>1730</v>
      </c>
      <c r="B387" s="45" t="s">
        <v>258</v>
      </c>
      <c r="C387" s="45" t="s">
        <v>1770</v>
      </c>
      <c r="D387" s="43" t="s">
        <v>270</v>
      </c>
      <c r="E387" s="43" t="s">
        <v>1775</v>
      </c>
      <c r="F387" s="43" t="s">
        <v>1778</v>
      </c>
      <c r="G387" s="41">
        <v>15732</v>
      </c>
      <c r="H387" s="116">
        <v>210</v>
      </c>
      <c r="I387" s="41">
        <v>5</v>
      </c>
      <c r="J387" s="98">
        <f>I387*H387</f>
        <v>1050</v>
      </c>
      <c r="K387" s="60" t="s">
        <v>190</v>
      </c>
      <c r="L387" s="60" t="s">
        <v>860</v>
      </c>
      <c r="M387" s="60" t="str" cm="1">
        <f t="array" ref="M387:N387">VLOOKUP(Q387,[1]CFPL!$A:$D,{3,4},0)</f>
        <v>DATES</v>
      </c>
      <c r="N387" s="60" t="str">
        <v>Medjoul-Medium</v>
      </c>
      <c r="O387" s="60" t="s">
        <v>295</v>
      </c>
      <c r="P387" s="60" t="s">
        <v>205</v>
      </c>
      <c r="Q387" s="60" t="s">
        <v>602</v>
      </c>
      <c r="R387" s="45" t="s">
        <v>516</v>
      </c>
      <c r="S387" s="45" t="s">
        <v>24</v>
      </c>
      <c r="T387" s="45" t="s">
        <v>274</v>
      </c>
      <c r="U387" s="119">
        <v>753.28</v>
      </c>
      <c r="V387" s="62">
        <f>U387*J387</f>
        <v>790944</v>
      </c>
      <c r="W387" s="63">
        <f ca="1">$W$4-A387</f>
        <v>21</v>
      </c>
      <c r="X387" s="52" t="str">
        <f ca="1">VLOOKUP(W387,$AA$2:$AB$6,2)</f>
        <v>&lt; 6 Months</v>
      </c>
      <c r="Y387" s="52" t="str">
        <f ca="1">VLOOKUP(W387,$AD$2:$AE$6,2)</f>
        <v>&lt;30 Days</v>
      </c>
    </row>
    <row r="388" spans="1:25" s="64" customFormat="1" ht="15" customHeight="1">
      <c r="A388" s="127" t="s">
        <v>1730</v>
      </c>
      <c r="B388" s="45" t="s">
        <v>258</v>
      </c>
      <c r="C388" s="45" t="s">
        <v>1770</v>
      </c>
      <c r="D388" s="43" t="s">
        <v>270</v>
      </c>
      <c r="E388" s="43" t="s">
        <v>1775</v>
      </c>
      <c r="F388" s="43" t="s">
        <v>1779</v>
      </c>
      <c r="G388" s="41">
        <v>15731</v>
      </c>
      <c r="H388" s="116">
        <v>210</v>
      </c>
      <c r="I388" s="41">
        <v>5</v>
      </c>
      <c r="J388" s="98">
        <f>I388*H388</f>
        <v>1050</v>
      </c>
      <c r="K388" s="60" t="s">
        <v>190</v>
      </c>
      <c r="L388" s="60" t="s">
        <v>860</v>
      </c>
      <c r="M388" s="60" t="str" cm="1">
        <f t="array" ref="M388:N388">VLOOKUP(Q388,[1]CFPL!$A:$D,{3,4},0)</f>
        <v>DATES</v>
      </c>
      <c r="N388" s="60" t="str">
        <v>Medjoul-Medium</v>
      </c>
      <c r="O388" s="60" t="s">
        <v>295</v>
      </c>
      <c r="P388" s="60" t="s">
        <v>205</v>
      </c>
      <c r="Q388" s="60" t="s">
        <v>602</v>
      </c>
      <c r="R388" s="45" t="s">
        <v>516</v>
      </c>
      <c r="S388" s="45" t="s">
        <v>24</v>
      </c>
      <c r="T388" s="45" t="s">
        <v>274</v>
      </c>
      <c r="U388" s="119">
        <v>753.28</v>
      </c>
      <c r="V388" s="62">
        <f>U388*J388</f>
        <v>790944</v>
      </c>
      <c r="W388" s="63">
        <f ca="1">$W$4-A388</f>
        <v>21</v>
      </c>
      <c r="X388" s="52" t="str">
        <f ca="1">VLOOKUP(W388,$AA$2:$AB$6,2)</f>
        <v>&lt; 6 Months</v>
      </c>
      <c r="Y388" s="52" t="str">
        <f ca="1">VLOOKUP(W388,$AD$2:$AE$6,2)</f>
        <v>&lt;30 Days</v>
      </c>
    </row>
    <row r="389" spans="1:25" s="64" customFormat="1" ht="15" customHeight="1">
      <c r="A389" s="127" t="s">
        <v>1730</v>
      </c>
      <c r="B389" s="45" t="s">
        <v>258</v>
      </c>
      <c r="C389" s="45" t="s">
        <v>1770</v>
      </c>
      <c r="D389" s="43" t="s">
        <v>270</v>
      </c>
      <c r="E389" s="43" t="s">
        <v>1775</v>
      </c>
      <c r="F389" s="43" t="s">
        <v>1780</v>
      </c>
      <c r="G389" s="41">
        <v>15730</v>
      </c>
      <c r="H389" s="116">
        <v>210</v>
      </c>
      <c r="I389" s="41">
        <v>5</v>
      </c>
      <c r="J389" s="98">
        <f>I389*H389</f>
        <v>1050</v>
      </c>
      <c r="K389" s="60" t="s">
        <v>190</v>
      </c>
      <c r="L389" s="60" t="s">
        <v>860</v>
      </c>
      <c r="M389" s="60" t="str" cm="1">
        <f t="array" ref="M389:N389">VLOOKUP(Q389,[1]CFPL!$A:$D,{3,4},0)</f>
        <v>DATES</v>
      </c>
      <c r="N389" s="60" t="str">
        <v>Medjoul-Medium</v>
      </c>
      <c r="O389" s="60" t="s">
        <v>295</v>
      </c>
      <c r="P389" s="60" t="s">
        <v>205</v>
      </c>
      <c r="Q389" s="60" t="s">
        <v>602</v>
      </c>
      <c r="R389" s="45" t="s">
        <v>516</v>
      </c>
      <c r="S389" s="45" t="s">
        <v>24</v>
      </c>
      <c r="T389" s="45" t="s">
        <v>274</v>
      </c>
      <c r="U389" s="119">
        <v>753.28</v>
      </c>
      <c r="V389" s="62">
        <f>U389*J389</f>
        <v>790944</v>
      </c>
      <c r="W389" s="63">
        <f ca="1">$W$4-A389</f>
        <v>21</v>
      </c>
      <c r="X389" s="52" t="str">
        <f ca="1">VLOOKUP(W389,$AA$2:$AB$6,2)</f>
        <v>&lt; 6 Months</v>
      </c>
      <c r="Y389" s="52" t="str">
        <f ca="1">VLOOKUP(W389,$AD$2:$AE$6,2)</f>
        <v>&lt;30 Days</v>
      </c>
    </row>
    <row r="390" spans="1:25" s="64" customFormat="1" ht="15" customHeight="1">
      <c r="A390" s="127" t="s">
        <v>1730</v>
      </c>
      <c r="B390" s="45" t="s">
        <v>258</v>
      </c>
      <c r="C390" s="45" t="s">
        <v>1770</v>
      </c>
      <c r="D390" s="43" t="s">
        <v>270</v>
      </c>
      <c r="E390" s="43" t="s">
        <v>1781</v>
      </c>
      <c r="F390" s="43" t="s">
        <v>1782</v>
      </c>
      <c r="G390" s="41">
        <v>15729</v>
      </c>
      <c r="H390" s="116">
        <v>210</v>
      </c>
      <c r="I390" s="41">
        <v>5</v>
      </c>
      <c r="J390" s="98">
        <f>I390*H390</f>
        <v>1050</v>
      </c>
      <c r="K390" s="60" t="s">
        <v>190</v>
      </c>
      <c r="L390" s="60" t="s">
        <v>857</v>
      </c>
      <c r="M390" s="60" t="str" cm="1">
        <f t="array" ref="M390:N390">VLOOKUP(Q390,[1]CFPL!$A:$D,{3,4},0)</f>
        <v>DATES</v>
      </c>
      <c r="N390" s="60" t="str">
        <v>Medjoul-Jumbo</v>
      </c>
      <c r="O390" s="60" t="s">
        <v>507</v>
      </c>
      <c r="P390" s="60" t="s">
        <v>200</v>
      </c>
      <c r="Q390" s="60" t="s">
        <v>654</v>
      </c>
      <c r="R390" s="45" t="s">
        <v>516</v>
      </c>
      <c r="S390" s="45" t="s">
        <v>24</v>
      </c>
      <c r="T390" s="45" t="s">
        <v>274</v>
      </c>
      <c r="U390" s="119">
        <v>1057</v>
      </c>
      <c r="V390" s="62">
        <f>U390*J390</f>
        <v>1109850</v>
      </c>
      <c r="W390" s="63">
        <f ca="1">$W$4-A390</f>
        <v>21</v>
      </c>
      <c r="X390" s="52" t="str">
        <f ca="1">VLOOKUP(W390,$AA$2:$AB$6,2)</f>
        <v>&lt; 6 Months</v>
      </c>
      <c r="Y390" s="52" t="str">
        <f ca="1">VLOOKUP(W390,$AD$2:$AE$6,2)</f>
        <v>&lt;30 Days</v>
      </c>
    </row>
    <row r="391" spans="1:25" s="64" customFormat="1" ht="15" customHeight="1">
      <c r="A391" s="127" t="s">
        <v>1730</v>
      </c>
      <c r="B391" s="45" t="s">
        <v>258</v>
      </c>
      <c r="C391" s="45" t="s">
        <v>1770</v>
      </c>
      <c r="D391" s="43" t="s">
        <v>270</v>
      </c>
      <c r="E391" s="43" t="s">
        <v>1781</v>
      </c>
      <c r="F391" s="43" t="s">
        <v>1783</v>
      </c>
      <c r="G391" s="41">
        <v>15728</v>
      </c>
      <c r="H391" s="116">
        <v>210</v>
      </c>
      <c r="I391" s="41">
        <v>5</v>
      </c>
      <c r="J391" s="98">
        <f>I391*H391</f>
        <v>1050</v>
      </c>
      <c r="K391" s="60" t="s">
        <v>190</v>
      </c>
      <c r="L391" s="60" t="s">
        <v>857</v>
      </c>
      <c r="M391" s="60" t="str" cm="1">
        <f t="array" ref="M391:N391">VLOOKUP(Q391,[1]CFPL!$A:$D,{3,4},0)</f>
        <v>DATES</v>
      </c>
      <c r="N391" s="60" t="str">
        <v>Medjoul-Jumbo</v>
      </c>
      <c r="O391" s="60" t="s">
        <v>507</v>
      </c>
      <c r="P391" s="60" t="s">
        <v>200</v>
      </c>
      <c r="Q391" s="60" t="s">
        <v>654</v>
      </c>
      <c r="R391" s="45" t="s">
        <v>516</v>
      </c>
      <c r="S391" s="45" t="s">
        <v>24</v>
      </c>
      <c r="T391" s="45" t="s">
        <v>274</v>
      </c>
      <c r="U391" s="119">
        <v>1057</v>
      </c>
      <c r="V391" s="62">
        <f>U391*J391</f>
        <v>1109850</v>
      </c>
      <c r="W391" s="63">
        <f ca="1">$W$4-A391</f>
        <v>21</v>
      </c>
      <c r="X391" s="52" t="str">
        <f ca="1">VLOOKUP(W391,$AA$2:$AB$6,2)</f>
        <v>&lt; 6 Months</v>
      </c>
      <c r="Y391" s="52" t="str">
        <f ca="1">VLOOKUP(W391,$AD$2:$AE$6,2)</f>
        <v>&lt;30 Days</v>
      </c>
    </row>
    <row r="392" spans="1:25" s="64" customFormat="1" ht="15" customHeight="1">
      <c r="A392" s="127" t="s">
        <v>1730</v>
      </c>
      <c r="B392" s="45" t="s">
        <v>258</v>
      </c>
      <c r="C392" s="45" t="s">
        <v>1770</v>
      </c>
      <c r="D392" s="43" t="s">
        <v>270</v>
      </c>
      <c r="E392" s="43" t="s">
        <v>1784</v>
      </c>
      <c r="F392" s="43" t="s">
        <v>1785</v>
      </c>
      <c r="G392" s="41">
        <v>15727</v>
      </c>
      <c r="H392" s="116">
        <v>210</v>
      </c>
      <c r="I392" s="41">
        <v>5</v>
      </c>
      <c r="J392" s="98">
        <f>I392*H392</f>
        <v>1050</v>
      </c>
      <c r="K392" s="60" t="s">
        <v>190</v>
      </c>
      <c r="L392" s="60" t="s">
        <v>861</v>
      </c>
      <c r="M392" s="60" t="str" cm="1">
        <f t="array" ref="M392:N392">VLOOKUP(Q392,[1]CFPL!$A:$D,{3,4},0)</f>
        <v>DATES</v>
      </c>
      <c r="N392" s="60" t="str">
        <v>Medjoul-Super Jumbo</v>
      </c>
      <c r="O392" s="60" t="s">
        <v>378</v>
      </c>
      <c r="P392" s="60" t="s">
        <v>202</v>
      </c>
      <c r="Q392" s="60" t="s">
        <v>1394</v>
      </c>
      <c r="R392" s="45" t="s">
        <v>516</v>
      </c>
      <c r="S392" s="45" t="s">
        <v>24</v>
      </c>
      <c r="T392" s="45" t="s">
        <v>274</v>
      </c>
      <c r="U392" s="119">
        <v>1152</v>
      </c>
      <c r="V392" s="62">
        <f>U392*J392</f>
        <v>1209600</v>
      </c>
      <c r="W392" s="63">
        <f ca="1">$W$4-A392</f>
        <v>21</v>
      </c>
      <c r="X392" s="52" t="str">
        <f ca="1">VLOOKUP(W392,$AA$2:$AB$6,2)</f>
        <v>&lt; 6 Months</v>
      </c>
      <c r="Y392" s="52" t="str">
        <f ca="1">VLOOKUP(W392,$AD$2:$AE$6,2)</f>
        <v>&lt;30 Days</v>
      </c>
    </row>
    <row r="393" spans="1:25" s="64" customFormat="1" ht="15" customHeight="1">
      <c r="A393" s="127" t="s">
        <v>1730</v>
      </c>
      <c r="B393" s="45" t="s">
        <v>258</v>
      </c>
      <c r="C393" s="45" t="s">
        <v>1770</v>
      </c>
      <c r="D393" s="43" t="s">
        <v>270</v>
      </c>
      <c r="E393" s="43" t="s">
        <v>1784</v>
      </c>
      <c r="F393" s="43" t="s">
        <v>1785</v>
      </c>
      <c r="G393" s="41">
        <v>15726</v>
      </c>
      <c r="H393" s="116">
        <v>210</v>
      </c>
      <c r="I393" s="41">
        <v>5</v>
      </c>
      <c r="J393" s="98">
        <f>I393*H393</f>
        <v>1050</v>
      </c>
      <c r="K393" s="60" t="s">
        <v>190</v>
      </c>
      <c r="L393" s="60" t="s">
        <v>861</v>
      </c>
      <c r="M393" s="60" t="str" cm="1">
        <f t="array" ref="M393:N393">VLOOKUP(Q393,[1]CFPL!$A:$D,{3,4},0)</f>
        <v>DATES</v>
      </c>
      <c r="N393" s="60" t="str">
        <v>Medjoul-Super Jumbo</v>
      </c>
      <c r="O393" s="60" t="s">
        <v>378</v>
      </c>
      <c r="P393" s="60" t="s">
        <v>202</v>
      </c>
      <c r="Q393" s="60" t="s">
        <v>1394</v>
      </c>
      <c r="R393" s="45" t="s">
        <v>516</v>
      </c>
      <c r="S393" s="45" t="s">
        <v>24</v>
      </c>
      <c r="T393" s="45" t="s">
        <v>274</v>
      </c>
      <c r="U393" s="119">
        <v>1152</v>
      </c>
      <c r="V393" s="62">
        <f>U393*J393</f>
        <v>1209600</v>
      </c>
      <c r="W393" s="63">
        <f ca="1">$W$4-A393</f>
        <v>21</v>
      </c>
      <c r="X393" s="52" t="str">
        <f ca="1">VLOOKUP(W393,$AA$2:$AB$6,2)</f>
        <v>&lt; 6 Months</v>
      </c>
      <c r="Y393" s="52" t="str">
        <f ca="1">VLOOKUP(W393,$AD$2:$AE$6,2)</f>
        <v>&lt;30 Days</v>
      </c>
    </row>
    <row r="394" spans="1:25" s="64" customFormat="1" ht="15" customHeight="1">
      <c r="A394" s="127" t="s">
        <v>1730</v>
      </c>
      <c r="B394" s="45" t="s">
        <v>258</v>
      </c>
      <c r="C394" s="45" t="s">
        <v>1770</v>
      </c>
      <c r="D394" s="43" t="s">
        <v>270</v>
      </c>
      <c r="E394" s="43" t="s">
        <v>1786</v>
      </c>
      <c r="F394" s="43" t="s">
        <v>1787</v>
      </c>
      <c r="G394" s="41">
        <v>15725</v>
      </c>
      <c r="H394" s="116">
        <v>210</v>
      </c>
      <c r="I394" s="41">
        <v>5</v>
      </c>
      <c r="J394" s="98">
        <f>I394*H394</f>
        <v>1050</v>
      </c>
      <c r="K394" s="60" t="s">
        <v>190</v>
      </c>
      <c r="L394" s="60" t="s">
        <v>859</v>
      </c>
      <c r="M394" s="60" t="str" cm="1">
        <f t="array" ref="M394:N394">VLOOKUP(Q394,[1]CFPL!$A:$D,{3,4},0)</f>
        <v>DATES</v>
      </c>
      <c r="N394" s="60" t="str">
        <v>Medjoul-Large</v>
      </c>
      <c r="O394" s="60" t="s">
        <v>440</v>
      </c>
      <c r="P394" s="60" t="s">
        <v>204</v>
      </c>
      <c r="Q394" s="60" t="s">
        <v>967</v>
      </c>
      <c r="R394" s="45" t="s">
        <v>516</v>
      </c>
      <c r="S394" s="45" t="s">
        <v>24</v>
      </c>
      <c r="T394" s="45" t="s">
        <v>274</v>
      </c>
      <c r="U394" s="119">
        <v>871.2</v>
      </c>
      <c r="V394" s="62">
        <f>U394*J394</f>
        <v>914760</v>
      </c>
      <c r="W394" s="63">
        <f ca="1">$W$4-A394</f>
        <v>21</v>
      </c>
      <c r="X394" s="52" t="str">
        <f ca="1">VLOOKUP(W394,$AA$2:$AB$6,2)</f>
        <v>&lt; 6 Months</v>
      </c>
      <c r="Y394" s="52" t="str">
        <f ca="1">VLOOKUP(W394,$AD$2:$AE$6,2)</f>
        <v>&lt;30 Days</v>
      </c>
    </row>
    <row r="395" spans="1:25" s="64" customFormat="1" ht="15" customHeight="1">
      <c r="A395" s="127" t="s">
        <v>1730</v>
      </c>
      <c r="B395" s="45" t="s">
        <v>258</v>
      </c>
      <c r="C395" s="45" t="s">
        <v>1770</v>
      </c>
      <c r="D395" s="43" t="s">
        <v>270</v>
      </c>
      <c r="E395" s="43" t="s">
        <v>1786</v>
      </c>
      <c r="F395" s="43" t="s">
        <v>1788</v>
      </c>
      <c r="G395" s="41">
        <v>15724</v>
      </c>
      <c r="H395" s="116">
        <v>210</v>
      </c>
      <c r="I395" s="41">
        <v>5</v>
      </c>
      <c r="J395" s="98">
        <f>I395*H395</f>
        <v>1050</v>
      </c>
      <c r="K395" s="60" t="s">
        <v>190</v>
      </c>
      <c r="L395" s="60" t="s">
        <v>859</v>
      </c>
      <c r="M395" s="60" t="str" cm="1">
        <f t="array" ref="M395:N395">VLOOKUP(Q395,[1]CFPL!$A:$D,{3,4},0)</f>
        <v>DATES</v>
      </c>
      <c r="N395" s="60" t="str">
        <v>Medjoul-Large</v>
      </c>
      <c r="O395" s="60" t="s">
        <v>440</v>
      </c>
      <c r="P395" s="60" t="s">
        <v>204</v>
      </c>
      <c r="Q395" s="60" t="s">
        <v>967</v>
      </c>
      <c r="R395" s="45" t="s">
        <v>516</v>
      </c>
      <c r="S395" s="45" t="s">
        <v>24</v>
      </c>
      <c r="T395" s="45" t="s">
        <v>274</v>
      </c>
      <c r="U395" s="119">
        <v>871.2</v>
      </c>
      <c r="V395" s="62">
        <f>U395*J395</f>
        <v>914760</v>
      </c>
      <c r="W395" s="63">
        <f ca="1">$W$4-A395</f>
        <v>21</v>
      </c>
      <c r="X395" s="52" t="str">
        <f ca="1">VLOOKUP(W395,$AA$2:$AB$6,2)</f>
        <v>&lt; 6 Months</v>
      </c>
      <c r="Y395" s="52" t="str">
        <f ca="1">VLOOKUP(W395,$AD$2:$AE$6,2)</f>
        <v>&lt;30 Days</v>
      </c>
    </row>
    <row r="396" spans="1:25" s="64" customFormat="1" ht="15" customHeight="1">
      <c r="A396" s="127" t="s">
        <v>1730</v>
      </c>
      <c r="B396" s="45" t="s">
        <v>258</v>
      </c>
      <c r="C396" s="45" t="s">
        <v>1770</v>
      </c>
      <c r="D396" s="43" t="s">
        <v>270</v>
      </c>
      <c r="E396" s="43" t="s">
        <v>1786</v>
      </c>
      <c r="F396" s="43" t="s">
        <v>1789</v>
      </c>
      <c r="G396" s="41">
        <v>15723</v>
      </c>
      <c r="H396" s="116">
        <v>210</v>
      </c>
      <c r="I396" s="41">
        <v>5</v>
      </c>
      <c r="J396" s="98">
        <f>I396*H396</f>
        <v>1050</v>
      </c>
      <c r="K396" s="60" t="s">
        <v>190</v>
      </c>
      <c r="L396" s="60" t="s">
        <v>859</v>
      </c>
      <c r="M396" s="60" t="str" cm="1">
        <f t="array" ref="M396:N396">VLOOKUP(Q396,[1]CFPL!$A:$D,{3,4},0)</f>
        <v>DATES</v>
      </c>
      <c r="N396" s="60" t="str">
        <v>Medjoul-Large</v>
      </c>
      <c r="O396" s="60" t="s">
        <v>440</v>
      </c>
      <c r="P396" s="60" t="s">
        <v>204</v>
      </c>
      <c r="Q396" s="60" t="s">
        <v>967</v>
      </c>
      <c r="R396" s="45" t="s">
        <v>516</v>
      </c>
      <c r="S396" s="45" t="s">
        <v>24</v>
      </c>
      <c r="T396" s="45" t="s">
        <v>274</v>
      </c>
      <c r="U396" s="119">
        <v>871.2</v>
      </c>
      <c r="V396" s="62">
        <f>U396*J396</f>
        <v>914760</v>
      </c>
      <c r="W396" s="63">
        <f ca="1">$W$4-A396</f>
        <v>21</v>
      </c>
      <c r="X396" s="52" t="str">
        <f ca="1">VLOOKUP(W396,$AA$2:$AB$6,2)</f>
        <v>&lt; 6 Months</v>
      </c>
      <c r="Y396" s="52" t="str">
        <f ca="1">VLOOKUP(W396,$AD$2:$AE$6,2)</f>
        <v>&lt;30 Days</v>
      </c>
    </row>
    <row r="397" spans="1:25" s="64" customFormat="1" ht="15" customHeight="1">
      <c r="A397" s="127" t="s">
        <v>1730</v>
      </c>
      <c r="B397" s="45" t="s">
        <v>258</v>
      </c>
      <c r="C397" s="45" t="s">
        <v>1770</v>
      </c>
      <c r="D397" s="43" t="s">
        <v>270</v>
      </c>
      <c r="E397" s="43" t="s">
        <v>1786</v>
      </c>
      <c r="F397" s="43" t="s">
        <v>1790</v>
      </c>
      <c r="G397" s="41">
        <v>15722</v>
      </c>
      <c r="H397" s="116">
        <v>210</v>
      </c>
      <c r="I397" s="41">
        <v>5</v>
      </c>
      <c r="J397" s="98">
        <f>I397*H397</f>
        <v>1050</v>
      </c>
      <c r="K397" s="60" t="s">
        <v>190</v>
      </c>
      <c r="L397" s="60" t="s">
        <v>859</v>
      </c>
      <c r="M397" s="60" t="str" cm="1">
        <f t="array" ref="M397:N397">VLOOKUP(Q397,[1]CFPL!$A:$D,{3,4},0)</f>
        <v>DATES</v>
      </c>
      <c r="N397" s="60" t="str">
        <v>Medjoul-Large</v>
      </c>
      <c r="O397" s="60" t="s">
        <v>440</v>
      </c>
      <c r="P397" s="60" t="s">
        <v>204</v>
      </c>
      <c r="Q397" s="60" t="s">
        <v>967</v>
      </c>
      <c r="R397" s="45" t="s">
        <v>516</v>
      </c>
      <c r="S397" s="45" t="s">
        <v>24</v>
      </c>
      <c r="T397" s="45" t="s">
        <v>274</v>
      </c>
      <c r="U397" s="119">
        <v>871.2</v>
      </c>
      <c r="V397" s="62">
        <f>U397*J397</f>
        <v>914760</v>
      </c>
      <c r="W397" s="63">
        <f ca="1">$W$4-A397</f>
        <v>21</v>
      </c>
      <c r="X397" s="52" t="str">
        <f ca="1">VLOOKUP(W397,$AA$2:$AB$6,2)</f>
        <v>&lt; 6 Months</v>
      </c>
      <c r="Y397" s="52" t="str">
        <f ca="1">VLOOKUP(W397,$AD$2:$AE$6,2)</f>
        <v>&lt;30 Days</v>
      </c>
    </row>
    <row r="398" spans="1:25" s="64" customFormat="1" ht="15" customHeight="1">
      <c r="A398" s="127" t="s">
        <v>1730</v>
      </c>
      <c r="B398" s="45" t="s">
        <v>258</v>
      </c>
      <c r="C398" s="45" t="s">
        <v>1770</v>
      </c>
      <c r="D398" s="43" t="s">
        <v>270</v>
      </c>
      <c r="E398" s="43" t="s">
        <v>1791</v>
      </c>
      <c r="F398" s="43" t="s">
        <v>1792</v>
      </c>
      <c r="G398" s="41">
        <v>15721</v>
      </c>
      <c r="H398" s="116">
        <v>210</v>
      </c>
      <c r="I398" s="41">
        <v>5</v>
      </c>
      <c r="J398" s="98">
        <f>I398*H398</f>
        <v>1050</v>
      </c>
      <c r="K398" s="60" t="s">
        <v>190</v>
      </c>
      <c r="L398" s="60" t="s">
        <v>859</v>
      </c>
      <c r="M398" s="60" t="str" cm="1">
        <f t="array" ref="M398:N398">VLOOKUP(Q398,[1]CFPL!$A:$D,{3,4},0)</f>
        <v>DATES</v>
      </c>
      <c r="N398" s="60" t="str">
        <v>Medjoul-Large</v>
      </c>
      <c r="O398" s="60" t="s">
        <v>440</v>
      </c>
      <c r="P398" s="60" t="s">
        <v>204</v>
      </c>
      <c r="Q398" s="60" t="s">
        <v>967</v>
      </c>
      <c r="R398" s="45" t="s">
        <v>516</v>
      </c>
      <c r="S398" s="45" t="s">
        <v>24</v>
      </c>
      <c r="T398" s="45" t="s">
        <v>274</v>
      </c>
      <c r="U398" s="119">
        <v>871.2</v>
      </c>
      <c r="V398" s="62">
        <f>U398*J398</f>
        <v>914760</v>
      </c>
      <c r="W398" s="63">
        <f ca="1">$W$4-A398</f>
        <v>21</v>
      </c>
      <c r="X398" s="52" t="str">
        <f ca="1">VLOOKUP(W398,$AA$2:$AB$6,2)</f>
        <v>&lt; 6 Months</v>
      </c>
      <c r="Y398" s="52" t="str">
        <f ca="1">VLOOKUP(W398,$AD$2:$AE$6,2)</f>
        <v>&lt;30 Days</v>
      </c>
    </row>
    <row r="399" spans="1:25" s="64" customFormat="1" ht="15" customHeight="1">
      <c r="A399" s="127" t="s">
        <v>1730</v>
      </c>
      <c r="B399" s="45" t="s">
        <v>258</v>
      </c>
      <c r="C399" s="45" t="s">
        <v>1770</v>
      </c>
      <c r="D399" s="43" t="s">
        <v>270</v>
      </c>
      <c r="E399" s="43" t="s">
        <v>1793</v>
      </c>
      <c r="F399" s="43" t="s">
        <v>1794</v>
      </c>
      <c r="G399" s="41">
        <v>15720</v>
      </c>
      <c r="H399" s="116">
        <v>210</v>
      </c>
      <c r="I399" s="41">
        <v>5</v>
      </c>
      <c r="J399" s="98">
        <f>I399*H399</f>
        <v>1050</v>
      </c>
      <c r="K399" s="60" t="s">
        <v>190</v>
      </c>
      <c r="L399" s="60" t="s">
        <v>859</v>
      </c>
      <c r="M399" s="60" t="str" cm="1">
        <f t="array" ref="M399:N399">VLOOKUP(Q399,[1]CFPL!$A:$D,{3,4},0)</f>
        <v>DATES</v>
      </c>
      <c r="N399" s="60" t="str">
        <v>Medjoul-Large</v>
      </c>
      <c r="O399" s="60" t="s">
        <v>440</v>
      </c>
      <c r="P399" s="60" t="s">
        <v>204</v>
      </c>
      <c r="Q399" s="60" t="s">
        <v>967</v>
      </c>
      <c r="R399" s="45" t="s">
        <v>516</v>
      </c>
      <c r="S399" s="45" t="s">
        <v>24</v>
      </c>
      <c r="T399" s="45" t="s">
        <v>274</v>
      </c>
      <c r="U399" s="119">
        <v>871.2</v>
      </c>
      <c r="V399" s="62">
        <f>U399*J399</f>
        <v>914760</v>
      </c>
      <c r="W399" s="63">
        <f ca="1">$W$4-A399</f>
        <v>21</v>
      </c>
      <c r="X399" s="52" t="str">
        <f ca="1">VLOOKUP(W399,$AA$2:$AB$6,2)</f>
        <v>&lt; 6 Months</v>
      </c>
      <c r="Y399" s="52" t="str">
        <f ca="1">VLOOKUP(W399,$AD$2:$AE$6,2)</f>
        <v>&lt;30 Days</v>
      </c>
    </row>
    <row r="400" spans="1:25" s="64" customFormat="1" ht="15" customHeight="1">
      <c r="A400" s="127" t="s">
        <v>1730</v>
      </c>
      <c r="B400" s="45" t="s">
        <v>258</v>
      </c>
      <c r="C400" s="45" t="s">
        <v>1770</v>
      </c>
      <c r="D400" s="43" t="s">
        <v>270</v>
      </c>
      <c r="E400" s="43" t="s">
        <v>1795</v>
      </c>
      <c r="F400" s="43" t="s">
        <v>1796</v>
      </c>
      <c r="G400" s="41">
        <v>15719</v>
      </c>
      <c r="H400" s="116">
        <v>210</v>
      </c>
      <c r="I400" s="41">
        <v>5</v>
      </c>
      <c r="J400" s="98">
        <f>I400*H400</f>
        <v>1050</v>
      </c>
      <c r="K400" s="60" t="s">
        <v>190</v>
      </c>
      <c r="L400" s="60" t="s">
        <v>859</v>
      </c>
      <c r="M400" s="60" t="str" cm="1">
        <f t="array" ref="M400:N400">VLOOKUP(Q400,[1]CFPL!$A:$D,{3,4},0)</f>
        <v>DATES</v>
      </c>
      <c r="N400" s="60" t="str">
        <v>Medjoul-Large</v>
      </c>
      <c r="O400" s="60" t="s">
        <v>440</v>
      </c>
      <c r="P400" s="60" t="s">
        <v>204</v>
      </c>
      <c r="Q400" s="60" t="s">
        <v>967</v>
      </c>
      <c r="R400" s="45" t="s">
        <v>516</v>
      </c>
      <c r="S400" s="45" t="s">
        <v>24</v>
      </c>
      <c r="T400" s="45" t="s">
        <v>274</v>
      </c>
      <c r="U400" s="119">
        <v>871.2</v>
      </c>
      <c r="V400" s="62">
        <f>U400*J400</f>
        <v>914760</v>
      </c>
      <c r="W400" s="63">
        <f ca="1">$W$4-A400</f>
        <v>21</v>
      </c>
      <c r="X400" s="52" t="str">
        <f ca="1">VLOOKUP(W400,$AA$2:$AB$6,2)</f>
        <v>&lt; 6 Months</v>
      </c>
      <c r="Y400" s="52" t="str">
        <f ca="1">VLOOKUP(W400,$AD$2:$AE$6,2)</f>
        <v>&lt;30 Days</v>
      </c>
    </row>
    <row r="401" spans="1:26" s="64" customFormat="1" ht="15" customHeight="1">
      <c r="A401" s="127" t="s">
        <v>1730</v>
      </c>
      <c r="B401" s="45" t="s">
        <v>258</v>
      </c>
      <c r="C401" s="45" t="s">
        <v>1770</v>
      </c>
      <c r="D401" s="43" t="s">
        <v>270</v>
      </c>
      <c r="E401" s="43" t="s">
        <v>1786</v>
      </c>
      <c r="F401" s="43" t="s">
        <v>1797</v>
      </c>
      <c r="G401" s="41">
        <v>15718</v>
      </c>
      <c r="H401" s="116">
        <v>210</v>
      </c>
      <c r="I401" s="41">
        <v>5</v>
      </c>
      <c r="J401" s="98">
        <f>I401*H401</f>
        <v>1050</v>
      </c>
      <c r="K401" s="60" t="s">
        <v>190</v>
      </c>
      <c r="L401" s="60" t="s">
        <v>859</v>
      </c>
      <c r="M401" s="60" t="str" cm="1">
        <f t="array" ref="M401:N401">VLOOKUP(Q401,[1]CFPL!$A:$D,{3,4},0)</f>
        <v>DATES</v>
      </c>
      <c r="N401" s="60" t="str">
        <v>Medjoul-Large</v>
      </c>
      <c r="O401" s="60" t="s">
        <v>440</v>
      </c>
      <c r="P401" s="60" t="s">
        <v>204</v>
      </c>
      <c r="Q401" s="60" t="s">
        <v>967</v>
      </c>
      <c r="R401" s="45" t="s">
        <v>516</v>
      </c>
      <c r="S401" s="45" t="s">
        <v>24</v>
      </c>
      <c r="T401" s="45" t="s">
        <v>274</v>
      </c>
      <c r="U401" s="119">
        <v>871.2</v>
      </c>
      <c r="V401" s="62">
        <f>U401*J401</f>
        <v>914760</v>
      </c>
      <c r="W401" s="63">
        <f ca="1">$W$4-A401</f>
        <v>21</v>
      </c>
      <c r="X401" s="52" t="str">
        <f ca="1">VLOOKUP(W401,$AA$2:$AB$6,2)</f>
        <v>&lt; 6 Months</v>
      </c>
      <c r="Y401" s="52" t="str">
        <f ca="1">VLOOKUP(W401,$AD$2:$AE$6,2)</f>
        <v>&lt;30 Days</v>
      </c>
    </row>
    <row r="402" spans="1:26" s="64" customFormat="1" ht="15" customHeight="1">
      <c r="A402" s="127" t="s">
        <v>1730</v>
      </c>
      <c r="B402" s="45" t="s">
        <v>258</v>
      </c>
      <c r="C402" s="45" t="s">
        <v>1770</v>
      </c>
      <c r="D402" s="43" t="s">
        <v>270</v>
      </c>
      <c r="E402" s="43" t="s">
        <v>1773</v>
      </c>
      <c r="F402" s="43" t="s">
        <v>1798</v>
      </c>
      <c r="G402" s="41">
        <v>15735</v>
      </c>
      <c r="H402" s="116">
        <v>200</v>
      </c>
      <c r="I402" s="41">
        <v>5</v>
      </c>
      <c r="J402" s="98">
        <f>I402*H402</f>
        <v>1000</v>
      </c>
      <c r="K402" s="60" t="s">
        <v>190</v>
      </c>
      <c r="L402" s="60" t="s">
        <v>1037</v>
      </c>
      <c r="M402" s="60" t="str" cm="1">
        <f t="array" ref="M402:N402">VLOOKUP(Q402,[1]CFPL!$A:$D,{3,4},0)</f>
        <v>DATES</v>
      </c>
      <c r="N402" s="60" t="str">
        <v>Amary</v>
      </c>
      <c r="O402" s="60" t="s">
        <v>1037</v>
      </c>
      <c r="P402" s="60" t="s">
        <v>1385</v>
      </c>
      <c r="Q402" s="60" t="s">
        <v>1039</v>
      </c>
      <c r="R402" s="45" t="s">
        <v>516</v>
      </c>
      <c r="S402" s="45" t="s">
        <v>24</v>
      </c>
      <c r="T402" s="45" t="s">
        <v>274</v>
      </c>
      <c r="U402" s="119">
        <v>315</v>
      </c>
      <c r="V402" s="62">
        <f>U402*J402</f>
        <v>315000</v>
      </c>
      <c r="W402" s="63">
        <f ca="1">$W$4-A402</f>
        <v>21</v>
      </c>
      <c r="X402" s="52" t="str">
        <f ca="1">VLOOKUP(W402,$AA$2:$AB$6,2)</f>
        <v>&lt; 6 Months</v>
      </c>
      <c r="Y402" s="52" t="str">
        <f ca="1">VLOOKUP(W402,$AD$2:$AE$6,2)</f>
        <v>&lt;30 Days</v>
      </c>
    </row>
    <row r="403" spans="1:26" s="64" customFormat="1" ht="15" customHeight="1">
      <c r="A403" s="129">
        <v>45300</v>
      </c>
      <c r="B403" s="66" t="s">
        <v>5</v>
      </c>
      <c r="C403" s="66" t="s">
        <v>662</v>
      </c>
      <c r="D403" s="67" t="s">
        <v>209</v>
      </c>
      <c r="E403" s="67" t="s">
        <v>306</v>
      </c>
      <c r="F403" s="67" t="s">
        <v>306</v>
      </c>
      <c r="G403" s="41">
        <v>105768</v>
      </c>
      <c r="H403" s="116">
        <f>99-5-4-2-22-1-1-4-2-15-1-1-2-4</f>
        <v>35</v>
      </c>
      <c r="I403" s="41">
        <v>20</v>
      </c>
      <c r="J403" s="98">
        <f>I403*H403</f>
        <v>700</v>
      </c>
      <c r="K403" s="60" t="s">
        <v>190</v>
      </c>
      <c r="L403" s="60" t="s">
        <v>306</v>
      </c>
      <c r="M403" s="60" t="str" cm="1">
        <f t="array" ref="M403:N403">VLOOKUP(Q403,[1]CFPL!$A:$D,{3,4},0)</f>
        <v>DATES</v>
      </c>
      <c r="N403" s="60" t="str">
        <v>Safavi</v>
      </c>
      <c r="O403" s="60" t="s">
        <v>306</v>
      </c>
      <c r="P403" s="60" t="s">
        <v>209</v>
      </c>
      <c r="Q403" s="60" t="s">
        <v>308</v>
      </c>
      <c r="R403" s="45" t="s">
        <v>250</v>
      </c>
      <c r="S403" s="45" t="s">
        <v>5</v>
      </c>
      <c r="T403" s="45" t="s">
        <v>255</v>
      </c>
      <c r="U403" s="119">
        <v>550</v>
      </c>
      <c r="V403" s="62">
        <f>U403*J403</f>
        <v>385000</v>
      </c>
      <c r="W403" s="63">
        <f ca="1">$W$4-A403</f>
        <v>854</v>
      </c>
      <c r="X403" s="52" t="str">
        <f ca="1">VLOOKUP(W403,$AA$2:$AB$6,2)</f>
        <v>&gt;24 Months</v>
      </c>
      <c r="Y403" s="52" t="str">
        <f ca="1">VLOOKUP(W403,$AD$2:$AE$6,2)</f>
        <v>&gt;181 Days</v>
      </c>
    </row>
    <row r="404" spans="1:26" s="64" customFormat="1" ht="15" customHeight="1">
      <c r="A404" s="129">
        <v>45372</v>
      </c>
      <c r="B404" s="66" t="s">
        <v>5</v>
      </c>
      <c r="C404" s="66" t="s">
        <v>662</v>
      </c>
      <c r="D404" s="67" t="s">
        <v>14</v>
      </c>
      <c r="E404" s="67" t="s">
        <v>148</v>
      </c>
      <c r="F404" s="67" t="s">
        <v>148</v>
      </c>
      <c r="G404" s="41">
        <v>107268</v>
      </c>
      <c r="H404" s="116">
        <v>49</v>
      </c>
      <c r="I404" s="41">
        <v>12</v>
      </c>
      <c r="J404" s="98">
        <f>I404*H404</f>
        <v>588</v>
      </c>
      <c r="K404" s="60" t="s">
        <v>148</v>
      </c>
      <c r="L404" s="60" t="s">
        <v>320</v>
      </c>
      <c r="M404" s="60" t="str" cm="1">
        <f t="array" ref="M404:N404">VLOOKUP(Q404,[1]CDPL!$A:$D,{3,4},0)</f>
        <v>DATES</v>
      </c>
      <c r="N404" s="60" t="str">
        <v>Dry Dates</v>
      </c>
      <c r="O404" s="60" t="s">
        <v>255</v>
      </c>
      <c r="P404" s="60" t="s">
        <v>14</v>
      </c>
      <c r="Q404" s="60" t="s">
        <v>664</v>
      </c>
      <c r="R404" s="45" t="s">
        <v>250</v>
      </c>
      <c r="S404" s="45" t="s">
        <v>5</v>
      </c>
      <c r="T404" s="45" t="s">
        <v>255</v>
      </c>
      <c r="U404" s="119">
        <v>250</v>
      </c>
      <c r="V404" s="62">
        <f>U404*J404</f>
        <v>147000</v>
      </c>
      <c r="W404" s="63">
        <f ca="1">$W$4-A404</f>
        <v>782</v>
      </c>
      <c r="X404" s="52" t="str">
        <f ca="1">VLOOKUP(W404,$AA$2:$AB$6,2)</f>
        <v>&gt;24 Months</v>
      </c>
      <c r="Y404" s="52" t="str">
        <f ca="1">VLOOKUP(W404,$AD$2:$AE$6,2)</f>
        <v>&gt;181 Days</v>
      </c>
    </row>
    <row r="405" spans="1:26">
      <c r="A405" s="129">
        <v>45684</v>
      </c>
      <c r="B405" s="66" t="s">
        <v>5</v>
      </c>
      <c r="C405" s="66" t="s">
        <v>662</v>
      </c>
      <c r="D405" s="67" t="s">
        <v>332</v>
      </c>
      <c r="E405" s="67" t="s">
        <v>332</v>
      </c>
      <c r="F405" s="67"/>
      <c r="G405" s="41">
        <v>115342</v>
      </c>
      <c r="H405" s="116">
        <v>26</v>
      </c>
      <c r="I405" s="41">
        <v>20</v>
      </c>
      <c r="J405" s="98">
        <f>I405*H405</f>
        <v>520</v>
      </c>
      <c r="K405" s="60" t="s">
        <v>190</v>
      </c>
      <c r="L405" s="60" t="s">
        <v>306</v>
      </c>
      <c r="M405" s="60" t="str" cm="1">
        <f t="array" ref="M405:N405">VLOOKUP(Q405,[1]CFPL!$A:$D,{3,4},0)</f>
        <v>DATES</v>
      </c>
      <c r="N405" s="60" t="str">
        <v>Safavi</v>
      </c>
      <c r="O405" s="60" t="s">
        <v>306</v>
      </c>
      <c r="P405" s="60" t="s">
        <v>207</v>
      </c>
      <c r="Q405" s="60" t="s">
        <v>308</v>
      </c>
      <c r="R405" s="45" t="s">
        <v>250</v>
      </c>
      <c r="S405" s="45" t="s">
        <v>5</v>
      </c>
      <c r="T405" s="45" t="s">
        <v>255</v>
      </c>
      <c r="U405" s="119">
        <v>550</v>
      </c>
      <c r="V405" s="62">
        <f>U405*J405</f>
        <v>286000</v>
      </c>
      <c r="W405" s="63">
        <f ca="1">$W$4-A405</f>
        <v>470</v>
      </c>
      <c r="X405" s="52" t="str">
        <f ca="1">VLOOKUP(W405,$AA$2:$AB$6,2)</f>
        <v>12-18 Months</v>
      </c>
      <c r="Y405" s="52" t="str">
        <f ca="1">VLOOKUP(W405,$AD$2:$AE$6,2)</f>
        <v>&gt;181 Days</v>
      </c>
    </row>
    <row r="406" spans="1:26">
      <c r="A406" s="129">
        <v>45741</v>
      </c>
      <c r="B406" s="45" t="s">
        <v>5</v>
      </c>
      <c r="C406" s="45" t="s">
        <v>662</v>
      </c>
      <c r="D406" s="43" t="s">
        <v>667</v>
      </c>
      <c r="E406" s="43" t="s">
        <v>679</v>
      </c>
      <c r="F406" s="43"/>
      <c r="G406" s="41">
        <v>116640</v>
      </c>
      <c r="H406" s="116">
        <f>132-1-127</f>
        <v>4</v>
      </c>
      <c r="I406" s="41">
        <v>10</v>
      </c>
      <c r="J406" s="98">
        <f>I406*H406</f>
        <v>40</v>
      </c>
      <c r="K406" s="60" t="s">
        <v>152</v>
      </c>
      <c r="L406" s="130" t="s">
        <v>679</v>
      </c>
      <c r="M406" s="60" t="str" cm="1">
        <f t="array" ref="M406:N406">VLOOKUP(Q406,[1]CFPL!$A:$D,{3,4},0)</f>
        <v>DATES</v>
      </c>
      <c r="N406" s="130" t="str">
        <v>Reziz</v>
      </c>
      <c r="O406" s="60" t="s">
        <v>263</v>
      </c>
      <c r="P406" s="60" t="s">
        <v>163</v>
      </c>
      <c r="Q406" s="60" t="s">
        <v>680</v>
      </c>
      <c r="R406" s="45" t="s">
        <v>250</v>
      </c>
      <c r="S406" s="45" t="s">
        <v>5</v>
      </c>
      <c r="T406" s="45" t="s">
        <v>247</v>
      </c>
      <c r="U406" s="126">
        <v>87.7</v>
      </c>
      <c r="V406" s="62">
        <f>U406*J406</f>
        <v>3508</v>
      </c>
      <c r="W406" s="63">
        <f ca="1">$W$4-A406</f>
        <v>413</v>
      </c>
      <c r="X406" s="52" t="str">
        <f ca="1">VLOOKUP(W406,$AA$2:$AB$6,2)</f>
        <v>12-18 Months</v>
      </c>
      <c r="Y406" s="52" t="str">
        <f ca="1">VLOOKUP(W406,$AD$2:$AE$6,2)</f>
        <v>&gt;181 Days</v>
      </c>
    </row>
    <row r="407" spans="1:26">
      <c r="A407" s="129">
        <v>45762</v>
      </c>
      <c r="B407" s="45" t="s">
        <v>5</v>
      </c>
      <c r="C407" s="45" t="s">
        <v>662</v>
      </c>
      <c r="D407" s="43" t="s">
        <v>667</v>
      </c>
      <c r="E407" s="43" t="s">
        <v>685</v>
      </c>
      <c r="F407" s="1"/>
      <c r="G407" s="41">
        <v>117122</v>
      </c>
      <c r="H407" s="116">
        <v>34</v>
      </c>
      <c r="I407" s="41">
        <v>10</v>
      </c>
      <c r="J407" s="98">
        <f>I407*H407</f>
        <v>340</v>
      </c>
      <c r="K407" s="60" t="s">
        <v>152</v>
      </c>
      <c r="L407" s="60" t="s">
        <v>262</v>
      </c>
      <c r="M407" s="60" t="str" cm="1">
        <f t="array" ref="M407:N407">VLOOKUP(Q407,[1]CDPL!$A:$D,{3,4},0)</f>
        <v>DATES</v>
      </c>
      <c r="N407" s="60" t="str">
        <v>Khalas</v>
      </c>
      <c r="O407" s="60" t="s">
        <v>260</v>
      </c>
      <c r="P407" s="60" t="s">
        <v>158</v>
      </c>
      <c r="Q407" s="60" t="s">
        <v>663</v>
      </c>
      <c r="R407" s="45" t="s">
        <v>250</v>
      </c>
      <c r="S407" s="45" t="s">
        <v>5</v>
      </c>
      <c r="T407" s="45" t="s">
        <v>247</v>
      </c>
      <c r="U407" s="119">
        <v>116</v>
      </c>
      <c r="V407" s="62">
        <f>U407*J407</f>
        <v>39440</v>
      </c>
      <c r="W407" s="63">
        <f ca="1">$W$4-A407</f>
        <v>392</v>
      </c>
      <c r="X407" s="52" t="str">
        <f ca="1">VLOOKUP(W407,$AA$2:$AB$6,2)</f>
        <v>12-18 Months</v>
      </c>
      <c r="Y407" s="52" t="str">
        <f ca="1">VLOOKUP(W407,$AD$2:$AE$6,2)</f>
        <v>&gt;181 Days</v>
      </c>
    </row>
    <row r="408" spans="1:26">
      <c r="A408" s="129">
        <v>45774</v>
      </c>
      <c r="B408" s="45" t="s">
        <v>5</v>
      </c>
      <c r="C408" s="45" t="s">
        <v>662</v>
      </c>
      <c r="D408" s="43" t="s">
        <v>667</v>
      </c>
      <c r="E408" s="43" t="s">
        <v>337</v>
      </c>
      <c r="F408" s="99" t="s">
        <v>788</v>
      </c>
      <c r="G408" s="41">
        <v>117411</v>
      </c>
      <c r="H408" s="116">
        <f>2600-2-1500-150-60-60-50-130-55-162-25-300-25-52-29</f>
        <v>0</v>
      </c>
      <c r="I408" s="41">
        <v>10</v>
      </c>
      <c r="J408" s="98">
        <f>I408*H408</f>
        <v>0</v>
      </c>
      <c r="K408" s="60" t="s">
        <v>152</v>
      </c>
      <c r="L408" s="60" t="s">
        <v>898</v>
      </c>
      <c r="M408" s="60" t="str" cm="1">
        <f t="array" ref="M408:N408">VLOOKUP(Q408,[1]CDPL!$A:$D,{3,4},0)</f>
        <v>DATES</v>
      </c>
      <c r="N408" s="60" t="str">
        <v>Fard</v>
      </c>
      <c r="O408" s="60" t="s">
        <v>260</v>
      </c>
      <c r="P408" s="60" t="s">
        <v>155</v>
      </c>
      <c r="Q408" s="60" t="s">
        <v>359</v>
      </c>
      <c r="R408" s="45" t="s">
        <v>250</v>
      </c>
      <c r="S408" s="45" t="s">
        <v>5</v>
      </c>
      <c r="T408" s="45" t="s">
        <v>247</v>
      </c>
      <c r="U408" s="119">
        <v>233</v>
      </c>
      <c r="V408" s="62">
        <f>U408*J408</f>
        <v>0</v>
      </c>
      <c r="W408" s="63">
        <f ca="1">$W$4-A408</f>
        <v>380</v>
      </c>
      <c r="X408" s="52" t="str">
        <f ca="1">VLOOKUP(W408,$AA$2:$AB$6,2)</f>
        <v>12-18 Months</v>
      </c>
      <c r="Y408" s="52" t="str">
        <f ca="1">VLOOKUP(W408,$AD$2:$AE$6,2)</f>
        <v>&gt;181 Days</v>
      </c>
    </row>
    <row r="409" spans="1:26">
      <c r="A409" s="129">
        <v>45775</v>
      </c>
      <c r="B409" s="45" t="s">
        <v>5</v>
      </c>
      <c r="C409" s="45" t="s">
        <v>662</v>
      </c>
      <c r="D409" s="43" t="s">
        <v>667</v>
      </c>
      <c r="E409" s="43" t="s">
        <v>337</v>
      </c>
      <c r="F409" s="99" t="s">
        <v>788</v>
      </c>
      <c r="G409" s="41">
        <v>117413</v>
      </c>
      <c r="H409" s="116">
        <f>2600-2-100-100-50-800-100-20-1200-10-2-2-80</f>
        <v>134</v>
      </c>
      <c r="I409" s="41">
        <v>10</v>
      </c>
      <c r="J409" s="98">
        <f>I409*H409</f>
        <v>1340</v>
      </c>
      <c r="K409" s="60" t="s">
        <v>152</v>
      </c>
      <c r="L409" s="60" t="s">
        <v>898</v>
      </c>
      <c r="M409" s="60" t="str" cm="1">
        <f t="array" ref="M409:N409">VLOOKUP(Q409,[1]CDPL!$A:$D,{3,4},0)</f>
        <v>DATES</v>
      </c>
      <c r="N409" s="60" t="str">
        <v>Fard</v>
      </c>
      <c r="O409" s="60" t="s">
        <v>260</v>
      </c>
      <c r="P409" s="60" t="s">
        <v>155</v>
      </c>
      <c r="Q409" s="60" t="s">
        <v>359</v>
      </c>
      <c r="R409" s="45" t="s">
        <v>250</v>
      </c>
      <c r="S409" s="45" t="s">
        <v>5</v>
      </c>
      <c r="T409" s="45" t="s">
        <v>247</v>
      </c>
      <c r="U409" s="119">
        <v>233</v>
      </c>
      <c r="V409" s="62">
        <f>U409*J409</f>
        <v>312220</v>
      </c>
      <c r="W409" s="63">
        <f ca="1">$W$4-A409</f>
        <v>379</v>
      </c>
      <c r="X409" s="52" t="str">
        <f ca="1">VLOOKUP(W409,$AA$2:$AB$6,2)</f>
        <v>12-18 Months</v>
      </c>
      <c r="Y409" s="52" t="str">
        <f ca="1">VLOOKUP(W409,$AD$2:$AE$6,2)</f>
        <v>&gt;181 Days</v>
      </c>
    </row>
    <row r="410" spans="1:26">
      <c r="A410" s="129">
        <v>45790</v>
      </c>
      <c r="B410" s="45" t="s">
        <v>5</v>
      </c>
      <c r="C410" s="45" t="s">
        <v>662</v>
      </c>
      <c r="D410" s="43" t="s">
        <v>667</v>
      </c>
      <c r="E410" s="43" t="s">
        <v>686</v>
      </c>
      <c r="F410" s="1"/>
      <c r="G410" s="41">
        <v>117833</v>
      </c>
      <c r="H410" s="116">
        <v>37</v>
      </c>
      <c r="I410" s="41">
        <v>10</v>
      </c>
      <c r="J410" s="98">
        <f>I410*H410</f>
        <v>370</v>
      </c>
      <c r="K410" s="60" t="s">
        <v>148</v>
      </c>
      <c r="L410" s="60" t="s">
        <v>320</v>
      </c>
      <c r="M410" s="60" t="str" cm="1">
        <f t="array" ref="M410:N410">VLOOKUP(Q410,[1]CFPL!$A:$D,{3,4},0)</f>
        <v>DATES</v>
      </c>
      <c r="N410" s="60" t="str">
        <v>Dry Dates</v>
      </c>
      <c r="O410" s="60" t="s">
        <v>148</v>
      </c>
      <c r="P410" s="60" t="s">
        <v>11</v>
      </c>
      <c r="Q410" s="60" t="s">
        <v>286</v>
      </c>
      <c r="R410" s="45" t="s">
        <v>250</v>
      </c>
      <c r="S410" s="45" t="s">
        <v>5</v>
      </c>
      <c r="T410" s="45" t="s">
        <v>287</v>
      </c>
      <c r="U410" s="119">
        <v>241</v>
      </c>
      <c r="V410" s="62">
        <f>U410*J410</f>
        <v>89170</v>
      </c>
      <c r="W410" s="63">
        <f ca="1">$W$4-A410</f>
        <v>364</v>
      </c>
      <c r="X410" s="52" t="str">
        <f ca="1">VLOOKUP(W410,$AA$2:$AB$6,2)</f>
        <v>06-12 Months</v>
      </c>
      <c r="Y410" s="52" t="str">
        <f ca="1">VLOOKUP(W410,$AD$2:$AE$6,2)</f>
        <v>&gt;181 Days</v>
      </c>
    </row>
    <row r="411" spans="1:26">
      <c r="A411" s="129">
        <v>45838</v>
      </c>
      <c r="B411" s="45" t="s">
        <v>5</v>
      </c>
      <c r="C411" s="45" t="s">
        <v>662</v>
      </c>
      <c r="D411" s="43" t="s">
        <v>667</v>
      </c>
      <c r="E411" s="99" t="s">
        <v>668</v>
      </c>
      <c r="F411" s="99" t="s">
        <v>901</v>
      </c>
      <c r="G411" s="41">
        <v>119002</v>
      </c>
      <c r="H411" s="116">
        <f>246-200</f>
        <v>46</v>
      </c>
      <c r="I411" s="41">
        <v>15</v>
      </c>
      <c r="J411" s="98">
        <f>I411*H411</f>
        <v>690</v>
      </c>
      <c r="K411" s="60" t="s">
        <v>152</v>
      </c>
      <c r="L411" s="60" t="s">
        <v>1562</v>
      </c>
      <c r="M411" s="60" t="str" cm="1">
        <f t="array" ref="M411:N411">VLOOKUP(Q411,[1]CFPL!$A:$D,{3,4},0)</f>
        <v>DATES</v>
      </c>
      <c r="N411" s="60" t="str">
        <v>Barhi</v>
      </c>
      <c r="O411" s="60" t="s">
        <v>666</v>
      </c>
      <c r="P411" s="60" t="s">
        <v>902</v>
      </c>
      <c r="Q411" s="60" t="s">
        <v>173</v>
      </c>
      <c r="R411" s="45" t="s">
        <v>250</v>
      </c>
      <c r="S411" s="45" t="s">
        <v>5</v>
      </c>
      <c r="T411" s="45" t="s">
        <v>247</v>
      </c>
      <c r="U411" s="119">
        <v>90.5</v>
      </c>
      <c r="V411" s="62">
        <f>U411*J411</f>
        <v>62445</v>
      </c>
      <c r="W411" s="63">
        <f ca="1">$W$4-A411</f>
        <v>316</v>
      </c>
      <c r="X411" s="52" t="str">
        <f ca="1">VLOOKUP(W411,$AA$2:$AB$6,2)</f>
        <v>06-12 Months</v>
      </c>
      <c r="Y411" s="52" t="str">
        <f ca="1">VLOOKUP(W411,$AD$2:$AE$6,2)</f>
        <v>&gt;181 Days</v>
      </c>
    </row>
    <row r="412" spans="1:26">
      <c r="A412" s="129">
        <v>45845</v>
      </c>
      <c r="B412" s="45" t="s">
        <v>5</v>
      </c>
      <c r="C412" s="45" t="s">
        <v>662</v>
      </c>
      <c r="D412" s="43" t="s">
        <v>683</v>
      </c>
      <c r="E412" s="99" t="s">
        <v>277</v>
      </c>
      <c r="F412" s="99"/>
      <c r="G412" s="41">
        <v>119224</v>
      </c>
      <c r="H412" s="116">
        <f>4894-400-400-30-200-200-50-50-100-100-130-30-20-60-52-7-226-6-30-80-90-70-80-46-102-98-29-8-30-50-5-40-10-30-30-2-5-10-34-10-36-10-144-80-160-70-32-12-12-121-3-18-1-42</f>
        <v>1203</v>
      </c>
      <c r="I412" s="41">
        <v>5</v>
      </c>
      <c r="J412" s="98">
        <f>I412*H412</f>
        <v>6015</v>
      </c>
      <c r="K412" s="60" t="s">
        <v>152</v>
      </c>
      <c r="L412" s="60" t="s">
        <v>1440</v>
      </c>
      <c r="M412" s="60" t="str" cm="1">
        <f t="array" ref="M412:N412">VLOOKUP(Q412,[1]CDPL!$A:$D,{3,4},0)</f>
        <v>DATES</v>
      </c>
      <c r="N412" s="60" t="str">
        <v>Khaneizi</v>
      </c>
      <c r="O412" s="60" t="s">
        <v>1440</v>
      </c>
      <c r="P412" s="60" t="s">
        <v>1441</v>
      </c>
      <c r="Q412" s="60" t="s">
        <v>1441</v>
      </c>
      <c r="R412" s="45" t="s">
        <v>250</v>
      </c>
      <c r="S412" s="45" t="s">
        <v>5</v>
      </c>
      <c r="T412" s="45" t="s">
        <v>255</v>
      </c>
      <c r="U412" s="119">
        <v>198</v>
      </c>
      <c r="V412" s="62">
        <f>U412*J412</f>
        <v>1190970</v>
      </c>
      <c r="W412" s="63">
        <f ca="1">$W$4-A412</f>
        <v>309</v>
      </c>
      <c r="X412" s="52" t="str">
        <f ca="1">VLOOKUP(W412,$AA$2:$AB$6,2)</f>
        <v>06-12 Months</v>
      </c>
      <c r="Y412" s="52" t="str">
        <f ca="1">VLOOKUP(W412,$AD$2:$AE$6,2)</f>
        <v>&gt;181 Days</v>
      </c>
    </row>
    <row r="413" spans="1:26">
      <c r="A413" s="129">
        <v>45861</v>
      </c>
      <c r="B413" s="45" t="s">
        <v>5</v>
      </c>
      <c r="C413" s="45" t="s">
        <v>662</v>
      </c>
      <c r="D413" s="43" t="s">
        <v>683</v>
      </c>
      <c r="E413" s="99" t="s">
        <v>670</v>
      </c>
      <c r="F413" s="99"/>
      <c r="G413" s="41">
        <v>119639</v>
      </c>
      <c r="H413" s="116">
        <f>600-50-52-70-55-5</f>
        <v>368</v>
      </c>
      <c r="I413" s="41">
        <v>5</v>
      </c>
      <c r="J413" s="98">
        <f>I413*H413</f>
        <v>1840</v>
      </c>
      <c r="K413" s="60" t="s">
        <v>152</v>
      </c>
      <c r="L413" s="60" t="s">
        <v>277</v>
      </c>
      <c r="M413" s="60" t="str" cm="1">
        <f t="array" ref="M413:N413">VLOOKUP(Q413,[1]CDPL!$A:$D,{3,4},0)</f>
        <v>DATES</v>
      </c>
      <c r="N413" s="60" t="str">
        <v>Kimia</v>
      </c>
      <c r="O413" s="60" t="s">
        <v>277</v>
      </c>
      <c r="P413" s="60" t="s">
        <v>167</v>
      </c>
      <c r="Q413" s="60" t="s">
        <v>279</v>
      </c>
      <c r="R413" s="45" t="s">
        <v>250</v>
      </c>
      <c r="S413" s="45" t="s">
        <v>5</v>
      </c>
      <c r="T413" s="45" t="s">
        <v>255</v>
      </c>
      <c r="U413" s="119">
        <v>240</v>
      </c>
      <c r="V413" s="62">
        <f>U413*J413</f>
        <v>441600</v>
      </c>
      <c r="W413" s="63">
        <f ca="1">$W$4-A413</f>
        <v>293</v>
      </c>
      <c r="X413" s="52" t="str">
        <f ca="1">VLOOKUP(W413,$AA$2:$AB$6,2)</f>
        <v>06-12 Months</v>
      </c>
      <c r="Y413" s="52" t="str">
        <f ca="1">VLOOKUP(W413,$AD$2:$AE$6,2)</f>
        <v>&gt;181 Days</v>
      </c>
    </row>
    <row r="414" spans="1:26">
      <c r="A414" s="129">
        <v>45870</v>
      </c>
      <c r="B414" s="45" t="s">
        <v>5</v>
      </c>
      <c r="C414" s="45" t="s">
        <v>662</v>
      </c>
      <c r="D414" s="43" t="s">
        <v>667</v>
      </c>
      <c r="E414" s="99" t="s">
        <v>327</v>
      </c>
      <c r="F414" s="99"/>
      <c r="G414" s="41">
        <v>119869</v>
      </c>
      <c r="H414" s="116">
        <f>110.5-67</f>
        <v>43.5</v>
      </c>
      <c r="I414" s="41">
        <v>10</v>
      </c>
      <c r="J414" s="98">
        <f>I414*H414</f>
        <v>435</v>
      </c>
      <c r="K414" s="60" t="s">
        <v>152</v>
      </c>
      <c r="L414" s="60" t="s">
        <v>1211</v>
      </c>
      <c r="M414" s="60" t="str" cm="1">
        <f t="array" ref="M414:N414">VLOOKUP(Q414,[1]CFPL!$A:$D,{3,4},0)</f>
        <v>DATES</v>
      </c>
      <c r="N414" s="60" t="str">
        <v>Seedless</v>
      </c>
      <c r="O414" s="60" t="s">
        <v>325</v>
      </c>
      <c r="P414" s="60" t="s">
        <v>159</v>
      </c>
      <c r="Q414" s="60" t="s">
        <v>326</v>
      </c>
      <c r="R414" s="45" t="s">
        <v>250</v>
      </c>
      <c r="S414" s="45" t="s">
        <v>5</v>
      </c>
      <c r="T414" s="45" t="s">
        <v>247</v>
      </c>
      <c r="U414" s="119">
        <v>126</v>
      </c>
      <c r="V414" s="62">
        <f>U414*J414</f>
        <v>54810</v>
      </c>
      <c r="W414" s="63">
        <f ca="1">$W$4-A414</f>
        <v>284</v>
      </c>
      <c r="X414" s="52" t="str">
        <f ca="1">VLOOKUP(W414,$AA$2:$AB$6,2)</f>
        <v>06-12 Months</v>
      </c>
      <c r="Y414" s="52" t="str">
        <f ca="1">VLOOKUP(W414,$AD$2:$AE$6,2)</f>
        <v>&gt;181 Days</v>
      </c>
      <c r="Z414" s="110"/>
    </row>
    <row r="415" spans="1:26">
      <c r="A415" s="129">
        <v>45892</v>
      </c>
      <c r="B415" s="45" t="s">
        <v>5</v>
      </c>
      <c r="C415" s="45" t="s">
        <v>662</v>
      </c>
      <c r="D415" s="43" t="s">
        <v>683</v>
      </c>
      <c r="E415" s="99" t="s">
        <v>881</v>
      </c>
      <c r="F415" s="99"/>
      <c r="G415" s="41">
        <v>120372</v>
      </c>
      <c r="H415" s="116">
        <f>185-80-80</f>
        <v>25</v>
      </c>
      <c r="I415" s="41">
        <v>5</v>
      </c>
      <c r="J415" s="98">
        <f>I415*H415</f>
        <v>125</v>
      </c>
      <c r="K415" s="60" t="s">
        <v>152</v>
      </c>
      <c r="L415" s="60" t="s">
        <v>277</v>
      </c>
      <c r="M415" s="60" t="str" cm="1">
        <f t="array" ref="M415:N415">VLOOKUP(Q415,[1]CDPL!$A:$D,{3,4},0)</f>
        <v>DATES</v>
      </c>
      <c r="N415" s="60" t="str">
        <v>Kimia</v>
      </c>
      <c r="O415" s="60" t="s">
        <v>277</v>
      </c>
      <c r="P415" s="60" t="s">
        <v>167</v>
      </c>
      <c r="Q415" s="60" t="s">
        <v>279</v>
      </c>
      <c r="R415" s="45" t="s">
        <v>250</v>
      </c>
      <c r="S415" s="45" t="s">
        <v>5</v>
      </c>
      <c r="T415" s="45" t="s">
        <v>255</v>
      </c>
      <c r="U415" s="119">
        <v>240</v>
      </c>
      <c r="V415" s="62">
        <f>U415*J415</f>
        <v>30000</v>
      </c>
      <c r="W415" s="63">
        <f ca="1">$W$4-A415</f>
        <v>262</v>
      </c>
      <c r="X415" s="52" t="str">
        <f ca="1">VLOOKUP(W415,$AA$2:$AB$6,2)</f>
        <v>06-12 Months</v>
      </c>
      <c r="Y415" s="52" t="str">
        <f ca="1">VLOOKUP(W415,$AD$2:$AE$6,2)</f>
        <v>&gt;181 Days</v>
      </c>
      <c r="Z415" s="110"/>
    </row>
    <row r="416" spans="1:26">
      <c r="A416" s="129">
        <v>45985</v>
      </c>
      <c r="B416" s="45" t="s">
        <v>5</v>
      </c>
      <c r="C416" s="45" t="s">
        <v>662</v>
      </c>
      <c r="D416" s="43" t="s">
        <v>683</v>
      </c>
      <c r="E416" s="99" t="s">
        <v>899</v>
      </c>
      <c r="F416" s="99"/>
      <c r="G416" s="41">
        <v>122755</v>
      </c>
      <c r="H416" s="116">
        <f>478-14-1-5-5-140-1-1-10-120</f>
        <v>181</v>
      </c>
      <c r="I416" s="41">
        <v>5</v>
      </c>
      <c r="J416" s="98">
        <f>I416*H416</f>
        <v>905</v>
      </c>
      <c r="K416" s="60" t="s">
        <v>190</v>
      </c>
      <c r="L416" s="60" t="s">
        <v>306</v>
      </c>
      <c r="M416" s="60" t="str" cm="1">
        <f t="array" ref="M416:N416">VLOOKUP(Q416,[1]CFPL!$A:$D,{3,4},0)</f>
        <v>DATES</v>
      </c>
      <c r="N416" s="60" t="str">
        <v>Safavi</v>
      </c>
      <c r="O416" s="60" t="s">
        <v>306</v>
      </c>
      <c r="P416" s="60" t="s">
        <v>210</v>
      </c>
      <c r="Q416" s="60" t="s">
        <v>308</v>
      </c>
      <c r="R416" s="45" t="s">
        <v>250</v>
      </c>
      <c r="S416" s="45" t="s">
        <v>5</v>
      </c>
      <c r="T416" s="45" t="s">
        <v>255</v>
      </c>
      <c r="U416" s="119">
        <v>550</v>
      </c>
      <c r="V416" s="62">
        <f>U416*J416</f>
        <v>497750</v>
      </c>
      <c r="W416" s="63">
        <f ca="1">$W$4-A416</f>
        <v>169</v>
      </c>
      <c r="X416" s="52" t="str">
        <f ca="1">VLOOKUP(W416,$AA$2:$AB$6,2)</f>
        <v>&lt; 6 Months</v>
      </c>
      <c r="Y416" s="52" t="str">
        <f ca="1">VLOOKUP(W416,$AD$2:$AE$6,2)</f>
        <v>90-180 Days</v>
      </c>
      <c r="Z416" s="110"/>
    </row>
    <row r="417" spans="1:26">
      <c r="A417" s="129">
        <v>45936</v>
      </c>
      <c r="B417" s="45" t="s">
        <v>5</v>
      </c>
      <c r="C417" s="45" t="s">
        <v>662</v>
      </c>
      <c r="D417" s="43" t="s">
        <v>667</v>
      </c>
      <c r="E417" s="99" t="s">
        <v>280</v>
      </c>
      <c r="F417" s="99" t="s">
        <v>924</v>
      </c>
      <c r="G417" s="41">
        <v>121432</v>
      </c>
      <c r="H417" s="116">
        <f>1099-29-300-21</f>
        <v>749</v>
      </c>
      <c r="I417" s="41">
        <v>10</v>
      </c>
      <c r="J417" s="98">
        <f>I417*H417</f>
        <v>7490</v>
      </c>
      <c r="K417" s="60" t="s">
        <v>152</v>
      </c>
      <c r="L417" s="60" t="s">
        <v>1558</v>
      </c>
      <c r="M417" s="60" t="str" cm="1">
        <f t="array" ref="M417:N417">VLOOKUP(Q417,[1]CDPL!$A:$D,{3,4},0)</f>
        <v>DATES</v>
      </c>
      <c r="N417" s="60" t="str">
        <v>Khalas</v>
      </c>
      <c r="O417" s="60" t="s">
        <v>278</v>
      </c>
      <c r="P417" s="60" t="s">
        <v>158</v>
      </c>
      <c r="Q417" s="60" t="s">
        <v>663</v>
      </c>
      <c r="R417" s="45" t="s">
        <v>250</v>
      </c>
      <c r="S417" s="45" t="s">
        <v>5</v>
      </c>
      <c r="T417" s="45" t="s">
        <v>247</v>
      </c>
      <c r="U417" s="119">
        <v>116</v>
      </c>
      <c r="V417" s="62">
        <f>U417*J417</f>
        <v>868840</v>
      </c>
      <c r="W417" s="63">
        <f ca="1">$W$4-A417</f>
        <v>218</v>
      </c>
      <c r="X417" s="52" t="str">
        <f ca="1">VLOOKUP(W417,$AA$2:$AB$6,2)</f>
        <v>06-12 Months</v>
      </c>
      <c r="Y417" s="52" t="str">
        <f ca="1">VLOOKUP(W417,$AD$2:$AE$6,2)</f>
        <v>&gt;181 Days</v>
      </c>
      <c r="Z417" s="110"/>
    </row>
    <row r="418" spans="1:26">
      <c r="A418" s="129">
        <v>45989</v>
      </c>
      <c r="B418" s="45" t="s">
        <v>5</v>
      </c>
      <c r="C418" s="45" t="s">
        <v>662</v>
      </c>
      <c r="D418" s="43" t="s">
        <v>683</v>
      </c>
      <c r="E418" s="99" t="s">
        <v>728</v>
      </c>
      <c r="F418" s="99"/>
      <c r="G418" s="41">
        <v>122909</v>
      </c>
      <c r="H418" s="116">
        <f>1000-6-1-6-55-20-1-32-500</f>
        <v>379</v>
      </c>
      <c r="I418" s="41">
        <v>5</v>
      </c>
      <c r="J418" s="98">
        <f>I418*H418</f>
        <v>1895</v>
      </c>
      <c r="K418" s="60" t="s">
        <v>152</v>
      </c>
      <c r="L418" s="60" t="s">
        <v>1157</v>
      </c>
      <c r="M418" s="60" t="str" cm="1">
        <f t="array" ref="M418:N418">VLOOKUP(Q418,[1]CDPL!$A:$D,{3,4},0)</f>
        <v>DATES</v>
      </c>
      <c r="N418" s="60" t="str">
        <v>Sayer</v>
      </c>
      <c r="O418" s="60" t="s">
        <v>1155</v>
      </c>
      <c r="P418" s="60" t="s">
        <v>1156</v>
      </c>
      <c r="Q418" s="60" t="s">
        <v>684</v>
      </c>
      <c r="R418" s="45" t="s">
        <v>250</v>
      </c>
      <c r="S418" s="45" t="s">
        <v>5</v>
      </c>
      <c r="T418" s="45" t="s">
        <v>255</v>
      </c>
      <c r="U418" s="119">
        <v>105</v>
      </c>
      <c r="V418" s="62">
        <f>U418*J418</f>
        <v>198975</v>
      </c>
      <c r="W418" s="63">
        <f ca="1">$W$4-A418</f>
        <v>165</v>
      </c>
      <c r="X418" s="52" t="str">
        <f ca="1">VLOOKUP(W418,$AA$2:$AB$6,2)</f>
        <v>&lt; 6 Months</v>
      </c>
      <c r="Y418" s="52" t="str">
        <f ca="1">VLOOKUP(W418,$AD$2:$AE$6,2)</f>
        <v>90-180 Days</v>
      </c>
      <c r="Z418" s="110"/>
    </row>
    <row r="419" spans="1:26">
      <c r="A419" s="129">
        <v>45999</v>
      </c>
      <c r="B419" s="45" t="s">
        <v>5</v>
      </c>
      <c r="C419" s="45" t="s">
        <v>662</v>
      </c>
      <c r="D419" s="43" t="s">
        <v>667</v>
      </c>
      <c r="E419" s="99" t="s">
        <v>280</v>
      </c>
      <c r="F419" s="99"/>
      <c r="G419" s="41">
        <v>123249</v>
      </c>
      <c r="H419" s="116">
        <v>119</v>
      </c>
      <c r="I419" s="41">
        <v>10</v>
      </c>
      <c r="J419" s="98">
        <f>I419*H419</f>
        <v>1190</v>
      </c>
      <c r="K419" s="60" t="s">
        <v>152</v>
      </c>
      <c r="L419" s="60" t="s">
        <v>1211</v>
      </c>
      <c r="M419" s="60" t="str" cm="1">
        <f t="array" ref="M419:N419">VLOOKUP(Q419,[1]CFPL!$A:$D,{3,4},0)</f>
        <v>DATES</v>
      </c>
      <c r="N419" s="60" t="str">
        <v>Seedless</v>
      </c>
      <c r="O419" s="60" t="s">
        <v>325</v>
      </c>
      <c r="P419" s="60" t="s">
        <v>159</v>
      </c>
      <c r="Q419" s="60" t="s">
        <v>326</v>
      </c>
      <c r="R419" s="45" t="s">
        <v>250</v>
      </c>
      <c r="S419" s="45" t="s">
        <v>5</v>
      </c>
      <c r="T419" s="45" t="s">
        <v>247</v>
      </c>
      <c r="U419" s="119">
        <v>126</v>
      </c>
      <c r="V419" s="62">
        <f>U419*J419</f>
        <v>149940</v>
      </c>
      <c r="W419" s="63">
        <f ca="1">$W$4-A419</f>
        <v>155</v>
      </c>
      <c r="X419" s="52" t="str">
        <f ca="1">VLOOKUP(W419,$AA$2:$AB$6,2)</f>
        <v>&lt; 6 Months</v>
      </c>
      <c r="Y419" s="52" t="str">
        <f ca="1">VLOOKUP(W419,$AD$2:$AE$6,2)</f>
        <v>90-180 Days</v>
      </c>
      <c r="Z419" s="110"/>
    </row>
    <row r="420" spans="1:26">
      <c r="A420" s="129">
        <v>46000</v>
      </c>
      <c r="B420" s="45" t="s">
        <v>5</v>
      </c>
      <c r="C420" s="45" t="s">
        <v>662</v>
      </c>
      <c r="D420" s="43" t="s">
        <v>683</v>
      </c>
      <c r="E420" s="99" t="s">
        <v>277</v>
      </c>
      <c r="F420" s="99"/>
      <c r="G420" s="41">
        <v>123292</v>
      </c>
      <c r="H420" s="116">
        <f>242-100</f>
        <v>142</v>
      </c>
      <c r="I420" s="41">
        <v>6.8</v>
      </c>
      <c r="J420" s="98">
        <f>I420*H420</f>
        <v>965.6</v>
      </c>
      <c r="K420" s="60" t="s">
        <v>152</v>
      </c>
      <c r="L420" s="60" t="s">
        <v>277</v>
      </c>
      <c r="M420" s="60" t="str" cm="1">
        <f t="array" ref="M420:N420">VLOOKUP(Q420,[1]CDPL!$A:$D,{3,4},0)</f>
        <v>DATES</v>
      </c>
      <c r="N420" s="60" t="str">
        <v>Kimia</v>
      </c>
      <c r="O420" s="60" t="s">
        <v>1196</v>
      </c>
      <c r="P420" s="60" t="s">
        <v>167</v>
      </c>
      <c r="Q420" s="60" t="s">
        <v>279</v>
      </c>
      <c r="R420" s="45" t="s">
        <v>250</v>
      </c>
      <c r="S420" s="45" t="s">
        <v>5</v>
      </c>
      <c r="T420" s="45" t="s">
        <v>255</v>
      </c>
      <c r="U420" s="119">
        <v>198</v>
      </c>
      <c r="V420" s="62">
        <f>U420*J420</f>
        <v>191188.80000000002</v>
      </c>
      <c r="W420" s="63">
        <f ca="1">$W$4-A420</f>
        <v>154</v>
      </c>
      <c r="X420" s="52" t="str">
        <f ca="1">VLOOKUP(W420,$AA$2:$AB$6,2)</f>
        <v>&lt; 6 Months</v>
      </c>
      <c r="Y420" s="52" t="str">
        <f ca="1">VLOOKUP(W420,$AD$2:$AE$6,2)</f>
        <v>90-180 Days</v>
      </c>
      <c r="Z420" s="110"/>
    </row>
    <row r="421" spans="1:26">
      <c r="A421" s="129">
        <v>46000</v>
      </c>
      <c r="B421" s="45" t="s">
        <v>5</v>
      </c>
      <c r="C421" s="45" t="s">
        <v>662</v>
      </c>
      <c r="D421" s="43" t="s">
        <v>683</v>
      </c>
      <c r="E421" s="99" t="s">
        <v>422</v>
      </c>
      <c r="F421" s="99"/>
      <c r="G421" s="41">
        <v>123294</v>
      </c>
      <c r="H421" s="116">
        <v>28</v>
      </c>
      <c r="I421" s="41">
        <v>5</v>
      </c>
      <c r="J421" s="98">
        <f>I421*H421</f>
        <v>140</v>
      </c>
      <c r="K421" s="60" t="s">
        <v>190</v>
      </c>
      <c r="L421" s="60" t="s">
        <v>422</v>
      </c>
      <c r="M421" s="60" t="str" cm="1">
        <f t="array" ref="M421:N421">VLOOKUP(Q421,[1]CDPL!$A:$D,{3,4},0)</f>
        <v>DATES</v>
      </c>
      <c r="N421" s="60" t="str">
        <v>Ajwa</v>
      </c>
      <c r="O421" s="60" t="s">
        <v>260</v>
      </c>
      <c r="P421" s="60" t="s">
        <v>1086</v>
      </c>
      <c r="Q421" s="60" t="s">
        <v>423</v>
      </c>
      <c r="R421" s="45" t="s">
        <v>250</v>
      </c>
      <c r="S421" s="45" t="s">
        <v>5</v>
      </c>
      <c r="T421" s="45" t="s">
        <v>255</v>
      </c>
      <c r="U421" s="119">
        <v>675</v>
      </c>
      <c r="V421" s="62">
        <f>U421*J421</f>
        <v>94500</v>
      </c>
      <c r="W421" s="63">
        <f ca="1">$W$4-A421</f>
        <v>154</v>
      </c>
      <c r="X421" s="52" t="str">
        <f ca="1">VLOOKUP(W421,$AA$2:$AB$6,2)</f>
        <v>&lt; 6 Months</v>
      </c>
      <c r="Y421" s="52" t="str">
        <f ca="1">VLOOKUP(W421,$AD$2:$AE$6,2)</f>
        <v>90-180 Days</v>
      </c>
      <c r="Z421" s="110"/>
    </row>
    <row r="422" spans="1:26">
      <c r="A422" s="129">
        <v>46000</v>
      </c>
      <c r="B422" s="45" t="s">
        <v>5</v>
      </c>
      <c r="C422" s="45" t="s">
        <v>662</v>
      </c>
      <c r="D422" s="43" t="s">
        <v>722</v>
      </c>
      <c r="E422" s="99" t="s">
        <v>426</v>
      </c>
      <c r="F422" s="99"/>
      <c r="G422" s="41">
        <v>123295</v>
      </c>
      <c r="H422" s="116">
        <v>2</v>
      </c>
      <c r="I422" s="41">
        <v>15</v>
      </c>
      <c r="J422" s="98">
        <f>I422*H422</f>
        <v>30</v>
      </c>
      <c r="K422" s="60" t="s">
        <v>190</v>
      </c>
      <c r="L422" s="60" t="s">
        <v>426</v>
      </c>
      <c r="M422" s="60" t="str" cm="1">
        <f t="array" ref="M422:N422">VLOOKUP(Q422,[1]CDPL!$A:$D,{3,4},0)</f>
        <v>DATES</v>
      </c>
      <c r="N422" s="60" t="str">
        <v>Mabroom</v>
      </c>
      <c r="O422" s="60" t="s">
        <v>426</v>
      </c>
      <c r="P422" s="60" t="s">
        <v>198</v>
      </c>
      <c r="Q422" s="60" t="s">
        <v>427</v>
      </c>
      <c r="R422" s="45" t="s">
        <v>250</v>
      </c>
      <c r="S422" s="45" t="s">
        <v>5</v>
      </c>
      <c r="T422" s="45" t="s">
        <v>255</v>
      </c>
      <c r="U422" s="119">
        <v>990</v>
      </c>
      <c r="V422" s="62">
        <f>U422*J422</f>
        <v>29700</v>
      </c>
      <c r="W422" s="63">
        <f ca="1">$W$4-A422</f>
        <v>154</v>
      </c>
      <c r="X422" s="52" t="str">
        <f ca="1">VLOOKUP(W422,$AA$2:$AB$6,2)</f>
        <v>&lt; 6 Months</v>
      </c>
      <c r="Y422" s="52" t="str">
        <f ca="1">VLOOKUP(W422,$AD$2:$AE$6,2)</f>
        <v>90-180 Days</v>
      </c>
      <c r="Z422" s="110"/>
    </row>
    <row r="423" spans="1:26">
      <c r="A423" s="129">
        <v>46000</v>
      </c>
      <c r="B423" s="45" t="s">
        <v>5</v>
      </c>
      <c r="C423" s="45" t="s">
        <v>662</v>
      </c>
      <c r="D423" s="43" t="s">
        <v>683</v>
      </c>
      <c r="E423" s="99" t="s">
        <v>728</v>
      </c>
      <c r="F423" s="99"/>
      <c r="G423" s="41">
        <v>123296</v>
      </c>
      <c r="H423" s="116">
        <v>3</v>
      </c>
      <c r="I423" s="41">
        <v>5</v>
      </c>
      <c r="J423" s="98">
        <f>I423*H423</f>
        <v>15</v>
      </c>
      <c r="K423" s="60" t="s">
        <v>152</v>
      </c>
      <c r="L423" s="60" t="s">
        <v>1157</v>
      </c>
      <c r="M423" s="60" t="str" cm="1">
        <f t="array" ref="M423:N423">VLOOKUP(Q423,[1]CDPL!$A:$D,{3,4},0)</f>
        <v>DATES</v>
      </c>
      <c r="N423" s="60" t="str">
        <v>Sayer</v>
      </c>
      <c r="O423" s="60" t="s">
        <v>1155</v>
      </c>
      <c r="P423" s="60" t="s">
        <v>1156</v>
      </c>
      <c r="Q423" s="60" t="s">
        <v>684</v>
      </c>
      <c r="R423" s="45" t="s">
        <v>250</v>
      </c>
      <c r="S423" s="45" t="s">
        <v>5</v>
      </c>
      <c r="T423" s="45" t="s">
        <v>255</v>
      </c>
      <c r="U423" s="119">
        <v>105</v>
      </c>
      <c r="V423" s="62">
        <f>U423*J423</f>
        <v>1575</v>
      </c>
      <c r="W423" s="63">
        <f ca="1">$W$4-A423</f>
        <v>154</v>
      </c>
      <c r="X423" s="52" t="str">
        <f ca="1">VLOOKUP(W423,$AA$2:$AB$6,2)</f>
        <v>&lt; 6 Months</v>
      </c>
      <c r="Y423" s="52" t="str">
        <f ca="1">VLOOKUP(W423,$AD$2:$AE$6,2)</f>
        <v>90-180 Days</v>
      </c>
      <c r="Z423" s="110"/>
    </row>
    <row r="424" spans="1:26">
      <c r="A424" s="129">
        <v>46001</v>
      </c>
      <c r="B424" s="45" t="s">
        <v>5</v>
      </c>
      <c r="C424" s="45" t="s">
        <v>662</v>
      </c>
      <c r="D424" s="43" t="s">
        <v>667</v>
      </c>
      <c r="E424" s="99" t="s">
        <v>682</v>
      </c>
      <c r="F424" s="99"/>
      <c r="G424" s="41">
        <v>123327</v>
      </c>
      <c r="H424" s="116">
        <v>109</v>
      </c>
      <c r="I424" s="41">
        <v>10</v>
      </c>
      <c r="J424" s="98">
        <f>I424*H424</f>
        <v>1090</v>
      </c>
      <c r="K424" s="60" t="s">
        <v>152</v>
      </c>
      <c r="L424" s="60" t="s">
        <v>1208</v>
      </c>
      <c r="M424" s="60" t="str" cm="1">
        <f t="array" ref="M424:N424">VLOOKUP(Q424,[1]CDPL!$A:$D,{3,4},0)</f>
        <v>DATES</v>
      </c>
      <c r="N424" s="60" t="str">
        <v>Fard</v>
      </c>
      <c r="O424" s="60" t="s">
        <v>325</v>
      </c>
      <c r="P424" s="60" t="s">
        <v>1210</v>
      </c>
      <c r="Q424" s="60" t="s">
        <v>1209</v>
      </c>
      <c r="R424" s="45" t="s">
        <v>250</v>
      </c>
      <c r="S424" s="45" t="s">
        <v>5</v>
      </c>
      <c r="T424" s="45" t="s">
        <v>247</v>
      </c>
      <c r="U424" s="119">
        <v>230</v>
      </c>
      <c r="V424" s="62">
        <f>U424*J424</f>
        <v>250700</v>
      </c>
      <c r="W424" s="63">
        <f ca="1">$W$4-A424</f>
        <v>153</v>
      </c>
      <c r="X424" s="52" t="str">
        <f ca="1">VLOOKUP(W424,$AA$2:$AB$6,2)</f>
        <v>&lt; 6 Months</v>
      </c>
      <c r="Y424" s="52" t="str">
        <f ca="1">VLOOKUP(W424,$AD$2:$AE$6,2)</f>
        <v>90-180 Days</v>
      </c>
      <c r="Z424" s="110"/>
    </row>
    <row r="425" spans="1:26">
      <c r="A425" s="129">
        <v>46002</v>
      </c>
      <c r="B425" s="45" t="s">
        <v>5</v>
      </c>
      <c r="C425" s="45" t="s">
        <v>662</v>
      </c>
      <c r="D425" s="43" t="s">
        <v>667</v>
      </c>
      <c r="E425" s="99" t="s">
        <v>1212</v>
      </c>
      <c r="F425" s="99"/>
      <c r="G425" s="41">
        <v>123364</v>
      </c>
      <c r="H425" s="116">
        <v>52</v>
      </c>
      <c r="I425" s="41">
        <v>10</v>
      </c>
      <c r="J425" s="98">
        <f>I425*H425</f>
        <v>520</v>
      </c>
      <c r="K425" s="60" t="s">
        <v>152</v>
      </c>
      <c r="L425" s="60" t="s">
        <v>1211</v>
      </c>
      <c r="M425" s="60" t="str" cm="1">
        <f t="array" ref="M425:N425">VLOOKUP(Q425,[1]CFPL!$A:$D,{3,4},0)</f>
        <v>DATES</v>
      </c>
      <c r="N425" s="60" t="str">
        <v>Seedless</v>
      </c>
      <c r="O425" s="60" t="s">
        <v>325</v>
      </c>
      <c r="P425" s="60" t="s">
        <v>159</v>
      </c>
      <c r="Q425" s="60" t="s">
        <v>326</v>
      </c>
      <c r="R425" s="45" t="s">
        <v>250</v>
      </c>
      <c r="S425" s="45" t="s">
        <v>5</v>
      </c>
      <c r="T425" s="45" t="s">
        <v>247</v>
      </c>
      <c r="U425" s="119">
        <v>126</v>
      </c>
      <c r="V425" s="62">
        <f>U425*J425</f>
        <v>65520</v>
      </c>
      <c r="W425" s="63">
        <f ca="1">$W$4-A425</f>
        <v>152</v>
      </c>
      <c r="X425" s="52" t="str">
        <f ca="1">VLOOKUP(W425,$AA$2:$AB$6,2)</f>
        <v>&lt; 6 Months</v>
      </c>
      <c r="Y425" s="52" t="str">
        <f ca="1">VLOOKUP(W425,$AD$2:$AE$6,2)</f>
        <v>90-180 Days</v>
      </c>
      <c r="Z425" s="110"/>
    </row>
    <row r="426" spans="1:26">
      <c r="A426" s="129">
        <v>46002</v>
      </c>
      <c r="B426" s="45" t="s">
        <v>5</v>
      </c>
      <c r="C426" s="45" t="s">
        <v>662</v>
      </c>
      <c r="D426" s="43" t="s">
        <v>683</v>
      </c>
      <c r="E426" s="99" t="s">
        <v>1213</v>
      </c>
      <c r="F426" s="99"/>
      <c r="G426" s="41">
        <v>123365</v>
      </c>
      <c r="H426" s="116">
        <v>55</v>
      </c>
      <c r="I426" s="41">
        <v>5</v>
      </c>
      <c r="J426" s="98">
        <f>I426*H426</f>
        <v>275</v>
      </c>
      <c r="K426" s="60" t="s">
        <v>152</v>
      </c>
      <c r="L426" s="60" t="s">
        <v>1208</v>
      </c>
      <c r="M426" s="60" t="str" cm="1">
        <f t="array" ref="M426:N426">VLOOKUP(Q426,[1]CDPL!$A:$D,{3,4},0)</f>
        <v>DATES</v>
      </c>
      <c r="N426" s="60" t="str">
        <v>Fard</v>
      </c>
      <c r="O426" s="60" t="s">
        <v>325</v>
      </c>
      <c r="P426" s="60" t="s">
        <v>1210</v>
      </c>
      <c r="Q426" s="60" t="s">
        <v>1209</v>
      </c>
      <c r="R426" s="45" t="s">
        <v>250</v>
      </c>
      <c r="S426" s="45" t="s">
        <v>5</v>
      </c>
      <c r="T426" s="45" t="s">
        <v>247</v>
      </c>
      <c r="U426" s="119">
        <v>230</v>
      </c>
      <c r="V426" s="62">
        <f>U426*J426</f>
        <v>63250</v>
      </c>
      <c r="W426" s="63">
        <f ca="1">$W$4-A426</f>
        <v>152</v>
      </c>
      <c r="X426" s="52" t="str">
        <f ca="1">VLOOKUP(W426,$AA$2:$AB$6,2)</f>
        <v>&lt; 6 Months</v>
      </c>
      <c r="Y426" s="52" t="str">
        <f ca="1">VLOOKUP(W426,$AD$2:$AE$6,2)</f>
        <v>90-180 Days</v>
      </c>
      <c r="Z426" s="110"/>
    </row>
    <row r="427" spans="1:26">
      <c r="A427" s="129">
        <v>46002</v>
      </c>
      <c r="B427" s="45" t="s">
        <v>5</v>
      </c>
      <c r="C427" s="45" t="s">
        <v>662</v>
      </c>
      <c r="D427" s="43" t="s">
        <v>667</v>
      </c>
      <c r="E427" s="99" t="s">
        <v>682</v>
      </c>
      <c r="F427" s="99"/>
      <c r="G427" s="41">
        <v>123366</v>
      </c>
      <c r="H427" s="116">
        <v>73</v>
      </c>
      <c r="I427" s="41">
        <v>10</v>
      </c>
      <c r="J427" s="98">
        <f>I427*H427</f>
        <v>730</v>
      </c>
      <c r="K427" s="60" t="s">
        <v>152</v>
      </c>
      <c r="L427" s="60" t="s">
        <v>1208</v>
      </c>
      <c r="M427" s="60" t="str" cm="1">
        <f t="array" ref="M427:N427">VLOOKUP(Q427,[1]CDPL!$A:$D,{3,4},0)</f>
        <v>DATES</v>
      </c>
      <c r="N427" s="60" t="str">
        <v>Fard</v>
      </c>
      <c r="O427" s="60" t="s">
        <v>325</v>
      </c>
      <c r="P427" s="60" t="s">
        <v>1210</v>
      </c>
      <c r="Q427" s="60" t="s">
        <v>1209</v>
      </c>
      <c r="R427" s="45" t="s">
        <v>250</v>
      </c>
      <c r="S427" s="45" t="s">
        <v>5</v>
      </c>
      <c r="T427" s="45" t="s">
        <v>247</v>
      </c>
      <c r="U427" s="119">
        <v>230</v>
      </c>
      <c r="V427" s="62">
        <f>U427*J427</f>
        <v>167900</v>
      </c>
      <c r="W427" s="63">
        <f ca="1">$W$4-A427</f>
        <v>152</v>
      </c>
      <c r="X427" s="52" t="str">
        <f ca="1">VLOOKUP(W427,$AA$2:$AB$6,2)</f>
        <v>&lt; 6 Months</v>
      </c>
      <c r="Y427" s="52" t="str">
        <f ca="1">VLOOKUP(W427,$AD$2:$AE$6,2)</f>
        <v>90-180 Days</v>
      </c>
      <c r="Z427" s="110"/>
    </row>
    <row r="428" spans="1:26">
      <c r="A428" s="129">
        <v>46009</v>
      </c>
      <c r="B428" s="45" t="s">
        <v>5</v>
      </c>
      <c r="C428" s="45" t="s">
        <v>662</v>
      </c>
      <c r="D428" s="43" t="s">
        <v>667</v>
      </c>
      <c r="E428" s="99" t="s">
        <v>996</v>
      </c>
      <c r="F428" s="99"/>
      <c r="G428" s="41">
        <v>123591</v>
      </c>
      <c r="H428" s="116">
        <f>2000-17-1-150-150-5-150-150-11-5-150-5-8-5-100-100-60-5-20-100-200-300</f>
        <v>308</v>
      </c>
      <c r="I428" s="41">
        <v>10</v>
      </c>
      <c r="J428" s="98">
        <f>I428*H428</f>
        <v>3080</v>
      </c>
      <c r="K428" s="60" t="s">
        <v>152</v>
      </c>
      <c r="L428" s="60" t="s">
        <v>996</v>
      </c>
      <c r="M428" s="60" t="str" cm="1">
        <f t="array" ref="M428:N428">VLOOKUP(Q428,[1]CDPL!$A:$D,{3,4},0)</f>
        <v>DATES</v>
      </c>
      <c r="N428" s="60" t="str">
        <v>Zahidi</v>
      </c>
      <c r="O428" s="60" t="s">
        <v>996</v>
      </c>
      <c r="P428" s="60" t="s">
        <v>999</v>
      </c>
      <c r="Q428" s="60" t="s">
        <v>998</v>
      </c>
      <c r="R428" s="45" t="s">
        <v>250</v>
      </c>
      <c r="S428" s="45" t="s">
        <v>5</v>
      </c>
      <c r="T428" s="45" t="s">
        <v>255</v>
      </c>
      <c r="U428" s="119">
        <v>115</v>
      </c>
      <c r="V428" s="62">
        <f>U428*J428</f>
        <v>354200</v>
      </c>
      <c r="W428" s="63">
        <f ca="1">$W$4-A428</f>
        <v>145</v>
      </c>
      <c r="X428" s="52" t="str">
        <f ca="1">VLOOKUP(W428,$AA$2:$AB$6,2)</f>
        <v>&lt; 6 Months</v>
      </c>
      <c r="Y428" s="52" t="str">
        <f ca="1">VLOOKUP(W428,$AD$2:$AE$6,2)</f>
        <v>90-180 Days</v>
      </c>
      <c r="Z428" s="110"/>
    </row>
    <row r="429" spans="1:26">
      <c r="A429" s="129">
        <v>46011</v>
      </c>
      <c r="B429" s="45" t="s">
        <v>5</v>
      </c>
      <c r="C429" s="45" t="s">
        <v>662</v>
      </c>
      <c r="D429" s="43" t="s">
        <v>667</v>
      </c>
      <c r="E429" s="99" t="s">
        <v>1228</v>
      </c>
      <c r="F429" s="99"/>
      <c r="G429" s="41">
        <v>123688</v>
      </c>
      <c r="H429" s="116">
        <v>40</v>
      </c>
      <c r="I429" s="41">
        <v>10</v>
      </c>
      <c r="J429" s="98">
        <f>I429*H429</f>
        <v>400</v>
      </c>
      <c r="K429" s="60" t="s">
        <v>152</v>
      </c>
      <c r="L429" s="60" t="s">
        <v>262</v>
      </c>
      <c r="M429" s="60" t="str" cm="1">
        <f t="array" ref="M429:N429">VLOOKUP(Q429,[1]CFPL!$A:$D,{3,4},0)</f>
        <v>DATES</v>
      </c>
      <c r="N429" s="60" t="str">
        <v>Khalas</v>
      </c>
      <c r="O429" s="60" t="s">
        <v>1058</v>
      </c>
      <c r="P429" s="60" t="s">
        <v>158</v>
      </c>
      <c r="Q429" s="60" t="s">
        <v>264</v>
      </c>
      <c r="R429" s="45" t="s">
        <v>250</v>
      </c>
      <c r="S429" s="45" t="s">
        <v>5</v>
      </c>
      <c r="T429" s="45" t="s">
        <v>247</v>
      </c>
      <c r="U429" s="119">
        <v>116</v>
      </c>
      <c r="V429" s="62">
        <f>U429*J429</f>
        <v>46400</v>
      </c>
      <c r="W429" s="63">
        <f ca="1">$W$4-A429</f>
        <v>143</v>
      </c>
      <c r="X429" s="52" t="str">
        <f ca="1">VLOOKUP(W429,$AA$2:$AB$6,2)</f>
        <v>&lt; 6 Months</v>
      </c>
      <c r="Y429" s="52" t="str">
        <f ca="1">VLOOKUP(W429,$AD$2:$AE$6,2)</f>
        <v>90-180 Days</v>
      </c>
      <c r="Z429" s="110"/>
    </row>
    <row r="430" spans="1:26">
      <c r="A430" s="129">
        <v>46016</v>
      </c>
      <c r="B430" s="45" t="s">
        <v>5</v>
      </c>
      <c r="C430" s="45" t="s">
        <v>662</v>
      </c>
      <c r="D430" s="43" t="s">
        <v>667</v>
      </c>
      <c r="E430" s="99" t="s">
        <v>325</v>
      </c>
      <c r="F430" s="99"/>
      <c r="G430" s="41">
        <v>123887</v>
      </c>
      <c r="H430" s="116">
        <f>86-16-20</f>
        <v>50</v>
      </c>
      <c r="I430" s="41">
        <v>10</v>
      </c>
      <c r="J430" s="98">
        <f>I430*H430</f>
        <v>500</v>
      </c>
      <c r="K430" s="60" t="s">
        <v>152</v>
      </c>
      <c r="L430" s="60" t="s">
        <v>1211</v>
      </c>
      <c r="M430" s="60" t="str" cm="1">
        <f t="array" ref="M430:N430">VLOOKUP(Q430,[1]CFPL!$A:$D,{3,4},0)</f>
        <v>DATES</v>
      </c>
      <c r="N430" s="60" t="str">
        <v>Seedless</v>
      </c>
      <c r="O430" s="60" t="s">
        <v>325</v>
      </c>
      <c r="P430" s="60" t="s">
        <v>159</v>
      </c>
      <c r="Q430" s="60" t="s">
        <v>326</v>
      </c>
      <c r="R430" s="45" t="s">
        <v>250</v>
      </c>
      <c r="S430" s="45" t="s">
        <v>5</v>
      </c>
      <c r="T430" s="45" t="s">
        <v>247</v>
      </c>
      <c r="U430" s="119">
        <v>126</v>
      </c>
      <c r="V430" s="62">
        <f>U430*J430</f>
        <v>63000</v>
      </c>
      <c r="W430" s="63">
        <f ca="1">$W$4-A430</f>
        <v>138</v>
      </c>
      <c r="X430" s="52" t="str">
        <f ca="1">VLOOKUP(W430,$AA$2:$AB$6,2)</f>
        <v>&lt; 6 Months</v>
      </c>
      <c r="Y430" s="52" t="str">
        <f ca="1">VLOOKUP(W430,$AD$2:$AE$6,2)</f>
        <v>90-180 Days</v>
      </c>
      <c r="Z430" s="110"/>
    </row>
    <row r="431" spans="1:26">
      <c r="A431" s="129">
        <v>46017</v>
      </c>
      <c r="B431" s="45" t="s">
        <v>5</v>
      </c>
      <c r="C431" s="45" t="s">
        <v>662</v>
      </c>
      <c r="D431" s="43" t="s">
        <v>1296</v>
      </c>
      <c r="E431" s="99" t="s">
        <v>1231</v>
      </c>
      <c r="F431" s="99"/>
      <c r="G431" s="41">
        <v>123936</v>
      </c>
      <c r="H431" s="116">
        <v>400</v>
      </c>
      <c r="I431" s="41">
        <v>6</v>
      </c>
      <c r="J431" s="98">
        <f>I431*H431</f>
        <v>2400</v>
      </c>
      <c r="K431" s="60" t="s">
        <v>152</v>
      </c>
      <c r="L431" s="60" t="s">
        <v>1233</v>
      </c>
      <c r="M431" s="60" t="str" cm="1">
        <f t="array" ref="M431:N431">VLOOKUP(Q431,[1]CDPL!$A:$D,{3,4},0)</f>
        <v>DATES</v>
      </c>
      <c r="N431" s="60" t="str">
        <v>Kimia</v>
      </c>
      <c r="O431" s="60" t="s">
        <v>1232</v>
      </c>
      <c r="P431" s="60" t="s">
        <v>1234</v>
      </c>
      <c r="Q431" s="60" t="s">
        <v>279</v>
      </c>
      <c r="R431" s="45" t="s">
        <v>250</v>
      </c>
      <c r="S431" s="45" t="s">
        <v>5</v>
      </c>
      <c r="T431" s="45" t="s">
        <v>255</v>
      </c>
      <c r="U431" s="119">
        <v>199</v>
      </c>
      <c r="V431" s="62">
        <f>U431*J431</f>
        <v>477600</v>
      </c>
      <c r="W431" s="63">
        <f ca="1">$W$4-A431</f>
        <v>137</v>
      </c>
      <c r="X431" s="52" t="str">
        <f ca="1">VLOOKUP(W431,$AA$2:$AB$6,2)</f>
        <v>&lt; 6 Months</v>
      </c>
      <c r="Y431" s="52" t="str">
        <f ca="1">VLOOKUP(W431,$AD$2:$AE$6,2)</f>
        <v>90-180 Days</v>
      </c>
      <c r="Z431" s="110"/>
    </row>
    <row r="432" spans="1:26">
      <c r="A432" s="129">
        <v>46030</v>
      </c>
      <c r="B432" s="45" t="s">
        <v>5</v>
      </c>
      <c r="C432" s="45" t="s">
        <v>662</v>
      </c>
      <c r="D432" s="43" t="s">
        <v>1296</v>
      </c>
      <c r="E432" s="99" t="s">
        <v>1231</v>
      </c>
      <c r="F432" s="99"/>
      <c r="G432" s="41">
        <v>124409</v>
      </c>
      <c r="H432" s="116">
        <v>264</v>
      </c>
      <c r="I432" s="41">
        <v>6</v>
      </c>
      <c r="J432" s="98">
        <f>I432*H432</f>
        <v>1584</v>
      </c>
      <c r="K432" s="60" t="s">
        <v>152</v>
      </c>
      <c r="L432" s="60" t="s">
        <v>1233</v>
      </c>
      <c r="M432" s="60" t="str" cm="1">
        <f t="array" ref="M432:N432">VLOOKUP(Q432,[1]CDPL!$A:$D,{3,4},0)</f>
        <v>DATES</v>
      </c>
      <c r="N432" s="60" t="str">
        <v>Kimia</v>
      </c>
      <c r="O432" s="60" t="s">
        <v>1232</v>
      </c>
      <c r="P432" s="60" t="s">
        <v>1234</v>
      </c>
      <c r="Q432" s="60" t="s">
        <v>279</v>
      </c>
      <c r="R432" s="45" t="s">
        <v>250</v>
      </c>
      <c r="S432" s="45" t="s">
        <v>5</v>
      </c>
      <c r="T432" s="45" t="s">
        <v>255</v>
      </c>
      <c r="U432" s="119">
        <v>199</v>
      </c>
      <c r="V432" s="62">
        <f>U432*J432</f>
        <v>315216</v>
      </c>
      <c r="W432" s="63">
        <f ca="1">$W$4-A432</f>
        <v>124</v>
      </c>
      <c r="X432" s="52" t="str">
        <f ca="1">VLOOKUP(W432,$AA$2:$AB$6,2)</f>
        <v>&lt; 6 Months</v>
      </c>
      <c r="Y432" s="52" t="str">
        <f ca="1">VLOOKUP(W432,$AD$2:$AE$6,2)</f>
        <v>90-180 Days</v>
      </c>
      <c r="Z432" s="110"/>
    </row>
    <row r="433" spans="1:26">
      <c r="A433" s="129">
        <v>46044</v>
      </c>
      <c r="B433" s="45" t="s">
        <v>5</v>
      </c>
      <c r="C433" s="45" t="s">
        <v>662</v>
      </c>
      <c r="D433" s="43" t="s">
        <v>667</v>
      </c>
      <c r="E433" s="99" t="s">
        <v>1364</v>
      </c>
      <c r="F433" s="99"/>
      <c r="G433" s="41">
        <v>124679</v>
      </c>
      <c r="H433" s="116">
        <f>2500-2-2-10-300-300-5-7-1+100-1-10-50</f>
        <v>1912</v>
      </c>
      <c r="I433" s="41">
        <v>10</v>
      </c>
      <c r="J433" s="98">
        <f>I433*H433</f>
        <v>19120</v>
      </c>
      <c r="K433" s="60" t="s">
        <v>152</v>
      </c>
      <c r="L433" s="60" t="s">
        <v>1364</v>
      </c>
      <c r="M433" s="60" t="str" cm="1">
        <f t="array" ref="M433:N433">VLOOKUP(Q433,[1]CFPL!$A:$D,{3,4},0)</f>
        <v>DATES</v>
      </c>
      <c r="N433" s="60" t="str">
        <v>Egyptian</v>
      </c>
      <c r="O433" s="60" t="s">
        <v>1364</v>
      </c>
      <c r="P433" s="60" t="s">
        <v>1365</v>
      </c>
      <c r="Q433" s="60" t="s">
        <v>1365</v>
      </c>
      <c r="R433" s="45" t="s">
        <v>250</v>
      </c>
      <c r="S433" s="45" t="s">
        <v>5</v>
      </c>
      <c r="T433" s="45" t="s">
        <v>1366</v>
      </c>
      <c r="U433" s="119">
        <v>100</v>
      </c>
      <c r="V433" s="62">
        <f>U433*J433</f>
        <v>1912000</v>
      </c>
      <c r="W433" s="63">
        <f ca="1">$W$4-A433</f>
        <v>110</v>
      </c>
      <c r="X433" s="52" t="str">
        <f ca="1">VLOOKUP(W433,$AA$2:$AB$6,2)</f>
        <v>&lt; 6 Months</v>
      </c>
      <c r="Y433" s="52" t="str">
        <f ca="1">VLOOKUP(W433,$AD$2:$AE$6,2)</f>
        <v>90-180 Days</v>
      </c>
      <c r="Z433" s="110"/>
    </row>
    <row r="434" spans="1:26">
      <c r="A434" s="129">
        <v>46056</v>
      </c>
      <c r="B434" s="45" t="s">
        <v>5</v>
      </c>
      <c r="C434" s="45" t="s">
        <v>662</v>
      </c>
      <c r="D434" s="43" t="s">
        <v>667</v>
      </c>
      <c r="E434" s="99" t="s">
        <v>280</v>
      </c>
      <c r="F434" s="99"/>
      <c r="G434" s="41">
        <v>124994</v>
      </c>
      <c r="H434" s="116">
        <f>89-1</f>
        <v>88</v>
      </c>
      <c r="I434" s="41">
        <v>10</v>
      </c>
      <c r="J434" s="98">
        <f>I434*H434</f>
        <v>880</v>
      </c>
      <c r="K434" s="60" t="s">
        <v>152</v>
      </c>
      <c r="L434" s="60" t="s">
        <v>262</v>
      </c>
      <c r="M434" s="60" t="str" cm="1">
        <f t="array" ref="M434:N434">VLOOKUP(Q434,[1]CFPL!$A:$D,{3,4},0)</f>
        <v>DATES</v>
      </c>
      <c r="N434" s="60" t="str">
        <v>Khalas</v>
      </c>
      <c r="O434" s="60" t="s">
        <v>1388</v>
      </c>
      <c r="P434" s="60" t="s">
        <v>1387</v>
      </c>
      <c r="Q434" s="60" t="s">
        <v>1387</v>
      </c>
      <c r="R434" s="45" t="s">
        <v>250</v>
      </c>
      <c r="S434" s="45" t="s">
        <v>5</v>
      </c>
      <c r="T434" s="45" t="s">
        <v>255</v>
      </c>
      <c r="U434" s="119">
        <v>116</v>
      </c>
      <c r="V434" s="62">
        <f>U434*J434</f>
        <v>102080</v>
      </c>
      <c r="W434" s="63">
        <f ca="1">$W$4-A434</f>
        <v>98</v>
      </c>
      <c r="X434" s="52" t="str">
        <f ca="1">VLOOKUP(W434,$AA$2:$AB$6,2)</f>
        <v>&lt; 6 Months</v>
      </c>
      <c r="Y434" s="52" t="str">
        <f ca="1">VLOOKUP(W434,$AD$2:$AE$6,2)</f>
        <v>90-180 Days</v>
      </c>
      <c r="Z434" s="110"/>
    </row>
    <row r="435" spans="1:26">
      <c r="A435" s="129">
        <v>46062</v>
      </c>
      <c r="B435" s="45" t="s">
        <v>5</v>
      </c>
      <c r="C435" s="45" t="s">
        <v>662</v>
      </c>
      <c r="D435" s="43" t="s">
        <v>667</v>
      </c>
      <c r="E435" s="99" t="s">
        <v>1439</v>
      </c>
      <c r="F435" s="99"/>
      <c r="G435" s="41">
        <v>125165</v>
      </c>
      <c r="H435" s="116">
        <f>100-10-1-73-5-5</f>
        <v>6</v>
      </c>
      <c r="I435" s="41">
        <v>10</v>
      </c>
      <c r="J435" s="98">
        <f>I435*H435</f>
        <v>60</v>
      </c>
      <c r="K435" s="60" t="s">
        <v>152</v>
      </c>
      <c r="L435" s="60" t="s">
        <v>1440</v>
      </c>
      <c r="M435" s="60" t="str" cm="1">
        <f t="array" ref="M435:N435">VLOOKUP(Q435,[1]CDPL!$A:$D,{3,4},0)</f>
        <v>DATES</v>
      </c>
      <c r="N435" s="60" t="str">
        <v>Khaneizi</v>
      </c>
      <c r="O435" s="60" t="s">
        <v>1388</v>
      </c>
      <c r="P435" s="60" t="s">
        <v>1441</v>
      </c>
      <c r="Q435" s="60" t="s">
        <v>1441</v>
      </c>
      <c r="R435" s="45" t="s">
        <v>250</v>
      </c>
      <c r="S435" s="45" t="s">
        <v>5</v>
      </c>
      <c r="T435" s="45" t="s">
        <v>255</v>
      </c>
      <c r="U435" s="119">
        <v>191</v>
      </c>
      <c r="V435" s="62">
        <f>U435*J435</f>
        <v>11460</v>
      </c>
      <c r="W435" s="63">
        <f ca="1">$W$4-A435</f>
        <v>92</v>
      </c>
      <c r="X435" s="52" t="str">
        <f ca="1">VLOOKUP(W435,$AA$2:$AB$6,2)</f>
        <v>&lt; 6 Months</v>
      </c>
      <c r="Y435" s="52" t="str">
        <f ca="1">VLOOKUP(W435,$AD$2:$AE$6,2)</f>
        <v>90-180 Days</v>
      </c>
      <c r="Z435" s="110"/>
    </row>
    <row r="436" spans="1:26">
      <c r="A436" s="129">
        <v>46066</v>
      </c>
      <c r="B436" s="45" t="s">
        <v>5</v>
      </c>
      <c r="C436" s="45" t="s">
        <v>662</v>
      </c>
      <c r="D436" s="43" t="s">
        <v>667</v>
      </c>
      <c r="E436" s="99" t="s">
        <v>1462</v>
      </c>
      <c r="F436" s="99"/>
      <c r="G436" s="41">
        <v>125276</v>
      </c>
      <c r="H436" s="116">
        <v>999</v>
      </c>
      <c r="I436" s="41">
        <v>10</v>
      </c>
      <c r="J436" s="98">
        <f>I436*H436</f>
        <v>9990</v>
      </c>
      <c r="K436" s="60" t="s">
        <v>152</v>
      </c>
      <c r="L436" s="60" t="s">
        <v>1557</v>
      </c>
      <c r="M436" s="60" t="str" cm="1">
        <f t="array" ref="M436:N436">VLOOKUP(Q436,[1]CDPL!$A:$D,{3,4},0)</f>
        <v>DATES</v>
      </c>
      <c r="N436" s="60" t="str">
        <v>Fard</v>
      </c>
      <c r="O436" s="60" t="s">
        <v>1431</v>
      </c>
      <c r="P436" s="60" t="s">
        <v>155</v>
      </c>
      <c r="Q436" s="60" t="s">
        <v>359</v>
      </c>
      <c r="R436" s="45" t="s">
        <v>250</v>
      </c>
      <c r="S436" s="45" t="s">
        <v>5</v>
      </c>
      <c r="T436" s="45" t="s">
        <v>247</v>
      </c>
      <c r="U436" s="119">
        <v>233</v>
      </c>
      <c r="V436" s="62">
        <f>U436*J436</f>
        <v>2327670</v>
      </c>
      <c r="W436" s="63">
        <f ca="1">$W$4-A436</f>
        <v>88</v>
      </c>
      <c r="X436" s="52" t="str">
        <f ca="1">VLOOKUP(W436,$AA$2:$AB$6,2)</f>
        <v>&lt; 6 Months</v>
      </c>
      <c r="Y436" s="52" t="str">
        <f ca="1">VLOOKUP(W436,$AD$2:$AE$6,2)</f>
        <v>60-90 Days</v>
      </c>
      <c r="Z436" s="110"/>
    </row>
    <row r="437" spans="1:26">
      <c r="A437" s="129">
        <v>46068</v>
      </c>
      <c r="B437" s="45" t="s">
        <v>5</v>
      </c>
      <c r="C437" s="45" t="s">
        <v>662</v>
      </c>
      <c r="D437" s="43" t="s">
        <v>683</v>
      </c>
      <c r="E437" s="99" t="s">
        <v>1432</v>
      </c>
      <c r="F437" s="99"/>
      <c r="G437" s="41">
        <v>125320</v>
      </c>
      <c r="H437" s="116">
        <f>3483-63-310-300-1200-800</f>
        <v>810</v>
      </c>
      <c r="I437" s="41">
        <v>5</v>
      </c>
      <c r="J437" s="98">
        <f>I437*H437</f>
        <v>4050</v>
      </c>
      <c r="K437" s="60" t="s">
        <v>152</v>
      </c>
      <c r="L437" s="60" t="s">
        <v>1157</v>
      </c>
      <c r="M437" s="60" t="str" cm="1">
        <f t="array" ref="M437:N437">VLOOKUP(Q437,[1]CDPL!$A:$D,{3,4},0)</f>
        <v>DATES</v>
      </c>
      <c r="N437" s="60" t="str">
        <v>Sayer</v>
      </c>
      <c r="O437" s="60" t="s">
        <v>1155</v>
      </c>
      <c r="P437" s="60" t="s">
        <v>1156</v>
      </c>
      <c r="Q437" s="60" t="s">
        <v>684</v>
      </c>
      <c r="R437" s="45" t="s">
        <v>250</v>
      </c>
      <c r="S437" s="45" t="s">
        <v>5</v>
      </c>
      <c r="T437" s="45" t="s">
        <v>255</v>
      </c>
      <c r="U437" s="119">
        <v>96</v>
      </c>
      <c r="V437" s="62">
        <f>U437*J437</f>
        <v>388800</v>
      </c>
      <c r="W437" s="63">
        <f ca="1">$W$4-A437</f>
        <v>86</v>
      </c>
      <c r="X437" s="52" t="str">
        <f ca="1">VLOOKUP(W437,$AA$2:$AB$6,2)</f>
        <v>&lt; 6 Months</v>
      </c>
      <c r="Y437" s="52" t="str">
        <f ca="1">VLOOKUP(W437,$AD$2:$AE$6,2)</f>
        <v>60-90 Days</v>
      </c>
      <c r="Z437" s="110"/>
    </row>
    <row r="438" spans="1:26">
      <c r="A438" s="129">
        <v>46070</v>
      </c>
      <c r="B438" s="45" t="s">
        <v>5</v>
      </c>
      <c r="C438" s="45" t="s">
        <v>662</v>
      </c>
      <c r="D438" s="43" t="s">
        <v>683</v>
      </c>
      <c r="E438" s="99" t="s">
        <v>1436</v>
      </c>
      <c r="F438" s="99"/>
      <c r="G438" s="41">
        <v>125397</v>
      </c>
      <c r="H438" s="116">
        <v>84</v>
      </c>
      <c r="I438" s="41">
        <v>5</v>
      </c>
      <c r="J438" s="98">
        <f>I438*H438</f>
        <v>420</v>
      </c>
      <c r="K438" s="60" t="s">
        <v>152</v>
      </c>
      <c r="L438" s="60" t="s">
        <v>1438</v>
      </c>
      <c r="M438" s="60" t="s">
        <v>1733</v>
      </c>
      <c r="N438" s="60" t="s">
        <v>325</v>
      </c>
      <c r="O438" s="60" t="s">
        <v>291</v>
      </c>
      <c r="P438" s="60" t="s">
        <v>1438</v>
      </c>
      <c r="Q438" s="60" t="s">
        <v>1438</v>
      </c>
      <c r="R438" s="45" t="s">
        <v>250</v>
      </c>
      <c r="S438" s="45" t="s">
        <v>5</v>
      </c>
      <c r="T438" s="45" t="s">
        <v>255</v>
      </c>
      <c r="U438" s="119">
        <v>126</v>
      </c>
      <c r="V438" s="62">
        <f>U438*J438</f>
        <v>52920</v>
      </c>
      <c r="W438" s="63">
        <f ca="1">$W$4-A438</f>
        <v>84</v>
      </c>
      <c r="X438" s="52" t="str">
        <f ca="1">VLOOKUP(W438,$AA$2:$AB$6,2)</f>
        <v>&lt; 6 Months</v>
      </c>
      <c r="Y438" s="52" t="str">
        <f ca="1">VLOOKUP(W438,$AD$2:$AE$6,2)</f>
        <v>60-90 Days</v>
      </c>
      <c r="Z438" s="110"/>
    </row>
    <row r="439" spans="1:26">
      <c r="A439" s="129">
        <v>46070</v>
      </c>
      <c r="B439" s="45" t="s">
        <v>5</v>
      </c>
      <c r="C439" s="45" t="s">
        <v>662</v>
      </c>
      <c r="D439" s="43" t="s">
        <v>667</v>
      </c>
      <c r="E439" s="99" t="s">
        <v>1437</v>
      </c>
      <c r="F439" s="99"/>
      <c r="G439" s="41">
        <v>125398</v>
      </c>
      <c r="H439" s="116">
        <f>56</f>
        <v>56</v>
      </c>
      <c r="I439" s="41">
        <v>10</v>
      </c>
      <c r="J439" s="98">
        <f>I439*H439</f>
        <v>560</v>
      </c>
      <c r="K439" s="60" t="s">
        <v>152</v>
      </c>
      <c r="L439" s="60" t="s">
        <v>1208</v>
      </c>
      <c r="M439" s="60" t="str" cm="1">
        <f t="array" ref="M439:N439">VLOOKUP(Q439,[1]CDPL!$A:$D,{3,4},0)</f>
        <v>DATES</v>
      </c>
      <c r="N439" s="60" t="str">
        <v>Fard</v>
      </c>
      <c r="O439" s="60" t="s">
        <v>325</v>
      </c>
      <c r="P439" s="60" t="s">
        <v>1210</v>
      </c>
      <c r="Q439" s="60" t="s">
        <v>1209</v>
      </c>
      <c r="R439" s="45" t="s">
        <v>250</v>
      </c>
      <c r="S439" s="45" t="s">
        <v>5</v>
      </c>
      <c r="T439" s="45" t="s">
        <v>247</v>
      </c>
      <c r="U439" s="119">
        <v>230</v>
      </c>
      <c r="V439" s="62">
        <f>U439*J439</f>
        <v>128800</v>
      </c>
      <c r="W439" s="63">
        <f ca="1">$W$4-A439</f>
        <v>84</v>
      </c>
      <c r="X439" s="52" t="str">
        <f ca="1">VLOOKUP(W439,$AA$2:$AB$6,2)</f>
        <v>&lt; 6 Months</v>
      </c>
      <c r="Y439" s="52" t="str">
        <f ca="1">VLOOKUP(W439,$AD$2:$AE$6,2)</f>
        <v>60-90 Days</v>
      </c>
      <c r="Z439" s="110"/>
    </row>
    <row r="440" spans="1:26">
      <c r="A440" s="129">
        <v>46071</v>
      </c>
      <c r="B440" s="45" t="s">
        <v>5</v>
      </c>
      <c r="C440" s="45" t="s">
        <v>662</v>
      </c>
      <c r="D440" s="43" t="s">
        <v>667</v>
      </c>
      <c r="E440" s="99" t="s">
        <v>280</v>
      </c>
      <c r="F440" s="99"/>
      <c r="G440" s="41">
        <v>125419</v>
      </c>
      <c r="H440" s="116">
        <f>200</f>
        <v>200</v>
      </c>
      <c r="I440" s="41">
        <v>10</v>
      </c>
      <c r="J440" s="98">
        <f>I440*H440</f>
        <v>2000</v>
      </c>
      <c r="K440" s="60" t="s">
        <v>152</v>
      </c>
      <c r="L440" s="60" t="s">
        <v>1211</v>
      </c>
      <c r="M440" s="60" t="str" cm="1">
        <f t="array" ref="M440:N440">VLOOKUP(Q440,[1]CFPL!$A:$D,{3,4},0)</f>
        <v>DATES</v>
      </c>
      <c r="N440" s="60" t="str">
        <v>Seedless</v>
      </c>
      <c r="O440" s="60" t="s">
        <v>325</v>
      </c>
      <c r="P440" s="60" t="s">
        <v>159</v>
      </c>
      <c r="Q440" s="60" t="s">
        <v>326</v>
      </c>
      <c r="R440" s="45" t="s">
        <v>250</v>
      </c>
      <c r="S440" s="45" t="s">
        <v>5</v>
      </c>
      <c r="T440" s="45" t="s">
        <v>247</v>
      </c>
      <c r="U440" s="119">
        <v>126</v>
      </c>
      <c r="V440" s="62">
        <f>U440*J440</f>
        <v>252000</v>
      </c>
      <c r="W440" s="63">
        <f ca="1">$W$4-A440</f>
        <v>83</v>
      </c>
      <c r="X440" s="52" t="str">
        <f ca="1">VLOOKUP(W440,$AA$2:$AB$6,2)</f>
        <v>&lt; 6 Months</v>
      </c>
      <c r="Y440" s="52" t="str">
        <f ca="1">VLOOKUP(W440,$AD$2:$AE$6,2)</f>
        <v>60-90 Days</v>
      </c>
      <c r="Z440" s="110"/>
    </row>
    <row r="441" spans="1:26">
      <c r="A441" s="129">
        <v>46072</v>
      </c>
      <c r="B441" s="45" t="s">
        <v>5</v>
      </c>
      <c r="C441" s="45" t="s">
        <v>662</v>
      </c>
      <c r="D441" s="43" t="s">
        <v>667</v>
      </c>
      <c r="E441" s="99" t="s">
        <v>1456</v>
      </c>
      <c r="F441" s="99"/>
      <c r="G441" s="41">
        <v>125478</v>
      </c>
      <c r="H441" s="116">
        <f>2399-300-300-380</f>
        <v>1419</v>
      </c>
      <c r="I441" s="41">
        <v>10</v>
      </c>
      <c r="J441" s="98">
        <f>I441*H441</f>
        <v>14190</v>
      </c>
      <c r="K441" s="60" t="s">
        <v>152</v>
      </c>
      <c r="L441" s="60" t="s">
        <v>1457</v>
      </c>
      <c r="M441" s="60" t="str" cm="1">
        <f t="array" ref="M441:N441">VLOOKUP(Q441,[1]CDPL!$A:$D,{3,4},0)</f>
        <v>DATES</v>
      </c>
      <c r="N441" s="60" t="str">
        <v>Fard</v>
      </c>
      <c r="O441" s="60" t="s">
        <v>1458</v>
      </c>
      <c r="P441" s="60" t="s">
        <v>1459</v>
      </c>
      <c r="Q441" s="60" t="s">
        <v>1459</v>
      </c>
      <c r="R441" s="45" t="s">
        <v>250</v>
      </c>
      <c r="S441" s="45" t="s">
        <v>5</v>
      </c>
      <c r="T441" s="45" t="s">
        <v>247</v>
      </c>
      <c r="U441" s="119">
        <v>230</v>
      </c>
      <c r="V441" s="62">
        <f>U441*J441</f>
        <v>3263700</v>
      </c>
      <c r="W441" s="63">
        <f ca="1">$W$4-A441</f>
        <v>82</v>
      </c>
      <c r="X441" s="52" t="str">
        <f ca="1">VLOOKUP(W441,$AA$2:$AB$6,2)</f>
        <v>&lt; 6 Months</v>
      </c>
      <c r="Y441" s="52" t="str">
        <f ca="1">VLOOKUP(W441,$AD$2:$AE$6,2)</f>
        <v>60-90 Days</v>
      </c>
      <c r="Z441" s="110"/>
    </row>
    <row r="442" spans="1:26">
      <c r="A442" s="129">
        <v>46072</v>
      </c>
      <c r="B442" s="45" t="s">
        <v>5</v>
      </c>
      <c r="C442" s="45" t="s">
        <v>662</v>
      </c>
      <c r="D442" s="43" t="s">
        <v>1296</v>
      </c>
      <c r="E442" s="99" t="s">
        <v>1298</v>
      </c>
      <c r="F442" s="99"/>
      <c r="G442" s="41">
        <v>125483</v>
      </c>
      <c r="H442" s="116">
        <f>60-27</f>
        <v>33</v>
      </c>
      <c r="I442" s="41">
        <v>7.5</v>
      </c>
      <c r="J442" s="98">
        <f>I442*H442</f>
        <v>247.5</v>
      </c>
      <c r="K442" s="60" t="s">
        <v>152</v>
      </c>
      <c r="L442" s="60" t="s">
        <v>1298</v>
      </c>
      <c r="M442" s="60" t="str" cm="1">
        <f t="array" ref="M442:N442">VLOOKUP(Q442,[1]CDPL!$A:$D,{3,4},0)</f>
        <v>DATES</v>
      </c>
      <c r="N442" s="60" t="str">
        <v>Kimia</v>
      </c>
      <c r="O442" s="60" t="s">
        <v>1232</v>
      </c>
      <c r="P442" s="60" t="s">
        <v>1460</v>
      </c>
      <c r="Q442" s="60" t="s">
        <v>743</v>
      </c>
      <c r="R442" s="45" t="s">
        <v>250</v>
      </c>
      <c r="S442" s="45" t="s">
        <v>5</v>
      </c>
      <c r="T442" s="45" t="s">
        <v>1429</v>
      </c>
      <c r="U442" s="126">
        <v>300</v>
      </c>
      <c r="V442" s="62">
        <f>U442*J442</f>
        <v>74250</v>
      </c>
      <c r="W442" s="63">
        <f ca="1">$W$4-A442</f>
        <v>82</v>
      </c>
      <c r="X442" s="52" t="str">
        <f ca="1">VLOOKUP(W442,$AA$2:$AB$6,2)</f>
        <v>&lt; 6 Months</v>
      </c>
      <c r="Y442" s="52" t="str">
        <f ca="1">VLOOKUP(W442,$AD$2:$AE$6,2)</f>
        <v>60-90 Days</v>
      </c>
      <c r="Z442" s="110"/>
    </row>
    <row r="443" spans="1:26">
      <c r="A443" s="129">
        <v>46074</v>
      </c>
      <c r="B443" s="45" t="s">
        <v>5</v>
      </c>
      <c r="C443" s="45" t="s">
        <v>662</v>
      </c>
      <c r="D443" s="43" t="s">
        <v>667</v>
      </c>
      <c r="E443" s="99" t="s">
        <v>1500</v>
      </c>
      <c r="F443" s="99"/>
      <c r="G443" s="41">
        <v>125491</v>
      </c>
      <c r="H443" s="116">
        <f>74</f>
        <v>74</v>
      </c>
      <c r="I443" s="41">
        <v>10</v>
      </c>
      <c r="J443" s="98">
        <f>I443*H443</f>
        <v>740</v>
      </c>
      <c r="K443" s="60" t="s">
        <v>152</v>
      </c>
      <c r="L443" s="60" t="s">
        <v>1211</v>
      </c>
      <c r="M443" s="60" t="str" cm="1">
        <f t="array" ref="M443:N443">VLOOKUP(Q443,[1]CFPL!$A:$D,{3,4},0)</f>
        <v>DATES</v>
      </c>
      <c r="N443" s="60" t="str">
        <v>Seedless</v>
      </c>
      <c r="O443" s="60" t="s">
        <v>325</v>
      </c>
      <c r="P443" s="60" t="s">
        <v>159</v>
      </c>
      <c r="Q443" s="60" t="s">
        <v>326</v>
      </c>
      <c r="R443" s="45" t="s">
        <v>250</v>
      </c>
      <c r="S443" s="45" t="s">
        <v>5</v>
      </c>
      <c r="T443" s="45" t="s">
        <v>247</v>
      </c>
      <c r="U443" s="119">
        <v>126</v>
      </c>
      <c r="V443" s="62">
        <f>U443*J443</f>
        <v>93240</v>
      </c>
      <c r="W443" s="63">
        <f ca="1">$W$4-A443</f>
        <v>80</v>
      </c>
      <c r="X443" s="52" t="str">
        <f ca="1">VLOOKUP(W443,$AA$2:$AB$6,2)</f>
        <v>&lt; 6 Months</v>
      </c>
      <c r="Y443" s="52" t="str">
        <f ca="1">VLOOKUP(W443,$AD$2:$AE$6,2)</f>
        <v>60-90 Days</v>
      </c>
      <c r="Z443" s="110"/>
    </row>
    <row r="444" spans="1:26">
      <c r="A444" s="129">
        <v>46074</v>
      </c>
      <c r="B444" s="45" t="s">
        <v>5</v>
      </c>
      <c r="C444" s="45" t="s">
        <v>662</v>
      </c>
      <c r="D444" s="43" t="s">
        <v>667</v>
      </c>
      <c r="E444" s="99" t="s">
        <v>325</v>
      </c>
      <c r="F444" s="99"/>
      <c r="G444" s="41">
        <v>125506</v>
      </c>
      <c r="H444" s="116">
        <f>186-20-5-5-27-90</f>
        <v>39</v>
      </c>
      <c r="I444" s="41">
        <v>10</v>
      </c>
      <c r="J444" s="98">
        <f>I444*H444</f>
        <v>390</v>
      </c>
      <c r="K444" s="60" t="s">
        <v>152</v>
      </c>
      <c r="L444" s="60" t="s">
        <v>1211</v>
      </c>
      <c r="M444" s="60" t="str" cm="1">
        <f t="array" ref="M444:N444">VLOOKUP(Q444,[1]CFPL!$A:$D,{3,4},0)</f>
        <v>DATES</v>
      </c>
      <c r="N444" s="60" t="str">
        <v>Seedless</v>
      </c>
      <c r="O444" s="60" t="s">
        <v>325</v>
      </c>
      <c r="P444" s="60" t="s">
        <v>159</v>
      </c>
      <c r="Q444" s="60" t="s">
        <v>326</v>
      </c>
      <c r="R444" s="45" t="s">
        <v>250</v>
      </c>
      <c r="S444" s="45" t="s">
        <v>5</v>
      </c>
      <c r="T444" s="45" t="s">
        <v>247</v>
      </c>
      <c r="U444" s="119">
        <v>126</v>
      </c>
      <c r="V444" s="62">
        <f>U444*J444</f>
        <v>49140</v>
      </c>
      <c r="W444" s="63">
        <f ca="1">$W$4-A444</f>
        <v>80</v>
      </c>
      <c r="X444" s="52" t="str">
        <f ca="1">VLOOKUP(W444,$AA$2:$AB$6,2)</f>
        <v>&lt; 6 Months</v>
      </c>
      <c r="Y444" s="52" t="str">
        <f ca="1">VLOOKUP(W444,$AD$2:$AE$6,2)</f>
        <v>60-90 Days</v>
      </c>
      <c r="Z444" s="110"/>
    </row>
    <row r="445" spans="1:26">
      <c r="A445" s="129">
        <v>46074</v>
      </c>
      <c r="B445" s="45" t="s">
        <v>5</v>
      </c>
      <c r="C445" s="45" t="s">
        <v>662</v>
      </c>
      <c r="D445" s="43" t="s">
        <v>758</v>
      </c>
      <c r="E445" s="99" t="s">
        <v>325</v>
      </c>
      <c r="F445" s="99"/>
      <c r="G445" s="41">
        <v>125606</v>
      </c>
      <c r="H445" s="116">
        <f>50</f>
        <v>50</v>
      </c>
      <c r="I445" s="41">
        <v>20</v>
      </c>
      <c r="J445" s="98">
        <f>I445*H445</f>
        <v>1000</v>
      </c>
      <c r="K445" s="60" t="s">
        <v>152</v>
      </c>
      <c r="L445" s="60" t="s">
        <v>1211</v>
      </c>
      <c r="M445" s="60" t="str" cm="1">
        <f t="array" ref="M445:N445">VLOOKUP(Q445,[1]CFPL!$A:$D,{3,4},0)</f>
        <v>DATES</v>
      </c>
      <c r="N445" s="60" t="str">
        <v>Seedless</v>
      </c>
      <c r="O445" s="60" t="s">
        <v>325</v>
      </c>
      <c r="P445" s="60" t="s">
        <v>159</v>
      </c>
      <c r="Q445" s="60" t="s">
        <v>326</v>
      </c>
      <c r="R445" s="45" t="s">
        <v>250</v>
      </c>
      <c r="S445" s="45" t="s">
        <v>5</v>
      </c>
      <c r="T445" s="45" t="s">
        <v>247</v>
      </c>
      <c r="U445" s="119">
        <v>126</v>
      </c>
      <c r="V445" s="62">
        <f>U445*J445</f>
        <v>126000</v>
      </c>
      <c r="W445" s="63">
        <f ca="1">$W$4-A445</f>
        <v>80</v>
      </c>
      <c r="X445" s="52" t="str">
        <f ca="1">VLOOKUP(W445,$AA$2:$AB$6,2)</f>
        <v>&lt; 6 Months</v>
      </c>
      <c r="Y445" s="52" t="str">
        <f ca="1">VLOOKUP(W445,$AD$2:$AE$6,2)</f>
        <v>60-90 Days</v>
      </c>
      <c r="Z445" s="110"/>
    </row>
    <row r="446" spans="1:26">
      <c r="A446" s="129">
        <v>46077</v>
      </c>
      <c r="B446" s="45" t="s">
        <v>5</v>
      </c>
      <c r="C446" s="45" t="s">
        <v>662</v>
      </c>
      <c r="D446" s="43" t="s">
        <v>683</v>
      </c>
      <c r="E446" s="99" t="s">
        <v>1474</v>
      </c>
      <c r="F446" s="99"/>
      <c r="G446" s="41">
        <v>125609</v>
      </c>
      <c r="H446" s="116">
        <f>1195-2-4-10-2-1-2-5-40</f>
        <v>1129</v>
      </c>
      <c r="I446" s="41">
        <v>5</v>
      </c>
      <c r="J446" s="98">
        <f>I446*H446</f>
        <v>5645</v>
      </c>
      <c r="K446" s="60" t="s">
        <v>152</v>
      </c>
      <c r="L446" s="60" t="s">
        <v>1475</v>
      </c>
      <c r="M446" s="60" t="str" cm="1">
        <f t="array" ref="M446:N446">VLOOKUP(Q446,[1]CDPL!$A:$D,{3,4},0)</f>
        <v>DATES</v>
      </c>
      <c r="N446" s="60" t="str">
        <v>Maryam</v>
      </c>
      <c r="O446" s="60" t="s">
        <v>1476</v>
      </c>
      <c r="P446" s="60" t="s">
        <v>1479</v>
      </c>
      <c r="Q446" s="60" t="s">
        <v>1478</v>
      </c>
      <c r="R446" s="45" t="s">
        <v>250</v>
      </c>
      <c r="S446" s="45" t="s">
        <v>5</v>
      </c>
      <c r="T446" s="45" t="s">
        <v>255</v>
      </c>
      <c r="U446" s="119">
        <v>490</v>
      </c>
      <c r="V446" s="62">
        <f>U446*J446</f>
        <v>2766050</v>
      </c>
      <c r="W446" s="63">
        <f ca="1">$W$4-A446</f>
        <v>77</v>
      </c>
      <c r="X446" s="52" t="str">
        <f ca="1">VLOOKUP(W446,$AA$2:$AB$6,2)</f>
        <v>&lt; 6 Months</v>
      </c>
      <c r="Y446" s="52" t="str">
        <f ca="1">VLOOKUP(W446,$AD$2:$AE$6,2)</f>
        <v>60-90 Days</v>
      </c>
      <c r="Z446" s="110"/>
    </row>
    <row r="447" spans="1:26">
      <c r="A447" s="129">
        <v>46078</v>
      </c>
      <c r="B447" s="45" t="s">
        <v>5</v>
      </c>
      <c r="C447" s="45" t="s">
        <v>662</v>
      </c>
      <c r="D447" s="43" t="s">
        <v>667</v>
      </c>
      <c r="E447" s="99" t="s">
        <v>1500</v>
      </c>
      <c r="F447" s="99"/>
      <c r="G447" s="41">
        <v>125621</v>
      </c>
      <c r="H447" s="116">
        <f>869-50-300</f>
        <v>519</v>
      </c>
      <c r="I447" s="41">
        <v>10</v>
      </c>
      <c r="J447" s="98">
        <f>I447*H447</f>
        <v>5190</v>
      </c>
      <c r="K447" s="60" t="s">
        <v>152</v>
      </c>
      <c r="L447" s="60" t="s">
        <v>1561</v>
      </c>
      <c r="M447" s="60" t="str" cm="1">
        <f t="array" ref="M447:N447">VLOOKUP(Q447,[1]CFPL!$A:$D,{3,4},0)</f>
        <v>DATES</v>
      </c>
      <c r="N447" s="60" t="str">
        <v>Seedless</v>
      </c>
      <c r="O447" s="60" t="s">
        <v>1543</v>
      </c>
      <c r="P447" s="60" t="s">
        <v>159</v>
      </c>
      <c r="Q447" s="60" t="s">
        <v>326</v>
      </c>
      <c r="R447" s="45" t="s">
        <v>250</v>
      </c>
      <c r="S447" s="45" t="s">
        <v>5</v>
      </c>
      <c r="T447" s="45" t="s">
        <v>247</v>
      </c>
      <c r="U447" s="119">
        <v>126</v>
      </c>
      <c r="V447" s="62">
        <f>U447*J447</f>
        <v>653940</v>
      </c>
      <c r="W447" s="63">
        <f ca="1">$W$4-A447</f>
        <v>76</v>
      </c>
      <c r="X447" s="52" t="str">
        <f ca="1">VLOOKUP(W447,$AA$2:$AB$6,2)</f>
        <v>&lt; 6 Months</v>
      </c>
      <c r="Y447" s="52" t="str">
        <f ca="1">VLOOKUP(W447,$AD$2:$AE$6,2)</f>
        <v>60-90 Days</v>
      </c>
      <c r="Z447" s="110"/>
    </row>
    <row r="448" spans="1:26">
      <c r="A448" s="129">
        <v>46078</v>
      </c>
      <c r="B448" s="45" t="s">
        <v>5</v>
      </c>
      <c r="C448" s="45" t="s">
        <v>662</v>
      </c>
      <c r="D448" s="43" t="s">
        <v>667</v>
      </c>
      <c r="E448" s="99" t="s">
        <v>1500</v>
      </c>
      <c r="F448" s="99"/>
      <c r="G448" s="41">
        <v>125633</v>
      </c>
      <c r="H448" s="116">
        <f>200</f>
        <v>200</v>
      </c>
      <c r="I448" s="41">
        <v>10</v>
      </c>
      <c r="J448" s="98">
        <f>I448*H448</f>
        <v>2000</v>
      </c>
      <c r="K448" s="60" t="s">
        <v>152</v>
      </c>
      <c r="L448" s="60" t="s">
        <v>1211</v>
      </c>
      <c r="M448" s="60" t="str" cm="1">
        <f t="array" ref="M448:N448">VLOOKUP(Q448,[1]CFPL!$A:$D,{3,4},0)</f>
        <v>DATES</v>
      </c>
      <c r="N448" s="60" t="str">
        <v>Seedless</v>
      </c>
      <c r="O448" s="60" t="s">
        <v>325</v>
      </c>
      <c r="P448" s="60" t="s">
        <v>159</v>
      </c>
      <c r="Q448" s="60" t="s">
        <v>326</v>
      </c>
      <c r="R448" s="45" t="s">
        <v>250</v>
      </c>
      <c r="S448" s="45" t="s">
        <v>5</v>
      </c>
      <c r="T448" s="45" t="s">
        <v>247</v>
      </c>
      <c r="U448" s="119">
        <v>126</v>
      </c>
      <c r="V448" s="62">
        <f>U448*J448</f>
        <v>252000</v>
      </c>
      <c r="W448" s="63">
        <f ca="1">$W$4-A448</f>
        <v>76</v>
      </c>
      <c r="X448" s="52" t="str">
        <f ca="1">VLOOKUP(W448,$AA$2:$AB$6,2)</f>
        <v>&lt; 6 Months</v>
      </c>
      <c r="Y448" s="52" t="str">
        <f ca="1">VLOOKUP(W448,$AD$2:$AE$6,2)</f>
        <v>60-90 Days</v>
      </c>
      <c r="Z448" s="110"/>
    </row>
    <row r="449" spans="1:26">
      <c r="A449" s="129">
        <v>46078</v>
      </c>
      <c r="B449" s="45" t="s">
        <v>5</v>
      </c>
      <c r="C449" s="45" t="s">
        <v>662</v>
      </c>
      <c r="D449" s="43" t="s">
        <v>683</v>
      </c>
      <c r="E449" s="99" t="s">
        <v>899</v>
      </c>
      <c r="F449" s="99"/>
      <c r="G449" s="41">
        <v>125655</v>
      </c>
      <c r="H449" s="116">
        <v>15</v>
      </c>
      <c r="I449" s="41">
        <v>5</v>
      </c>
      <c r="J449" s="98">
        <f>I449*H449</f>
        <v>75</v>
      </c>
      <c r="K449" s="60" t="s">
        <v>190</v>
      </c>
      <c r="L449" s="60" t="s">
        <v>306</v>
      </c>
      <c r="M449" s="60" t="str" cm="1">
        <f t="array" ref="M449:N449">VLOOKUP(Q449,[1]CFPL!$A:$D,{3,4},0)</f>
        <v>DATES</v>
      </c>
      <c r="N449" s="60" t="str">
        <v>Safavi</v>
      </c>
      <c r="O449" s="60" t="s">
        <v>1429</v>
      </c>
      <c r="P449" s="60" t="s">
        <v>210</v>
      </c>
      <c r="Q449" s="60" t="s">
        <v>308</v>
      </c>
      <c r="R449" s="45" t="s">
        <v>250</v>
      </c>
      <c r="S449" s="45" t="s">
        <v>5</v>
      </c>
      <c r="T449" s="45" t="s">
        <v>255</v>
      </c>
      <c r="U449" s="119">
        <v>550</v>
      </c>
      <c r="V449" s="62">
        <f>U449*J449</f>
        <v>41250</v>
      </c>
      <c r="W449" s="63">
        <f ca="1">$W$4-A449</f>
        <v>76</v>
      </c>
      <c r="X449" s="52" t="str">
        <f ca="1">VLOOKUP(W449,$AA$2:$AB$6,2)</f>
        <v>&lt; 6 Months</v>
      </c>
      <c r="Y449" s="52" t="str">
        <f ca="1">VLOOKUP(W449,$AD$2:$AE$6,2)</f>
        <v>60-90 Days</v>
      </c>
      <c r="Z449" s="110"/>
    </row>
    <row r="450" spans="1:26">
      <c r="A450" s="129">
        <v>46082</v>
      </c>
      <c r="B450" s="45" t="s">
        <v>5</v>
      </c>
      <c r="C450" s="45" t="s">
        <v>662</v>
      </c>
      <c r="D450" s="43" t="s">
        <v>667</v>
      </c>
      <c r="E450" s="99" t="s">
        <v>1456</v>
      </c>
      <c r="F450" s="99"/>
      <c r="G450" s="41">
        <v>125730</v>
      </c>
      <c r="H450" s="116">
        <f>2398</f>
        <v>2398</v>
      </c>
      <c r="I450" s="41">
        <v>10</v>
      </c>
      <c r="J450" s="98">
        <f>I450*H450</f>
        <v>23980</v>
      </c>
      <c r="K450" s="60" t="s">
        <v>152</v>
      </c>
      <c r="L450" s="60" t="s">
        <v>1457</v>
      </c>
      <c r="M450" s="60" t="str" cm="1">
        <f t="array" ref="M450:N450">VLOOKUP(Q450,[1]CDPL!$A:$D,{3,4},0)</f>
        <v>DATES</v>
      </c>
      <c r="N450" s="60" t="str">
        <v>Fard</v>
      </c>
      <c r="O450" s="60" t="s">
        <v>1458</v>
      </c>
      <c r="P450" s="60" t="s">
        <v>1459</v>
      </c>
      <c r="Q450" s="60" t="s">
        <v>1459</v>
      </c>
      <c r="R450" s="45" t="s">
        <v>250</v>
      </c>
      <c r="S450" s="45" t="s">
        <v>5</v>
      </c>
      <c r="T450" s="45" t="s">
        <v>247</v>
      </c>
      <c r="U450" s="119">
        <v>230</v>
      </c>
      <c r="V450" s="62">
        <f>U450*J450</f>
        <v>5515400</v>
      </c>
      <c r="W450" s="63">
        <f ca="1">$W$4-A450</f>
        <v>72</v>
      </c>
      <c r="X450" s="52" t="str">
        <f ca="1">VLOOKUP(W450,$AA$2:$AB$6,2)</f>
        <v>&lt; 6 Months</v>
      </c>
      <c r="Y450" s="52" t="str">
        <f ca="1">VLOOKUP(W450,$AD$2:$AE$6,2)</f>
        <v>60-90 Days</v>
      </c>
      <c r="Z450" s="110"/>
    </row>
    <row r="451" spans="1:26">
      <c r="A451" s="129">
        <v>46086</v>
      </c>
      <c r="B451" s="45" t="s">
        <v>5</v>
      </c>
      <c r="C451" s="45" t="s">
        <v>662</v>
      </c>
      <c r="D451" s="43" t="s">
        <v>667</v>
      </c>
      <c r="E451" s="99" t="s">
        <v>1531</v>
      </c>
      <c r="F451" s="99"/>
      <c r="G451" s="41">
        <v>125805</v>
      </c>
      <c r="H451" s="116">
        <f>167-40-80</f>
        <v>47</v>
      </c>
      <c r="I451" s="41">
        <v>6</v>
      </c>
      <c r="J451" s="98">
        <f>I451*H451</f>
        <v>282</v>
      </c>
      <c r="K451" s="60" t="s">
        <v>152</v>
      </c>
      <c r="L451" s="60" t="s">
        <v>1299</v>
      </c>
      <c r="M451" s="60" t="str" cm="1">
        <f t="array" ref="M451:N451">VLOOKUP(Q451,[1]CFPL!$A:$D,{3,4},0)</f>
        <v>DATES</v>
      </c>
      <c r="N451" s="60" t="str">
        <v>Kimia</v>
      </c>
      <c r="O451" s="60" t="s">
        <v>1232</v>
      </c>
      <c r="P451" s="60" t="s">
        <v>1461</v>
      </c>
      <c r="Q451" s="60" t="s">
        <v>1300</v>
      </c>
      <c r="R451" s="45" t="s">
        <v>250</v>
      </c>
      <c r="S451" s="45" t="s">
        <v>5</v>
      </c>
      <c r="T451" s="45" t="s">
        <v>1429</v>
      </c>
      <c r="U451" s="126">
        <v>260</v>
      </c>
      <c r="V451" s="62">
        <f>U451*J451</f>
        <v>73320</v>
      </c>
      <c r="W451" s="63">
        <f ca="1">$W$4-A451</f>
        <v>68</v>
      </c>
      <c r="X451" s="52" t="str">
        <f ca="1">VLOOKUP(W451,$AA$2:$AB$6,2)</f>
        <v>&lt; 6 Months</v>
      </c>
      <c r="Y451" s="52" t="str">
        <f ca="1">VLOOKUP(W451,$AD$2:$AE$6,2)</f>
        <v>60-90 Days</v>
      </c>
      <c r="Z451" s="110"/>
    </row>
    <row r="452" spans="1:26">
      <c r="A452" s="129">
        <v>46088</v>
      </c>
      <c r="B452" s="45" t="s">
        <v>5</v>
      </c>
      <c r="C452" s="45" t="s">
        <v>662</v>
      </c>
      <c r="D452" s="43" t="s">
        <v>1296</v>
      </c>
      <c r="E452" s="99" t="s">
        <v>1297</v>
      </c>
      <c r="F452" s="99"/>
      <c r="G452" s="41">
        <v>125860</v>
      </c>
      <c r="H452" s="116">
        <f>80-45</f>
        <v>35</v>
      </c>
      <c r="I452" s="41">
        <v>6</v>
      </c>
      <c r="J452" s="98">
        <f>I452*H452</f>
        <v>210</v>
      </c>
      <c r="K452" s="60" t="s">
        <v>152</v>
      </c>
      <c r="L452" s="60" t="s">
        <v>1299</v>
      </c>
      <c r="M452" s="60" t="str" cm="1">
        <f t="array" ref="M452:N452">VLOOKUP(Q452,[1]CFPL!$A:$D,{3,4},0)</f>
        <v>DATES</v>
      </c>
      <c r="N452" s="60" t="str">
        <v>Kimia</v>
      </c>
      <c r="O452" s="60" t="s">
        <v>1232</v>
      </c>
      <c r="P452" s="60" t="s">
        <v>1461</v>
      </c>
      <c r="Q452" s="60" t="s">
        <v>1300</v>
      </c>
      <c r="R452" s="45" t="s">
        <v>250</v>
      </c>
      <c r="S452" s="45" t="s">
        <v>5</v>
      </c>
      <c r="T452" s="45" t="s">
        <v>1429</v>
      </c>
      <c r="U452" s="126">
        <v>260</v>
      </c>
      <c r="V452" s="62">
        <f>U452*J452</f>
        <v>54600</v>
      </c>
      <c r="W452" s="63">
        <f ca="1">$W$4-A452</f>
        <v>66</v>
      </c>
      <c r="X452" s="52" t="str">
        <f ca="1">VLOOKUP(W452,$AA$2:$AB$6,2)</f>
        <v>&lt; 6 Months</v>
      </c>
      <c r="Y452" s="52" t="str">
        <f ca="1">VLOOKUP(W452,$AD$2:$AE$6,2)</f>
        <v>60-90 Days</v>
      </c>
      <c r="Z452" s="110"/>
    </row>
    <row r="453" spans="1:26">
      <c r="A453" s="129">
        <v>46088</v>
      </c>
      <c r="B453" s="45" t="s">
        <v>5</v>
      </c>
      <c r="C453" s="45" t="s">
        <v>662</v>
      </c>
      <c r="D453" s="43" t="s">
        <v>1532</v>
      </c>
      <c r="E453" s="99" t="s">
        <v>1298</v>
      </c>
      <c r="F453" s="99"/>
      <c r="G453" s="41">
        <v>125859</v>
      </c>
      <c r="H453" s="116">
        <f>66</f>
        <v>66</v>
      </c>
      <c r="I453" s="41">
        <v>7.5</v>
      </c>
      <c r="J453" s="98">
        <f>I453*H453</f>
        <v>495</v>
      </c>
      <c r="K453" s="60" t="s">
        <v>152</v>
      </c>
      <c r="L453" s="60" t="s">
        <v>1298</v>
      </c>
      <c r="M453" s="60" t="str" cm="1">
        <f t="array" ref="M453:N453">VLOOKUP(Q453,[1]CDPL!$A:$D,{3,4},0)</f>
        <v>DATES</v>
      </c>
      <c r="N453" s="60" t="str">
        <v>Kimia</v>
      </c>
      <c r="O453" s="60" t="s">
        <v>1232</v>
      </c>
      <c r="P453" s="60" t="s">
        <v>1460</v>
      </c>
      <c r="Q453" s="60" t="s">
        <v>743</v>
      </c>
      <c r="R453" s="45" t="s">
        <v>250</v>
      </c>
      <c r="S453" s="45" t="s">
        <v>5</v>
      </c>
      <c r="T453" s="45" t="s">
        <v>1429</v>
      </c>
      <c r="U453" s="126">
        <v>300</v>
      </c>
      <c r="V453" s="62">
        <f>U453*J453</f>
        <v>148500</v>
      </c>
      <c r="W453" s="63">
        <f ca="1">$W$4-A453</f>
        <v>66</v>
      </c>
      <c r="X453" s="52" t="str">
        <f ca="1">VLOOKUP(W453,$AA$2:$AB$6,2)</f>
        <v>&lt; 6 Months</v>
      </c>
      <c r="Y453" s="52" t="str">
        <f ca="1">VLOOKUP(W453,$AD$2:$AE$6,2)</f>
        <v>60-90 Days</v>
      </c>
      <c r="Z453" s="110"/>
    </row>
    <row r="454" spans="1:26">
      <c r="A454" s="129">
        <v>46088</v>
      </c>
      <c r="B454" s="45" t="s">
        <v>5</v>
      </c>
      <c r="C454" s="45" t="s">
        <v>662</v>
      </c>
      <c r="D454" s="43" t="s">
        <v>1532</v>
      </c>
      <c r="E454" s="99" t="s">
        <v>1298</v>
      </c>
      <c r="F454" s="99"/>
      <c r="G454" s="41">
        <v>125859</v>
      </c>
      <c r="H454" s="116">
        <v>1</v>
      </c>
      <c r="I454" s="41">
        <v>5</v>
      </c>
      <c r="J454" s="98">
        <f>I454*H454</f>
        <v>5</v>
      </c>
      <c r="K454" s="60" t="s">
        <v>152</v>
      </c>
      <c r="L454" s="60" t="s">
        <v>1298</v>
      </c>
      <c r="M454" s="60" t="str" cm="1">
        <f t="array" ref="M454:N454">VLOOKUP(Q454,[1]CDPL!$A:$D,{3,4},0)</f>
        <v>DATES</v>
      </c>
      <c r="N454" s="60" t="str">
        <v>Kimia</v>
      </c>
      <c r="O454" s="60" t="s">
        <v>1232</v>
      </c>
      <c r="P454" s="60" t="s">
        <v>1460</v>
      </c>
      <c r="Q454" s="60" t="s">
        <v>743</v>
      </c>
      <c r="R454" s="45" t="s">
        <v>250</v>
      </c>
      <c r="S454" s="45" t="s">
        <v>5</v>
      </c>
      <c r="T454" s="45" t="s">
        <v>1429</v>
      </c>
      <c r="U454" s="126">
        <v>300</v>
      </c>
      <c r="V454" s="62">
        <f>U454*J454</f>
        <v>1500</v>
      </c>
      <c r="W454" s="63">
        <f ca="1">$W$4-A454</f>
        <v>66</v>
      </c>
      <c r="X454" s="52" t="str">
        <f ca="1">VLOOKUP(W454,$AA$2:$AB$6,2)</f>
        <v>&lt; 6 Months</v>
      </c>
      <c r="Y454" s="52" t="str">
        <f ca="1">VLOOKUP(W454,$AD$2:$AE$6,2)</f>
        <v>60-90 Days</v>
      </c>
      <c r="Z454" s="110"/>
    </row>
    <row r="455" spans="1:26">
      <c r="A455" s="129">
        <v>46088</v>
      </c>
      <c r="B455" s="45" t="s">
        <v>5</v>
      </c>
      <c r="C455" s="45" t="s">
        <v>662</v>
      </c>
      <c r="D455" s="43" t="s">
        <v>667</v>
      </c>
      <c r="E455" s="99" t="s">
        <v>280</v>
      </c>
      <c r="F455" s="99"/>
      <c r="G455" s="41">
        <v>125836</v>
      </c>
      <c r="H455" s="116">
        <f>2150-1-200-100-100-100-150-150-100-340-100</f>
        <v>809</v>
      </c>
      <c r="I455" s="41">
        <v>10</v>
      </c>
      <c r="J455" s="98">
        <f>I455*H455</f>
        <v>8090</v>
      </c>
      <c r="K455" s="60" t="s">
        <v>152</v>
      </c>
      <c r="L455" s="60" t="s">
        <v>1644</v>
      </c>
      <c r="M455" s="60" t="str" cm="1">
        <f t="array" ref="M455:N455">VLOOKUP(Q455,[1]CFPL!$A:$D,{3,4},0)</f>
        <v>DATES</v>
      </c>
      <c r="N455" s="60" t="str">
        <v>Khalas</v>
      </c>
      <c r="O455" s="60" t="s">
        <v>1388</v>
      </c>
      <c r="P455" s="60" t="s">
        <v>1387</v>
      </c>
      <c r="Q455" s="60" t="s">
        <v>1387</v>
      </c>
      <c r="R455" s="45" t="s">
        <v>250</v>
      </c>
      <c r="S455" s="45" t="s">
        <v>5</v>
      </c>
      <c r="T455" s="45" t="s">
        <v>255</v>
      </c>
      <c r="U455" s="119">
        <v>110</v>
      </c>
      <c r="V455" s="62">
        <f>U455*J455</f>
        <v>889900</v>
      </c>
      <c r="W455" s="63">
        <f ca="1">$W$4-A455</f>
        <v>66</v>
      </c>
      <c r="X455" s="52" t="str">
        <f ca="1">VLOOKUP(W455,$AA$2:$AB$6,2)</f>
        <v>&lt; 6 Months</v>
      </c>
      <c r="Y455" s="52" t="str">
        <f ca="1">VLOOKUP(W455,$AD$2:$AE$6,2)</f>
        <v>60-90 Days</v>
      </c>
      <c r="Z455" s="110"/>
    </row>
    <row r="456" spans="1:26">
      <c r="A456" s="129">
        <v>46088</v>
      </c>
      <c r="B456" s="45" t="s">
        <v>5</v>
      </c>
      <c r="C456" s="45" t="s">
        <v>662</v>
      </c>
      <c r="D456" s="43" t="s">
        <v>667</v>
      </c>
      <c r="E456" s="99" t="s">
        <v>325</v>
      </c>
      <c r="F456" s="99"/>
      <c r="G456" s="41">
        <v>125876</v>
      </c>
      <c r="H456" s="116">
        <f>67</f>
        <v>67</v>
      </c>
      <c r="I456" s="41">
        <v>10</v>
      </c>
      <c r="J456" s="98">
        <f>I456*H456</f>
        <v>670</v>
      </c>
      <c r="K456" s="60" t="s">
        <v>152</v>
      </c>
      <c r="L456" s="60" t="s">
        <v>1559</v>
      </c>
      <c r="M456" s="60" t="str" cm="1">
        <f t="array" ref="M456:N456">VLOOKUP(Q456,[1]CFPL!$A:$D,{3,4},0)</f>
        <v>DATES</v>
      </c>
      <c r="N456" s="60" t="str">
        <v>Seedless</v>
      </c>
      <c r="O456" s="60" t="s">
        <v>1533</v>
      </c>
      <c r="P456" s="60" t="s">
        <v>159</v>
      </c>
      <c r="Q456" s="60" t="s">
        <v>326</v>
      </c>
      <c r="R456" s="45" t="s">
        <v>250</v>
      </c>
      <c r="S456" s="45" t="s">
        <v>5</v>
      </c>
      <c r="T456" s="45" t="s">
        <v>247</v>
      </c>
      <c r="U456" s="119">
        <v>126</v>
      </c>
      <c r="V456" s="62">
        <f>U456*J456</f>
        <v>84420</v>
      </c>
      <c r="W456" s="63">
        <f ca="1">$W$4-A456</f>
        <v>66</v>
      </c>
      <c r="X456" s="52" t="str">
        <f ca="1">VLOOKUP(W456,$AA$2:$AB$6,2)</f>
        <v>&lt; 6 Months</v>
      </c>
      <c r="Y456" s="52" t="str">
        <f ca="1">VLOOKUP(W456,$AD$2:$AE$6,2)</f>
        <v>60-90 Days</v>
      </c>
      <c r="Z456" s="110"/>
    </row>
    <row r="457" spans="1:26">
      <c r="A457" s="129">
        <v>46088</v>
      </c>
      <c r="B457" s="45" t="s">
        <v>5</v>
      </c>
      <c r="C457" s="45" t="s">
        <v>662</v>
      </c>
      <c r="D457" s="43" t="s">
        <v>667</v>
      </c>
      <c r="E457" s="99" t="s">
        <v>1452</v>
      </c>
      <c r="F457" s="99"/>
      <c r="G457" s="41">
        <v>125863</v>
      </c>
      <c r="H457" s="116">
        <f>2170-150-52-143</f>
        <v>1825</v>
      </c>
      <c r="I457" s="41">
        <v>10</v>
      </c>
      <c r="J457" s="98">
        <f>I457*H457</f>
        <v>18250</v>
      </c>
      <c r="K457" s="60" t="s">
        <v>152</v>
      </c>
      <c r="L457" s="60" t="s">
        <v>1453</v>
      </c>
      <c r="M457" s="60" t="str" cm="1">
        <f t="array" ref="M457:N457">VLOOKUP(Q457,[1]CDPL!$A:$D,{3,4},0)</f>
        <v>DATES</v>
      </c>
      <c r="N457" s="60" t="str">
        <v>Fard</v>
      </c>
      <c r="O457" s="60" t="s">
        <v>1454</v>
      </c>
      <c r="P457" s="60" t="s">
        <v>1455</v>
      </c>
      <c r="Q457" s="60" t="s">
        <v>1455</v>
      </c>
      <c r="R457" s="45" t="s">
        <v>250</v>
      </c>
      <c r="S457" s="45" t="s">
        <v>5</v>
      </c>
      <c r="T457" s="45" t="s">
        <v>247</v>
      </c>
      <c r="U457" s="119">
        <v>190</v>
      </c>
      <c r="V457" s="62">
        <f>U457*J457</f>
        <v>3467500</v>
      </c>
      <c r="W457" s="63">
        <f ca="1">$W$4-A457</f>
        <v>66</v>
      </c>
      <c r="X457" s="52" t="str">
        <f ca="1">VLOOKUP(W457,$AA$2:$AB$6,2)</f>
        <v>&lt; 6 Months</v>
      </c>
      <c r="Y457" s="52" t="str">
        <f ca="1">VLOOKUP(W457,$AD$2:$AE$6,2)</f>
        <v>60-90 Days</v>
      </c>
      <c r="Z457" s="110"/>
    </row>
    <row r="458" spans="1:26">
      <c r="A458" s="129">
        <v>46088</v>
      </c>
      <c r="B458" s="45" t="s">
        <v>5</v>
      </c>
      <c r="C458" s="45" t="s">
        <v>662</v>
      </c>
      <c r="D458" s="43" t="s">
        <v>667</v>
      </c>
      <c r="E458" s="99" t="s">
        <v>1452</v>
      </c>
      <c r="F458" s="99"/>
      <c r="G458" s="41">
        <v>125864</v>
      </c>
      <c r="H458" s="116">
        <f>228-171-57</f>
        <v>0</v>
      </c>
      <c r="I458" s="41">
        <v>10</v>
      </c>
      <c r="J458" s="98">
        <f>I458*H458</f>
        <v>0</v>
      </c>
      <c r="K458" s="60" t="s">
        <v>152</v>
      </c>
      <c r="L458" s="60" t="s">
        <v>1453</v>
      </c>
      <c r="M458" s="60" t="str" cm="1">
        <f t="array" ref="M458:N458">VLOOKUP(Q458,[1]CDPL!$A:$D,{3,4},0)</f>
        <v>DATES</v>
      </c>
      <c r="N458" s="60" t="str">
        <v>Fard</v>
      </c>
      <c r="O458" s="60" t="s">
        <v>1454</v>
      </c>
      <c r="P458" s="60" t="s">
        <v>1455</v>
      </c>
      <c r="Q458" s="60" t="s">
        <v>1455</v>
      </c>
      <c r="R458" s="45" t="s">
        <v>250</v>
      </c>
      <c r="S458" s="45" t="s">
        <v>5</v>
      </c>
      <c r="T458" s="45" t="s">
        <v>247</v>
      </c>
      <c r="U458" s="119">
        <v>190</v>
      </c>
      <c r="V458" s="62">
        <f>U458*J458</f>
        <v>0</v>
      </c>
      <c r="W458" s="63">
        <f ca="1">$W$4-A458</f>
        <v>66</v>
      </c>
      <c r="X458" s="52" t="str">
        <f ca="1">VLOOKUP(W458,$AA$2:$AB$6,2)</f>
        <v>&lt; 6 Months</v>
      </c>
      <c r="Y458" s="52" t="str">
        <f ca="1">VLOOKUP(W458,$AD$2:$AE$6,2)</f>
        <v>60-90 Days</v>
      </c>
      <c r="Z458" s="110"/>
    </row>
    <row r="459" spans="1:26">
      <c r="A459" s="129">
        <v>46089</v>
      </c>
      <c r="B459" s="45" t="s">
        <v>5</v>
      </c>
      <c r="C459" s="45" t="s">
        <v>662</v>
      </c>
      <c r="D459" s="43" t="s">
        <v>667</v>
      </c>
      <c r="E459" s="99" t="s">
        <v>1538</v>
      </c>
      <c r="F459" s="99"/>
      <c r="G459" s="41">
        <v>125880</v>
      </c>
      <c r="H459" s="116">
        <f>2399-2-50-25-25-10-50</f>
        <v>2237</v>
      </c>
      <c r="I459" s="41">
        <v>10</v>
      </c>
      <c r="J459" s="98">
        <f>I459*H459</f>
        <v>22370</v>
      </c>
      <c r="K459" s="60" t="s">
        <v>152</v>
      </c>
      <c r="L459" s="60" t="s">
        <v>1534</v>
      </c>
      <c r="M459" s="60" t="str" cm="1">
        <f t="array" ref="M459:N459">VLOOKUP(Q459,[1]CDPL!$A:$D,{3,4},0)</f>
        <v>DATES</v>
      </c>
      <c r="N459" s="60" t="str">
        <v>Fard</v>
      </c>
      <c r="O459" s="60" t="s">
        <v>1535</v>
      </c>
      <c r="P459" s="60" t="s">
        <v>1536</v>
      </c>
      <c r="Q459" s="60" t="s">
        <v>1604</v>
      </c>
      <c r="R459" s="45" t="s">
        <v>250</v>
      </c>
      <c r="S459" s="45" t="s">
        <v>5</v>
      </c>
      <c r="T459" s="45" t="s">
        <v>247</v>
      </c>
      <c r="U459" s="119">
        <v>247</v>
      </c>
      <c r="V459" s="62">
        <f>U459*J459</f>
        <v>5525390</v>
      </c>
      <c r="W459" s="63">
        <f ca="1">$W$4-A459</f>
        <v>65</v>
      </c>
      <c r="X459" s="52" t="str">
        <f ca="1">VLOOKUP(W459,$AA$2:$AB$6,2)</f>
        <v>&lt; 6 Months</v>
      </c>
      <c r="Y459" s="52" t="str">
        <f ca="1">VLOOKUP(W459,$AD$2:$AE$6,2)</f>
        <v>60-90 Days</v>
      </c>
      <c r="Z459" s="110"/>
    </row>
    <row r="460" spans="1:26">
      <c r="A460" s="129">
        <v>46090</v>
      </c>
      <c r="B460" s="45" t="s">
        <v>5</v>
      </c>
      <c r="C460" s="45" t="s">
        <v>662</v>
      </c>
      <c r="D460" s="43" t="s">
        <v>667</v>
      </c>
      <c r="E460" s="99" t="s">
        <v>1452</v>
      </c>
      <c r="F460" s="99"/>
      <c r="G460" s="41">
        <v>125883</v>
      </c>
      <c r="H460" s="116">
        <f>2399-10-140-150-20-25-100-50-200-200-200-200-150-200-65-50-50-200-5-200-50</f>
        <v>134</v>
      </c>
      <c r="I460" s="41">
        <v>10</v>
      </c>
      <c r="J460" s="98">
        <f>I460*H460</f>
        <v>1340</v>
      </c>
      <c r="K460" s="60" t="s">
        <v>152</v>
      </c>
      <c r="L460" s="60" t="s">
        <v>1453</v>
      </c>
      <c r="M460" s="60" t="str" cm="1">
        <f t="array" ref="M460:N460">VLOOKUP(Q460,[1]CDPL!$A:$D,{3,4},0)</f>
        <v>DATES</v>
      </c>
      <c r="N460" s="60" t="str">
        <v>Fard</v>
      </c>
      <c r="O460" s="60" t="s">
        <v>1454</v>
      </c>
      <c r="P460" s="60" t="s">
        <v>1455</v>
      </c>
      <c r="Q460" s="60" t="s">
        <v>1455</v>
      </c>
      <c r="R460" s="45" t="s">
        <v>250</v>
      </c>
      <c r="S460" s="45" t="s">
        <v>5</v>
      </c>
      <c r="T460" s="45" t="s">
        <v>247</v>
      </c>
      <c r="U460" s="119">
        <v>200</v>
      </c>
      <c r="V460" s="62">
        <f>U460*J460</f>
        <v>268000</v>
      </c>
      <c r="W460" s="63">
        <f ca="1">$W$4-A460</f>
        <v>64</v>
      </c>
      <c r="X460" s="52" t="str">
        <f ca="1">VLOOKUP(W460,$AA$2:$AB$6,2)</f>
        <v>&lt; 6 Months</v>
      </c>
      <c r="Y460" s="52" t="str">
        <f ca="1">VLOOKUP(W460,$AD$2:$AE$6,2)</f>
        <v>60-90 Days</v>
      </c>
      <c r="Z460" s="110"/>
    </row>
    <row r="461" spans="1:26">
      <c r="A461" s="129">
        <v>46090</v>
      </c>
      <c r="B461" s="45" t="s">
        <v>5</v>
      </c>
      <c r="C461" s="45" t="s">
        <v>662</v>
      </c>
      <c r="D461" s="43" t="s">
        <v>683</v>
      </c>
      <c r="E461" s="99" t="s">
        <v>899</v>
      </c>
      <c r="F461" s="99"/>
      <c r="G461" s="41">
        <v>125901</v>
      </c>
      <c r="H461" s="116">
        <f>500-110-10-16-10-20-21-7-2-16-82-100-15</f>
        <v>91</v>
      </c>
      <c r="I461" s="41">
        <v>5</v>
      </c>
      <c r="J461" s="98">
        <f>I461*H461</f>
        <v>455</v>
      </c>
      <c r="K461" s="60" t="s">
        <v>190</v>
      </c>
      <c r="L461" s="60" t="s">
        <v>306</v>
      </c>
      <c r="M461" s="60" t="str" cm="1">
        <f t="array" ref="M461:N461">VLOOKUP(Q461,[1]CFPL!$A:$D,{3,4},0)</f>
        <v>DATES</v>
      </c>
      <c r="N461" s="60" t="str">
        <v>Safavi</v>
      </c>
      <c r="O461" s="60" t="s">
        <v>1388</v>
      </c>
      <c r="P461" s="60" t="s">
        <v>210</v>
      </c>
      <c r="Q461" s="60" t="s">
        <v>308</v>
      </c>
      <c r="R461" s="45" t="s">
        <v>250</v>
      </c>
      <c r="S461" s="45" t="s">
        <v>5</v>
      </c>
      <c r="T461" s="45" t="s">
        <v>255</v>
      </c>
      <c r="U461" s="119">
        <v>420</v>
      </c>
      <c r="V461" s="62">
        <f>U461*J461</f>
        <v>191100</v>
      </c>
      <c r="W461" s="63">
        <f ca="1">$W$4-A461</f>
        <v>64</v>
      </c>
      <c r="X461" s="52" t="str">
        <f ca="1">VLOOKUP(W461,$AA$2:$AB$6,2)</f>
        <v>&lt; 6 Months</v>
      </c>
      <c r="Y461" s="52" t="str">
        <f ca="1">VLOOKUP(W461,$AD$2:$AE$6,2)</f>
        <v>60-90 Days</v>
      </c>
      <c r="Z461" s="110"/>
    </row>
    <row r="462" spans="1:26">
      <c r="A462" s="129">
        <v>46091</v>
      </c>
      <c r="B462" s="45" t="s">
        <v>5</v>
      </c>
      <c r="C462" s="45" t="s">
        <v>662</v>
      </c>
      <c r="D462" s="43" t="s">
        <v>1389</v>
      </c>
      <c r="E462" s="99" t="s">
        <v>325</v>
      </c>
      <c r="F462" s="99"/>
      <c r="G462" s="41">
        <v>125932</v>
      </c>
      <c r="H462" s="116">
        <f>185-67</f>
        <v>118</v>
      </c>
      <c r="I462" s="41">
        <v>10</v>
      </c>
      <c r="J462" s="98">
        <f>I462*H462</f>
        <v>1180</v>
      </c>
      <c r="K462" s="60" t="s">
        <v>152</v>
      </c>
      <c r="L462" s="60" t="s">
        <v>1211</v>
      </c>
      <c r="M462" s="60" t="str" cm="1">
        <f t="array" ref="M462:N462">VLOOKUP(Q462,[1]CFPL!$A:$D,{3,4},0)</f>
        <v>DATES</v>
      </c>
      <c r="N462" s="60" t="str">
        <v>Seedless</v>
      </c>
      <c r="O462" s="60" t="s">
        <v>325</v>
      </c>
      <c r="P462" s="60" t="s">
        <v>159</v>
      </c>
      <c r="Q462" s="60" t="s">
        <v>326</v>
      </c>
      <c r="R462" s="45" t="s">
        <v>250</v>
      </c>
      <c r="S462" s="45" t="s">
        <v>5</v>
      </c>
      <c r="T462" s="45" t="s">
        <v>247</v>
      </c>
      <c r="U462" s="119">
        <v>126</v>
      </c>
      <c r="V462" s="62">
        <f>U462*J462</f>
        <v>148680</v>
      </c>
      <c r="W462" s="63">
        <f ca="1">$W$4-A462</f>
        <v>63</v>
      </c>
      <c r="X462" s="52" t="str">
        <f ca="1">VLOOKUP(W462,$AA$2:$AB$6,2)</f>
        <v>&lt; 6 Months</v>
      </c>
      <c r="Y462" s="52" t="str">
        <f ca="1">VLOOKUP(W462,$AD$2:$AE$6,2)</f>
        <v>60-90 Days</v>
      </c>
      <c r="Z462" s="110"/>
    </row>
    <row r="463" spans="1:26">
      <c r="A463" s="129">
        <v>46092</v>
      </c>
      <c r="B463" s="45" t="s">
        <v>5</v>
      </c>
      <c r="C463" s="45" t="s">
        <v>662</v>
      </c>
      <c r="D463" s="43" t="s">
        <v>1544</v>
      </c>
      <c r="E463" s="99" t="s">
        <v>1545</v>
      </c>
      <c r="F463" s="99" t="s">
        <v>1546</v>
      </c>
      <c r="G463" s="41">
        <v>125937</v>
      </c>
      <c r="H463" s="116">
        <v>34</v>
      </c>
      <c r="I463" s="41">
        <v>8.1999999999999993</v>
      </c>
      <c r="J463" s="98">
        <f>I463*H463</f>
        <v>278.79999999999995</v>
      </c>
      <c r="K463" s="60" t="s">
        <v>152</v>
      </c>
      <c r="L463" s="60" t="s">
        <v>1560</v>
      </c>
      <c r="M463" s="60" t="str" cm="1">
        <f t="array" ref="M463:N463">VLOOKUP(Q463,[1]CFPL!$A:$D,{3,4},0)</f>
        <v>DATES</v>
      </c>
      <c r="N463" s="60" t="str">
        <v>Seedless</v>
      </c>
      <c r="O463" s="60" t="s">
        <v>278</v>
      </c>
      <c r="P463" s="60" t="s">
        <v>159</v>
      </c>
      <c r="Q463" s="60" t="s">
        <v>326</v>
      </c>
      <c r="R463" s="45" t="s">
        <v>250</v>
      </c>
      <c r="S463" s="45" t="s">
        <v>5</v>
      </c>
      <c r="T463" s="45" t="s">
        <v>247</v>
      </c>
      <c r="U463" s="119">
        <v>126</v>
      </c>
      <c r="V463" s="62">
        <f>U463*J463</f>
        <v>35128.799999999996</v>
      </c>
      <c r="W463" s="63">
        <f ca="1">$W$4-A463</f>
        <v>62</v>
      </c>
      <c r="X463" s="52" t="str">
        <f ca="1">VLOOKUP(W463,$AA$2:$AB$6,2)</f>
        <v>&lt; 6 Months</v>
      </c>
      <c r="Y463" s="52" t="str">
        <f ca="1">VLOOKUP(W463,$AD$2:$AE$6,2)</f>
        <v>60-90 Days</v>
      </c>
      <c r="Z463" s="110"/>
    </row>
    <row r="464" spans="1:26">
      <c r="A464" s="129">
        <v>46094</v>
      </c>
      <c r="B464" s="45" t="s">
        <v>5</v>
      </c>
      <c r="C464" s="45" t="s">
        <v>662</v>
      </c>
      <c r="D464" s="43" t="s">
        <v>1544</v>
      </c>
      <c r="E464" s="99" t="s">
        <v>1572</v>
      </c>
      <c r="F464" s="99"/>
      <c r="G464" s="41">
        <v>126000</v>
      </c>
      <c r="H464" s="116">
        <v>67</v>
      </c>
      <c r="I464" s="41">
        <v>10</v>
      </c>
      <c r="J464" s="98">
        <f>I464*H464</f>
        <v>670</v>
      </c>
      <c r="K464" s="60" t="s">
        <v>152</v>
      </c>
      <c r="L464" s="60" t="s">
        <v>1440</v>
      </c>
      <c r="M464" s="60" t="str" cm="1">
        <f t="array" ref="M464:N464">VLOOKUP(Q464,[1]CDPL!$A:$D,{3,4},0)</f>
        <v>DATES</v>
      </c>
      <c r="N464" s="60" t="str">
        <v>Khaneizi</v>
      </c>
      <c r="O464" s="60" t="s">
        <v>1573</v>
      </c>
      <c r="P464" s="60" t="s">
        <v>1441</v>
      </c>
      <c r="Q464" s="60" t="s">
        <v>1441</v>
      </c>
      <c r="R464" s="45" t="s">
        <v>250</v>
      </c>
      <c r="S464" s="45" t="s">
        <v>5</v>
      </c>
      <c r="T464" s="45" t="s">
        <v>255</v>
      </c>
      <c r="U464" s="119">
        <v>191</v>
      </c>
      <c r="V464" s="62">
        <f>U464*J464</f>
        <v>127970</v>
      </c>
      <c r="W464" s="63">
        <f ca="1">$W$4-A464</f>
        <v>60</v>
      </c>
      <c r="X464" s="52" t="str">
        <f ca="1">VLOOKUP(W464,$AA$2:$AB$6,2)</f>
        <v>&lt; 6 Months</v>
      </c>
      <c r="Y464" s="52" t="str">
        <f ca="1">VLOOKUP(W464,$AD$2:$AE$6,2)</f>
        <v>60-90 Days</v>
      </c>
      <c r="Z464" s="110"/>
    </row>
    <row r="465" spans="1:26">
      <c r="A465" s="129">
        <v>46095</v>
      </c>
      <c r="B465" s="45" t="s">
        <v>5</v>
      </c>
      <c r="C465" s="45" t="s">
        <v>662</v>
      </c>
      <c r="D465" s="43" t="s">
        <v>1389</v>
      </c>
      <c r="E465" s="99" t="s">
        <v>325</v>
      </c>
      <c r="F465" s="99"/>
      <c r="G465" s="41">
        <v>126030</v>
      </c>
      <c r="H465" s="116">
        <v>169</v>
      </c>
      <c r="I465" s="41">
        <v>9.49</v>
      </c>
      <c r="J465" s="98">
        <f>I465*H465</f>
        <v>1603.81</v>
      </c>
      <c r="K465" s="60" t="s">
        <v>152</v>
      </c>
      <c r="L465" s="60" t="s">
        <v>1211</v>
      </c>
      <c r="M465" s="60" t="str" cm="1">
        <f t="array" ref="M465:N465">VLOOKUP(Q465,[1]CFPL!$A:$D,{3,4},0)</f>
        <v>DATES</v>
      </c>
      <c r="N465" s="60" t="str">
        <v>Seedless</v>
      </c>
      <c r="O465" s="60" t="s">
        <v>1564</v>
      </c>
      <c r="P465" s="60" t="s">
        <v>159</v>
      </c>
      <c r="Q465" s="60" t="s">
        <v>326</v>
      </c>
      <c r="R465" s="45" t="s">
        <v>250</v>
      </c>
      <c r="S465" s="45" t="s">
        <v>5</v>
      </c>
      <c r="T465" s="45" t="s">
        <v>247</v>
      </c>
      <c r="U465" s="119">
        <v>126</v>
      </c>
      <c r="V465" s="62">
        <f>U465*J465</f>
        <v>202080.06</v>
      </c>
      <c r="W465" s="63">
        <f ca="1">$W$4-A465</f>
        <v>59</v>
      </c>
      <c r="X465" s="52" t="str">
        <f ca="1">VLOOKUP(W465,$AA$2:$AB$6,2)</f>
        <v>&lt; 6 Months</v>
      </c>
      <c r="Y465" s="52" t="str">
        <f ca="1">VLOOKUP(W465,$AD$2:$AE$6,2)</f>
        <v>30-60 Days</v>
      </c>
      <c r="Z465" s="110"/>
    </row>
    <row r="466" spans="1:26">
      <c r="A466" s="129">
        <v>46099</v>
      </c>
      <c r="B466" s="45" t="s">
        <v>5</v>
      </c>
      <c r="C466" s="45" t="s">
        <v>662</v>
      </c>
      <c r="D466" s="43" t="s">
        <v>1389</v>
      </c>
      <c r="E466" s="99" t="s">
        <v>325</v>
      </c>
      <c r="F466" s="99"/>
      <c r="G466" s="41">
        <v>126130</v>
      </c>
      <c r="H466" s="116">
        <f>70</f>
        <v>70</v>
      </c>
      <c r="I466" s="41">
        <v>10</v>
      </c>
      <c r="J466" s="98">
        <f>I466*H466</f>
        <v>700</v>
      </c>
      <c r="K466" s="60" t="s">
        <v>152</v>
      </c>
      <c r="L466" s="60" t="s">
        <v>1211</v>
      </c>
      <c r="M466" s="60" t="str" cm="1">
        <f t="array" ref="M466:N466">VLOOKUP(Q466,[1]CFPL!$A:$D,{3,4},0)</f>
        <v>DATES</v>
      </c>
      <c r="N466" s="60" t="str">
        <v>Seedless</v>
      </c>
      <c r="O466" s="60" t="s">
        <v>1565</v>
      </c>
      <c r="P466" s="60" t="s">
        <v>159</v>
      </c>
      <c r="Q466" s="60" t="s">
        <v>326</v>
      </c>
      <c r="R466" s="45" t="s">
        <v>250</v>
      </c>
      <c r="S466" s="45" t="s">
        <v>5</v>
      </c>
      <c r="T466" s="45" t="s">
        <v>247</v>
      </c>
      <c r="U466" s="119">
        <v>126</v>
      </c>
      <c r="V466" s="62">
        <f>U466*J466</f>
        <v>88200</v>
      </c>
      <c r="W466" s="63">
        <f ca="1">$W$4-A466</f>
        <v>55</v>
      </c>
      <c r="X466" s="52" t="str">
        <f ca="1">VLOOKUP(W466,$AA$2:$AB$6,2)</f>
        <v>&lt; 6 Months</v>
      </c>
      <c r="Y466" s="52" t="str">
        <f ca="1">VLOOKUP(W466,$AD$2:$AE$6,2)</f>
        <v>30-60 Days</v>
      </c>
      <c r="Z466" s="110"/>
    </row>
    <row r="467" spans="1:26">
      <c r="A467" s="129">
        <v>46102</v>
      </c>
      <c r="B467" s="45" t="s">
        <v>5</v>
      </c>
      <c r="C467" s="45" t="s">
        <v>662</v>
      </c>
      <c r="D467" s="43" t="s">
        <v>1389</v>
      </c>
      <c r="E467" s="99" t="s">
        <v>1566</v>
      </c>
      <c r="F467" s="99" t="s">
        <v>1570</v>
      </c>
      <c r="G467" s="41">
        <v>126220</v>
      </c>
      <c r="H467" s="116">
        <v>495</v>
      </c>
      <c r="I467" s="41">
        <v>10</v>
      </c>
      <c r="J467" s="98">
        <f>I467*H467</f>
        <v>4950</v>
      </c>
      <c r="K467" s="60" t="s">
        <v>152</v>
      </c>
      <c r="L467" s="60" t="s">
        <v>996</v>
      </c>
      <c r="M467" s="60" t="str" cm="1">
        <f t="array" ref="M467:N467">VLOOKUP(Q467,[1]CDPL!$A:$D,{3,4},0)</f>
        <v>DATES</v>
      </c>
      <c r="N467" s="60" t="str">
        <v>Zahidi</v>
      </c>
      <c r="O467" s="60" t="s">
        <v>255</v>
      </c>
      <c r="P467" s="60" t="s">
        <v>1567</v>
      </c>
      <c r="Q467" s="60" t="s">
        <v>998</v>
      </c>
      <c r="R467" s="45" t="s">
        <v>250</v>
      </c>
      <c r="S467" s="45" t="s">
        <v>5</v>
      </c>
      <c r="T467" s="45" t="s">
        <v>255</v>
      </c>
      <c r="U467" s="119">
        <v>108.57</v>
      </c>
      <c r="V467" s="62">
        <f>U467*J467</f>
        <v>537421.5</v>
      </c>
      <c r="W467" s="63">
        <f ca="1">$W$4-A467</f>
        <v>52</v>
      </c>
      <c r="X467" s="52" t="str">
        <f ca="1">VLOOKUP(W467,$AA$2:$AB$6,2)</f>
        <v>&lt; 6 Months</v>
      </c>
      <c r="Y467" s="52" t="str">
        <f ca="1">VLOOKUP(W467,$AD$2:$AE$6,2)</f>
        <v>30-60 Days</v>
      </c>
      <c r="Z467" s="110"/>
    </row>
    <row r="468" spans="1:26">
      <c r="A468" s="129">
        <v>46102</v>
      </c>
      <c r="B468" s="45" t="s">
        <v>5</v>
      </c>
      <c r="C468" s="45" t="s">
        <v>662</v>
      </c>
      <c r="D468" s="43" t="s">
        <v>1574</v>
      </c>
      <c r="E468" s="99" t="s">
        <v>1575</v>
      </c>
      <c r="F468" s="99" t="s">
        <v>1570</v>
      </c>
      <c r="G468" s="41">
        <v>126221</v>
      </c>
      <c r="H468" s="116">
        <v>5</v>
      </c>
      <c r="I468" s="41">
        <v>10</v>
      </c>
      <c r="J468" s="98">
        <f>I468*H468</f>
        <v>50</v>
      </c>
      <c r="K468" s="60" t="s">
        <v>152</v>
      </c>
      <c r="L468" s="60" t="s">
        <v>996</v>
      </c>
      <c r="M468" s="60" t="str" cm="1">
        <f t="array" ref="M468:N468">VLOOKUP(Q468,[1]CDPL!$A:$D,{3,4},0)</f>
        <v>DATES</v>
      </c>
      <c r="N468" s="60" t="str">
        <v>Zahidi</v>
      </c>
      <c r="O468" s="60" t="s">
        <v>255</v>
      </c>
      <c r="P468" s="60" t="s">
        <v>1567</v>
      </c>
      <c r="Q468" s="60" t="s">
        <v>998</v>
      </c>
      <c r="R468" s="45" t="s">
        <v>250</v>
      </c>
      <c r="S468" s="45" t="s">
        <v>5</v>
      </c>
      <c r="T468" s="45" t="s">
        <v>255</v>
      </c>
      <c r="U468" s="119">
        <v>108.57</v>
      </c>
      <c r="V468" s="62">
        <f>U468*J468</f>
        <v>5428.5</v>
      </c>
      <c r="W468" s="63">
        <f ca="1">$W$4-A468</f>
        <v>52</v>
      </c>
      <c r="X468" s="52" t="str">
        <f ca="1">VLOOKUP(W468,$AA$2:$AB$6,2)</f>
        <v>&lt; 6 Months</v>
      </c>
      <c r="Y468" s="52" t="str">
        <f ca="1">VLOOKUP(W468,$AD$2:$AE$6,2)</f>
        <v>30-60 Days</v>
      </c>
      <c r="Z468" s="110"/>
    </row>
    <row r="469" spans="1:26">
      <c r="A469" s="129">
        <v>46101</v>
      </c>
      <c r="B469" s="45" t="s">
        <v>5</v>
      </c>
      <c r="C469" s="45" t="s">
        <v>662</v>
      </c>
      <c r="D469" s="43" t="s">
        <v>1389</v>
      </c>
      <c r="E469" s="99" t="s">
        <v>1576</v>
      </c>
      <c r="F469" s="99" t="s">
        <v>1569</v>
      </c>
      <c r="G469" s="41">
        <v>126164</v>
      </c>
      <c r="H469" s="116">
        <f>972-40</f>
        <v>932</v>
      </c>
      <c r="I469" s="41">
        <v>10</v>
      </c>
      <c r="J469" s="98">
        <f>I469*H469</f>
        <v>9320</v>
      </c>
      <c r="K469" s="60" t="s">
        <v>152</v>
      </c>
      <c r="L469" s="60" t="s">
        <v>996</v>
      </c>
      <c r="M469" s="60" t="str" cm="1">
        <f t="array" ref="M469:N469">VLOOKUP(Q469,[1]CDPL!$A:$D,{3,4},0)</f>
        <v>DATES</v>
      </c>
      <c r="N469" s="60" t="str">
        <v>Zahidi</v>
      </c>
      <c r="O469" s="60" t="s">
        <v>255</v>
      </c>
      <c r="P469" s="60" t="s">
        <v>1568</v>
      </c>
      <c r="Q469" s="60" t="s">
        <v>998</v>
      </c>
      <c r="R469" s="45" t="s">
        <v>250</v>
      </c>
      <c r="S469" s="45" t="s">
        <v>5</v>
      </c>
      <c r="T469" s="45" t="s">
        <v>255</v>
      </c>
      <c r="U469" s="119">
        <v>107.62</v>
      </c>
      <c r="V469" s="62">
        <f>U469*J469</f>
        <v>1003018.4</v>
      </c>
      <c r="W469" s="63">
        <f ca="1">$W$4-A469</f>
        <v>53</v>
      </c>
      <c r="X469" s="52" t="str">
        <f ca="1">VLOOKUP(W469,$AA$2:$AB$6,2)</f>
        <v>&lt; 6 Months</v>
      </c>
      <c r="Y469" s="52" t="str">
        <f ca="1">VLOOKUP(W469,$AD$2:$AE$6,2)</f>
        <v>30-60 Days</v>
      </c>
      <c r="Z469" s="110"/>
    </row>
    <row r="470" spans="1:26">
      <c r="A470" s="129">
        <v>46102</v>
      </c>
      <c r="B470" s="45" t="s">
        <v>5</v>
      </c>
      <c r="C470" s="45" t="s">
        <v>662</v>
      </c>
      <c r="D470" s="43" t="s">
        <v>1389</v>
      </c>
      <c r="E470" s="99" t="s">
        <v>1571</v>
      </c>
      <c r="F470" s="99"/>
      <c r="G470" s="41">
        <v>126202</v>
      </c>
      <c r="H470" s="116">
        <v>53</v>
      </c>
      <c r="I470" s="41">
        <v>10</v>
      </c>
      <c r="J470" s="98">
        <f>I470*H470</f>
        <v>530</v>
      </c>
      <c r="K470" s="60" t="s">
        <v>152</v>
      </c>
      <c r="L470" s="60" t="s">
        <v>1211</v>
      </c>
      <c r="M470" s="60" t="str" cm="1">
        <f t="array" ref="M470:N470">VLOOKUP(Q470,[1]CFPL!$A:$D,{3,4},0)</f>
        <v>DATES</v>
      </c>
      <c r="N470" s="60" t="str">
        <v>Seedless</v>
      </c>
      <c r="O470" s="60" t="s">
        <v>325</v>
      </c>
      <c r="P470" s="60" t="s">
        <v>159</v>
      </c>
      <c r="Q470" s="60" t="s">
        <v>326</v>
      </c>
      <c r="R470" s="45" t="s">
        <v>250</v>
      </c>
      <c r="S470" s="45" t="s">
        <v>5</v>
      </c>
      <c r="T470" s="45" t="s">
        <v>247</v>
      </c>
      <c r="U470" s="119">
        <v>126</v>
      </c>
      <c r="V470" s="62">
        <f>U470*J470</f>
        <v>66780</v>
      </c>
      <c r="W470" s="63">
        <f ca="1">$W$4-A470</f>
        <v>52</v>
      </c>
      <c r="X470" s="52" t="str">
        <f ca="1">VLOOKUP(W470,$AA$2:$AB$6,2)</f>
        <v>&lt; 6 Months</v>
      </c>
      <c r="Y470" s="52" t="str">
        <f ca="1">VLOOKUP(W470,$AD$2:$AE$6,2)</f>
        <v>30-60 Days</v>
      </c>
      <c r="Z470" s="110"/>
    </row>
    <row r="471" spans="1:26">
      <c r="A471" s="129">
        <v>46104</v>
      </c>
      <c r="B471" s="45" t="s">
        <v>5</v>
      </c>
      <c r="C471" s="45" t="s">
        <v>662</v>
      </c>
      <c r="D471" s="43" t="s">
        <v>1389</v>
      </c>
      <c r="E471" s="99" t="s">
        <v>1571</v>
      </c>
      <c r="F471" s="99" t="s">
        <v>1593</v>
      </c>
      <c r="G471" s="41">
        <v>126269</v>
      </c>
      <c r="H471" s="116">
        <f>225-11</f>
        <v>214</v>
      </c>
      <c r="I471" s="41">
        <v>10</v>
      </c>
      <c r="J471" s="98">
        <f>I471*H471</f>
        <v>2140</v>
      </c>
      <c r="K471" s="60" t="s">
        <v>152</v>
      </c>
      <c r="L471" s="60" t="s">
        <v>1559</v>
      </c>
      <c r="M471" s="60" t="str" cm="1">
        <f t="array" ref="M471:N471">VLOOKUP(Q471,[1]CFPL!$A:$D,{3,4},0)</f>
        <v>DATES</v>
      </c>
      <c r="N471" s="60" t="str">
        <v>Seedless</v>
      </c>
      <c r="O471" s="60" t="s">
        <v>1533</v>
      </c>
      <c r="P471" s="60" t="s">
        <v>159</v>
      </c>
      <c r="Q471" s="60" t="s">
        <v>326</v>
      </c>
      <c r="R471" s="45" t="s">
        <v>250</v>
      </c>
      <c r="S471" s="45" t="s">
        <v>5</v>
      </c>
      <c r="T471" s="45" t="s">
        <v>247</v>
      </c>
      <c r="U471" s="119">
        <v>120</v>
      </c>
      <c r="V471" s="62">
        <f>U471*J471</f>
        <v>256800</v>
      </c>
      <c r="W471" s="63">
        <f ca="1">$W$4-A471</f>
        <v>50</v>
      </c>
      <c r="X471" s="52" t="str">
        <f ca="1">VLOOKUP(W471,$AA$2:$AB$6,2)</f>
        <v>&lt; 6 Months</v>
      </c>
      <c r="Y471" s="52" t="str">
        <f ca="1">VLOOKUP(W471,$AD$2:$AE$6,2)</f>
        <v>30-60 Days</v>
      </c>
      <c r="Z471" s="110"/>
    </row>
    <row r="472" spans="1:26">
      <c r="A472" s="129">
        <v>46104</v>
      </c>
      <c r="B472" s="45" t="s">
        <v>5</v>
      </c>
      <c r="C472" s="45" t="s">
        <v>662</v>
      </c>
      <c r="D472" s="43" t="s">
        <v>1389</v>
      </c>
      <c r="E472" s="99" t="s">
        <v>1571</v>
      </c>
      <c r="F472" s="99" t="s">
        <v>1440</v>
      </c>
      <c r="G472" s="41">
        <v>126266</v>
      </c>
      <c r="H472" s="116">
        <v>88</v>
      </c>
      <c r="I472" s="41">
        <v>10</v>
      </c>
      <c r="J472" s="98">
        <f>I472*H472</f>
        <v>880</v>
      </c>
      <c r="K472" s="60" t="s">
        <v>152</v>
      </c>
      <c r="L472" s="60" t="s">
        <v>1594</v>
      </c>
      <c r="M472" s="60" t="str" cm="1">
        <f t="array" ref="M472:N472">VLOOKUP(Q472,[1]CFPL!$A:$D,{3,4},0)</f>
        <v>DATES</v>
      </c>
      <c r="N472" s="60" t="str">
        <v>Seedless</v>
      </c>
      <c r="O472" s="60" t="s">
        <v>325</v>
      </c>
      <c r="P472" s="60" t="s">
        <v>1595</v>
      </c>
      <c r="Q472" s="60" t="s">
        <v>326</v>
      </c>
      <c r="R472" s="45" t="s">
        <v>250</v>
      </c>
      <c r="S472" s="45" t="s">
        <v>5</v>
      </c>
      <c r="T472" s="45" t="s">
        <v>247</v>
      </c>
      <c r="U472" s="119">
        <v>126</v>
      </c>
      <c r="V472" s="62">
        <f>U472*J472</f>
        <v>110880</v>
      </c>
      <c r="W472" s="63">
        <f ca="1">$W$4-A472</f>
        <v>50</v>
      </c>
      <c r="X472" s="52" t="str">
        <f ca="1">VLOOKUP(W472,$AA$2:$AB$6,2)</f>
        <v>&lt; 6 Months</v>
      </c>
      <c r="Y472" s="52" t="str">
        <f ca="1">VLOOKUP(W472,$AD$2:$AE$6,2)</f>
        <v>30-60 Days</v>
      </c>
      <c r="Z472" s="110"/>
    </row>
    <row r="473" spans="1:26">
      <c r="A473" s="129">
        <v>46104</v>
      </c>
      <c r="B473" s="45" t="s">
        <v>5</v>
      </c>
      <c r="C473" s="45" t="s">
        <v>662</v>
      </c>
      <c r="D473" s="43" t="s">
        <v>1389</v>
      </c>
      <c r="E473" s="99" t="s">
        <v>1571</v>
      </c>
      <c r="F473" s="99" t="s">
        <v>259</v>
      </c>
      <c r="G473" s="41">
        <v>126267</v>
      </c>
      <c r="H473" s="116">
        <v>38</v>
      </c>
      <c r="I473" s="41">
        <v>10</v>
      </c>
      <c r="J473" s="98">
        <f>I473*H473</f>
        <v>380</v>
      </c>
      <c r="K473" s="60" t="s">
        <v>152</v>
      </c>
      <c r="L473" s="60" t="s">
        <v>1208</v>
      </c>
      <c r="M473" s="60" t="str" cm="1">
        <f t="array" ref="M473:N473">VLOOKUP(Q473,[1]CDPL!$A:$D,{3,4},0)</f>
        <v>DATES</v>
      </c>
      <c r="N473" s="60" t="str">
        <v>Fard</v>
      </c>
      <c r="O473" s="60" t="s">
        <v>325</v>
      </c>
      <c r="P473" s="60" t="s">
        <v>1210</v>
      </c>
      <c r="Q473" s="60" t="s">
        <v>1209</v>
      </c>
      <c r="R473" s="45" t="s">
        <v>250</v>
      </c>
      <c r="S473" s="45" t="s">
        <v>5</v>
      </c>
      <c r="T473" s="45" t="s">
        <v>247</v>
      </c>
      <c r="U473" s="119">
        <v>126</v>
      </c>
      <c r="V473" s="62">
        <f>U473*J473</f>
        <v>47880</v>
      </c>
      <c r="W473" s="63">
        <f ca="1">$W$4-A473</f>
        <v>50</v>
      </c>
      <c r="X473" s="52" t="str">
        <f ca="1">VLOOKUP(W473,$AA$2:$AB$6,2)</f>
        <v>&lt; 6 Months</v>
      </c>
      <c r="Y473" s="52" t="str">
        <f ca="1">VLOOKUP(W473,$AD$2:$AE$6,2)</f>
        <v>30-60 Days</v>
      </c>
      <c r="Z473" s="110"/>
    </row>
    <row r="474" spans="1:26">
      <c r="A474" s="129">
        <v>46107</v>
      </c>
      <c r="B474" s="45" t="s">
        <v>5</v>
      </c>
      <c r="C474" s="45" t="s">
        <v>662</v>
      </c>
      <c r="D474" s="43" t="s">
        <v>1389</v>
      </c>
      <c r="E474" s="99" t="s">
        <v>1297</v>
      </c>
      <c r="F474" s="99"/>
      <c r="G474" s="41">
        <v>126353</v>
      </c>
      <c r="H474" s="116">
        <v>26</v>
      </c>
      <c r="I474" s="41">
        <v>6</v>
      </c>
      <c r="J474" s="98">
        <f>I474*H474</f>
        <v>156</v>
      </c>
      <c r="K474" s="60" t="s">
        <v>152</v>
      </c>
      <c r="L474" s="60" t="s">
        <v>1299</v>
      </c>
      <c r="M474" s="60" t="str" cm="1">
        <f t="array" ref="M474:N474">VLOOKUP(Q474,[1]CFPL!$A:$D,{3,4},0)</f>
        <v>DATES</v>
      </c>
      <c r="N474" s="60" t="str">
        <v>Kimia</v>
      </c>
      <c r="O474" s="60" t="s">
        <v>1232</v>
      </c>
      <c r="P474" s="60" t="s">
        <v>1461</v>
      </c>
      <c r="Q474" s="60" t="s">
        <v>1300</v>
      </c>
      <c r="R474" s="45" t="s">
        <v>250</v>
      </c>
      <c r="S474" s="45" t="s">
        <v>5</v>
      </c>
      <c r="T474" s="45" t="s">
        <v>1429</v>
      </c>
      <c r="U474" s="126">
        <v>260</v>
      </c>
      <c r="V474" s="62">
        <f>U474*J474</f>
        <v>40560</v>
      </c>
      <c r="W474" s="63">
        <f ca="1">$W$4-A474</f>
        <v>47</v>
      </c>
      <c r="X474" s="52" t="str">
        <f ca="1">VLOOKUP(W474,$AA$2:$AB$6,2)</f>
        <v>&lt; 6 Months</v>
      </c>
      <c r="Y474" s="52" t="str">
        <f ca="1">VLOOKUP(W474,$AD$2:$AE$6,2)</f>
        <v>30-60 Days</v>
      </c>
      <c r="Z474" s="110"/>
    </row>
    <row r="475" spans="1:26">
      <c r="A475" s="129">
        <v>46111</v>
      </c>
      <c r="B475" s="45" t="s">
        <v>5</v>
      </c>
      <c r="C475" s="45" t="s">
        <v>662</v>
      </c>
      <c r="D475" s="43" t="s">
        <v>1389</v>
      </c>
      <c r="E475" s="99" t="s">
        <v>1401</v>
      </c>
      <c r="F475" s="99" t="s">
        <v>259</v>
      </c>
      <c r="G475" s="41">
        <v>126441</v>
      </c>
      <c r="H475" s="116">
        <v>500</v>
      </c>
      <c r="I475" s="41">
        <v>10</v>
      </c>
      <c r="J475" s="98">
        <f>I475*H475</f>
        <v>5000</v>
      </c>
      <c r="K475" s="60" t="s">
        <v>152</v>
      </c>
      <c r="L475" s="60" t="s">
        <v>1404</v>
      </c>
      <c r="M475" s="60" t="str" cm="1">
        <f t="array" ref="M475:N475">VLOOKUP(Q475,[1]CDPL!$A:$D,{3,4},0)</f>
        <v>DATES</v>
      </c>
      <c r="N475" s="60" t="str">
        <v>Fard</v>
      </c>
      <c r="O475" s="60" t="s">
        <v>1402</v>
      </c>
      <c r="P475" s="60" t="s">
        <v>1403</v>
      </c>
      <c r="Q475" s="60" t="s">
        <v>261</v>
      </c>
      <c r="R475" s="45" t="s">
        <v>250</v>
      </c>
      <c r="S475" s="45" t="s">
        <v>5</v>
      </c>
      <c r="T475" s="45" t="s">
        <v>255</v>
      </c>
      <c r="U475" s="119">
        <v>215</v>
      </c>
      <c r="V475" s="62">
        <f>U475*J475</f>
        <v>1075000</v>
      </c>
      <c r="W475" s="63">
        <f ca="1">$W$4-A475</f>
        <v>43</v>
      </c>
      <c r="X475" s="52" t="str">
        <f ca="1">VLOOKUP(W475,$AA$2:$AB$6,2)</f>
        <v>&lt; 6 Months</v>
      </c>
      <c r="Y475" s="52" t="str">
        <f ca="1">VLOOKUP(W475,$AD$2:$AE$6,2)</f>
        <v>30-60 Days</v>
      </c>
      <c r="Z475" s="110"/>
    </row>
    <row r="476" spans="1:26">
      <c r="A476" s="129">
        <v>46114</v>
      </c>
      <c r="B476" s="45" t="s">
        <v>5</v>
      </c>
      <c r="C476" s="45" t="s">
        <v>662</v>
      </c>
      <c r="D476" s="43" t="s">
        <v>1709</v>
      </c>
      <c r="E476" s="99" t="s">
        <v>365</v>
      </c>
      <c r="F476" s="99" t="s">
        <v>1377</v>
      </c>
      <c r="G476" s="41">
        <v>126495</v>
      </c>
      <c r="H476" s="116">
        <f>80-42</f>
        <v>38</v>
      </c>
      <c r="I476" s="41">
        <v>6</v>
      </c>
      <c r="J476" s="98">
        <f>I476*H476</f>
        <v>228</v>
      </c>
      <c r="K476" s="60" t="s">
        <v>152</v>
      </c>
      <c r="L476" s="60" t="s">
        <v>1299</v>
      </c>
      <c r="M476" s="60" t="str" cm="1">
        <f t="array" ref="M476:N476">VLOOKUP(Q476,[1]CFPL!$A:$D,{3,4},0)</f>
        <v>DATES</v>
      </c>
      <c r="N476" s="60" t="str">
        <v>Kimia</v>
      </c>
      <c r="O476" s="60" t="s">
        <v>1232</v>
      </c>
      <c r="P476" s="60" t="s">
        <v>1461</v>
      </c>
      <c r="Q476" s="60" t="s">
        <v>1300</v>
      </c>
      <c r="R476" s="45" t="s">
        <v>250</v>
      </c>
      <c r="S476" s="45" t="s">
        <v>5</v>
      </c>
      <c r="T476" s="45" t="s">
        <v>1429</v>
      </c>
      <c r="U476" s="126">
        <v>260</v>
      </c>
      <c r="V476" s="62">
        <f>U476*J476</f>
        <v>59280</v>
      </c>
      <c r="W476" s="63">
        <f ca="1">$W$4-A476</f>
        <v>40</v>
      </c>
      <c r="X476" s="52" t="str">
        <f ca="1">VLOOKUP(W476,$AA$2:$AB$6,2)</f>
        <v>&lt; 6 Months</v>
      </c>
      <c r="Y476" s="52" t="str">
        <f ca="1">VLOOKUP(W476,$AD$2:$AE$6,2)</f>
        <v>30-60 Days</v>
      </c>
      <c r="Z476" s="110"/>
    </row>
    <row r="477" spans="1:26">
      <c r="A477" s="129">
        <v>46120</v>
      </c>
      <c r="B477" s="45" t="s">
        <v>5</v>
      </c>
      <c r="C477" s="45" t="s">
        <v>662</v>
      </c>
      <c r="D477" s="43" t="s">
        <v>1709</v>
      </c>
      <c r="E477" s="99" t="s">
        <v>1710</v>
      </c>
      <c r="F477" s="99" t="s">
        <v>1569</v>
      </c>
      <c r="G477" s="41">
        <v>126646</v>
      </c>
      <c r="H477" s="116">
        <f>1845-250</f>
        <v>1595</v>
      </c>
      <c r="I477" s="41">
        <v>6.79</v>
      </c>
      <c r="J477" s="98">
        <f>I477*H477</f>
        <v>10830.05</v>
      </c>
      <c r="K477" s="60" t="s">
        <v>152</v>
      </c>
      <c r="L477" s="60" t="s">
        <v>277</v>
      </c>
      <c r="M477" s="60" t="str" cm="1">
        <f t="array" ref="M477:N477">VLOOKUP(Q477,[1]CDPL!$A:$D,{3,4},0)</f>
        <v>DATES</v>
      </c>
      <c r="N477" s="60" t="str">
        <v>Kimia</v>
      </c>
      <c r="O477" s="60" t="s">
        <v>1569</v>
      </c>
      <c r="P477" s="60" t="s">
        <v>279</v>
      </c>
      <c r="Q477" s="60" t="s">
        <v>279</v>
      </c>
      <c r="R477" s="45" t="s">
        <v>250</v>
      </c>
      <c r="S477" s="45" t="s">
        <v>5</v>
      </c>
      <c r="T477" s="45" t="s">
        <v>255</v>
      </c>
      <c r="U477" s="119">
        <v>213</v>
      </c>
      <c r="V477" s="62">
        <f>U477*J477</f>
        <v>2306800.65</v>
      </c>
      <c r="W477" s="63">
        <f ca="1">$W$4-A477</f>
        <v>34</v>
      </c>
      <c r="X477" s="52" t="str">
        <f ca="1">VLOOKUP(W477,$AA$2:$AB$6,2)</f>
        <v>&lt; 6 Months</v>
      </c>
      <c r="Y477" s="52" t="str">
        <f ca="1">VLOOKUP(W477,$AD$2:$AE$6,2)</f>
        <v>30-60 Days</v>
      </c>
      <c r="Z477" s="110"/>
    </row>
    <row r="478" spans="1:26">
      <c r="A478" s="129">
        <v>46127</v>
      </c>
      <c r="B478" s="45" t="s">
        <v>5</v>
      </c>
      <c r="C478" s="45" t="s">
        <v>662</v>
      </c>
      <c r="D478" s="43" t="s">
        <v>1389</v>
      </c>
      <c r="E478" s="99" t="s">
        <v>1571</v>
      </c>
      <c r="F478" s="99" t="s">
        <v>1729</v>
      </c>
      <c r="G478" s="41">
        <v>126828</v>
      </c>
      <c r="H478" s="116">
        <f>347-5-100</f>
        <v>242</v>
      </c>
      <c r="I478" s="41">
        <v>10</v>
      </c>
      <c r="J478" s="98">
        <f>I478*H478</f>
        <v>2420</v>
      </c>
      <c r="K478" s="60" t="s">
        <v>152</v>
      </c>
      <c r="L478" s="60" t="s">
        <v>1211</v>
      </c>
      <c r="M478" s="60" t="str" cm="1">
        <f t="array" ref="M478:N478">VLOOKUP(Q478,[1]CFPL!$A:$D,{3,4},0)</f>
        <v>DATES</v>
      </c>
      <c r="N478" s="60" t="str">
        <v>Seedless</v>
      </c>
      <c r="O478" s="60" t="s">
        <v>325</v>
      </c>
      <c r="P478" s="60" t="s">
        <v>159</v>
      </c>
      <c r="Q478" s="60" t="s">
        <v>326</v>
      </c>
      <c r="R478" s="45" t="s">
        <v>250</v>
      </c>
      <c r="S478" s="45" t="s">
        <v>5</v>
      </c>
      <c r="T478" s="45" t="s">
        <v>247</v>
      </c>
      <c r="U478" s="119">
        <v>126</v>
      </c>
      <c r="V478" s="62">
        <f>U478*J478</f>
        <v>304920</v>
      </c>
      <c r="W478" s="63">
        <f ca="1">$W$4-A478</f>
        <v>27</v>
      </c>
      <c r="X478" s="52" t="str">
        <f ca="1">VLOOKUP(W478,$AA$2:$AB$6,2)</f>
        <v>&lt; 6 Months</v>
      </c>
      <c r="Y478" s="52" t="str">
        <f ca="1">VLOOKUP(W478,$AD$2:$AE$6,2)</f>
        <v>&lt;30 Days</v>
      </c>
      <c r="Z478" s="110"/>
    </row>
    <row r="479" spans="1:26">
      <c r="A479" s="129">
        <v>46133</v>
      </c>
      <c r="B479" s="45" t="s">
        <v>5</v>
      </c>
      <c r="C479" s="45" t="s">
        <v>662</v>
      </c>
      <c r="D479" s="43" t="s">
        <v>683</v>
      </c>
      <c r="E479" s="99" t="s">
        <v>1474</v>
      </c>
      <c r="F479" s="99"/>
      <c r="G479" s="41">
        <v>127023</v>
      </c>
      <c r="H479" s="116">
        <v>4</v>
      </c>
      <c r="I479" s="41">
        <v>5</v>
      </c>
      <c r="J479" s="98">
        <f>I479*H479</f>
        <v>20</v>
      </c>
      <c r="K479" s="60" t="s">
        <v>152</v>
      </c>
      <c r="L479" s="60" t="s">
        <v>1475</v>
      </c>
      <c r="M479" s="60" t="str" cm="1">
        <f t="array" ref="M479:N479">VLOOKUP(Q479,[1]CDPL!$A:$D,{3,4},0)</f>
        <v>DATES</v>
      </c>
      <c r="N479" s="60" t="str">
        <v>Maryam</v>
      </c>
      <c r="O479" s="60" t="s">
        <v>1191</v>
      </c>
      <c r="P479" s="60" t="s">
        <v>1479</v>
      </c>
      <c r="Q479" s="60" t="s">
        <v>1478</v>
      </c>
      <c r="R479" s="45" t="s">
        <v>250</v>
      </c>
      <c r="S479" s="45" t="s">
        <v>5</v>
      </c>
      <c r="T479" s="45" t="s">
        <v>255</v>
      </c>
      <c r="U479" s="119">
        <v>490</v>
      </c>
      <c r="V479" s="62">
        <f>U479*J479</f>
        <v>9800</v>
      </c>
      <c r="W479" s="63">
        <f ca="1">$W$4-A479</f>
        <v>21</v>
      </c>
      <c r="X479" s="52" t="str">
        <f ca="1">VLOOKUP(W479,$AA$2:$AB$6,2)</f>
        <v>&lt; 6 Months</v>
      </c>
      <c r="Y479" s="52" t="str">
        <f ca="1">VLOOKUP(W479,$AD$2:$AE$6,2)</f>
        <v>&lt;30 Days</v>
      </c>
      <c r="Z479" s="110"/>
    </row>
    <row r="480" spans="1:26">
      <c r="A480" s="129">
        <v>46133</v>
      </c>
      <c r="B480" s="45" t="s">
        <v>5</v>
      </c>
      <c r="C480" s="45" t="s">
        <v>662</v>
      </c>
      <c r="D480" s="43" t="s">
        <v>1389</v>
      </c>
      <c r="E480" s="99" t="s">
        <v>1364</v>
      </c>
      <c r="F480" s="99"/>
      <c r="G480" s="41">
        <v>127024</v>
      </c>
      <c r="H480" s="116">
        <v>2</v>
      </c>
      <c r="I480" s="41">
        <v>10</v>
      </c>
      <c r="J480" s="98">
        <f>I480*H480</f>
        <v>20</v>
      </c>
      <c r="K480" s="60" t="s">
        <v>152</v>
      </c>
      <c r="L480" s="60" t="s">
        <v>1364</v>
      </c>
      <c r="M480" s="60" t="str" cm="1">
        <f t="array" ref="M480:N480">VLOOKUP(Q480,[1]CFPL!$A:$D,{3,4},0)</f>
        <v>DATES</v>
      </c>
      <c r="N480" s="60" t="str">
        <v>Egyptian</v>
      </c>
      <c r="O480" s="60" t="s">
        <v>1191</v>
      </c>
      <c r="P480" s="60" t="s">
        <v>1365</v>
      </c>
      <c r="Q480" s="60" t="s">
        <v>1365</v>
      </c>
      <c r="R480" s="45" t="s">
        <v>250</v>
      </c>
      <c r="S480" s="45" t="s">
        <v>5</v>
      </c>
      <c r="T480" s="45" t="s">
        <v>1366</v>
      </c>
      <c r="U480" s="119">
        <v>100</v>
      </c>
      <c r="V480" s="62">
        <f>U480*J480</f>
        <v>2000</v>
      </c>
      <c r="W480" s="63">
        <f ca="1">$W$4-A480</f>
        <v>21</v>
      </c>
      <c r="X480" s="52" t="str">
        <f ca="1">VLOOKUP(W480,$AA$2:$AB$6,2)</f>
        <v>&lt; 6 Months</v>
      </c>
      <c r="Y480" s="52" t="str">
        <f ca="1">VLOOKUP(W480,$AD$2:$AE$6,2)</f>
        <v>&lt;30 Days</v>
      </c>
      <c r="Z480" s="110"/>
    </row>
    <row r="481" spans="1:26">
      <c r="A481" s="129">
        <v>46133</v>
      </c>
      <c r="B481" s="45" t="s">
        <v>5</v>
      </c>
      <c r="C481" s="45" t="s">
        <v>662</v>
      </c>
      <c r="D481" s="43" t="s">
        <v>1389</v>
      </c>
      <c r="E481" s="99" t="s">
        <v>1452</v>
      </c>
      <c r="F481" s="99"/>
      <c r="G481" s="41">
        <v>127025</v>
      </c>
      <c r="H481" s="116">
        <v>74</v>
      </c>
      <c r="I481" s="41">
        <v>10</v>
      </c>
      <c r="J481" s="98">
        <f>I481*H481</f>
        <v>740</v>
      </c>
      <c r="K481" s="60" t="s">
        <v>152</v>
      </c>
      <c r="L481" s="60" t="s">
        <v>1453</v>
      </c>
      <c r="M481" s="60" t="str" cm="1">
        <f t="array" ref="M481:N481">VLOOKUP(Q481,[1]CDPL!$A:$D,{3,4},0)</f>
        <v>DATES</v>
      </c>
      <c r="N481" s="60" t="str">
        <v>Fard</v>
      </c>
      <c r="O481" s="60" t="s">
        <v>1191</v>
      </c>
      <c r="P481" s="60" t="s">
        <v>1455</v>
      </c>
      <c r="Q481" s="60" t="s">
        <v>1455</v>
      </c>
      <c r="R481" s="45" t="s">
        <v>250</v>
      </c>
      <c r="S481" s="45" t="s">
        <v>5</v>
      </c>
      <c r="T481" s="45" t="s">
        <v>247</v>
      </c>
      <c r="U481" s="119">
        <v>200</v>
      </c>
      <c r="V481" s="62">
        <f>U481*J481</f>
        <v>148000</v>
      </c>
      <c r="W481" s="63">
        <f ca="1">$W$4-A481</f>
        <v>21</v>
      </c>
      <c r="X481" s="52" t="str">
        <f ca="1">VLOOKUP(W481,$AA$2:$AB$6,2)</f>
        <v>&lt; 6 Months</v>
      </c>
      <c r="Y481" s="52" t="str">
        <f ca="1">VLOOKUP(W481,$AD$2:$AE$6,2)</f>
        <v>&lt;30 Days</v>
      </c>
      <c r="Z481" s="110"/>
    </row>
    <row r="482" spans="1:26">
      <c r="A482" s="129">
        <v>46133</v>
      </c>
      <c r="B482" s="45" t="s">
        <v>5</v>
      </c>
      <c r="C482" s="45" t="s">
        <v>662</v>
      </c>
      <c r="D482" s="43" t="s">
        <v>1709</v>
      </c>
      <c r="E482" s="99" t="s">
        <v>1710</v>
      </c>
      <c r="F482" s="99"/>
      <c r="G482" s="41">
        <v>127026</v>
      </c>
      <c r="H482" s="116">
        <v>144</v>
      </c>
      <c r="I482" s="41">
        <v>6</v>
      </c>
      <c r="J482" s="98">
        <f>I482*H482</f>
        <v>864</v>
      </c>
      <c r="K482" s="60" t="s">
        <v>152</v>
      </c>
      <c r="L482" s="60" t="s">
        <v>1802</v>
      </c>
      <c r="M482" s="60" t="str" cm="1">
        <f t="array" ref="M482:N482">VLOOKUP(Q482,[1]CDPL!$A:$D,{3,4},0)</f>
        <v>DATES</v>
      </c>
      <c r="N482" s="60" t="str">
        <v>Kimia</v>
      </c>
      <c r="O482" s="60" t="s">
        <v>1803</v>
      </c>
      <c r="P482" s="60" t="s">
        <v>1477</v>
      </c>
      <c r="Q482" s="60" t="s">
        <v>279</v>
      </c>
      <c r="R482" s="45" t="s">
        <v>250</v>
      </c>
      <c r="S482" s="45" t="s">
        <v>5</v>
      </c>
      <c r="T482" s="45" t="s">
        <v>255</v>
      </c>
      <c r="U482" s="119">
        <v>200</v>
      </c>
      <c r="V482" s="62">
        <f>U482*J482</f>
        <v>172800</v>
      </c>
      <c r="W482" s="63">
        <f ca="1">$W$4-A482</f>
        <v>21</v>
      </c>
      <c r="X482" s="52" t="str">
        <f ca="1">VLOOKUP(W482,$AA$2:$AB$6,2)</f>
        <v>&lt; 6 Months</v>
      </c>
      <c r="Y482" s="52" t="str">
        <f ca="1">VLOOKUP(W482,$AD$2:$AE$6,2)</f>
        <v>&lt;30 Days</v>
      </c>
      <c r="Z482" s="110"/>
    </row>
    <row r="483" spans="1:26">
      <c r="A483" s="129">
        <v>46141</v>
      </c>
      <c r="B483" s="45" t="s">
        <v>5</v>
      </c>
      <c r="C483" s="45" t="s">
        <v>662</v>
      </c>
      <c r="D483" s="43" t="s">
        <v>1389</v>
      </c>
      <c r="E483" s="99" t="s">
        <v>1870</v>
      </c>
      <c r="F483" s="99"/>
      <c r="G483" s="41">
        <v>127181</v>
      </c>
      <c r="H483" s="116">
        <f>2228-6-500</f>
        <v>1722</v>
      </c>
      <c r="I483" s="41">
        <v>10</v>
      </c>
      <c r="J483" s="98">
        <f t="shared" ref="J456:J487" si="0">I483*H483</f>
        <v>17220</v>
      </c>
      <c r="K483" s="60" t="s">
        <v>152</v>
      </c>
      <c r="L483" s="60" t="s">
        <v>1871</v>
      </c>
      <c r="M483" s="60" t="str" cm="1">
        <f t="array" ref="M483:N483">VLOOKUP(Q483,[1]CFPL!$A:$D,{3,4},0)</f>
        <v>DATES</v>
      </c>
      <c r="N483" s="60" t="str">
        <v>Khalas</v>
      </c>
      <c r="O483" s="60" t="s">
        <v>1569</v>
      </c>
      <c r="P483" s="60" t="s">
        <v>1387</v>
      </c>
      <c r="Q483" s="60" t="s">
        <v>1387</v>
      </c>
      <c r="R483" s="45" t="s">
        <v>250</v>
      </c>
      <c r="S483" s="45" t="s">
        <v>5</v>
      </c>
      <c r="T483" s="45" t="s">
        <v>255</v>
      </c>
      <c r="U483" s="119">
        <v>115</v>
      </c>
      <c r="V483" s="62">
        <f>U483*J483</f>
        <v>1980300</v>
      </c>
      <c r="W483" s="63">
        <f ca="1">$W$4-A483</f>
        <v>13</v>
      </c>
      <c r="X483" s="52" t="str">
        <f t="shared" ref="X476:X483" ca="1" si="1">VLOOKUP(W483,$AA$2:$AB$6,2)</f>
        <v>&lt; 6 Months</v>
      </c>
      <c r="Y483" s="52" t="str">
        <f ca="1">VLOOKUP(W483,$AD$2:$AE$6,2)</f>
        <v>&lt;30 Days</v>
      </c>
      <c r="Z483" s="110"/>
    </row>
    <row r="484" spans="1:26">
      <c r="A484" s="129">
        <v>46141</v>
      </c>
      <c r="B484" s="45" t="s">
        <v>5</v>
      </c>
      <c r="C484" s="45" t="s">
        <v>662</v>
      </c>
      <c r="D484" s="43" t="s">
        <v>1389</v>
      </c>
      <c r="E484" s="99" t="s">
        <v>325</v>
      </c>
      <c r="F484" s="99"/>
      <c r="G484" s="41">
        <v>127182</v>
      </c>
      <c r="H484" s="116">
        <f>98</f>
        <v>98</v>
      </c>
      <c r="I484" s="41">
        <v>10</v>
      </c>
      <c r="J484" s="98">
        <f t="shared" si="0"/>
        <v>980</v>
      </c>
      <c r="K484" s="60" t="s">
        <v>152</v>
      </c>
      <c r="L484" s="60" t="s">
        <v>1872</v>
      </c>
      <c r="M484" s="60" t="str" cm="1">
        <f t="array" ref="M484:N484">VLOOKUP(Q484,[1]CFPL!$A:$D,{3,4},0)</f>
        <v>DATES</v>
      </c>
      <c r="N484" s="60" t="str">
        <v>Seedless</v>
      </c>
      <c r="O484" s="60" t="s">
        <v>1569</v>
      </c>
      <c r="P484" s="60" t="s">
        <v>1873</v>
      </c>
      <c r="Q484" s="60" t="s">
        <v>326</v>
      </c>
      <c r="R484" s="45" t="s">
        <v>250</v>
      </c>
      <c r="S484" s="45" t="s">
        <v>5</v>
      </c>
      <c r="T484" s="45" t="s">
        <v>255</v>
      </c>
      <c r="U484" s="119">
        <v>135</v>
      </c>
      <c r="V484" s="62">
        <f>U484*J484</f>
        <v>132300</v>
      </c>
      <c r="W484" s="63">
        <f ca="1">$W$4-A484</f>
        <v>13</v>
      </c>
      <c r="X484" s="52" t="str">
        <f t="shared" ref="X484:X486" ca="1" si="2">VLOOKUP(W484,$AA$2:$AB$6,2)</f>
        <v>&lt; 6 Months</v>
      </c>
      <c r="Y484" s="52" t="str">
        <f ca="1">VLOOKUP(W484,$AD$2:$AE$6,2)</f>
        <v>&lt;30 Days</v>
      </c>
      <c r="Z484" s="110"/>
    </row>
    <row r="485" spans="1:26">
      <c r="A485" s="129">
        <v>46149</v>
      </c>
      <c r="B485" s="45" t="s">
        <v>5</v>
      </c>
      <c r="C485" s="45" t="s">
        <v>662</v>
      </c>
      <c r="D485" s="43" t="s">
        <v>1389</v>
      </c>
      <c r="E485" s="99" t="s">
        <v>1887</v>
      </c>
      <c r="F485" s="99"/>
      <c r="G485" s="41">
        <v>127436</v>
      </c>
      <c r="H485" s="116">
        <v>9</v>
      </c>
      <c r="I485" s="41">
        <v>10</v>
      </c>
      <c r="J485" s="98">
        <f t="shared" si="0"/>
        <v>90</v>
      </c>
      <c r="K485" s="60" t="s">
        <v>152</v>
      </c>
      <c r="L485" s="60" t="s">
        <v>1364</v>
      </c>
      <c r="M485" s="60" t="str" cm="1">
        <f t="array" ref="M485:N485">VLOOKUP(Q485,[1]CFPL!$A:$D,{3,4},0)</f>
        <v>DATES</v>
      </c>
      <c r="N485" s="60" t="str">
        <v>Egyptian</v>
      </c>
      <c r="O485" s="60" t="s">
        <v>1429</v>
      </c>
      <c r="P485" s="60" t="s">
        <v>1365</v>
      </c>
      <c r="Q485" s="60" t="s">
        <v>1365</v>
      </c>
      <c r="R485" s="45" t="s">
        <v>250</v>
      </c>
      <c r="S485" s="45" t="s">
        <v>5</v>
      </c>
      <c r="T485" s="45" t="s">
        <v>1366</v>
      </c>
      <c r="U485" s="119">
        <v>100</v>
      </c>
      <c r="V485" s="62">
        <f>U485*J485</f>
        <v>9000</v>
      </c>
      <c r="W485" s="63">
        <f ca="1">$W$4-A485</f>
        <v>5</v>
      </c>
      <c r="X485" s="52" t="str">
        <f t="shared" ca="1" si="2"/>
        <v>&lt; 6 Months</v>
      </c>
      <c r="Y485" s="52" t="str">
        <f ca="1">VLOOKUP(W485,$AD$2:$AE$6,2)</f>
        <v>&lt;30 Days</v>
      </c>
      <c r="Z485" s="110"/>
    </row>
    <row r="486" spans="1:26">
      <c r="A486" s="129">
        <v>46149</v>
      </c>
      <c r="B486" s="45" t="s">
        <v>5</v>
      </c>
      <c r="C486" s="45" t="s">
        <v>662</v>
      </c>
      <c r="D486" s="43" t="s">
        <v>1389</v>
      </c>
      <c r="E486" s="99" t="s">
        <v>365</v>
      </c>
      <c r="F486" s="99"/>
      <c r="G486" s="41">
        <v>127437</v>
      </c>
      <c r="H486" s="116">
        <v>5</v>
      </c>
      <c r="I486" s="41">
        <v>10</v>
      </c>
      <c r="J486" s="98">
        <f t="shared" si="0"/>
        <v>50</v>
      </c>
      <c r="K486" s="60" t="s">
        <v>152</v>
      </c>
      <c r="L486" s="60" t="s">
        <v>1211</v>
      </c>
      <c r="M486" s="60" t="str" cm="1">
        <f t="array" ref="M486:N486">VLOOKUP(Q486,[1]CFPL!$A:$D,{3,4},0)</f>
        <v>DATES</v>
      </c>
      <c r="N486" s="60" t="str">
        <v>Seedless</v>
      </c>
      <c r="O486" s="60" t="s">
        <v>1429</v>
      </c>
      <c r="P486" s="60" t="s">
        <v>159</v>
      </c>
      <c r="Q486" s="60" t="s">
        <v>326</v>
      </c>
      <c r="R486" s="45" t="s">
        <v>250</v>
      </c>
      <c r="S486" s="45" t="s">
        <v>5</v>
      </c>
      <c r="T486" s="45" t="s">
        <v>247</v>
      </c>
      <c r="U486" s="119">
        <v>126</v>
      </c>
      <c r="V486" s="62">
        <f>U486*J486</f>
        <v>6300</v>
      </c>
      <c r="W486" s="63">
        <f ca="1">$W$4-A486</f>
        <v>5</v>
      </c>
      <c r="X486" s="52" t="str">
        <f t="shared" ca="1" si="2"/>
        <v>&lt; 6 Months</v>
      </c>
      <c r="Y486" s="52" t="str">
        <f ca="1">VLOOKUP(W486,$AD$2:$AE$6,2)</f>
        <v>&lt;30 Days</v>
      </c>
      <c r="Z486" s="110"/>
    </row>
    <row r="487" spans="1:26">
      <c r="A487" s="129">
        <v>46104</v>
      </c>
      <c r="B487" s="45" t="s">
        <v>1390</v>
      </c>
      <c r="C487" s="45">
        <v>23007</v>
      </c>
      <c r="D487" s="43" t="s">
        <v>1389</v>
      </c>
      <c r="E487" s="99" t="s">
        <v>1605</v>
      </c>
      <c r="F487" s="99"/>
      <c r="G487" s="41">
        <v>35038</v>
      </c>
      <c r="H487" s="116">
        <f>2595-500-40</f>
        <v>2055</v>
      </c>
      <c r="I487" s="41">
        <v>10</v>
      </c>
      <c r="J487" s="98">
        <f t="shared" si="0"/>
        <v>20550</v>
      </c>
      <c r="K487" s="60" t="s">
        <v>152</v>
      </c>
      <c r="L487" s="60" t="s">
        <v>672</v>
      </c>
      <c r="M487" s="60" t="str" cm="1">
        <f t="array" ref="M487:N487">VLOOKUP(Q487,[1]CFPL!$A:$D,{3,4},0)</f>
        <v>DATES</v>
      </c>
      <c r="N487" s="60" t="str">
        <v>Sufri</v>
      </c>
      <c r="O487" s="60" t="s">
        <v>1388</v>
      </c>
      <c r="P487" s="60" t="s">
        <v>1606</v>
      </c>
      <c r="Q487" s="60" t="s">
        <v>1656</v>
      </c>
      <c r="R487" s="45" t="s">
        <v>250</v>
      </c>
      <c r="S487" s="45" t="s">
        <v>1390</v>
      </c>
      <c r="T487" s="45" t="s">
        <v>255</v>
      </c>
      <c r="U487" s="119">
        <v>98</v>
      </c>
      <c r="V487" s="62">
        <f>U487*J487</f>
        <v>2013900</v>
      </c>
      <c r="W487" s="63">
        <f ca="1">$W$4-A487</f>
        <v>50</v>
      </c>
      <c r="X487" s="52" t="str">
        <f t="shared" ref="X487" ca="1" si="3">VLOOKUP(W487,$AA$2:$AB$6,2)</f>
        <v>&lt; 6 Months</v>
      </c>
      <c r="Y487" s="52" t="str">
        <f ca="1">VLOOKUP(W487,$AD$2:$AE$6,2)</f>
        <v>30-60 Days</v>
      </c>
      <c r="Z487" s="110"/>
    </row>
  </sheetData>
  <autoFilter ref="A6:AE487" xr:uid="{11FF493A-B0B0-4632-A44E-D2A237930C6F}"/>
  <conditionalFormatting sqref="G9:G10">
    <cfRule type="duplicateValues" dxfId="52" priority="73"/>
    <cfRule type="duplicateValues" dxfId="51" priority="74"/>
  </conditionalFormatting>
  <conditionalFormatting sqref="G263:G267">
    <cfRule type="duplicateValues" dxfId="50" priority="1"/>
    <cfRule type="duplicateValues" dxfId="49" priority="2"/>
    <cfRule type="duplicateValues" dxfId="48" priority="3"/>
    <cfRule type="duplicateValues" dxfId="47" priority="4"/>
  </conditionalFormatting>
  <conditionalFormatting sqref="G411">
    <cfRule type="duplicateValues" dxfId="46" priority="44"/>
    <cfRule type="duplicateValues" dxfId="45" priority="45"/>
  </conditionalFormatting>
  <conditionalFormatting sqref="G412:G413 G1:G6 G11:G262 G268:G410">
    <cfRule type="duplicateValues" dxfId="44" priority="1540"/>
    <cfRule type="duplicateValues" dxfId="43" priority="1541"/>
  </conditionalFormatting>
  <conditionalFormatting sqref="G419">
    <cfRule type="duplicateValues" dxfId="42" priority="18"/>
    <cfRule type="duplicateValues" dxfId="41" priority="19"/>
  </conditionalFormatting>
  <conditionalFormatting sqref="G420:G423 G414:G418 G425:G487">
    <cfRule type="duplicateValues" dxfId="40" priority="1529"/>
    <cfRule type="duplicateValues" dxfId="39" priority="1530"/>
  </conditionalFormatting>
  <conditionalFormatting sqref="G424">
    <cfRule type="duplicateValues" dxfId="38" priority="585"/>
    <cfRule type="duplicateValues" dxfId="37" priority="586"/>
  </conditionalFormatting>
  <conditionalFormatting sqref="G420:G423 G7:G262 G268:G418 G425:G487">
    <cfRule type="duplicateValues" dxfId="36" priority="1563"/>
    <cfRule type="duplicateValues" dxfId="35" priority="1564"/>
  </conditionalFormatting>
  <dataValidations count="1">
    <dataValidation allowBlank="1" showErrorMessage="1" sqref="K6:R6" xr:uid="{5440CC20-4CEE-48FF-9E4E-6638A8359C6C}"/>
  </dataValidations>
  <pageMargins left="0.28999999999999998" right="0.25" top="0.39" bottom="0.25" header="0.26" footer="0.3"/>
  <pageSetup scale="2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EEDA5-8D4C-4E50-A3FB-B62B5D595FA8}">
  <sheetPr>
    <pageSetUpPr fitToPage="1"/>
  </sheetPr>
  <dimension ref="A1:Z412"/>
  <sheetViews>
    <sheetView topLeftCell="A327" zoomScale="72" zoomScaleNormal="91" workbookViewId="0">
      <pane xSplit="10" topLeftCell="K1" activePane="topRight" state="frozen"/>
      <selection activeCell="H674" sqref="H674"/>
      <selection pane="topRight" activeCell="H342" sqref="H342"/>
    </sheetView>
  </sheetViews>
  <sheetFormatPr defaultColWidth="12.453125" defaultRowHeight="14.5"/>
  <cols>
    <col min="1" max="1" width="13.36328125" style="18" customWidth="1"/>
    <col min="2" max="2" width="9.90625" style="18" bestFit="1" customWidth="1"/>
    <col min="3" max="3" width="9.54296875" style="18" customWidth="1"/>
    <col min="4" max="4" width="25.6328125" style="9" customWidth="1"/>
    <col min="5" max="5" width="24.1796875" style="9" customWidth="1"/>
    <col min="6" max="6" width="11.1796875" style="9" customWidth="1"/>
    <col min="7" max="7" width="8" style="17" bestFit="1" customWidth="1"/>
    <col min="8" max="8" width="10.6328125" style="17" customWidth="1"/>
    <col min="9" max="9" width="9.6328125" style="17" customWidth="1"/>
    <col min="10" max="10" width="10.6328125" style="73" bestFit="1" customWidth="1"/>
    <col min="11" max="11" width="15.81640625" style="9" customWidth="1"/>
    <col min="12" max="12" width="17.08984375" style="9" customWidth="1"/>
    <col min="13" max="13" width="14.7265625" style="9" bestFit="1" customWidth="1"/>
    <col min="14" max="14" width="38.90625" style="9" customWidth="1"/>
    <col min="15" max="15" width="35.26953125" style="9" customWidth="1"/>
    <col min="16" max="16" width="12.81640625" style="18" customWidth="1"/>
    <col min="17" max="17" width="13.54296875" style="18" customWidth="1"/>
    <col min="18" max="19" width="12.54296875" style="18" customWidth="1"/>
    <col min="20" max="20" width="11.453125" style="9" bestFit="1" customWidth="1"/>
    <col min="21" max="21" width="13.54296875" style="9" bestFit="1" customWidth="1"/>
    <col min="22" max="22" width="9.90625" style="17" bestFit="1" customWidth="1"/>
    <col min="23" max="24" width="12.453125" style="9"/>
    <col min="25" max="25" width="8.6328125" style="9" bestFit="1" customWidth="1"/>
    <col min="26" max="16384" width="12.453125" style="9"/>
  </cols>
  <sheetData>
    <row r="1" spans="1:26">
      <c r="A1" s="58" t="s">
        <v>223</v>
      </c>
      <c r="B1" s="39"/>
      <c r="C1" s="39"/>
      <c r="D1" s="40"/>
      <c r="E1" s="40"/>
      <c r="F1" s="40"/>
      <c r="G1" s="39"/>
      <c r="H1" s="39"/>
      <c r="I1" s="41"/>
      <c r="J1" s="42"/>
      <c r="K1" s="43"/>
      <c r="L1" s="44"/>
      <c r="M1" s="43"/>
      <c r="N1" s="43"/>
      <c r="O1" s="43"/>
      <c r="P1" s="45"/>
      <c r="Q1" s="45"/>
      <c r="R1" s="45"/>
      <c r="S1" s="45"/>
      <c r="T1" s="1"/>
      <c r="U1" s="1"/>
      <c r="V1" s="41"/>
      <c r="W1" s="1"/>
      <c r="Y1" s="59" t="s">
        <v>787</v>
      </c>
      <c r="Z1" s="59" t="s">
        <v>781</v>
      </c>
    </row>
    <row r="2" spans="1:26">
      <c r="A2" s="39" t="s">
        <v>224</v>
      </c>
      <c r="B2" s="46">
        <f ca="1">TODAY()</f>
        <v>46154</v>
      </c>
      <c r="C2" s="39"/>
      <c r="D2" s="40"/>
      <c r="E2" s="40"/>
      <c r="F2" s="40"/>
      <c r="G2" s="39"/>
      <c r="H2" s="39"/>
      <c r="I2" s="41"/>
      <c r="J2" s="42"/>
      <c r="K2" s="47"/>
      <c r="L2" s="48"/>
      <c r="M2" s="43"/>
      <c r="N2" s="43"/>
      <c r="O2" s="43"/>
      <c r="P2" s="45"/>
      <c r="Q2" s="45"/>
      <c r="R2" s="45"/>
      <c r="S2" s="45"/>
      <c r="T2" s="1"/>
      <c r="U2" s="1"/>
      <c r="V2" s="41"/>
      <c r="W2" s="1"/>
      <c r="Y2" s="61">
        <v>0</v>
      </c>
      <c r="Z2" s="61" t="s">
        <v>783</v>
      </c>
    </row>
    <row r="3" spans="1:26">
      <c r="A3" s="39" t="s">
        <v>225</v>
      </c>
      <c r="B3" s="46">
        <f ca="1">TODAY()-1</f>
        <v>46153</v>
      </c>
      <c r="C3" s="39"/>
      <c r="D3" s="40"/>
      <c r="E3" s="40"/>
      <c r="F3" s="40"/>
      <c r="G3" s="39"/>
      <c r="H3" s="49"/>
      <c r="I3" s="41"/>
      <c r="J3" s="42"/>
      <c r="K3" s="43"/>
      <c r="L3" s="44"/>
      <c r="M3" s="43"/>
      <c r="N3" s="43"/>
      <c r="O3" s="43"/>
      <c r="P3" s="50"/>
      <c r="Q3" s="45"/>
      <c r="R3" s="45"/>
      <c r="S3" s="45"/>
      <c r="T3" s="1"/>
      <c r="U3" s="1"/>
      <c r="V3" s="41"/>
      <c r="W3" s="1"/>
      <c r="Y3" s="61">
        <v>180</v>
      </c>
      <c r="Z3" s="61" t="s">
        <v>812</v>
      </c>
    </row>
    <row r="4" spans="1:26">
      <c r="A4" s="58" t="s">
        <v>226</v>
      </c>
      <c r="B4" s="39"/>
      <c r="C4" s="39"/>
      <c r="D4" s="40"/>
      <c r="E4" s="43"/>
      <c r="F4" s="43"/>
      <c r="G4" s="41"/>
      <c r="H4" s="51"/>
      <c r="I4" s="52"/>
      <c r="J4" s="53">
        <f ca="1">TODAY()-1</f>
        <v>46153</v>
      </c>
      <c r="K4" s="54"/>
      <c r="L4" s="48"/>
      <c r="M4" s="43"/>
      <c r="N4" s="55"/>
      <c r="O4" s="55"/>
      <c r="P4" s="56"/>
      <c r="Q4" s="45"/>
      <c r="R4" s="45"/>
      <c r="S4" s="45"/>
      <c r="T4" s="1"/>
      <c r="U4" s="1"/>
      <c r="V4" s="57">
        <f ca="1">TODAY()</f>
        <v>46154</v>
      </c>
      <c r="W4" s="1"/>
      <c r="X4" s="110"/>
      <c r="Y4" s="61">
        <v>365</v>
      </c>
      <c r="Z4" s="61" t="s">
        <v>784</v>
      </c>
    </row>
    <row r="5" spans="1:26" ht="15.75" customHeight="1">
      <c r="A5" s="39"/>
      <c r="B5" s="39"/>
      <c r="C5" s="39"/>
      <c r="D5" s="58"/>
      <c r="E5" s="43"/>
      <c r="F5" s="43"/>
      <c r="G5" s="41"/>
      <c r="H5" s="121">
        <f>SUBTOTAL(9,H7:H999964)</f>
        <v>92330.93</v>
      </c>
      <c r="I5" s="41"/>
      <c r="J5" s="121">
        <f>SUBTOTAL(9,J7:J999964)</f>
        <v>624011.64600000007</v>
      </c>
      <c r="K5" s="11">
        <v>46019</v>
      </c>
      <c r="L5" s="48"/>
      <c r="M5" s="43"/>
      <c r="N5" s="43"/>
      <c r="O5" s="43"/>
      <c r="P5" s="56"/>
      <c r="Q5" s="45"/>
      <c r="R5" s="45"/>
      <c r="S5" s="45"/>
      <c r="T5" s="1"/>
      <c r="U5" s="121">
        <f>SUBTOTAL(9,U7:U412)</f>
        <v>149854320.50700006</v>
      </c>
      <c r="V5" s="57"/>
      <c r="W5" s="1"/>
      <c r="Y5" s="61">
        <v>540</v>
      </c>
      <c r="Z5" s="61" t="s">
        <v>785</v>
      </c>
    </row>
    <row r="6" spans="1:26" ht="75" customHeight="1">
      <c r="A6" s="122" t="s">
        <v>227</v>
      </c>
      <c r="B6" s="123" t="s">
        <v>228</v>
      </c>
      <c r="C6" s="123" t="s">
        <v>229</v>
      </c>
      <c r="D6" s="123" t="s">
        <v>230</v>
      </c>
      <c r="E6" s="123" t="s">
        <v>231</v>
      </c>
      <c r="F6" s="123" t="s">
        <v>232</v>
      </c>
      <c r="G6" s="123" t="s">
        <v>3</v>
      </c>
      <c r="H6" s="123" t="s">
        <v>233</v>
      </c>
      <c r="I6" s="124" t="s">
        <v>234</v>
      </c>
      <c r="J6" s="125" t="s">
        <v>235</v>
      </c>
      <c r="K6" s="59" t="s">
        <v>0</v>
      </c>
      <c r="L6" s="59" t="s">
        <v>236</v>
      </c>
      <c r="M6" s="59" t="s">
        <v>237</v>
      </c>
      <c r="N6" s="59" t="s">
        <v>2</v>
      </c>
      <c r="O6" s="59" t="s">
        <v>238</v>
      </c>
      <c r="P6" s="59" t="s">
        <v>239</v>
      </c>
      <c r="Q6" s="59" t="s">
        <v>1</v>
      </c>
      <c r="R6" s="59" t="s">
        <v>240</v>
      </c>
      <c r="S6" s="59" t="s">
        <v>241</v>
      </c>
      <c r="T6" s="59" t="s">
        <v>242</v>
      </c>
      <c r="U6" s="59" t="s">
        <v>243</v>
      </c>
      <c r="V6" s="59" t="s">
        <v>244</v>
      </c>
      <c r="W6" s="59" t="s">
        <v>782</v>
      </c>
      <c r="Y6" s="61">
        <v>730</v>
      </c>
      <c r="Z6" s="61" t="s">
        <v>786</v>
      </c>
    </row>
    <row r="7" spans="1:26" s="64" customFormat="1" ht="15" customHeight="1">
      <c r="A7" s="115" t="s">
        <v>266</v>
      </c>
      <c r="B7" s="45" t="s">
        <v>245</v>
      </c>
      <c r="C7" s="45" t="s">
        <v>267</v>
      </c>
      <c r="D7" s="43" t="s">
        <v>252</v>
      </c>
      <c r="E7" s="43" t="s">
        <v>268</v>
      </c>
      <c r="F7" s="43" t="s">
        <v>269</v>
      </c>
      <c r="G7" s="41">
        <v>56059</v>
      </c>
      <c r="H7" s="116">
        <v>45</v>
      </c>
      <c r="I7" s="41">
        <v>10</v>
      </c>
      <c r="J7" s="98">
        <f>I7*H7</f>
        <v>450</v>
      </c>
      <c r="K7" s="60" t="s">
        <v>136</v>
      </c>
      <c r="L7" s="60" t="s">
        <v>842</v>
      </c>
      <c r="M7" s="60" t="s">
        <v>247</v>
      </c>
      <c r="N7" s="60" t="s">
        <v>138</v>
      </c>
      <c r="O7" s="60" t="s">
        <v>138</v>
      </c>
      <c r="P7" s="45" t="s">
        <v>250</v>
      </c>
      <c r="Q7" s="45" t="s">
        <v>6</v>
      </c>
      <c r="R7" s="45" t="s">
        <v>257</v>
      </c>
      <c r="S7" s="45" t="s">
        <v>247</v>
      </c>
      <c r="T7" s="119">
        <v>215</v>
      </c>
      <c r="U7" s="62">
        <f>T7*J7</f>
        <v>96750</v>
      </c>
      <c r="V7" s="63">
        <f ca="1">$V$4-A7</f>
        <v>1023</v>
      </c>
      <c r="W7" s="52" t="str">
        <f ca="1">VLOOKUP(V7,$Y$2:$Z$6,2)</f>
        <v>&gt;24 Months</v>
      </c>
      <c r="Y7" s="61"/>
      <c r="Z7" s="61"/>
    </row>
    <row r="8" spans="1:26" s="64" customFormat="1" ht="15" customHeight="1">
      <c r="A8" s="45" t="s">
        <v>281</v>
      </c>
      <c r="B8" s="45" t="s">
        <v>245</v>
      </c>
      <c r="C8" s="45" t="s">
        <v>282</v>
      </c>
      <c r="D8" s="43" t="s">
        <v>283</v>
      </c>
      <c r="E8" s="43" t="s">
        <v>284</v>
      </c>
      <c r="F8" s="43" t="s">
        <v>285</v>
      </c>
      <c r="G8" s="41">
        <v>77517</v>
      </c>
      <c r="H8" s="116">
        <v>14</v>
      </c>
      <c r="I8" s="41">
        <v>7</v>
      </c>
      <c r="J8" s="98">
        <f t="shared" ref="J8:J71" si="0">I8*H8</f>
        <v>98</v>
      </c>
      <c r="K8" s="60" t="s">
        <v>148</v>
      </c>
      <c r="L8" s="60" t="s">
        <v>1149</v>
      </c>
      <c r="M8" s="60" t="s">
        <v>148</v>
      </c>
      <c r="N8" s="60" t="s">
        <v>11</v>
      </c>
      <c r="O8" s="60" t="s">
        <v>286</v>
      </c>
      <c r="P8" s="45" t="s">
        <v>250</v>
      </c>
      <c r="Q8" s="45" t="s">
        <v>6</v>
      </c>
      <c r="R8" s="45" t="s">
        <v>257</v>
      </c>
      <c r="S8" s="45" t="s">
        <v>287</v>
      </c>
      <c r="T8" s="119">
        <v>241</v>
      </c>
      <c r="U8" s="62">
        <f t="shared" ref="U8:U71" si="1">T8*J8</f>
        <v>23618</v>
      </c>
      <c r="V8" s="63">
        <f t="shared" ref="V8:V71" ca="1" si="2">$V$4-A8</f>
        <v>888</v>
      </c>
      <c r="W8" s="52" t="str">
        <f t="shared" ref="W8:W71" ca="1" si="3">VLOOKUP(V8,$Y$2:$Z$6,2)</f>
        <v>&gt;24 Months</v>
      </c>
      <c r="Y8" s="61"/>
      <c r="Z8" s="61"/>
    </row>
    <row r="9" spans="1:26" s="64" customFormat="1" ht="15" customHeight="1">
      <c r="A9" s="115" t="s">
        <v>281</v>
      </c>
      <c r="B9" s="45" t="s">
        <v>245</v>
      </c>
      <c r="C9" s="45" t="s">
        <v>282</v>
      </c>
      <c r="D9" s="43" t="s">
        <v>283</v>
      </c>
      <c r="E9" s="43" t="s">
        <v>284</v>
      </c>
      <c r="F9" s="43" t="s">
        <v>285</v>
      </c>
      <c r="G9" s="41">
        <v>77517</v>
      </c>
      <c r="H9" s="116">
        <v>9</v>
      </c>
      <c r="I9" s="41">
        <v>7</v>
      </c>
      <c r="J9" s="98">
        <f t="shared" si="0"/>
        <v>63</v>
      </c>
      <c r="K9" s="60" t="s">
        <v>148</v>
      </c>
      <c r="L9" s="60" t="s">
        <v>1149</v>
      </c>
      <c r="M9" s="60" t="s">
        <v>148</v>
      </c>
      <c r="N9" s="60" t="s">
        <v>11</v>
      </c>
      <c r="O9" s="60" t="s">
        <v>286</v>
      </c>
      <c r="P9" s="45" t="s">
        <v>250</v>
      </c>
      <c r="Q9" s="45" t="s">
        <v>6</v>
      </c>
      <c r="R9" s="45" t="s">
        <v>257</v>
      </c>
      <c r="S9" s="45" t="s">
        <v>287</v>
      </c>
      <c r="T9" s="119">
        <v>241</v>
      </c>
      <c r="U9" s="62">
        <f t="shared" si="1"/>
        <v>15183</v>
      </c>
      <c r="V9" s="63">
        <f t="shared" ca="1" si="2"/>
        <v>888</v>
      </c>
      <c r="W9" s="52" t="str">
        <f t="shared" ca="1" si="3"/>
        <v>&gt;24 Months</v>
      </c>
      <c r="Y9" s="61"/>
      <c r="Z9" s="61"/>
    </row>
    <row r="10" spans="1:26" s="64" customFormat="1" ht="15" customHeight="1">
      <c r="A10" s="45" t="s">
        <v>281</v>
      </c>
      <c r="B10" s="45" t="s">
        <v>245</v>
      </c>
      <c r="C10" s="45" t="s">
        <v>282</v>
      </c>
      <c r="D10" s="43" t="s">
        <v>283</v>
      </c>
      <c r="E10" s="43" t="s">
        <v>284</v>
      </c>
      <c r="F10" s="43" t="s">
        <v>285</v>
      </c>
      <c r="G10" s="41">
        <v>77517</v>
      </c>
      <c r="H10" s="116">
        <v>49</v>
      </c>
      <c r="I10" s="41">
        <v>7</v>
      </c>
      <c r="J10" s="98">
        <f t="shared" si="0"/>
        <v>343</v>
      </c>
      <c r="K10" s="60" t="s">
        <v>148</v>
      </c>
      <c r="L10" s="60" t="s">
        <v>1149</v>
      </c>
      <c r="M10" s="60" t="s">
        <v>148</v>
      </c>
      <c r="N10" s="60" t="s">
        <v>11</v>
      </c>
      <c r="O10" s="60" t="s">
        <v>286</v>
      </c>
      <c r="P10" s="45" t="s">
        <v>250</v>
      </c>
      <c r="Q10" s="45" t="s">
        <v>6</v>
      </c>
      <c r="R10" s="45" t="s">
        <v>257</v>
      </c>
      <c r="S10" s="45" t="s">
        <v>287</v>
      </c>
      <c r="T10" s="119">
        <v>241</v>
      </c>
      <c r="U10" s="62">
        <f t="shared" si="1"/>
        <v>82663</v>
      </c>
      <c r="V10" s="63">
        <f t="shared" ca="1" si="2"/>
        <v>888</v>
      </c>
      <c r="W10" s="52" t="str">
        <f t="shared" ca="1" si="3"/>
        <v>&gt;24 Months</v>
      </c>
      <c r="Y10" s="61"/>
      <c r="Z10" s="61"/>
    </row>
    <row r="11" spans="1:26" s="64" customFormat="1" ht="15" customHeight="1">
      <c r="A11" s="45" t="s">
        <v>281</v>
      </c>
      <c r="B11" s="45" t="s">
        <v>245</v>
      </c>
      <c r="C11" s="45" t="s">
        <v>282</v>
      </c>
      <c r="D11" s="43" t="s">
        <v>283</v>
      </c>
      <c r="E11" s="43" t="s">
        <v>284</v>
      </c>
      <c r="F11" s="43" t="s">
        <v>285</v>
      </c>
      <c r="G11" s="41">
        <v>77517</v>
      </c>
      <c r="H11" s="116">
        <v>3</v>
      </c>
      <c r="I11" s="41">
        <v>7</v>
      </c>
      <c r="J11" s="98">
        <f t="shared" si="0"/>
        <v>21</v>
      </c>
      <c r="K11" s="60" t="s">
        <v>148</v>
      </c>
      <c r="L11" s="60" t="s">
        <v>1149</v>
      </c>
      <c r="M11" s="60" t="s">
        <v>148</v>
      </c>
      <c r="N11" s="60" t="s">
        <v>11</v>
      </c>
      <c r="O11" s="60" t="s">
        <v>286</v>
      </c>
      <c r="P11" s="45" t="s">
        <v>250</v>
      </c>
      <c r="Q11" s="45" t="s">
        <v>6</v>
      </c>
      <c r="R11" s="45" t="s">
        <v>257</v>
      </c>
      <c r="S11" s="45" t="s">
        <v>287</v>
      </c>
      <c r="T11" s="119">
        <v>241</v>
      </c>
      <c r="U11" s="62">
        <f t="shared" si="1"/>
        <v>5061</v>
      </c>
      <c r="V11" s="63">
        <f t="shared" ca="1" si="2"/>
        <v>888</v>
      </c>
      <c r="W11" s="52" t="str">
        <f t="shared" ca="1" si="3"/>
        <v>&gt;24 Months</v>
      </c>
    </row>
    <row r="12" spans="1:26" s="64" customFormat="1" ht="15" customHeight="1">
      <c r="A12" s="45" t="s">
        <v>288</v>
      </c>
      <c r="B12" s="45" t="s">
        <v>258</v>
      </c>
      <c r="C12" s="45" t="s">
        <v>289</v>
      </c>
      <c r="D12" s="43" t="s">
        <v>256</v>
      </c>
      <c r="E12" s="43" t="s">
        <v>290</v>
      </c>
      <c r="F12" s="43" t="s">
        <v>248</v>
      </c>
      <c r="G12" s="41">
        <v>65864</v>
      </c>
      <c r="H12" s="116">
        <v>88</v>
      </c>
      <c r="I12" s="41">
        <v>5</v>
      </c>
      <c r="J12" s="98">
        <f t="shared" si="0"/>
        <v>440</v>
      </c>
      <c r="K12" s="60" t="s">
        <v>152</v>
      </c>
      <c r="L12" s="60" t="s">
        <v>291</v>
      </c>
      <c r="M12" s="60" t="s">
        <v>291</v>
      </c>
      <c r="N12" s="60" t="s">
        <v>168</v>
      </c>
      <c r="O12" s="60" t="s">
        <v>292</v>
      </c>
      <c r="P12" s="45" t="s">
        <v>250</v>
      </c>
      <c r="Q12" s="45" t="s">
        <v>6</v>
      </c>
      <c r="R12" s="45" t="s">
        <v>257</v>
      </c>
      <c r="S12" s="45" t="s">
        <v>255</v>
      </c>
      <c r="T12" s="119">
        <v>187.5</v>
      </c>
      <c r="U12" s="62">
        <f t="shared" si="1"/>
        <v>82500</v>
      </c>
      <c r="V12" s="63">
        <f t="shared" ca="1" si="2"/>
        <v>885</v>
      </c>
      <c r="W12" s="52" t="str">
        <f t="shared" ca="1" si="3"/>
        <v>&gt;24 Months</v>
      </c>
    </row>
    <row r="13" spans="1:26" s="64" customFormat="1" ht="15" customHeight="1">
      <c r="A13" s="45" t="s">
        <v>301</v>
      </c>
      <c r="B13" s="45" t="s">
        <v>245</v>
      </c>
      <c r="C13" s="45" t="s">
        <v>302</v>
      </c>
      <c r="D13" s="43" t="s">
        <v>252</v>
      </c>
      <c r="E13" s="43" t="s">
        <v>304</v>
      </c>
      <c r="F13" s="43" t="s">
        <v>305</v>
      </c>
      <c r="G13" s="41">
        <v>79112</v>
      </c>
      <c r="H13" s="116">
        <v>16</v>
      </c>
      <c r="I13" s="41">
        <v>10</v>
      </c>
      <c r="J13" s="98">
        <f t="shared" si="0"/>
        <v>160</v>
      </c>
      <c r="K13" s="60" t="s">
        <v>190</v>
      </c>
      <c r="L13" s="60" t="s">
        <v>306</v>
      </c>
      <c r="M13" s="60" t="s">
        <v>307</v>
      </c>
      <c r="N13" s="60" t="s">
        <v>195</v>
      </c>
      <c r="O13" s="60" t="s">
        <v>308</v>
      </c>
      <c r="P13" s="45" t="s">
        <v>250</v>
      </c>
      <c r="Q13" s="45" t="s">
        <v>6</v>
      </c>
      <c r="R13" s="45" t="s">
        <v>254</v>
      </c>
      <c r="S13" s="45" t="s">
        <v>255</v>
      </c>
      <c r="T13" s="119">
        <v>550</v>
      </c>
      <c r="U13" s="62">
        <f t="shared" si="1"/>
        <v>88000</v>
      </c>
      <c r="V13" s="63">
        <f t="shared" ca="1" si="2"/>
        <v>872</v>
      </c>
      <c r="W13" s="52" t="str">
        <f t="shared" ca="1" si="3"/>
        <v>&gt;24 Months</v>
      </c>
    </row>
    <row r="14" spans="1:26" s="64" customFormat="1" ht="15" customHeight="1">
      <c r="A14" s="45" t="s">
        <v>301</v>
      </c>
      <c r="B14" s="45" t="s">
        <v>245</v>
      </c>
      <c r="C14" s="45" t="s">
        <v>309</v>
      </c>
      <c r="D14" s="43" t="s">
        <v>256</v>
      </c>
      <c r="E14" s="43" t="s">
        <v>311</v>
      </c>
      <c r="F14" s="43" t="s">
        <v>248</v>
      </c>
      <c r="G14" s="41">
        <v>79138</v>
      </c>
      <c r="H14" s="116">
        <v>5</v>
      </c>
      <c r="I14" s="41">
        <v>5</v>
      </c>
      <c r="J14" s="98">
        <f t="shared" si="0"/>
        <v>25</v>
      </c>
      <c r="K14" s="60" t="s">
        <v>152</v>
      </c>
      <c r="L14" s="60" t="s">
        <v>291</v>
      </c>
      <c r="M14" s="60" t="s">
        <v>291</v>
      </c>
      <c r="N14" s="60" t="s">
        <v>168</v>
      </c>
      <c r="O14" s="60" t="s">
        <v>292</v>
      </c>
      <c r="P14" s="45" t="s">
        <v>250</v>
      </c>
      <c r="Q14" s="45" t="s">
        <v>6</v>
      </c>
      <c r="R14" s="45" t="s">
        <v>257</v>
      </c>
      <c r="S14" s="45" t="s">
        <v>255</v>
      </c>
      <c r="T14" s="119">
        <v>187.5</v>
      </c>
      <c r="U14" s="62">
        <f t="shared" si="1"/>
        <v>4687.5</v>
      </c>
      <c r="V14" s="63">
        <f t="shared" ca="1" si="2"/>
        <v>872</v>
      </c>
      <c r="W14" s="52" t="str">
        <f t="shared" ca="1" si="3"/>
        <v>&gt;24 Months</v>
      </c>
    </row>
    <row r="15" spans="1:26" s="64" customFormat="1" ht="15" customHeight="1">
      <c r="A15" s="45" t="s">
        <v>312</v>
      </c>
      <c r="B15" s="45" t="s">
        <v>245</v>
      </c>
      <c r="C15" s="45" t="s">
        <v>313</v>
      </c>
      <c r="D15" s="43" t="s">
        <v>256</v>
      </c>
      <c r="E15" s="43" t="s">
        <v>314</v>
      </c>
      <c r="F15" s="43" t="s">
        <v>248</v>
      </c>
      <c r="G15" s="41">
        <v>79273</v>
      </c>
      <c r="H15" s="116">
        <v>1</v>
      </c>
      <c r="I15" s="41">
        <v>5</v>
      </c>
      <c r="J15" s="98">
        <f t="shared" si="0"/>
        <v>5</v>
      </c>
      <c r="K15" s="60" t="s">
        <v>190</v>
      </c>
      <c r="L15" s="60" t="s">
        <v>306</v>
      </c>
      <c r="M15" s="60" t="s">
        <v>306</v>
      </c>
      <c r="N15" s="60" t="s">
        <v>210</v>
      </c>
      <c r="O15" s="60" t="s">
        <v>308</v>
      </c>
      <c r="P15" s="45" t="s">
        <v>250</v>
      </c>
      <c r="Q15" s="45" t="s">
        <v>6</v>
      </c>
      <c r="R15" s="45" t="s">
        <v>254</v>
      </c>
      <c r="S15" s="45" t="s">
        <v>255</v>
      </c>
      <c r="T15" s="119">
        <v>550</v>
      </c>
      <c r="U15" s="62">
        <f t="shared" si="1"/>
        <v>2750</v>
      </c>
      <c r="V15" s="63">
        <f t="shared" ca="1" si="2"/>
        <v>871</v>
      </c>
      <c r="W15" s="52" t="str">
        <f t="shared" ca="1" si="3"/>
        <v>&gt;24 Months</v>
      </c>
    </row>
    <row r="16" spans="1:26" s="64" customFormat="1" ht="15" customHeight="1">
      <c r="A16" s="45" t="s">
        <v>315</v>
      </c>
      <c r="B16" s="45" t="s">
        <v>245</v>
      </c>
      <c r="C16" s="45" t="s">
        <v>316</v>
      </c>
      <c r="D16" s="43" t="s">
        <v>318</v>
      </c>
      <c r="E16" s="43" t="s">
        <v>248</v>
      </c>
      <c r="F16" s="43" t="s">
        <v>319</v>
      </c>
      <c r="G16" s="41">
        <v>79450</v>
      </c>
      <c r="H16" s="116">
        <v>6</v>
      </c>
      <c r="I16" s="41">
        <v>15</v>
      </c>
      <c r="J16" s="98">
        <f t="shared" si="0"/>
        <v>90</v>
      </c>
      <c r="K16" s="60" t="s">
        <v>148</v>
      </c>
      <c r="L16" s="60" t="s">
        <v>320</v>
      </c>
      <c r="M16" s="60" t="s">
        <v>321</v>
      </c>
      <c r="N16" s="60" t="s">
        <v>16</v>
      </c>
      <c r="O16" s="60" t="s">
        <v>322</v>
      </c>
      <c r="P16" s="45" t="s">
        <v>250</v>
      </c>
      <c r="Q16" s="45" t="s">
        <v>6</v>
      </c>
      <c r="R16" s="45" t="s">
        <v>257</v>
      </c>
      <c r="S16" s="45" t="s">
        <v>255</v>
      </c>
      <c r="T16" s="119">
        <v>250</v>
      </c>
      <c r="U16" s="62">
        <f t="shared" si="1"/>
        <v>22500</v>
      </c>
      <c r="V16" s="63">
        <f t="shared" ca="1" si="2"/>
        <v>869</v>
      </c>
      <c r="W16" s="52" t="str">
        <f t="shared" ca="1" si="3"/>
        <v>&gt;24 Months</v>
      </c>
    </row>
    <row r="17" spans="1:23" s="64" customFormat="1" ht="15" customHeight="1">
      <c r="A17" s="45" t="s">
        <v>328</v>
      </c>
      <c r="B17" s="45" t="s">
        <v>245</v>
      </c>
      <c r="C17" s="45" t="s">
        <v>329</v>
      </c>
      <c r="D17" s="43" t="s">
        <v>256</v>
      </c>
      <c r="E17" s="43" t="s">
        <v>331</v>
      </c>
      <c r="F17" s="43" t="s">
        <v>332</v>
      </c>
      <c r="G17" s="41">
        <v>90090</v>
      </c>
      <c r="H17" s="116">
        <v>2</v>
      </c>
      <c r="I17" s="41">
        <v>5</v>
      </c>
      <c r="J17" s="98">
        <f t="shared" si="0"/>
        <v>10</v>
      </c>
      <c r="K17" s="60" t="s">
        <v>190</v>
      </c>
      <c r="L17" s="60" t="s">
        <v>306</v>
      </c>
      <c r="M17" s="60" t="s">
        <v>306</v>
      </c>
      <c r="N17" s="60" t="s">
        <v>210</v>
      </c>
      <c r="O17" s="60" t="s">
        <v>308</v>
      </c>
      <c r="P17" s="45" t="s">
        <v>250</v>
      </c>
      <c r="Q17" s="45" t="s">
        <v>6</v>
      </c>
      <c r="R17" s="45" t="s">
        <v>254</v>
      </c>
      <c r="S17" s="45" t="s">
        <v>255</v>
      </c>
      <c r="T17" s="119">
        <v>550</v>
      </c>
      <c r="U17" s="62">
        <f t="shared" si="1"/>
        <v>5500</v>
      </c>
      <c r="V17" s="63">
        <f t="shared" ca="1" si="2"/>
        <v>776</v>
      </c>
      <c r="W17" s="52" t="str">
        <f t="shared" ca="1" si="3"/>
        <v>&gt;24 Months</v>
      </c>
    </row>
    <row r="18" spans="1:23" s="64" customFormat="1" ht="15" customHeight="1">
      <c r="A18" s="45" t="s">
        <v>328</v>
      </c>
      <c r="B18" s="45" t="s">
        <v>245</v>
      </c>
      <c r="C18" s="45" t="s">
        <v>329</v>
      </c>
      <c r="D18" s="43" t="s">
        <v>256</v>
      </c>
      <c r="E18" s="43" t="s">
        <v>333</v>
      </c>
      <c r="F18" s="43" t="s">
        <v>314</v>
      </c>
      <c r="G18" s="41">
        <v>90088</v>
      </c>
      <c r="H18" s="116">
        <v>2</v>
      </c>
      <c r="I18" s="41">
        <v>5</v>
      </c>
      <c r="J18" s="98">
        <f t="shared" si="0"/>
        <v>10</v>
      </c>
      <c r="K18" s="60" t="s">
        <v>190</v>
      </c>
      <c r="L18" s="60" t="s">
        <v>306</v>
      </c>
      <c r="M18" s="60" t="s">
        <v>306</v>
      </c>
      <c r="N18" s="60" t="s">
        <v>210</v>
      </c>
      <c r="O18" s="60" t="s">
        <v>308</v>
      </c>
      <c r="P18" s="45" t="s">
        <v>250</v>
      </c>
      <c r="Q18" s="45" t="s">
        <v>6</v>
      </c>
      <c r="R18" s="45" t="s">
        <v>254</v>
      </c>
      <c r="S18" s="45" t="s">
        <v>255</v>
      </c>
      <c r="T18" s="119">
        <v>550</v>
      </c>
      <c r="U18" s="62">
        <f t="shared" si="1"/>
        <v>5500</v>
      </c>
      <c r="V18" s="63">
        <f t="shared" ca="1" si="2"/>
        <v>776</v>
      </c>
      <c r="W18" s="52" t="str">
        <f t="shared" ca="1" si="3"/>
        <v>&gt;24 Months</v>
      </c>
    </row>
    <row r="19" spans="1:23" s="64" customFormat="1" ht="15" customHeight="1">
      <c r="A19" s="45" t="s">
        <v>334</v>
      </c>
      <c r="B19" s="45" t="s">
        <v>245</v>
      </c>
      <c r="C19" s="45" t="s">
        <v>335</v>
      </c>
      <c r="D19" s="43" t="s">
        <v>252</v>
      </c>
      <c r="E19" s="43" t="s">
        <v>336</v>
      </c>
      <c r="F19" s="43" t="s">
        <v>337</v>
      </c>
      <c r="G19" s="41">
        <v>90282</v>
      </c>
      <c r="H19" s="116">
        <v>1077</v>
      </c>
      <c r="I19" s="41">
        <v>10</v>
      </c>
      <c r="J19" s="98">
        <f t="shared" si="0"/>
        <v>10770</v>
      </c>
      <c r="K19" s="60" t="s">
        <v>152</v>
      </c>
      <c r="L19" s="60" t="s">
        <v>903</v>
      </c>
      <c r="M19" s="60" t="s">
        <v>260</v>
      </c>
      <c r="N19" s="60" t="s">
        <v>154</v>
      </c>
      <c r="O19" s="60" t="s">
        <v>338</v>
      </c>
      <c r="P19" s="45" t="s">
        <v>250</v>
      </c>
      <c r="Q19" s="45" t="s">
        <v>6</v>
      </c>
      <c r="R19" s="45" t="s">
        <v>257</v>
      </c>
      <c r="S19" s="45" t="s">
        <v>247</v>
      </c>
      <c r="T19" s="119">
        <v>180.6</v>
      </c>
      <c r="U19" s="62">
        <f t="shared" si="1"/>
        <v>1945062</v>
      </c>
      <c r="V19" s="63">
        <f t="shared" ca="1" si="2"/>
        <v>774</v>
      </c>
      <c r="W19" s="52" t="str">
        <f t="shared" ca="1" si="3"/>
        <v>&gt;24 Months</v>
      </c>
    </row>
    <row r="20" spans="1:23" s="64" customFormat="1" ht="15" customHeight="1">
      <c r="A20" s="45" t="s">
        <v>339</v>
      </c>
      <c r="B20" s="45" t="s">
        <v>245</v>
      </c>
      <c r="C20" s="45" t="s">
        <v>340</v>
      </c>
      <c r="D20" s="43" t="s">
        <v>256</v>
      </c>
      <c r="E20" s="43" t="s">
        <v>341</v>
      </c>
      <c r="F20" s="43" t="s">
        <v>342</v>
      </c>
      <c r="G20" s="41">
        <v>90507</v>
      </c>
      <c r="H20" s="116">
        <v>3</v>
      </c>
      <c r="I20" s="41">
        <v>5</v>
      </c>
      <c r="J20" s="98">
        <f t="shared" si="0"/>
        <v>15</v>
      </c>
      <c r="K20" s="60" t="s">
        <v>190</v>
      </c>
      <c r="L20" s="60" t="s">
        <v>306</v>
      </c>
      <c r="M20" s="60" t="s">
        <v>306</v>
      </c>
      <c r="N20" s="60" t="s">
        <v>210</v>
      </c>
      <c r="O20" s="60" t="s">
        <v>308</v>
      </c>
      <c r="P20" s="45" t="s">
        <v>250</v>
      </c>
      <c r="Q20" s="45" t="s">
        <v>6</v>
      </c>
      <c r="R20" s="45" t="s">
        <v>257</v>
      </c>
      <c r="S20" s="45" t="s">
        <v>255</v>
      </c>
      <c r="T20" s="119">
        <v>550</v>
      </c>
      <c r="U20" s="62">
        <f t="shared" si="1"/>
        <v>8250</v>
      </c>
      <c r="V20" s="63">
        <f t="shared" ca="1" si="2"/>
        <v>773</v>
      </c>
      <c r="W20" s="52" t="str">
        <f t="shared" ca="1" si="3"/>
        <v>&gt;24 Months</v>
      </c>
    </row>
    <row r="21" spans="1:23" s="64" customFormat="1" ht="15" customHeight="1">
      <c r="A21" s="45" t="s">
        <v>343</v>
      </c>
      <c r="B21" s="45" t="s">
        <v>245</v>
      </c>
      <c r="C21" s="45" t="s">
        <v>344</v>
      </c>
      <c r="D21" s="43" t="s">
        <v>252</v>
      </c>
      <c r="E21" s="43" t="s">
        <v>345</v>
      </c>
      <c r="F21" s="43" t="s">
        <v>248</v>
      </c>
      <c r="G21" s="41">
        <v>94639</v>
      </c>
      <c r="H21" s="116">
        <v>0</v>
      </c>
      <c r="I21" s="41">
        <v>10</v>
      </c>
      <c r="J21" s="98">
        <f t="shared" si="0"/>
        <v>0</v>
      </c>
      <c r="K21" s="60" t="s">
        <v>152</v>
      </c>
      <c r="L21" s="60" t="s">
        <v>897</v>
      </c>
      <c r="M21" s="60" t="s">
        <v>263</v>
      </c>
      <c r="N21" s="60" t="s">
        <v>977</v>
      </c>
      <c r="O21" s="60" t="s">
        <v>346</v>
      </c>
      <c r="P21" s="45" t="s">
        <v>250</v>
      </c>
      <c r="Q21" s="45" t="s">
        <v>6</v>
      </c>
      <c r="R21" s="45" t="s">
        <v>257</v>
      </c>
      <c r="S21" s="45" t="s">
        <v>247</v>
      </c>
      <c r="T21" s="119">
        <v>208</v>
      </c>
      <c r="U21" s="62">
        <f t="shared" si="1"/>
        <v>0</v>
      </c>
      <c r="V21" s="63">
        <f t="shared" ca="1" si="2"/>
        <v>733</v>
      </c>
      <c r="W21" s="52" t="str">
        <f t="shared" ca="1" si="3"/>
        <v>&gt;24 Months</v>
      </c>
    </row>
    <row r="22" spans="1:23" s="64" customFormat="1" ht="15" customHeight="1">
      <c r="A22" s="45" t="s">
        <v>350</v>
      </c>
      <c r="B22" s="45" t="s">
        <v>258</v>
      </c>
      <c r="C22" s="45" t="s">
        <v>351</v>
      </c>
      <c r="D22" s="43" t="s">
        <v>252</v>
      </c>
      <c r="E22" s="43" t="s">
        <v>360</v>
      </c>
      <c r="F22" s="43" t="s">
        <v>361</v>
      </c>
      <c r="G22" s="41">
        <v>71105</v>
      </c>
      <c r="H22" s="116">
        <v>1</v>
      </c>
      <c r="I22" s="41">
        <v>10</v>
      </c>
      <c r="J22" s="98">
        <f t="shared" si="0"/>
        <v>10</v>
      </c>
      <c r="K22" s="60" t="s">
        <v>152</v>
      </c>
      <c r="L22" s="60" t="s">
        <v>275</v>
      </c>
      <c r="M22" s="60" t="s">
        <v>275</v>
      </c>
      <c r="N22" s="60" t="s">
        <v>160</v>
      </c>
      <c r="O22" s="60" t="s">
        <v>276</v>
      </c>
      <c r="P22" s="45" t="s">
        <v>250</v>
      </c>
      <c r="Q22" s="45" t="s">
        <v>6</v>
      </c>
      <c r="R22" s="45" t="s">
        <v>257</v>
      </c>
      <c r="S22" s="45" t="s">
        <v>247</v>
      </c>
      <c r="T22" s="119">
        <v>205</v>
      </c>
      <c r="U22" s="62">
        <f t="shared" si="1"/>
        <v>2050</v>
      </c>
      <c r="V22" s="63">
        <f t="shared" ca="1" si="2"/>
        <v>712</v>
      </c>
      <c r="W22" s="52" t="str">
        <f t="shared" ca="1" si="3"/>
        <v>18-24 Months</v>
      </c>
    </row>
    <row r="23" spans="1:23" s="64" customFormat="1" ht="15" customHeight="1">
      <c r="A23" s="45" t="s">
        <v>350</v>
      </c>
      <c r="B23" s="45" t="s">
        <v>245</v>
      </c>
      <c r="C23" s="45" t="s">
        <v>355</v>
      </c>
      <c r="D23" s="43" t="s">
        <v>252</v>
      </c>
      <c r="E23" s="43" t="s">
        <v>358</v>
      </c>
      <c r="F23" s="43" t="s">
        <v>248</v>
      </c>
      <c r="G23" s="41">
        <v>97177</v>
      </c>
      <c r="H23" s="116">
        <v>1</v>
      </c>
      <c r="I23" s="41">
        <v>10</v>
      </c>
      <c r="J23" s="98">
        <f t="shared" si="0"/>
        <v>10</v>
      </c>
      <c r="K23" s="60" t="s">
        <v>152</v>
      </c>
      <c r="L23" s="60" t="s">
        <v>898</v>
      </c>
      <c r="M23" s="60" t="s">
        <v>260</v>
      </c>
      <c r="N23" s="60" t="s">
        <v>155</v>
      </c>
      <c r="O23" s="60" t="s">
        <v>359</v>
      </c>
      <c r="P23" s="45" t="s">
        <v>250</v>
      </c>
      <c r="Q23" s="45" t="s">
        <v>6</v>
      </c>
      <c r="R23" s="45" t="s">
        <v>254</v>
      </c>
      <c r="S23" s="45" t="s">
        <v>247</v>
      </c>
      <c r="T23" s="119">
        <v>233</v>
      </c>
      <c r="U23" s="62">
        <f t="shared" si="1"/>
        <v>2330</v>
      </c>
      <c r="V23" s="63">
        <f t="shared" ca="1" si="2"/>
        <v>712</v>
      </c>
      <c r="W23" s="52" t="str">
        <f t="shared" ca="1" si="3"/>
        <v>18-24 Months</v>
      </c>
    </row>
    <row r="24" spans="1:23" s="64" customFormat="1" ht="15" customHeight="1">
      <c r="A24" s="45" t="s">
        <v>350</v>
      </c>
      <c r="B24" s="45" t="s">
        <v>258</v>
      </c>
      <c r="C24" s="45" t="s">
        <v>351</v>
      </c>
      <c r="D24" s="43" t="s">
        <v>252</v>
      </c>
      <c r="E24" s="43" t="s">
        <v>357</v>
      </c>
      <c r="F24" s="43" t="s">
        <v>248</v>
      </c>
      <c r="G24" s="41">
        <v>71104</v>
      </c>
      <c r="H24" s="116">
        <v>5</v>
      </c>
      <c r="I24" s="41">
        <v>10</v>
      </c>
      <c r="J24" s="98">
        <f t="shared" si="0"/>
        <v>50</v>
      </c>
      <c r="K24" s="60" t="s">
        <v>152</v>
      </c>
      <c r="L24" s="60" t="s">
        <v>897</v>
      </c>
      <c r="M24" s="60" t="s">
        <v>263</v>
      </c>
      <c r="N24" s="60" t="s">
        <v>156</v>
      </c>
      <c r="O24" s="60" t="s">
        <v>346</v>
      </c>
      <c r="P24" s="45" t="s">
        <v>250</v>
      </c>
      <c r="Q24" s="45" t="s">
        <v>6</v>
      </c>
      <c r="R24" s="45" t="s">
        <v>257</v>
      </c>
      <c r="S24" s="45" t="s">
        <v>247</v>
      </c>
      <c r="T24" s="119">
        <v>208</v>
      </c>
      <c r="U24" s="62">
        <f t="shared" si="1"/>
        <v>10400</v>
      </c>
      <c r="V24" s="63">
        <f t="shared" ca="1" si="2"/>
        <v>712</v>
      </c>
      <c r="W24" s="52" t="str">
        <f t="shared" ca="1" si="3"/>
        <v>18-24 Months</v>
      </c>
    </row>
    <row r="25" spans="1:23" s="64" customFormat="1" ht="15" customHeight="1">
      <c r="A25" s="45" t="s">
        <v>350</v>
      </c>
      <c r="B25" s="45" t="s">
        <v>258</v>
      </c>
      <c r="C25" s="45" t="s">
        <v>351</v>
      </c>
      <c r="D25" s="43" t="s">
        <v>252</v>
      </c>
      <c r="E25" s="43" t="s">
        <v>356</v>
      </c>
      <c r="F25" s="43" t="s">
        <v>248</v>
      </c>
      <c r="G25" s="41">
        <v>71103</v>
      </c>
      <c r="H25" s="116">
        <v>1</v>
      </c>
      <c r="I25" s="41">
        <v>10</v>
      </c>
      <c r="J25" s="98">
        <f t="shared" si="0"/>
        <v>10</v>
      </c>
      <c r="K25" s="60" t="s">
        <v>190</v>
      </c>
      <c r="L25" s="60" t="s">
        <v>306</v>
      </c>
      <c r="M25" s="60" t="s">
        <v>306</v>
      </c>
      <c r="N25" s="60" t="s">
        <v>208</v>
      </c>
      <c r="O25" s="60" t="s">
        <v>308</v>
      </c>
      <c r="P25" s="45" t="s">
        <v>250</v>
      </c>
      <c r="Q25" s="45" t="s">
        <v>6</v>
      </c>
      <c r="R25" s="45" t="s">
        <v>257</v>
      </c>
      <c r="S25" s="45" t="s">
        <v>255</v>
      </c>
      <c r="T25" s="119">
        <v>550</v>
      </c>
      <c r="U25" s="62">
        <f t="shared" si="1"/>
        <v>5500</v>
      </c>
      <c r="V25" s="63">
        <f t="shared" ca="1" si="2"/>
        <v>712</v>
      </c>
      <c r="W25" s="52" t="str">
        <f t="shared" ca="1" si="3"/>
        <v>18-24 Months</v>
      </c>
    </row>
    <row r="26" spans="1:23" s="64" customFormat="1" ht="15" customHeight="1">
      <c r="A26" s="45" t="s">
        <v>350</v>
      </c>
      <c r="B26" s="45" t="s">
        <v>258</v>
      </c>
      <c r="C26" s="45" t="s">
        <v>351</v>
      </c>
      <c r="D26" s="43" t="s">
        <v>352</v>
      </c>
      <c r="E26" s="43" t="s">
        <v>353</v>
      </c>
      <c r="F26" s="43" t="s">
        <v>354</v>
      </c>
      <c r="G26" s="41">
        <v>71102</v>
      </c>
      <c r="H26" s="116">
        <v>1</v>
      </c>
      <c r="I26" s="41">
        <v>20</v>
      </c>
      <c r="J26" s="98">
        <f t="shared" si="0"/>
        <v>20</v>
      </c>
      <c r="K26" s="60" t="s">
        <v>190</v>
      </c>
      <c r="L26" s="60" t="s">
        <v>306</v>
      </c>
      <c r="M26" s="60" t="s">
        <v>306</v>
      </c>
      <c r="N26" s="60" t="s">
        <v>209</v>
      </c>
      <c r="O26" s="60" t="s">
        <v>308</v>
      </c>
      <c r="P26" s="45" t="s">
        <v>250</v>
      </c>
      <c r="Q26" s="45" t="s">
        <v>6</v>
      </c>
      <c r="R26" s="45" t="s">
        <v>257</v>
      </c>
      <c r="S26" s="45" t="s">
        <v>255</v>
      </c>
      <c r="T26" s="119">
        <v>550</v>
      </c>
      <c r="U26" s="62">
        <f t="shared" si="1"/>
        <v>11000</v>
      </c>
      <c r="V26" s="63">
        <f t="shared" ca="1" si="2"/>
        <v>712</v>
      </c>
      <c r="W26" s="52" t="str">
        <f t="shared" ca="1" si="3"/>
        <v>18-24 Months</v>
      </c>
    </row>
    <row r="27" spans="1:23" s="64" customFormat="1" ht="15" customHeight="1">
      <c r="A27" s="45" t="s">
        <v>362</v>
      </c>
      <c r="B27" s="45" t="s">
        <v>245</v>
      </c>
      <c r="C27" s="45" t="s">
        <v>363</v>
      </c>
      <c r="D27" s="43" t="s">
        <v>364</v>
      </c>
      <c r="E27" s="43" t="s">
        <v>365</v>
      </c>
      <c r="F27" s="43" t="s">
        <v>248</v>
      </c>
      <c r="G27" s="41">
        <v>97941</v>
      </c>
      <c r="H27" s="116">
        <v>1</v>
      </c>
      <c r="I27" s="41">
        <v>10.896000000000001</v>
      </c>
      <c r="J27" s="98">
        <f t="shared" si="0"/>
        <v>10.896000000000001</v>
      </c>
      <c r="K27" s="60" t="s">
        <v>190</v>
      </c>
      <c r="L27" s="60" t="s">
        <v>366</v>
      </c>
      <c r="M27" s="60" t="s">
        <v>366</v>
      </c>
      <c r="N27" s="60" t="s">
        <v>196</v>
      </c>
      <c r="O27" s="60" t="s">
        <v>367</v>
      </c>
      <c r="P27" s="45" t="s">
        <v>250</v>
      </c>
      <c r="Q27" s="45" t="s">
        <v>6</v>
      </c>
      <c r="R27" s="45" t="s">
        <v>257</v>
      </c>
      <c r="S27" s="45" t="s">
        <v>274</v>
      </c>
      <c r="T27" s="119">
        <v>522</v>
      </c>
      <c r="U27" s="62">
        <f t="shared" si="1"/>
        <v>5687.7120000000004</v>
      </c>
      <c r="V27" s="63">
        <f t="shared" ca="1" si="2"/>
        <v>705</v>
      </c>
      <c r="W27" s="52" t="str">
        <f t="shared" ca="1" si="3"/>
        <v>18-24 Months</v>
      </c>
    </row>
    <row r="28" spans="1:23" s="64" customFormat="1" ht="15" customHeight="1">
      <c r="A28" s="45" t="s">
        <v>368</v>
      </c>
      <c r="B28" s="45" t="s">
        <v>258</v>
      </c>
      <c r="C28" s="45" t="s">
        <v>369</v>
      </c>
      <c r="D28" s="43" t="s">
        <v>252</v>
      </c>
      <c r="E28" s="43" t="s">
        <v>371</v>
      </c>
      <c r="F28" s="43" t="s">
        <v>248</v>
      </c>
      <c r="G28" s="41">
        <v>71480</v>
      </c>
      <c r="H28" s="116">
        <v>1</v>
      </c>
      <c r="I28" s="41">
        <v>10</v>
      </c>
      <c r="J28" s="98">
        <f t="shared" si="0"/>
        <v>10</v>
      </c>
      <c r="K28" s="60" t="s">
        <v>190</v>
      </c>
      <c r="L28" s="60" t="s">
        <v>306</v>
      </c>
      <c r="M28" s="60" t="s">
        <v>306</v>
      </c>
      <c r="N28" s="60" t="s">
        <v>208</v>
      </c>
      <c r="O28" s="60" t="s">
        <v>308</v>
      </c>
      <c r="P28" s="45" t="s">
        <v>250</v>
      </c>
      <c r="Q28" s="45" t="s">
        <v>6</v>
      </c>
      <c r="R28" s="45" t="s">
        <v>257</v>
      </c>
      <c r="S28" s="45" t="s">
        <v>255</v>
      </c>
      <c r="T28" s="119">
        <v>550</v>
      </c>
      <c r="U28" s="62">
        <f t="shared" si="1"/>
        <v>5500</v>
      </c>
      <c r="V28" s="63">
        <f t="shared" ca="1" si="2"/>
        <v>699</v>
      </c>
      <c r="W28" s="52" t="str">
        <f t="shared" ca="1" si="3"/>
        <v>18-24 Months</v>
      </c>
    </row>
    <row r="29" spans="1:23" s="64" customFormat="1" ht="15" customHeight="1">
      <c r="A29" s="45" t="s">
        <v>368</v>
      </c>
      <c r="B29" s="45" t="s">
        <v>258</v>
      </c>
      <c r="C29" s="45" t="s">
        <v>369</v>
      </c>
      <c r="D29" s="43" t="s">
        <v>352</v>
      </c>
      <c r="E29" s="43" t="s">
        <v>370</v>
      </c>
      <c r="F29" s="43" t="s">
        <v>248</v>
      </c>
      <c r="G29" s="41">
        <v>71478</v>
      </c>
      <c r="H29" s="116">
        <v>1</v>
      </c>
      <c r="I29" s="41">
        <v>20</v>
      </c>
      <c r="J29" s="98">
        <f t="shared" si="0"/>
        <v>20</v>
      </c>
      <c r="K29" s="60" t="s">
        <v>190</v>
      </c>
      <c r="L29" s="60" t="s">
        <v>306</v>
      </c>
      <c r="M29" s="60" t="s">
        <v>306</v>
      </c>
      <c r="N29" s="60" t="s">
        <v>209</v>
      </c>
      <c r="O29" s="60" t="s">
        <v>308</v>
      </c>
      <c r="P29" s="45" t="s">
        <v>250</v>
      </c>
      <c r="Q29" s="45" t="s">
        <v>6</v>
      </c>
      <c r="R29" s="45" t="s">
        <v>257</v>
      </c>
      <c r="S29" s="45" t="s">
        <v>255</v>
      </c>
      <c r="T29" s="119">
        <v>550</v>
      </c>
      <c r="U29" s="62">
        <f t="shared" si="1"/>
        <v>11000</v>
      </c>
      <c r="V29" s="63">
        <f t="shared" ca="1" si="2"/>
        <v>699</v>
      </c>
      <c r="W29" s="52" t="str">
        <f t="shared" ca="1" si="3"/>
        <v>18-24 Months</v>
      </c>
    </row>
    <row r="30" spans="1:23" s="64" customFormat="1" ht="15" customHeight="1">
      <c r="A30" s="45" t="s">
        <v>372</v>
      </c>
      <c r="B30" s="45" t="s">
        <v>258</v>
      </c>
      <c r="C30" s="45" t="s">
        <v>373</v>
      </c>
      <c r="D30" s="43" t="s">
        <v>256</v>
      </c>
      <c r="E30" s="43" t="s">
        <v>374</v>
      </c>
      <c r="F30" s="43" t="s">
        <v>342</v>
      </c>
      <c r="G30" s="41">
        <v>72094</v>
      </c>
      <c r="H30" s="116">
        <v>23</v>
      </c>
      <c r="I30" s="41">
        <v>5</v>
      </c>
      <c r="J30" s="98">
        <f t="shared" si="0"/>
        <v>115</v>
      </c>
      <c r="K30" s="60" t="s">
        <v>152</v>
      </c>
      <c r="L30" s="60" t="s">
        <v>898</v>
      </c>
      <c r="M30" s="60" t="s">
        <v>260</v>
      </c>
      <c r="N30" s="60" t="s">
        <v>169</v>
      </c>
      <c r="O30" s="60" t="s">
        <v>261</v>
      </c>
      <c r="P30" s="45" t="s">
        <v>250</v>
      </c>
      <c r="Q30" s="45" t="s">
        <v>6</v>
      </c>
      <c r="R30" s="45" t="s">
        <v>257</v>
      </c>
      <c r="S30" s="45" t="s">
        <v>247</v>
      </c>
      <c r="T30" s="119">
        <v>233</v>
      </c>
      <c r="U30" s="62">
        <f t="shared" si="1"/>
        <v>26795</v>
      </c>
      <c r="V30" s="63">
        <f t="shared" ca="1" si="2"/>
        <v>678</v>
      </c>
      <c r="W30" s="52" t="str">
        <f t="shared" ca="1" si="3"/>
        <v>18-24 Months</v>
      </c>
    </row>
    <row r="31" spans="1:23" s="64" customFormat="1" ht="15" customHeight="1">
      <c r="A31" s="45" t="s">
        <v>375</v>
      </c>
      <c r="B31" s="45" t="s">
        <v>245</v>
      </c>
      <c r="C31" s="45" t="s">
        <v>376</v>
      </c>
      <c r="D31" s="43" t="s">
        <v>246</v>
      </c>
      <c r="E31" s="43" t="s">
        <v>332</v>
      </c>
      <c r="F31" s="43" t="s">
        <v>269</v>
      </c>
      <c r="G31" s="41">
        <v>93289</v>
      </c>
      <c r="H31" s="116">
        <v>78</v>
      </c>
      <c r="I31" s="41">
        <v>10</v>
      </c>
      <c r="J31" s="98">
        <f t="shared" si="0"/>
        <v>780</v>
      </c>
      <c r="K31" s="60" t="s">
        <v>136</v>
      </c>
      <c r="L31" s="60" t="s">
        <v>842</v>
      </c>
      <c r="M31" s="60" t="s">
        <v>247</v>
      </c>
      <c r="N31" s="60" t="s">
        <v>138</v>
      </c>
      <c r="O31" s="60" t="s">
        <v>138</v>
      </c>
      <c r="P31" s="45" t="s">
        <v>250</v>
      </c>
      <c r="Q31" s="45" t="s">
        <v>6</v>
      </c>
      <c r="R31" s="45" t="s">
        <v>257</v>
      </c>
      <c r="S31" s="45" t="s">
        <v>247</v>
      </c>
      <c r="T31" s="119">
        <v>215</v>
      </c>
      <c r="U31" s="62">
        <f t="shared" si="1"/>
        <v>167700</v>
      </c>
      <c r="V31" s="63">
        <f t="shared" ca="1" si="2"/>
        <v>654</v>
      </c>
      <c r="W31" s="52" t="str">
        <f t="shared" ca="1" si="3"/>
        <v>18-24 Months</v>
      </c>
    </row>
    <row r="32" spans="1:23" s="64" customFormat="1" ht="15" customHeight="1">
      <c r="A32" s="45" t="s">
        <v>375</v>
      </c>
      <c r="B32" s="45" t="s">
        <v>245</v>
      </c>
      <c r="C32" s="45" t="s">
        <v>376</v>
      </c>
      <c r="D32" s="43" t="s">
        <v>246</v>
      </c>
      <c r="E32" s="43" t="s">
        <v>332</v>
      </c>
      <c r="F32" s="43" t="s">
        <v>269</v>
      </c>
      <c r="G32" s="41">
        <v>93289</v>
      </c>
      <c r="H32" s="116">
        <v>6</v>
      </c>
      <c r="I32" s="41">
        <v>10</v>
      </c>
      <c r="J32" s="98">
        <f t="shared" si="0"/>
        <v>60</v>
      </c>
      <c r="K32" s="60" t="s">
        <v>136</v>
      </c>
      <c r="L32" s="60" t="s">
        <v>842</v>
      </c>
      <c r="M32" s="60" t="s">
        <v>247</v>
      </c>
      <c r="N32" s="60" t="s">
        <v>138</v>
      </c>
      <c r="O32" s="60" t="s">
        <v>138</v>
      </c>
      <c r="P32" s="45" t="s">
        <v>250</v>
      </c>
      <c r="Q32" s="45" t="s">
        <v>6</v>
      </c>
      <c r="R32" s="45" t="s">
        <v>257</v>
      </c>
      <c r="S32" s="45" t="s">
        <v>247</v>
      </c>
      <c r="T32" s="119">
        <v>215</v>
      </c>
      <c r="U32" s="62">
        <f t="shared" si="1"/>
        <v>12900</v>
      </c>
      <c r="V32" s="63">
        <f t="shared" ca="1" si="2"/>
        <v>654</v>
      </c>
      <c r="W32" s="52" t="str">
        <f t="shared" ca="1" si="3"/>
        <v>18-24 Months</v>
      </c>
    </row>
    <row r="33" spans="1:23" s="64" customFormat="1" ht="15" customHeight="1">
      <c r="A33" s="45" t="s">
        <v>375</v>
      </c>
      <c r="B33" s="45" t="s">
        <v>245</v>
      </c>
      <c r="C33" s="45" t="s">
        <v>376</v>
      </c>
      <c r="D33" s="43" t="s">
        <v>246</v>
      </c>
      <c r="E33" s="43" t="s">
        <v>332</v>
      </c>
      <c r="F33" s="43" t="s">
        <v>269</v>
      </c>
      <c r="G33" s="41">
        <v>93289</v>
      </c>
      <c r="H33" s="116">
        <v>114</v>
      </c>
      <c r="I33" s="41">
        <v>10</v>
      </c>
      <c r="J33" s="98">
        <f t="shared" si="0"/>
        <v>1140</v>
      </c>
      <c r="K33" s="60" t="s">
        <v>136</v>
      </c>
      <c r="L33" s="60" t="s">
        <v>842</v>
      </c>
      <c r="M33" s="60" t="s">
        <v>247</v>
      </c>
      <c r="N33" s="60" t="s">
        <v>138</v>
      </c>
      <c r="O33" s="60" t="s">
        <v>138</v>
      </c>
      <c r="P33" s="45" t="s">
        <v>250</v>
      </c>
      <c r="Q33" s="45" t="s">
        <v>6</v>
      </c>
      <c r="R33" s="45" t="s">
        <v>257</v>
      </c>
      <c r="S33" s="45" t="s">
        <v>247</v>
      </c>
      <c r="T33" s="119">
        <v>215</v>
      </c>
      <c r="U33" s="62">
        <f t="shared" si="1"/>
        <v>245100</v>
      </c>
      <c r="V33" s="63">
        <f t="shared" ca="1" si="2"/>
        <v>654</v>
      </c>
      <c r="W33" s="52" t="str">
        <f t="shared" ca="1" si="3"/>
        <v>18-24 Months</v>
      </c>
    </row>
    <row r="34" spans="1:23" s="64" customFormat="1" ht="15" customHeight="1">
      <c r="A34" s="45" t="s">
        <v>382</v>
      </c>
      <c r="B34" s="45" t="s">
        <v>245</v>
      </c>
      <c r="C34" s="45" t="s">
        <v>383</v>
      </c>
      <c r="D34" s="43" t="s">
        <v>252</v>
      </c>
      <c r="E34" s="43" t="s">
        <v>347</v>
      </c>
      <c r="F34" s="43" t="s">
        <v>384</v>
      </c>
      <c r="G34" s="41">
        <v>106622</v>
      </c>
      <c r="H34" s="116">
        <v>34</v>
      </c>
      <c r="I34" s="41">
        <v>10</v>
      </c>
      <c r="J34" s="98">
        <f t="shared" si="0"/>
        <v>340</v>
      </c>
      <c r="K34" s="60" t="s">
        <v>190</v>
      </c>
      <c r="L34" s="60" t="s">
        <v>306</v>
      </c>
      <c r="M34" s="60" t="s">
        <v>946</v>
      </c>
      <c r="N34" s="60" t="s">
        <v>212</v>
      </c>
      <c r="O34" s="60" t="s">
        <v>308</v>
      </c>
      <c r="P34" s="45" t="s">
        <v>250</v>
      </c>
      <c r="Q34" s="45" t="s">
        <v>6</v>
      </c>
      <c r="R34" s="45" t="s">
        <v>257</v>
      </c>
      <c r="S34" s="45" t="s">
        <v>255</v>
      </c>
      <c r="T34" s="119">
        <v>550</v>
      </c>
      <c r="U34" s="62">
        <f t="shared" si="1"/>
        <v>187000</v>
      </c>
      <c r="V34" s="63">
        <f t="shared" ca="1" si="2"/>
        <v>627</v>
      </c>
      <c r="W34" s="52" t="str">
        <f t="shared" ca="1" si="3"/>
        <v>18-24 Months</v>
      </c>
    </row>
    <row r="35" spans="1:23" s="64" customFormat="1" ht="15" customHeight="1">
      <c r="A35" s="45" t="s">
        <v>385</v>
      </c>
      <c r="B35" s="45" t="s">
        <v>245</v>
      </c>
      <c r="C35" s="45" t="s">
        <v>386</v>
      </c>
      <c r="D35" s="43" t="s">
        <v>252</v>
      </c>
      <c r="E35" s="43" t="s">
        <v>332</v>
      </c>
      <c r="F35" s="43" t="s">
        <v>248</v>
      </c>
      <c r="G35" s="41">
        <v>110715</v>
      </c>
      <c r="H35" s="116">
        <v>98</v>
      </c>
      <c r="I35" s="41">
        <v>10</v>
      </c>
      <c r="J35" s="98">
        <f t="shared" si="0"/>
        <v>980</v>
      </c>
      <c r="K35" s="60" t="s">
        <v>148</v>
      </c>
      <c r="L35" s="60" t="s">
        <v>387</v>
      </c>
      <c r="M35" s="60" t="s">
        <v>247</v>
      </c>
      <c r="N35" s="60" t="s">
        <v>149</v>
      </c>
      <c r="O35" s="60" t="s">
        <v>388</v>
      </c>
      <c r="P35" s="45" t="s">
        <v>250</v>
      </c>
      <c r="Q35" s="45" t="s">
        <v>6</v>
      </c>
      <c r="R35" s="45" t="s">
        <v>254</v>
      </c>
      <c r="S35" s="45" t="s">
        <v>247</v>
      </c>
      <c r="T35" s="119">
        <v>110</v>
      </c>
      <c r="U35" s="62">
        <f t="shared" si="1"/>
        <v>107800</v>
      </c>
      <c r="V35" s="63">
        <f t="shared" ca="1" si="2"/>
        <v>592</v>
      </c>
      <c r="W35" s="52" t="str">
        <f t="shared" ca="1" si="3"/>
        <v>18-24 Months</v>
      </c>
    </row>
    <row r="36" spans="1:23" s="64" customFormat="1" ht="15" customHeight="1">
      <c r="A36" s="45" t="s">
        <v>389</v>
      </c>
      <c r="B36" s="45" t="s">
        <v>258</v>
      </c>
      <c r="C36" s="45" t="s">
        <v>390</v>
      </c>
      <c r="D36" s="43" t="s">
        <v>270</v>
      </c>
      <c r="E36" s="43" t="s">
        <v>391</v>
      </c>
      <c r="F36" s="43" t="s">
        <v>392</v>
      </c>
      <c r="G36" s="41">
        <v>75207</v>
      </c>
      <c r="H36" s="116">
        <v>7</v>
      </c>
      <c r="I36" s="41">
        <v>5</v>
      </c>
      <c r="J36" s="98">
        <f t="shared" si="0"/>
        <v>35</v>
      </c>
      <c r="K36" s="60" t="s">
        <v>190</v>
      </c>
      <c r="L36" s="60" t="s">
        <v>366</v>
      </c>
      <c r="M36" s="60" t="s">
        <v>366</v>
      </c>
      <c r="N36" s="60" t="s">
        <v>197</v>
      </c>
      <c r="O36" s="60" t="s">
        <v>367</v>
      </c>
      <c r="P36" s="45" t="s">
        <v>250</v>
      </c>
      <c r="Q36" s="45" t="s">
        <v>6</v>
      </c>
      <c r="R36" s="45" t="s">
        <v>273</v>
      </c>
      <c r="S36" s="45" t="s">
        <v>274</v>
      </c>
      <c r="T36" s="119">
        <v>510</v>
      </c>
      <c r="U36" s="62">
        <f t="shared" si="1"/>
        <v>17850</v>
      </c>
      <c r="V36" s="63">
        <f t="shared" ca="1" si="2"/>
        <v>587</v>
      </c>
      <c r="W36" s="52" t="str">
        <f t="shared" ca="1" si="3"/>
        <v>18-24 Months</v>
      </c>
    </row>
    <row r="37" spans="1:23" s="64" customFormat="1" ht="15" customHeight="1">
      <c r="A37" s="45" t="s">
        <v>389</v>
      </c>
      <c r="B37" s="45" t="s">
        <v>258</v>
      </c>
      <c r="C37" s="45" t="s">
        <v>393</v>
      </c>
      <c r="D37" s="43" t="s">
        <v>364</v>
      </c>
      <c r="E37" s="43" t="s">
        <v>394</v>
      </c>
      <c r="F37" s="43" t="s">
        <v>395</v>
      </c>
      <c r="G37" s="41">
        <v>75214</v>
      </c>
      <c r="H37" s="116">
        <v>113</v>
      </c>
      <c r="I37" s="41">
        <v>12</v>
      </c>
      <c r="J37" s="98">
        <f t="shared" si="0"/>
        <v>1356</v>
      </c>
      <c r="K37" s="60" t="s">
        <v>152</v>
      </c>
      <c r="L37" s="60" t="s">
        <v>396</v>
      </c>
      <c r="M37" s="60" t="s">
        <v>263</v>
      </c>
      <c r="N37" s="60" t="s">
        <v>171</v>
      </c>
      <c r="O37" s="60" t="s">
        <v>397</v>
      </c>
      <c r="P37" s="45" t="s">
        <v>250</v>
      </c>
      <c r="Q37" s="45" t="s">
        <v>6</v>
      </c>
      <c r="R37" s="45" t="s">
        <v>257</v>
      </c>
      <c r="S37" s="45" t="s">
        <v>255</v>
      </c>
      <c r="T37" s="119">
        <v>350</v>
      </c>
      <c r="U37" s="62">
        <f t="shared" si="1"/>
        <v>474600</v>
      </c>
      <c r="V37" s="63">
        <f t="shared" ca="1" si="2"/>
        <v>587</v>
      </c>
      <c r="W37" s="52" t="str">
        <f t="shared" ca="1" si="3"/>
        <v>18-24 Months</v>
      </c>
    </row>
    <row r="38" spans="1:23" s="64" customFormat="1" ht="15" customHeight="1">
      <c r="A38" s="45" t="s">
        <v>398</v>
      </c>
      <c r="B38" s="45" t="s">
        <v>245</v>
      </c>
      <c r="C38" s="45" t="s">
        <v>399</v>
      </c>
      <c r="D38" s="43" t="s">
        <v>252</v>
      </c>
      <c r="E38" s="43" t="s">
        <v>304</v>
      </c>
      <c r="F38" s="43" t="s">
        <v>294</v>
      </c>
      <c r="G38" s="41">
        <v>79112</v>
      </c>
      <c r="H38" s="116">
        <v>3</v>
      </c>
      <c r="I38" s="41">
        <v>10</v>
      </c>
      <c r="J38" s="98">
        <f t="shared" si="0"/>
        <v>30</v>
      </c>
      <c r="K38" s="60" t="s">
        <v>190</v>
      </c>
      <c r="L38" s="60" t="s">
        <v>306</v>
      </c>
      <c r="M38" s="60" t="s">
        <v>307</v>
      </c>
      <c r="N38" s="60" t="s">
        <v>195</v>
      </c>
      <c r="O38" s="60" t="s">
        <v>308</v>
      </c>
      <c r="P38" s="45" t="s">
        <v>250</v>
      </c>
      <c r="Q38" s="45" t="s">
        <v>6</v>
      </c>
      <c r="R38" s="45" t="s">
        <v>254</v>
      </c>
      <c r="S38" s="45" t="s">
        <v>255</v>
      </c>
      <c r="T38" s="119">
        <v>550</v>
      </c>
      <c r="U38" s="62">
        <f t="shared" si="1"/>
        <v>16500</v>
      </c>
      <c r="V38" s="63">
        <f t="shared" ca="1" si="2"/>
        <v>559</v>
      </c>
      <c r="W38" s="52" t="str">
        <f t="shared" ca="1" si="3"/>
        <v>18-24 Months</v>
      </c>
    </row>
    <row r="39" spans="1:23" s="64" customFormat="1" ht="15" customHeight="1">
      <c r="A39" s="45" t="s">
        <v>400</v>
      </c>
      <c r="B39" s="45" t="s">
        <v>245</v>
      </c>
      <c r="C39" s="45" t="s">
        <v>401</v>
      </c>
      <c r="D39" s="43" t="s">
        <v>252</v>
      </c>
      <c r="E39" s="43" t="s">
        <v>402</v>
      </c>
      <c r="F39" s="43" t="s">
        <v>403</v>
      </c>
      <c r="G39" s="41">
        <v>121319</v>
      </c>
      <c r="H39" s="116">
        <v>17</v>
      </c>
      <c r="I39" s="41">
        <v>10</v>
      </c>
      <c r="J39" s="98">
        <f t="shared" si="0"/>
        <v>170</v>
      </c>
      <c r="K39" s="60" t="s">
        <v>152</v>
      </c>
      <c r="L39" s="60" t="s">
        <v>297</v>
      </c>
      <c r="M39" s="60" t="s">
        <v>298</v>
      </c>
      <c r="N39" s="60" t="s">
        <v>161</v>
      </c>
      <c r="O39" s="60" t="s">
        <v>299</v>
      </c>
      <c r="P39" s="45" t="s">
        <v>250</v>
      </c>
      <c r="Q39" s="45" t="s">
        <v>6</v>
      </c>
      <c r="R39" s="45" t="s">
        <v>257</v>
      </c>
      <c r="S39" s="45" t="s">
        <v>247</v>
      </c>
      <c r="T39" s="119">
        <v>182</v>
      </c>
      <c r="U39" s="62">
        <f t="shared" si="1"/>
        <v>30940</v>
      </c>
      <c r="V39" s="63">
        <f t="shared" ca="1" si="2"/>
        <v>533</v>
      </c>
      <c r="W39" s="52" t="str">
        <f t="shared" ca="1" si="3"/>
        <v>12-18 Months</v>
      </c>
    </row>
    <row r="40" spans="1:23" s="64" customFormat="1" ht="15" customHeight="1">
      <c r="A40" s="45" t="s">
        <v>404</v>
      </c>
      <c r="B40" s="45" t="s">
        <v>245</v>
      </c>
      <c r="C40" s="45" t="s">
        <v>405</v>
      </c>
      <c r="D40" s="43" t="s">
        <v>352</v>
      </c>
      <c r="E40" s="43" t="s">
        <v>331</v>
      </c>
      <c r="F40" s="43" t="s">
        <v>248</v>
      </c>
      <c r="G40" s="41">
        <v>122342</v>
      </c>
      <c r="H40" s="116">
        <v>3</v>
      </c>
      <c r="I40" s="41">
        <v>20</v>
      </c>
      <c r="J40" s="98">
        <f t="shared" si="0"/>
        <v>60</v>
      </c>
      <c r="K40" s="60" t="s">
        <v>190</v>
      </c>
      <c r="L40" s="60" t="s">
        <v>306</v>
      </c>
      <c r="M40" s="60" t="s">
        <v>306</v>
      </c>
      <c r="N40" s="60" t="s">
        <v>209</v>
      </c>
      <c r="O40" s="60" t="s">
        <v>308</v>
      </c>
      <c r="P40" s="45" t="s">
        <v>250</v>
      </c>
      <c r="Q40" s="45" t="s">
        <v>6</v>
      </c>
      <c r="R40" s="45" t="s">
        <v>257</v>
      </c>
      <c r="S40" s="45" t="s">
        <v>255</v>
      </c>
      <c r="T40" s="119">
        <v>550</v>
      </c>
      <c r="U40" s="62">
        <f t="shared" si="1"/>
        <v>33000</v>
      </c>
      <c r="V40" s="63">
        <f t="shared" ca="1" si="2"/>
        <v>527</v>
      </c>
      <c r="W40" s="52" t="str">
        <f t="shared" ca="1" si="3"/>
        <v>12-18 Months</v>
      </c>
    </row>
    <row r="41" spans="1:23" s="64" customFormat="1" ht="15" customHeight="1">
      <c r="A41" s="45" t="s">
        <v>406</v>
      </c>
      <c r="B41" s="45" t="s">
        <v>245</v>
      </c>
      <c r="C41" s="45" t="s">
        <v>407</v>
      </c>
      <c r="D41" s="43" t="s">
        <v>252</v>
      </c>
      <c r="E41" s="43" t="s">
        <v>408</v>
      </c>
      <c r="F41" s="43" t="s">
        <v>332</v>
      </c>
      <c r="G41" s="41">
        <v>123526</v>
      </c>
      <c r="H41" s="116">
        <v>60</v>
      </c>
      <c r="I41" s="41">
        <v>10</v>
      </c>
      <c r="J41" s="98">
        <f t="shared" si="0"/>
        <v>600</v>
      </c>
      <c r="K41" s="60" t="s">
        <v>148</v>
      </c>
      <c r="L41" s="60" t="s">
        <v>409</v>
      </c>
      <c r="M41" s="60" t="s">
        <v>247</v>
      </c>
      <c r="N41" s="60" t="s">
        <v>150</v>
      </c>
      <c r="O41" s="60" t="s">
        <v>410</v>
      </c>
      <c r="P41" s="45" t="s">
        <v>250</v>
      </c>
      <c r="Q41" s="45" t="s">
        <v>6</v>
      </c>
      <c r="R41" s="45" t="s">
        <v>257</v>
      </c>
      <c r="S41" s="45" t="s">
        <v>247</v>
      </c>
      <c r="T41" s="119">
        <v>116.6</v>
      </c>
      <c r="U41" s="62">
        <f t="shared" si="1"/>
        <v>69960</v>
      </c>
      <c r="V41" s="63">
        <f t="shared" ca="1" si="2"/>
        <v>518</v>
      </c>
      <c r="W41" s="52" t="str">
        <f t="shared" ca="1" si="3"/>
        <v>12-18 Months</v>
      </c>
    </row>
    <row r="42" spans="1:23" s="64" customFormat="1" ht="15" customHeight="1">
      <c r="A42" s="45" t="s">
        <v>406</v>
      </c>
      <c r="B42" s="45" t="s">
        <v>245</v>
      </c>
      <c r="C42" s="45" t="s">
        <v>407</v>
      </c>
      <c r="D42" s="43" t="s">
        <v>252</v>
      </c>
      <c r="E42" s="43" t="s">
        <v>411</v>
      </c>
      <c r="F42" s="43" t="s">
        <v>332</v>
      </c>
      <c r="G42" s="41">
        <v>123525</v>
      </c>
      <c r="H42" s="116">
        <v>923</v>
      </c>
      <c r="I42" s="41">
        <v>10</v>
      </c>
      <c r="J42" s="98">
        <f t="shared" si="0"/>
        <v>9230</v>
      </c>
      <c r="K42" s="60" t="s">
        <v>136</v>
      </c>
      <c r="L42" s="60" t="s">
        <v>842</v>
      </c>
      <c r="M42" s="60" t="s">
        <v>247</v>
      </c>
      <c r="N42" s="60" t="s">
        <v>138</v>
      </c>
      <c r="O42" s="60" t="s">
        <v>138</v>
      </c>
      <c r="P42" s="45" t="s">
        <v>250</v>
      </c>
      <c r="Q42" s="45" t="s">
        <v>6</v>
      </c>
      <c r="R42" s="45" t="s">
        <v>257</v>
      </c>
      <c r="S42" s="45" t="s">
        <v>247</v>
      </c>
      <c r="T42" s="119">
        <v>215</v>
      </c>
      <c r="U42" s="62">
        <f t="shared" si="1"/>
        <v>1984450</v>
      </c>
      <c r="V42" s="63">
        <f t="shared" ca="1" si="2"/>
        <v>518</v>
      </c>
      <c r="W42" s="52" t="str">
        <f t="shared" ca="1" si="3"/>
        <v>12-18 Months</v>
      </c>
    </row>
    <row r="43" spans="1:23" s="64" customFormat="1" ht="15" customHeight="1">
      <c r="A43" s="45" t="s">
        <v>412</v>
      </c>
      <c r="B43" s="45" t="s">
        <v>258</v>
      </c>
      <c r="C43" s="45" t="s">
        <v>413</v>
      </c>
      <c r="D43" s="43" t="s">
        <v>293</v>
      </c>
      <c r="E43" s="43" t="s">
        <v>414</v>
      </c>
      <c r="F43" s="43" t="s">
        <v>294</v>
      </c>
      <c r="G43" s="41">
        <v>78202</v>
      </c>
      <c r="H43" s="116">
        <v>4</v>
      </c>
      <c r="I43" s="41">
        <v>8</v>
      </c>
      <c r="J43" s="98">
        <f t="shared" si="0"/>
        <v>32</v>
      </c>
      <c r="K43" s="60" t="s">
        <v>190</v>
      </c>
      <c r="L43" s="60" t="s">
        <v>860</v>
      </c>
      <c r="M43" s="60" t="s">
        <v>295</v>
      </c>
      <c r="N43" s="60" t="s">
        <v>193</v>
      </c>
      <c r="O43" s="60" t="s">
        <v>415</v>
      </c>
      <c r="P43" s="45" t="s">
        <v>250</v>
      </c>
      <c r="Q43" s="45" t="s">
        <v>6</v>
      </c>
      <c r="R43" s="45" t="s">
        <v>273</v>
      </c>
      <c r="S43" s="45" t="s">
        <v>247</v>
      </c>
      <c r="T43" s="119">
        <v>401</v>
      </c>
      <c r="U43" s="62">
        <f t="shared" si="1"/>
        <v>12832</v>
      </c>
      <c r="V43" s="63">
        <f t="shared" ca="1" si="2"/>
        <v>502</v>
      </c>
      <c r="W43" s="52" t="str">
        <f t="shared" ca="1" si="3"/>
        <v>12-18 Months</v>
      </c>
    </row>
    <row r="44" spans="1:23" s="64" customFormat="1" ht="15" customHeight="1">
      <c r="A44" s="45" t="s">
        <v>416</v>
      </c>
      <c r="B44" s="45" t="s">
        <v>245</v>
      </c>
      <c r="C44" s="45" t="s">
        <v>417</v>
      </c>
      <c r="D44" s="43" t="s">
        <v>246</v>
      </c>
      <c r="E44" s="43" t="s">
        <v>248</v>
      </c>
      <c r="F44" s="43" t="s">
        <v>248</v>
      </c>
      <c r="G44" s="41">
        <v>127487</v>
      </c>
      <c r="H44" s="116">
        <v>190</v>
      </c>
      <c r="I44" s="41">
        <v>10</v>
      </c>
      <c r="J44" s="98">
        <f t="shared" si="0"/>
        <v>1900</v>
      </c>
      <c r="K44" s="60" t="s">
        <v>136</v>
      </c>
      <c r="L44" s="60" t="s">
        <v>841</v>
      </c>
      <c r="M44" s="60" t="s">
        <v>247</v>
      </c>
      <c r="N44" s="60" t="s">
        <v>137</v>
      </c>
      <c r="O44" s="60" t="s">
        <v>140</v>
      </c>
      <c r="P44" s="45" t="s">
        <v>250</v>
      </c>
      <c r="Q44" s="45" t="s">
        <v>6</v>
      </c>
      <c r="R44" s="45" t="s">
        <v>257</v>
      </c>
      <c r="S44" s="45" t="s">
        <v>247</v>
      </c>
      <c r="T44" s="119">
        <v>270</v>
      </c>
      <c r="U44" s="62">
        <f t="shared" si="1"/>
        <v>513000</v>
      </c>
      <c r="V44" s="63">
        <f t="shared" ca="1" si="2"/>
        <v>489</v>
      </c>
      <c r="W44" s="52" t="str">
        <f t="shared" ca="1" si="3"/>
        <v>12-18 Months</v>
      </c>
    </row>
    <row r="45" spans="1:23" s="64" customFormat="1" ht="15" customHeight="1">
      <c r="A45" s="45" t="s">
        <v>418</v>
      </c>
      <c r="B45" s="45" t="s">
        <v>258</v>
      </c>
      <c r="C45" s="45" t="s">
        <v>419</v>
      </c>
      <c r="D45" s="43" t="s">
        <v>256</v>
      </c>
      <c r="E45" s="43" t="s">
        <v>420</v>
      </c>
      <c r="F45" s="43" t="s">
        <v>421</v>
      </c>
      <c r="G45" s="41">
        <v>78999</v>
      </c>
      <c r="H45" s="116">
        <v>62</v>
      </c>
      <c r="I45" s="41">
        <v>5</v>
      </c>
      <c r="J45" s="98">
        <f t="shared" si="0"/>
        <v>310</v>
      </c>
      <c r="K45" s="60" t="s">
        <v>190</v>
      </c>
      <c r="L45" s="60" t="s">
        <v>422</v>
      </c>
      <c r="M45" s="60" t="s">
        <v>260</v>
      </c>
      <c r="N45" s="60" t="s">
        <v>191</v>
      </c>
      <c r="O45" s="60" t="s">
        <v>423</v>
      </c>
      <c r="P45" s="45" t="s">
        <v>250</v>
      </c>
      <c r="Q45" s="45" t="s">
        <v>6</v>
      </c>
      <c r="R45" s="45" t="s">
        <v>257</v>
      </c>
      <c r="S45" s="45" t="s">
        <v>255</v>
      </c>
      <c r="T45" s="119">
        <v>980</v>
      </c>
      <c r="U45" s="62">
        <f t="shared" si="1"/>
        <v>303800</v>
      </c>
      <c r="V45" s="63">
        <f t="shared" ca="1" si="2"/>
        <v>482</v>
      </c>
      <c r="W45" s="52" t="str">
        <f t="shared" ca="1" si="3"/>
        <v>12-18 Months</v>
      </c>
    </row>
    <row r="46" spans="1:23" s="64" customFormat="1" ht="15" customHeight="1">
      <c r="A46" s="45" t="s">
        <v>418</v>
      </c>
      <c r="B46" s="45" t="s">
        <v>258</v>
      </c>
      <c r="C46" s="45" t="s">
        <v>419</v>
      </c>
      <c r="D46" s="43" t="s">
        <v>256</v>
      </c>
      <c r="E46" s="43" t="s">
        <v>424</v>
      </c>
      <c r="F46" s="43" t="s">
        <v>425</v>
      </c>
      <c r="G46" s="41">
        <v>79000</v>
      </c>
      <c r="H46" s="116">
        <v>41</v>
      </c>
      <c r="I46" s="41">
        <v>5</v>
      </c>
      <c r="J46" s="98">
        <f t="shared" si="0"/>
        <v>205</v>
      </c>
      <c r="K46" s="60" t="s">
        <v>190</v>
      </c>
      <c r="L46" s="60" t="s">
        <v>422</v>
      </c>
      <c r="M46" s="60" t="s">
        <v>260</v>
      </c>
      <c r="N46" s="60" t="s">
        <v>191</v>
      </c>
      <c r="O46" s="60" t="s">
        <v>423</v>
      </c>
      <c r="P46" s="45" t="s">
        <v>250</v>
      </c>
      <c r="Q46" s="45" t="s">
        <v>6</v>
      </c>
      <c r="R46" s="45" t="s">
        <v>257</v>
      </c>
      <c r="S46" s="45" t="s">
        <v>255</v>
      </c>
      <c r="T46" s="119">
        <v>980</v>
      </c>
      <c r="U46" s="62">
        <f t="shared" si="1"/>
        <v>200900</v>
      </c>
      <c r="V46" s="63">
        <f t="shared" ca="1" si="2"/>
        <v>482</v>
      </c>
      <c r="W46" s="52" t="str">
        <f t="shared" ca="1" si="3"/>
        <v>12-18 Months</v>
      </c>
    </row>
    <row r="47" spans="1:23" s="64" customFormat="1" ht="15" customHeight="1">
      <c r="A47" s="45" t="s">
        <v>428</v>
      </c>
      <c r="B47" s="45" t="s">
        <v>245</v>
      </c>
      <c r="C47" s="45" t="s">
        <v>429</v>
      </c>
      <c r="D47" s="43" t="s">
        <v>246</v>
      </c>
      <c r="E47" s="43" t="s">
        <v>430</v>
      </c>
      <c r="F47" s="43" t="s">
        <v>431</v>
      </c>
      <c r="G47" s="41">
        <v>129815</v>
      </c>
      <c r="H47" s="116">
        <v>2350</v>
      </c>
      <c r="I47" s="41">
        <v>10</v>
      </c>
      <c r="J47" s="98">
        <f t="shared" si="0"/>
        <v>23500</v>
      </c>
      <c r="K47" s="60" t="s">
        <v>136</v>
      </c>
      <c r="L47" s="60" t="s">
        <v>841</v>
      </c>
      <c r="M47" s="60" t="s">
        <v>247</v>
      </c>
      <c r="N47" s="60" t="s">
        <v>137</v>
      </c>
      <c r="O47" s="60" t="s">
        <v>140</v>
      </c>
      <c r="P47" s="45" t="s">
        <v>250</v>
      </c>
      <c r="Q47" s="45" t="s">
        <v>6</v>
      </c>
      <c r="R47" s="45" t="s">
        <v>257</v>
      </c>
      <c r="S47" s="45" t="s">
        <v>247</v>
      </c>
      <c r="T47" s="119">
        <v>270</v>
      </c>
      <c r="U47" s="62">
        <f t="shared" si="1"/>
        <v>6345000</v>
      </c>
      <c r="V47" s="63">
        <f t="shared" ca="1" si="2"/>
        <v>473</v>
      </c>
      <c r="W47" s="52" t="str">
        <f t="shared" ca="1" si="3"/>
        <v>12-18 Months</v>
      </c>
    </row>
    <row r="48" spans="1:23" s="64" customFormat="1" ht="15" customHeight="1">
      <c r="A48" s="45" t="s">
        <v>432</v>
      </c>
      <c r="B48" s="45" t="s">
        <v>258</v>
      </c>
      <c r="C48" s="45" t="s">
        <v>433</v>
      </c>
      <c r="D48" s="43" t="s">
        <v>270</v>
      </c>
      <c r="E48" s="43" t="s">
        <v>435</v>
      </c>
      <c r="F48" s="43" t="s">
        <v>436</v>
      </c>
      <c r="G48" s="41">
        <v>79729</v>
      </c>
      <c r="H48" s="116">
        <v>4</v>
      </c>
      <c r="I48" s="41">
        <v>5</v>
      </c>
      <c r="J48" s="98">
        <f t="shared" si="0"/>
        <v>20</v>
      </c>
      <c r="K48" s="60" t="s">
        <v>190</v>
      </c>
      <c r="L48" s="60" t="s">
        <v>860</v>
      </c>
      <c r="M48" s="60" t="s">
        <v>295</v>
      </c>
      <c r="N48" s="60" t="s">
        <v>205</v>
      </c>
      <c r="O48" s="60" t="s">
        <v>296</v>
      </c>
      <c r="P48" s="45" t="s">
        <v>250</v>
      </c>
      <c r="Q48" s="45" t="s">
        <v>6</v>
      </c>
      <c r="R48" s="45" t="s">
        <v>257</v>
      </c>
      <c r="S48" s="45" t="s">
        <v>274</v>
      </c>
      <c r="T48" s="119">
        <v>712</v>
      </c>
      <c r="U48" s="62">
        <f t="shared" si="1"/>
        <v>14240</v>
      </c>
      <c r="V48" s="63">
        <f t="shared" ca="1" si="2"/>
        <v>459</v>
      </c>
      <c r="W48" s="52" t="str">
        <f t="shared" ca="1" si="3"/>
        <v>12-18 Months</v>
      </c>
    </row>
    <row r="49" spans="1:23" s="64" customFormat="1" ht="15" customHeight="1">
      <c r="A49" s="45" t="s">
        <v>437</v>
      </c>
      <c r="B49" s="45" t="s">
        <v>258</v>
      </c>
      <c r="C49" s="45" t="s">
        <v>438</v>
      </c>
      <c r="D49" s="43" t="s">
        <v>293</v>
      </c>
      <c r="E49" s="43" t="s">
        <v>439</v>
      </c>
      <c r="F49" s="43" t="s">
        <v>294</v>
      </c>
      <c r="G49" s="41">
        <v>79910</v>
      </c>
      <c r="H49" s="116">
        <v>59</v>
      </c>
      <c r="I49" s="41">
        <v>8</v>
      </c>
      <c r="J49" s="98">
        <f t="shared" si="0"/>
        <v>472</v>
      </c>
      <c r="K49" s="60" t="s">
        <v>190</v>
      </c>
      <c r="L49" s="60" t="s">
        <v>859</v>
      </c>
      <c r="M49" s="60" t="s">
        <v>440</v>
      </c>
      <c r="N49" s="60" t="s">
        <v>204</v>
      </c>
      <c r="O49" s="60" t="s">
        <v>441</v>
      </c>
      <c r="P49" s="45" t="s">
        <v>250</v>
      </c>
      <c r="Q49" s="45" t="s">
        <v>6</v>
      </c>
      <c r="R49" s="45" t="s">
        <v>257</v>
      </c>
      <c r="S49" s="45" t="s">
        <v>274</v>
      </c>
      <c r="T49" s="119">
        <v>817</v>
      </c>
      <c r="U49" s="62">
        <f t="shared" si="1"/>
        <v>385624</v>
      </c>
      <c r="V49" s="63">
        <f t="shared" ca="1" si="2"/>
        <v>456</v>
      </c>
      <c r="W49" s="52" t="str">
        <f t="shared" ca="1" si="3"/>
        <v>12-18 Months</v>
      </c>
    </row>
    <row r="50" spans="1:23" s="64" customFormat="1" ht="15" customHeight="1">
      <c r="A50" s="45" t="s">
        <v>437</v>
      </c>
      <c r="B50" s="45" t="s">
        <v>258</v>
      </c>
      <c r="C50" s="45" t="s">
        <v>438</v>
      </c>
      <c r="D50" s="43" t="s">
        <v>317</v>
      </c>
      <c r="E50" s="43" t="s">
        <v>442</v>
      </c>
      <c r="F50" s="43" t="s">
        <v>443</v>
      </c>
      <c r="G50" s="41">
        <v>79912</v>
      </c>
      <c r="H50" s="116">
        <v>9</v>
      </c>
      <c r="I50" s="41">
        <v>15</v>
      </c>
      <c r="J50" s="98">
        <f t="shared" si="0"/>
        <v>135</v>
      </c>
      <c r="K50" s="60" t="s">
        <v>190</v>
      </c>
      <c r="L50" s="60" t="s">
        <v>855</v>
      </c>
      <c r="M50" s="60" t="s">
        <v>380</v>
      </c>
      <c r="N50" s="60" t="s">
        <v>199</v>
      </c>
      <c r="O50" s="60" t="s">
        <v>381</v>
      </c>
      <c r="P50" s="45" t="s">
        <v>250</v>
      </c>
      <c r="Q50" s="45" t="s">
        <v>6</v>
      </c>
      <c r="R50" s="45" t="s">
        <v>257</v>
      </c>
      <c r="S50" s="45" t="s">
        <v>274</v>
      </c>
      <c r="T50" s="119">
        <v>477</v>
      </c>
      <c r="U50" s="62">
        <f t="shared" si="1"/>
        <v>64395</v>
      </c>
      <c r="V50" s="63">
        <f t="shared" ca="1" si="2"/>
        <v>456</v>
      </c>
      <c r="W50" s="52" t="str">
        <f t="shared" ca="1" si="3"/>
        <v>12-18 Months</v>
      </c>
    </row>
    <row r="51" spans="1:23" s="64" customFormat="1" ht="15" customHeight="1">
      <c r="A51" s="45" t="s">
        <v>437</v>
      </c>
      <c r="B51" s="45" t="s">
        <v>258</v>
      </c>
      <c r="C51" s="45" t="s">
        <v>438</v>
      </c>
      <c r="D51" s="43" t="s">
        <v>293</v>
      </c>
      <c r="E51" s="43" t="s">
        <v>439</v>
      </c>
      <c r="F51" s="43" t="s">
        <v>303</v>
      </c>
      <c r="G51" s="41">
        <v>79911</v>
      </c>
      <c r="H51" s="116">
        <v>7</v>
      </c>
      <c r="I51" s="41">
        <v>8</v>
      </c>
      <c r="J51" s="98">
        <f t="shared" si="0"/>
        <v>56</v>
      </c>
      <c r="K51" s="60" t="s">
        <v>190</v>
      </c>
      <c r="L51" s="60" t="s">
        <v>857</v>
      </c>
      <c r="M51" s="60" t="s">
        <v>323</v>
      </c>
      <c r="N51" s="60" t="s">
        <v>201</v>
      </c>
      <c r="O51" s="60" t="s">
        <v>324</v>
      </c>
      <c r="P51" s="45" t="s">
        <v>250</v>
      </c>
      <c r="Q51" s="45" t="s">
        <v>6</v>
      </c>
      <c r="R51" s="45" t="s">
        <v>257</v>
      </c>
      <c r="S51" s="45" t="s">
        <v>274</v>
      </c>
      <c r="T51" s="119">
        <v>1045</v>
      </c>
      <c r="U51" s="62">
        <f t="shared" si="1"/>
        <v>58520</v>
      </c>
      <c r="V51" s="63">
        <f t="shared" ca="1" si="2"/>
        <v>456</v>
      </c>
      <c r="W51" s="52" t="str">
        <f t="shared" ca="1" si="3"/>
        <v>12-18 Months</v>
      </c>
    </row>
    <row r="52" spans="1:23" s="64" customFormat="1" ht="15" customHeight="1">
      <c r="A52" s="45" t="s">
        <v>444</v>
      </c>
      <c r="B52" s="45" t="s">
        <v>258</v>
      </c>
      <c r="C52" s="45" t="s">
        <v>445</v>
      </c>
      <c r="D52" s="43" t="s">
        <v>270</v>
      </c>
      <c r="E52" s="43" t="s">
        <v>377</v>
      </c>
      <c r="F52" s="43" t="s">
        <v>446</v>
      </c>
      <c r="G52" s="41">
        <v>79952</v>
      </c>
      <c r="H52" s="116">
        <v>9</v>
      </c>
      <c r="I52" s="41">
        <v>5</v>
      </c>
      <c r="J52" s="98">
        <f t="shared" si="0"/>
        <v>45</v>
      </c>
      <c r="K52" s="60" t="s">
        <v>190</v>
      </c>
      <c r="L52" s="60" t="s">
        <v>856</v>
      </c>
      <c r="M52" s="60" t="s">
        <v>378</v>
      </c>
      <c r="N52" s="60" t="s">
        <v>202</v>
      </c>
      <c r="O52" s="60" t="s">
        <v>816</v>
      </c>
      <c r="P52" s="45" t="s">
        <v>250</v>
      </c>
      <c r="Q52" s="45" t="s">
        <v>6</v>
      </c>
      <c r="R52" s="45" t="s">
        <v>257</v>
      </c>
      <c r="S52" s="45" t="s">
        <v>274</v>
      </c>
      <c r="T52" s="119">
        <v>1139</v>
      </c>
      <c r="U52" s="62">
        <f t="shared" si="1"/>
        <v>51255</v>
      </c>
      <c r="V52" s="63">
        <f t="shared" ca="1" si="2"/>
        <v>455</v>
      </c>
      <c r="W52" s="52" t="str">
        <f t="shared" ca="1" si="3"/>
        <v>12-18 Months</v>
      </c>
    </row>
    <row r="53" spans="1:23" s="64" customFormat="1" ht="15" customHeight="1">
      <c r="A53" s="45" t="s">
        <v>447</v>
      </c>
      <c r="B53" s="45" t="s">
        <v>245</v>
      </c>
      <c r="C53" s="45" t="s">
        <v>448</v>
      </c>
      <c r="D53" s="43" t="s">
        <v>270</v>
      </c>
      <c r="E53" s="43" t="s">
        <v>247</v>
      </c>
      <c r="F53" s="43" t="s">
        <v>449</v>
      </c>
      <c r="G53" s="41">
        <v>132153</v>
      </c>
      <c r="H53" s="116">
        <v>961</v>
      </c>
      <c r="I53" s="41">
        <v>5</v>
      </c>
      <c r="J53" s="98">
        <f t="shared" si="0"/>
        <v>4805</v>
      </c>
      <c r="K53" s="60" t="s">
        <v>190</v>
      </c>
      <c r="L53" s="60" t="s">
        <v>870</v>
      </c>
      <c r="M53" s="60" t="s">
        <v>247</v>
      </c>
      <c r="N53" s="60" t="s">
        <v>194</v>
      </c>
      <c r="O53" s="60" t="s">
        <v>450</v>
      </c>
      <c r="P53" s="45" t="s">
        <v>250</v>
      </c>
      <c r="Q53" s="45" t="s">
        <v>6</v>
      </c>
      <c r="R53" s="45" t="s">
        <v>257</v>
      </c>
      <c r="S53" s="45" t="s">
        <v>247</v>
      </c>
      <c r="T53" s="119">
        <v>401</v>
      </c>
      <c r="U53" s="62">
        <f t="shared" si="1"/>
        <v>1926805</v>
      </c>
      <c r="V53" s="63">
        <f t="shared" ca="1" si="2"/>
        <v>454</v>
      </c>
      <c r="W53" s="52" t="str">
        <f t="shared" ca="1" si="3"/>
        <v>12-18 Months</v>
      </c>
    </row>
    <row r="54" spans="1:23" s="64" customFormat="1" ht="15" customHeight="1">
      <c r="A54" s="45" t="s">
        <v>451</v>
      </c>
      <c r="B54" s="45" t="s">
        <v>245</v>
      </c>
      <c r="C54" s="45" t="s">
        <v>452</v>
      </c>
      <c r="D54" s="43" t="s">
        <v>252</v>
      </c>
      <c r="E54" s="43" t="s">
        <v>248</v>
      </c>
      <c r="F54" s="43" t="s">
        <v>453</v>
      </c>
      <c r="G54" s="41">
        <v>133830</v>
      </c>
      <c r="H54" s="116">
        <v>119</v>
      </c>
      <c r="I54" s="41">
        <v>10</v>
      </c>
      <c r="J54" s="98">
        <f t="shared" si="0"/>
        <v>1190</v>
      </c>
      <c r="K54" s="60" t="s">
        <v>190</v>
      </c>
      <c r="L54" s="60" t="s">
        <v>859</v>
      </c>
      <c r="M54" s="60" t="s">
        <v>440</v>
      </c>
      <c r="N54" s="60" t="s">
        <v>218</v>
      </c>
      <c r="O54" s="60" t="s">
        <v>454</v>
      </c>
      <c r="P54" s="45" t="s">
        <v>250</v>
      </c>
      <c r="Q54" s="45" t="s">
        <v>6</v>
      </c>
      <c r="R54" s="45" t="s">
        <v>257</v>
      </c>
      <c r="S54" s="45" t="s">
        <v>274</v>
      </c>
      <c r="T54" s="119">
        <v>817</v>
      </c>
      <c r="U54" s="62">
        <f t="shared" si="1"/>
        <v>972230</v>
      </c>
      <c r="V54" s="63">
        <f t="shared" ca="1" si="2"/>
        <v>440</v>
      </c>
      <c r="W54" s="52" t="str">
        <f t="shared" ca="1" si="3"/>
        <v>12-18 Months</v>
      </c>
    </row>
    <row r="55" spans="1:23" s="64" customFormat="1" ht="15" customHeight="1">
      <c r="A55" s="45" t="s">
        <v>455</v>
      </c>
      <c r="B55" s="45" t="s">
        <v>245</v>
      </c>
      <c r="C55" s="45" t="s">
        <v>456</v>
      </c>
      <c r="D55" s="43" t="s">
        <v>270</v>
      </c>
      <c r="E55" s="43" t="s">
        <v>391</v>
      </c>
      <c r="F55" s="43" t="s">
        <v>392</v>
      </c>
      <c r="G55" s="41">
        <v>133992</v>
      </c>
      <c r="H55" s="116">
        <v>1</v>
      </c>
      <c r="I55" s="41">
        <v>5</v>
      </c>
      <c r="J55" s="98">
        <f t="shared" si="0"/>
        <v>5</v>
      </c>
      <c r="K55" s="60" t="s">
        <v>190</v>
      </c>
      <c r="L55" s="60" t="s">
        <v>366</v>
      </c>
      <c r="M55" s="60" t="s">
        <v>366</v>
      </c>
      <c r="N55" s="60" t="s">
        <v>197</v>
      </c>
      <c r="O55" s="60" t="s">
        <v>367</v>
      </c>
      <c r="P55" s="45" t="s">
        <v>250</v>
      </c>
      <c r="Q55" s="45" t="s">
        <v>6</v>
      </c>
      <c r="R55" s="45" t="s">
        <v>257</v>
      </c>
      <c r="S55" s="45" t="s">
        <v>274</v>
      </c>
      <c r="T55" s="119">
        <v>510</v>
      </c>
      <c r="U55" s="62">
        <f t="shared" si="1"/>
        <v>2550</v>
      </c>
      <c r="V55" s="63">
        <f t="shared" ca="1" si="2"/>
        <v>438</v>
      </c>
      <c r="W55" s="52" t="str">
        <f t="shared" ca="1" si="3"/>
        <v>12-18 Months</v>
      </c>
    </row>
    <row r="56" spans="1:23" s="64" customFormat="1" ht="15" customHeight="1">
      <c r="A56" s="45" t="s">
        <v>457</v>
      </c>
      <c r="B56" s="45" t="s">
        <v>245</v>
      </c>
      <c r="C56" s="45" t="s">
        <v>458</v>
      </c>
      <c r="D56" s="43" t="s">
        <v>246</v>
      </c>
      <c r="E56" s="43" t="s">
        <v>459</v>
      </c>
      <c r="F56" s="43" t="s">
        <v>248</v>
      </c>
      <c r="G56" s="41">
        <v>134588</v>
      </c>
      <c r="H56" s="116">
        <v>1694</v>
      </c>
      <c r="I56" s="41">
        <v>10</v>
      </c>
      <c r="J56" s="98">
        <f t="shared" si="0"/>
        <v>16940</v>
      </c>
      <c r="K56" s="60" t="s">
        <v>136</v>
      </c>
      <c r="L56" s="60" t="s">
        <v>841</v>
      </c>
      <c r="M56" s="60" t="s">
        <v>247</v>
      </c>
      <c r="N56" s="60" t="s">
        <v>139</v>
      </c>
      <c r="O56" s="60" t="s">
        <v>140</v>
      </c>
      <c r="P56" s="45" t="s">
        <v>250</v>
      </c>
      <c r="Q56" s="45" t="s">
        <v>6</v>
      </c>
      <c r="R56" s="45" t="s">
        <v>257</v>
      </c>
      <c r="S56" s="45" t="s">
        <v>247</v>
      </c>
      <c r="T56" s="119">
        <v>270</v>
      </c>
      <c r="U56" s="62">
        <f t="shared" si="1"/>
        <v>4573800</v>
      </c>
      <c r="V56" s="63">
        <f t="shared" ca="1" si="2"/>
        <v>433</v>
      </c>
      <c r="W56" s="52" t="str">
        <f t="shared" ca="1" si="3"/>
        <v>12-18 Months</v>
      </c>
    </row>
    <row r="57" spans="1:23" s="64" customFormat="1" ht="15" customHeight="1">
      <c r="A57" s="45" t="s">
        <v>462</v>
      </c>
      <c r="B57" s="45" t="s">
        <v>245</v>
      </c>
      <c r="C57" s="45" t="s">
        <v>463</v>
      </c>
      <c r="D57" s="43" t="s">
        <v>246</v>
      </c>
      <c r="E57" s="43" t="s">
        <v>247</v>
      </c>
      <c r="F57" s="43" t="s">
        <v>249</v>
      </c>
      <c r="G57" s="41">
        <v>134869</v>
      </c>
      <c r="H57" s="116">
        <v>370</v>
      </c>
      <c r="I57" s="41">
        <v>10</v>
      </c>
      <c r="J57" s="98">
        <f t="shared" si="0"/>
        <v>3700</v>
      </c>
      <c r="K57" s="60" t="s">
        <v>136</v>
      </c>
      <c r="L57" s="60" t="s">
        <v>841</v>
      </c>
      <c r="M57" s="60" t="s">
        <v>247</v>
      </c>
      <c r="N57" s="60" t="s">
        <v>139</v>
      </c>
      <c r="O57" s="60" t="s">
        <v>140</v>
      </c>
      <c r="P57" s="45" t="s">
        <v>250</v>
      </c>
      <c r="Q57" s="45" t="s">
        <v>6</v>
      </c>
      <c r="R57" s="45" t="s">
        <v>254</v>
      </c>
      <c r="S57" s="45" t="s">
        <v>247</v>
      </c>
      <c r="T57" s="119">
        <v>270</v>
      </c>
      <c r="U57" s="62">
        <f t="shared" si="1"/>
        <v>999000</v>
      </c>
      <c r="V57" s="63">
        <f t="shared" ca="1" si="2"/>
        <v>431</v>
      </c>
      <c r="W57" s="52" t="str">
        <f t="shared" ca="1" si="3"/>
        <v>12-18 Months</v>
      </c>
    </row>
    <row r="58" spans="1:23" s="64" customFormat="1" ht="15" customHeight="1">
      <c r="A58" s="45" t="s">
        <v>464</v>
      </c>
      <c r="B58" s="45" t="s">
        <v>258</v>
      </c>
      <c r="C58" s="45" t="s">
        <v>465</v>
      </c>
      <c r="D58" s="43" t="s">
        <v>270</v>
      </c>
      <c r="E58" s="43" t="s">
        <v>466</v>
      </c>
      <c r="F58" s="43" t="s">
        <v>467</v>
      </c>
      <c r="G58" s="41">
        <v>81382</v>
      </c>
      <c r="H58" s="116">
        <v>4</v>
      </c>
      <c r="I58" s="41">
        <v>5</v>
      </c>
      <c r="J58" s="98">
        <f t="shared" si="0"/>
        <v>20</v>
      </c>
      <c r="K58" s="60" t="s">
        <v>190</v>
      </c>
      <c r="L58" s="60" t="s">
        <v>856</v>
      </c>
      <c r="M58" s="60" t="s">
        <v>440</v>
      </c>
      <c r="N58" s="60" t="s">
        <v>219</v>
      </c>
      <c r="O58" s="60" t="s">
        <v>816</v>
      </c>
      <c r="P58" s="45" t="s">
        <v>250</v>
      </c>
      <c r="Q58" s="45" t="s">
        <v>6</v>
      </c>
      <c r="R58" s="45" t="s">
        <v>273</v>
      </c>
      <c r="S58" s="45" t="s">
        <v>274</v>
      </c>
      <c r="T58" s="119">
        <v>200</v>
      </c>
      <c r="U58" s="62">
        <f t="shared" si="1"/>
        <v>4000</v>
      </c>
      <c r="V58" s="63">
        <f t="shared" ca="1" si="2"/>
        <v>419</v>
      </c>
      <c r="W58" s="52" t="str">
        <f t="shared" ca="1" si="3"/>
        <v>12-18 Months</v>
      </c>
    </row>
    <row r="59" spans="1:23" s="64" customFormat="1" ht="15" customHeight="1">
      <c r="A59" s="45" t="s">
        <v>468</v>
      </c>
      <c r="B59" s="45" t="s">
        <v>258</v>
      </c>
      <c r="C59" s="45" t="s">
        <v>469</v>
      </c>
      <c r="D59" s="43" t="s">
        <v>256</v>
      </c>
      <c r="E59" s="43" t="s">
        <v>342</v>
      </c>
      <c r="F59" s="43" t="s">
        <v>470</v>
      </c>
      <c r="G59" s="41">
        <v>81466</v>
      </c>
      <c r="H59" s="116">
        <v>73</v>
      </c>
      <c r="I59" s="41">
        <v>5</v>
      </c>
      <c r="J59" s="98">
        <f t="shared" si="0"/>
        <v>365</v>
      </c>
      <c r="K59" s="60" t="s">
        <v>190</v>
      </c>
      <c r="L59" s="60" t="s">
        <v>422</v>
      </c>
      <c r="M59" s="60" t="s">
        <v>278</v>
      </c>
      <c r="N59" s="60" t="s">
        <v>217</v>
      </c>
      <c r="O59" s="60" t="s">
        <v>471</v>
      </c>
      <c r="P59" s="45" t="s">
        <v>250</v>
      </c>
      <c r="Q59" s="45" t="s">
        <v>6</v>
      </c>
      <c r="R59" s="45" t="s">
        <v>257</v>
      </c>
      <c r="S59" s="45" t="s">
        <v>255</v>
      </c>
      <c r="T59" s="119">
        <v>980</v>
      </c>
      <c r="U59" s="62">
        <f t="shared" si="1"/>
        <v>357700</v>
      </c>
      <c r="V59" s="63">
        <f t="shared" ca="1" si="2"/>
        <v>417</v>
      </c>
      <c r="W59" s="52" t="str">
        <f t="shared" ca="1" si="3"/>
        <v>12-18 Months</v>
      </c>
    </row>
    <row r="60" spans="1:23" s="64" customFormat="1" ht="15" customHeight="1">
      <c r="A60" s="45" t="s">
        <v>473</v>
      </c>
      <c r="B60" s="45" t="s">
        <v>245</v>
      </c>
      <c r="C60" s="45" t="s">
        <v>474</v>
      </c>
      <c r="D60" s="43" t="s">
        <v>256</v>
      </c>
      <c r="E60" s="43" t="s">
        <v>477</v>
      </c>
      <c r="F60" s="43" t="s">
        <v>478</v>
      </c>
      <c r="G60" s="41">
        <v>132067</v>
      </c>
      <c r="H60" s="116">
        <v>17</v>
      </c>
      <c r="I60" s="41">
        <v>5</v>
      </c>
      <c r="J60" s="98">
        <f t="shared" si="0"/>
        <v>85</v>
      </c>
      <c r="K60" s="60" t="s">
        <v>190</v>
      </c>
      <c r="L60" s="60" t="s">
        <v>306</v>
      </c>
      <c r="M60" s="60" t="s">
        <v>278</v>
      </c>
      <c r="N60" s="60" t="s">
        <v>214</v>
      </c>
      <c r="O60" s="60" t="s">
        <v>479</v>
      </c>
      <c r="P60" s="45" t="s">
        <v>250</v>
      </c>
      <c r="Q60" s="45" t="s">
        <v>6</v>
      </c>
      <c r="R60" s="45" t="s">
        <v>257</v>
      </c>
      <c r="S60" s="45" t="s">
        <v>255</v>
      </c>
      <c r="T60" s="119">
        <v>550</v>
      </c>
      <c r="U60" s="62">
        <f t="shared" si="1"/>
        <v>46750</v>
      </c>
      <c r="V60" s="63">
        <f t="shared" ca="1" si="2"/>
        <v>414</v>
      </c>
      <c r="W60" s="52" t="str">
        <f t="shared" ca="1" si="3"/>
        <v>12-18 Months</v>
      </c>
    </row>
    <row r="61" spans="1:23" s="64" customFormat="1" ht="15" customHeight="1">
      <c r="A61" s="45" t="s">
        <v>473</v>
      </c>
      <c r="B61" s="45" t="s">
        <v>245</v>
      </c>
      <c r="C61" s="45" t="s">
        <v>474</v>
      </c>
      <c r="D61" s="43" t="s">
        <v>283</v>
      </c>
      <c r="E61" s="43" t="s">
        <v>342</v>
      </c>
      <c r="F61" s="43" t="s">
        <v>475</v>
      </c>
      <c r="G61" s="41">
        <v>132066</v>
      </c>
      <c r="H61" s="116">
        <v>10</v>
      </c>
      <c r="I61" s="41">
        <v>8</v>
      </c>
      <c r="J61" s="98">
        <f t="shared" si="0"/>
        <v>80</v>
      </c>
      <c r="K61" s="60" t="s">
        <v>152</v>
      </c>
      <c r="L61" s="60" t="s">
        <v>262</v>
      </c>
      <c r="M61" s="60" t="s">
        <v>278</v>
      </c>
      <c r="N61" s="60" t="s">
        <v>172</v>
      </c>
      <c r="O61" s="60" t="s">
        <v>476</v>
      </c>
      <c r="P61" s="45" t="s">
        <v>250</v>
      </c>
      <c r="Q61" s="45" t="s">
        <v>6</v>
      </c>
      <c r="R61" s="45" t="s">
        <v>257</v>
      </c>
      <c r="S61" s="45" t="s">
        <v>247</v>
      </c>
      <c r="T61" s="119">
        <v>116</v>
      </c>
      <c r="U61" s="62">
        <f t="shared" si="1"/>
        <v>9280</v>
      </c>
      <c r="V61" s="63">
        <f t="shared" ca="1" si="2"/>
        <v>414</v>
      </c>
      <c r="W61" s="52" t="str">
        <f t="shared" ca="1" si="3"/>
        <v>12-18 Months</v>
      </c>
    </row>
    <row r="62" spans="1:23" s="64" customFormat="1" ht="15" customHeight="1">
      <c r="A62" s="45" t="s">
        <v>473</v>
      </c>
      <c r="B62" s="45" t="s">
        <v>245</v>
      </c>
      <c r="C62" s="45" t="s">
        <v>474</v>
      </c>
      <c r="D62" s="43" t="s">
        <v>252</v>
      </c>
      <c r="E62" s="43" t="s">
        <v>247</v>
      </c>
      <c r="F62" s="43" t="s">
        <v>480</v>
      </c>
      <c r="G62" s="41">
        <v>132065</v>
      </c>
      <c r="H62" s="116">
        <v>3</v>
      </c>
      <c r="I62" s="41">
        <v>10</v>
      </c>
      <c r="J62" s="98">
        <f t="shared" si="0"/>
        <v>30</v>
      </c>
      <c r="K62" s="60" t="s">
        <v>190</v>
      </c>
      <c r="L62" s="60" t="s">
        <v>306</v>
      </c>
      <c r="M62" s="60" t="s">
        <v>278</v>
      </c>
      <c r="N62" s="60" t="s">
        <v>215</v>
      </c>
      <c r="O62" s="60" t="s">
        <v>481</v>
      </c>
      <c r="P62" s="45" t="s">
        <v>250</v>
      </c>
      <c r="Q62" s="45" t="s">
        <v>6</v>
      </c>
      <c r="R62" s="45" t="s">
        <v>257</v>
      </c>
      <c r="S62" s="45" t="s">
        <v>247</v>
      </c>
      <c r="T62" s="119">
        <v>700</v>
      </c>
      <c r="U62" s="62">
        <f t="shared" si="1"/>
        <v>21000</v>
      </c>
      <c r="V62" s="63">
        <f t="shared" ca="1" si="2"/>
        <v>414</v>
      </c>
      <c r="W62" s="52" t="str">
        <f t="shared" ca="1" si="3"/>
        <v>12-18 Months</v>
      </c>
    </row>
    <row r="63" spans="1:23" s="64" customFormat="1" ht="15" customHeight="1">
      <c r="A63" s="45" t="s">
        <v>482</v>
      </c>
      <c r="B63" s="45" t="s">
        <v>258</v>
      </c>
      <c r="C63" s="45" t="s">
        <v>493</v>
      </c>
      <c r="D63" s="43" t="s">
        <v>252</v>
      </c>
      <c r="E63" s="43" t="s">
        <v>494</v>
      </c>
      <c r="F63" s="43" t="s">
        <v>495</v>
      </c>
      <c r="G63" s="41">
        <v>81947</v>
      </c>
      <c r="H63" s="116">
        <v>25</v>
      </c>
      <c r="I63" s="41">
        <v>10</v>
      </c>
      <c r="J63" s="98">
        <f t="shared" si="0"/>
        <v>250</v>
      </c>
      <c r="K63" s="60" t="s">
        <v>190</v>
      </c>
      <c r="L63" s="60" t="s">
        <v>860</v>
      </c>
      <c r="M63" s="60" t="s">
        <v>295</v>
      </c>
      <c r="N63" s="60" t="s">
        <v>220</v>
      </c>
      <c r="O63" s="60" t="s">
        <v>496</v>
      </c>
      <c r="P63" s="45" t="s">
        <v>250</v>
      </c>
      <c r="Q63" s="45" t="s">
        <v>6</v>
      </c>
      <c r="R63" s="45" t="s">
        <v>257</v>
      </c>
      <c r="S63" s="45" t="s">
        <v>274</v>
      </c>
      <c r="T63" s="119">
        <v>712</v>
      </c>
      <c r="U63" s="62">
        <f t="shared" si="1"/>
        <v>178000</v>
      </c>
      <c r="V63" s="63">
        <f t="shared" ca="1" si="2"/>
        <v>407</v>
      </c>
      <c r="W63" s="52" t="str">
        <f t="shared" ca="1" si="3"/>
        <v>12-18 Months</v>
      </c>
    </row>
    <row r="64" spans="1:23" s="64" customFormat="1" ht="15" customHeight="1">
      <c r="A64" s="45" t="s">
        <v>482</v>
      </c>
      <c r="B64" s="45" t="s">
        <v>258</v>
      </c>
      <c r="C64" s="45" t="s">
        <v>483</v>
      </c>
      <c r="D64" s="43" t="s">
        <v>252</v>
      </c>
      <c r="E64" s="43" t="s">
        <v>484</v>
      </c>
      <c r="F64" s="43" t="s">
        <v>303</v>
      </c>
      <c r="G64" s="41">
        <v>81934</v>
      </c>
      <c r="H64" s="116">
        <v>1</v>
      </c>
      <c r="I64" s="41">
        <v>10</v>
      </c>
      <c r="J64" s="98">
        <f t="shared" si="0"/>
        <v>10</v>
      </c>
      <c r="K64" s="60" t="s">
        <v>152</v>
      </c>
      <c r="L64" s="60" t="s">
        <v>396</v>
      </c>
      <c r="M64" s="60" t="s">
        <v>263</v>
      </c>
      <c r="N64" s="60" t="s">
        <v>171</v>
      </c>
      <c r="O64" s="60" t="s">
        <v>397</v>
      </c>
      <c r="P64" s="45" t="s">
        <v>250</v>
      </c>
      <c r="Q64" s="45" t="s">
        <v>6</v>
      </c>
      <c r="R64" s="45" t="s">
        <v>257</v>
      </c>
      <c r="S64" s="45" t="s">
        <v>255</v>
      </c>
      <c r="T64" s="119">
        <v>350</v>
      </c>
      <c r="U64" s="62">
        <f t="shared" si="1"/>
        <v>3500</v>
      </c>
      <c r="V64" s="63">
        <f t="shared" ca="1" si="2"/>
        <v>407</v>
      </c>
      <c r="W64" s="52" t="str">
        <f t="shared" ca="1" si="3"/>
        <v>12-18 Months</v>
      </c>
    </row>
    <row r="65" spans="1:23" s="64" customFormat="1" ht="15" customHeight="1">
      <c r="A65" s="45" t="s">
        <v>482</v>
      </c>
      <c r="B65" s="45" t="s">
        <v>258</v>
      </c>
      <c r="C65" s="45" t="s">
        <v>483</v>
      </c>
      <c r="D65" s="43" t="s">
        <v>270</v>
      </c>
      <c r="E65" s="43" t="s">
        <v>497</v>
      </c>
      <c r="F65" s="43" t="s">
        <v>294</v>
      </c>
      <c r="G65" s="41">
        <v>81937</v>
      </c>
      <c r="H65" s="116">
        <v>10</v>
      </c>
      <c r="I65" s="41">
        <v>5</v>
      </c>
      <c r="J65" s="98">
        <f t="shared" si="0"/>
        <v>50</v>
      </c>
      <c r="K65" s="60" t="s">
        <v>190</v>
      </c>
      <c r="L65" s="60" t="s">
        <v>366</v>
      </c>
      <c r="M65" s="60" t="s">
        <v>366</v>
      </c>
      <c r="N65" s="60" t="s">
        <v>196</v>
      </c>
      <c r="O65" s="60" t="s">
        <v>367</v>
      </c>
      <c r="P65" s="45" t="s">
        <v>250</v>
      </c>
      <c r="Q65" s="45" t="s">
        <v>6</v>
      </c>
      <c r="R65" s="45" t="s">
        <v>257</v>
      </c>
      <c r="S65" s="45" t="s">
        <v>274</v>
      </c>
      <c r="T65" s="119">
        <v>510</v>
      </c>
      <c r="U65" s="62">
        <f t="shared" si="1"/>
        <v>25500</v>
      </c>
      <c r="V65" s="63">
        <f t="shared" ca="1" si="2"/>
        <v>407</v>
      </c>
      <c r="W65" s="52" t="str">
        <f t="shared" ca="1" si="3"/>
        <v>12-18 Months</v>
      </c>
    </row>
    <row r="66" spans="1:23" s="64" customFormat="1" ht="15" customHeight="1">
      <c r="A66" s="45" t="s">
        <v>482</v>
      </c>
      <c r="B66" s="45" t="s">
        <v>258</v>
      </c>
      <c r="C66" s="45" t="s">
        <v>483</v>
      </c>
      <c r="D66" s="43" t="s">
        <v>485</v>
      </c>
      <c r="E66" s="43" t="s">
        <v>486</v>
      </c>
      <c r="F66" s="43" t="s">
        <v>487</v>
      </c>
      <c r="G66" s="41">
        <v>81942</v>
      </c>
      <c r="H66" s="116">
        <v>3</v>
      </c>
      <c r="I66" s="41">
        <v>12.5</v>
      </c>
      <c r="J66" s="98">
        <f t="shared" si="0"/>
        <v>37.5</v>
      </c>
      <c r="K66" s="60" t="s">
        <v>177</v>
      </c>
      <c r="L66" s="60" t="s">
        <v>917</v>
      </c>
      <c r="M66" s="60" t="s">
        <v>440</v>
      </c>
      <c r="N66" s="60" t="s">
        <v>183</v>
      </c>
      <c r="O66" s="60" t="s">
        <v>488</v>
      </c>
      <c r="P66" s="45" t="s">
        <v>250</v>
      </c>
      <c r="Q66" s="45" t="s">
        <v>6</v>
      </c>
      <c r="R66" s="45" t="s">
        <v>257</v>
      </c>
      <c r="S66" s="45" t="s">
        <v>287</v>
      </c>
      <c r="T66" s="119">
        <v>641</v>
      </c>
      <c r="U66" s="62">
        <f t="shared" si="1"/>
        <v>24037.5</v>
      </c>
      <c r="V66" s="63">
        <f t="shared" ca="1" si="2"/>
        <v>407</v>
      </c>
      <c r="W66" s="52" t="str">
        <f t="shared" ca="1" si="3"/>
        <v>12-18 Months</v>
      </c>
    </row>
    <row r="67" spans="1:23" s="64" customFormat="1" ht="15" customHeight="1">
      <c r="A67" s="45" t="s">
        <v>482</v>
      </c>
      <c r="B67" s="45" t="s">
        <v>258</v>
      </c>
      <c r="C67" s="45" t="s">
        <v>483</v>
      </c>
      <c r="D67" s="43" t="s">
        <v>485</v>
      </c>
      <c r="E67" s="43" t="s">
        <v>489</v>
      </c>
      <c r="F67" s="43" t="s">
        <v>487</v>
      </c>
      <c r="G67" s="41">
        <v>81943</v>
      </c>
      <c r="H67" s="116">
        <v>1</v>
      </c>
      <c r="I67" s="41">
        <v>12.5</v>
      </c>
      <c r="J67" s="98">
        <f t="shared" si="0"/>
        <v>12.5</v>
      </c>
      <c r="K67" s="60" t="s">
        <v>177</v>
      </c>
      <c r="L67" s="60" t="s">
        <v>915</v>
      </c>
      <c r="M67" s="60" t="s">
        <v>295</v>
      </c>
      <c r="N67" s="60" t="s">
        <v>180</v>
      </c>
      <c r="O67" s="60" t="s">
        <v>490</v>
      </c>
      <c r="P67" s="45" t="s">
        <v>250</v>
      </c>
      <c r="Q67" s="45" t="s">
        <v>6</v>
      </c>
      <c r="R67" s="45" t="s">
        <v>257</v>
      </c>
      <c r="S67" s="45" t="s">
        <v>287</v>
      </c>
      <c r="T67" s="119">
        <v>403</v>
      </c>
      <c r="U67" s="62">
        <f t="shared" si="1"/>
        <v>5037.5</v>
      </c>
      <c r="V67" s="63">
        <f t="shared" ca="1" si="2"/>
        <v>407</v>
      </c>
      <c r="W67" s="52" t="str">
        <f t="shared" ca="1" si="3"/>
        <v>12-18 Months</v>
      </c>
    </row>
    <row r="68" spans="1:23" s="64" customFormat="1" ht="15" customHeight="1">
      <c r="A68" s="45" t="s">
        <v>482</v>
      </c>
      <c r="B68" s="45" t="s">
        <v>258</v>
      </c>
      <c r="C68" s="45" t="s">
        <v>483</v>
      </c>
      <c r="D68" s="43" t="s">
        <v>252</v>
      </c>
      <c r="E68" s="43" t="s">
        <v>498</v>
      </c>
      <c r="F68" s="43" t="s">
        <v>303</v>
      </c>
      <c r="G68" s="41">
        <v>81946</v>
      </c>
      <c r="H68" s="116">
        <v>6</v>
      </c>
      <c r="I68" s="41">
        <v>10</v>
      </c>
      <c r="J68" s="98">
        <f t="shared" si="0"/>
        <v>60</v>
      </c>
      <c r="K68" s="60" t="s">
        <v>190</v>
      </c>
      <c r="L68" s="60" t="s">
        <v>860</v>
      </c>
      <c r="M68" s="60" t="s">
        <v>295</v>
      </c>
      <c r="N68" s="60" t="s">
        <v>221</v>
      </c>
      <c r="O68" s="60" t="s">
        <v>296</v>
      </c>
      <c r="P68" s="45" t="s">
        <v>250</v>
      </c>
      <c r="Q68" s="45" t="s">
        <v>6</v>
      </c>
      <c r="R68" s="45" t="s">
        <v>257</v>
      </c>
      <c r="S68" s="45" t="s">
        <v>274</v>
      </c>
      <c r="T68" s="119">
        <v>712</v>
      </c>
      <c r="U68" s="62">
        <f t="shared" si="1"/>
        <v>42720</v>
      </c>
      <c r="V68" s="63">
        <f t="shared" ca="1" si="2"/>
        <v>407</v>
      </c>
      <c r="W68" s="52" t="str">
        <f t="shared" ca="1" si="3"/>
        <v>12-18 Months</v>
      </c>
    </row>
    <row r="69" spans="1:23" s="64" customFormat="1" ht="15" customHeight="1">
      <c r="A69" s="45" t="s">
        <v>482</v>
      </c>
      <c r="B69" s="45" t="s">
        <v>258</v>
      </c>
      <c r="C69" s="45" t="s">
        <v>483</v>
      </c>
      <c r="D69" s="43" t="s">
        <v>252</v>
      </c>
      <c r="E69" s="43" t="s">
        <v>491</v>
      </c>
      <c r="F69" s="43" t="s">
        <v>487</v>
      </c>
      <c r="G69" s="41">
        <v>81944</v>
      </c>
      <c r="H69" s="116">
        <v>3</v>
      </c>
      <c r="I69" s="41">
        <v>12.5</v>
      </c>
      <c r="J69" s="98">
        <f t="shared" si="0"/>
        <v>37.5</v>
      </c>
      <c r="K69" s="60" t="s">
        <v>177</v>
      </c>
      <c r="L69" s="60" t="s">
        <v>918</v>
      </c>
      <c r="M69" s="60" t="s">
        <v>440</v>
      </c>
      <c r="N69" s="60" t="s">
        <v>185</v>
      </c>
      <c r="O69" s="60" t="s">
        <v>492</v>
      </c>
      <c r="P69" s="45" t="s">
        <v>250</v>
      </c>
      <c r="Q69" s="45" t="s">
        <v>6</v>
      </c>
      <c r="R69" s="45" t="s">
        <v>257</v>
      </c>
      <c r="S69" s="45" t="s">
        <v>287</v>
      </c>
      <c r="T69" s="119">
        <v>715</v>
      </c>
      <c r="U69" s="62">
        <f t="shared" si="1"/>
        <v>26812.5</v>
      </c>
      <c r="V69" s="63">
        <f t="shared" ca="1" si="2"/>
        <v>407</v>
      </c>
      <c r="W69" s="52" t="str">
        <f t="shared" ca="1" si="3"/>
        <v>12-18 Months</v>
      </c>
    </row>
    <row r="70" spans="1:23" s="64" customFormat="1" ht="15" customHeight="1">
      <c r="A70" s="45" t="s">
        <v>499</v>
      </c>
      <c r="B70" s="45" t="s">
        <v>245</v>
      </c>
      <c r="C70" s="45" t="s">
        <v>500</v>
      </c>
      <c r="D70" s="43" t="s">
        <v>252</v>
      </c>
      <c r="E70" s="43" t="s">
        <v>332</v>
      </c>
      <c r="F70" s="43" t="s">
        <v>248</v>
      </c>
      <c r="G70" s="41">
        <v>137738</v>
      </c>
      <c r="H70" s="116">
        <v>62</v>
      </c>
      <c r="I70" s="41">
        <v>10</v>
      </c>
      <c r="J70" s="98">
        <f t="shared" si="0"/>
        <v>620</v>
      </c>
      <c r="K70" s="60" t="s">
        <v>152</v>
      </c>
      <c r="L70" s="60" t="s">
        <v>897</v>
      </c>
      <c r="M70" s="60" t="s">
        <v>278</v>
      </c>
      <c r="N70" s="60" t="s">
        <v>174</v>
      </c>
      <c r="O70" s="60" t="s">
        <v>261</v>
      </c>
      <c r="P70" s="45" t="s">
        <v>250</v>
      </c>
      <c r="Q70" s="45" t="s">
        <v>6</v>
      </c>
      <c r="R70" s="45" t="s">
        <v>257</v>
      </c>
      <c r="S70" s="45" t="s">
        <v>247</v>
      </c>
      <c r="T70" s="119">
        <v>208</v>
      </c>
      <c r="U70" s="62">
        <f t="shared" si="1"/>
        <v>128960</v>
      </c>
      <c r="V70" s="63">
        <f t="shared" ca="1" si="2"/>
        <v>405</v>
      </c>
      <c r="W70" s="52" t="str">
        <f t="shared" ca="1" si="3"/>
        <v>12-18 Months</v>
      </c>
    </row>
    <row r="71" spans="1:23" s="64" customFormat="1" ht="15" customHeight="1">
      <c r="A71" s="45" t="s">
        <v>501</v>
      </c>
      <c r="B71" s="45" t="s">
        <v>245</v>
      </c>
      <c r="C71" s="45" t="s">
        <v>502</v>
      </c>
      <c r="D71" s="43" t="s">
        <v>252</v>
      </c>
      <c r="E71" s="43" t="s">
        <v>503</v>
      </c>
      <c r="F71" s="43" t="s">
        <v>248</v>
      </c>
      <c r="G71" s="41">
        <v>138382</v>
      </c>
      <c r="H71" s="116">
        <v>3</v>
      </c>
      <c r="I71" s="41">
        <v>10</v>
      </c>
      <c r="J71" s="98">
        <f t="shared" si="0"/>
        <v>30</v>
      </c>
      <c r="K71" s="60" t="s">
        <v>148</v>
      </c>
      <c r="L71" s="60" t="s">
        <v>409</v>
      </c>
      <c r="M71" s="60" t="s">
        <v>247</v>
      </c>
      <c r="N71" s="60" t="s">
        <v>150</v>
      </c>
      <c r="O71" s="60" t="s">
        <v>410</v>
      </c>
      <c r="P71" s="45" t="s">
        <v>250</v>
      </c>
      <c r="Q71" s="45" t="s">
        <v>6</v>
      </c>
      <c r="R71" s="45" t="s">
        <v>254</v>
      </c>
      <c r="S71" s="45" t="s">
        <v>247</v>
      </c>
      <c r="T71" s="119">
        <v>127</v>
      </c>
      <c r="U71" s="62">
        <f t="shared" si="1"/>
        <v>3810</v>
      </c>
      <c r="V71" s="63">
        <f t="shared" ca="1" si="2"/>
        <v>400</v>
      </c>
      <c r="W71" s="52" t="str">
        <f t="shared" ca="1" si="3"/>
        <v>12-18 Months</v>
      </c>
    </row>
    <row r="72" spans="1:23" s="64" customFormat="1" ht="15" customHeight="1">
      <c r="A72" s="45" t="s">
        <v>501</v>
      </c>
      <c r="B72" s="45" t="s">
        <v>258</v>
      </c>
      <c r="C72" s="45" t="s">
        <v>504</v>
      </c>
      <c r="D72" s="43" t="s">
        <v>485</v>
      </c>
      <c r="E72" s="43" t="s">
        <v>505</v>
      </c>
      <c r="F72" s="43" t="s">
        <v>509</v>
      </c>
      <c r="G72" s="41">
        <v>76579</v>
      </c>
      <c r="H72" s="116">
        <v>10</v>
      </c>
      <c r="I72" s="41">
        <v>12.5</v>
      </c>
      <c r="J72" s="98">
        <f t="shared" ref="J72:J135" si="4">I72*H72</f>
        <v>125</v>
      </c>
      <c r="K72" s="60" t="s">
        <v>177</v>
      </c>
      <c r="L72" s="60" t="s">
        <v>918</v>
      </c>
      <c r="M72" s="60" t="s">
        <v>440</v>
      </c>
      <c r="N72" s="60" t="s">
        <v>185</v>
      </c>
      <c r="O72" s="60" t="s">
        <v>492</v>
      </c>
      <c r="P72" s="45" t="s">
        <v>250</v>
      </c>
      <c r="Q72" s="45" t="s">
        <v>6</v>
      </c>
      <c r="R72" s="45" t="s">
        <v>273</v>
      </c>
      <c r="S72" s="45" t="s">
        <v>287</v>
      </c>
      <c r="T72" s="119">
        <v>715</v>
      </c>
      <c r="U72" s="62">
        <f t="shared" ref="U72:U135" si="5">T72*J72</f>
        <v>89375</v>
      </c>
      <c r="V72" s="63">
        <f t="shared" ref="V72:V135" ca="1" si="6">$V$4-A72</f>
        <v>400</v>
      </c>
      <c r="W72" s="52" t="str">
        <f t="shared" ref="W72:W135" ca="1" si="7">VLOOKUP(V72,$Y$2:$Z$6,2)</f>
        <v>12-18 Months</v>
      </c>
    </row>
    <row r="73" spans="1:23" s="64" customFormat="1" ht="15" customHeight="1">
      <c r="A73" s="45" t="s">
        <v>501</v>
      </c>
      <c r="B73" s="45" t="s">
        <v>258</v>
      </c>
      <c r="C73" s="45" t="s">
        <v>504</v>
      </c>
      <c r="D73" s="43" t="s">
        <v>485</v>
      </c>
      <c r="E73" s="43" t="s">
        <v>505</v>
      </c>
      <c r="F73" s="43" t="s">
        <v>506</v>
      </c>
      <c r="G73" s="41">
        <v>76578</v>
      </c>
      <c r="H73" s="116">
        <v>11</v>
      </c>
      <c r="I73" s="41">
        <v>12.5</v>
      </c>
      <c r="J73" s="98">
        <f t="shared" si="4"/>
        <v>137.5</v>
      </c>
      <c r="K73" s="60" t="s">
        <v>177</v>
      </c>
      <c r="L73" s="60" t="s">
        <v>919</v>
      </c>
      <c r="M73" s="60" t="s">
        <v>507</v>
      </c>
      <c r="N73" s="60" t="s">
        <v>184</v>
      </c>
      <c r="O73" s="60" t="s">
        <v>508</v>
      </c>
      <c r="P73" s="45" t="s">
        <v>250</v>
      </c>
      <c r="Q73" s="45" t="s">
        <v>6</v>
      </c>
      <c r="R73" s="45" t="s">
        <v>273</v>
      </c>
      <c r="S73" s="45" t="s">
        <v>287</v>
      </c>
      <c r="T73" s="119">
        <v>938</v>
      </c>
      <c r="U73" s="62">
        <f t="shared" si="5"/>
        <v>128975</v>
      </c>
      <c r="V73" s="63">
        <f t="shared" ca="1" si="6"/>
        <v>400</v>
      </c>
      <c r="W73" s="52" t="str">
        <f t="shared" ca="1" si="7"/>
        <v>12-18 Months</v>
      </c>
    </row>
    <row r="74" spans="1:23" s="64" customFormat="1" ht="15" customHeight="1">
      <c r="A74" s="45" t="s">
        <v>510</v>
      </c>
      <c r="B74" s="45" t="s">
        <v>258</v>
      </c>
      <c r="C74" s="45" t="s">
        <v>511</v>
      </c>
      <c r="D74" s="43" t="s">
        <v>256</v>
      </c>
      <c r="E74" s="43" t="s">
        <v>512</v>
      </c>
      <c r="F74" s="43" t="s">
        <v>248</v>
      </c>
      <c r="G74" s="41">
        <v>2056</v>
      </c>
      <c r="H74" s="116">
        <v>5</v>
      </c>
      <c r="I74" s="41">
        <v>5</v>
      </c>
      <c r="J74" s="98">
        <f t="shared" si="4"/>
        <v>25</v>
      </c>
      <c r="K74" s="60" t="s">
        <v>152</v>
      </c>
      <c r="L74" s="60" t="s">
        <v>291</v>
      </c>
      <c r="M74" s="60" t="s">
        <v>291</v>
      </c>
      <c r="N74" s="60" t="s">
        <v>168</v>
      </c>
      <c r="O74" s="60" t="s">
        <v>292</v>
      </c>
      <c r="P74" s="45" t="s">
        <v>250</v>
      </c>
      <c r="Q74" s="45" t="s">
        <v>6</v>
      </c>
      <c r="R74" s="45" t="s">
        <v>257</v>
      </c>
      <c r="S74" s="45" t="s">
        <v>255</v>
      </c>
      <c r="T74" s="119">
        <v>187.5</v>
      </c>
      <c r="U74" s="62">
        <f t="shared" si="5"/>
        <v>4687.5</v>
      </c>
      <c r="V74" s="63">
        <f t="shared" ca="1" si="6"/>
        <v>377</v>
      </c>
      <c r="W74" s="52" t="str">
        <f t="shared" ca="1" si="7"/>
        <v>12-18 Months</v>
      </c>
    </row>
    <row r="75" spans="1:23" s="64" customFormat="1" ht="15" customHeight="1">
      <c r="A75" s="45" t="s">
        <v>514</v>
      </c>
      <c r="B75" s="45" t="s">
        <v>245</v>
      </c>
      <c r="C75" s="45" t="s">
        <v>515</v>
      </c>
      <c r="D75" s="43" t="s">
        <v>252</v>
      </c>
      <c r="E75" s="43" t="s">
        <v>249</v>
      </c>
      <c r="F75" s="43" t="s">
        <v>248</v>
      </c>
      <c r="G75" s="41">
        <v>142972</v>
      </c>
      <c r="H75" s="116">
        <v>50</v>
      </c>
      <c r="I75" s="41">
        <v>10</v>
      </c>
      <c r="J75" s="98">
        <f t="shared" si="4"/>
        <v>500</v>
      </c>
      <c r="K75" s="60" t="s">
        <v>136</v>
      </c>
      <c r="L75" s="60" t="s">
        <v>841</v>
      </c>
      <c r="M75" s="60" t="s">
        <v>247</v>
      </c>
      <c r="N75" s="60" t="s">
        <v>140</v>
      </c>
      <c r="O75" s="60" t="s">
        <v>140</v>
      </c>
      <c r="P75" s="45" t="s">
        <v>250</v>
      </c>
      <c r="Q75" s="45" t="s">
        <v>6</v>
      </c>
      <c r="R75" s="45" t="s">
        <v>254</v>
      </c>
      <c r="S75" s="45" t="s">
        <v>247</v>
      </c>
      <c r="T75" s="119">
        <v>270</v>
      </c>
      <c r="U75" s="62">
        <f t="shared" si="5"/>
        <v>135000</v>
      </c>
      <c r="V75" s="63">
        <f t="shared" ca="1" si="6"/>
        <v>361</v>
      </c>
      <c r="W75" s="52" t="str">
        <f t="shared" ca="1" si="7"/>
        <v>06-12 Months</v>
      </c>
    </row>
    <row r="76" spans="1:23" s="64" customFormat="1" ht="15" customHeight="1">
      <c r="A76" s="45" t="s">
        <v>767</v>
      </c>
      <c r="B76" s="45" t="s">
        <v>245</v>
      </c>
      <c r="C76" s="45" t="s">
        <v>768</v>
      </c>
      <c r="D76" s="43" t="s">
        <v>246</v>
      </c>
      <c r="E76" s="43" t="s">
        <v>247</v>
      </c>
      <c r="F76" s="43" t="s">
        <v>327</v>
      </c>
      <c r="G76" s="41">
        <v>147739</v>
      </c>
      <c r="H76" s="116">
        <v>32</v>
      </c>
      <c r="I76" s="41">
        <v>10</v>
      </c>
      <c r="J76" s="98">
        <f t="shared" si="4"/>
        <v>320</v>
      </c>
      <c r="K76" s="60" t="s">
        <v>136</v>
      </c>
      <c r="L76" s="60" t="s">
        <v>841</v>
      </c>
      <c r="M76" s="60" t="s">
        <v>247</v>
      </c>
      <c r="N76" s="60" t="s">
        <v>137</v>
      </c>
      <c r="O76" s="60" t="s">
        <v>140</v>
      </c>
      <c r="P76" s="45" t="s">
        <v>250</v>
      </c>
      <c r="Q76" s="45" t="s">
        <v>6</v>
      </c>
      <c r="R76" s="45" t="s">
        <v>257</v>
      </c>
      <c r="S76" s="45" t="s">
        <v>247</v>
      </c>
      <c r="T76" s="119">
        <v>270</v>
      </c>
      <c r="U76" s="62">
        <f t="shared" si="5"/>
        <v>86400</v>
      </c>
      <c r="V76" s="63">
        <f t="shared" ca="1" si="6"/>
        <v>317</v>
      </c>
      <c r="W76" s="52" t="str">
        <f t="shared" ca="1" si="7"/>
        <v>06-12 Months</v>
      </c>
    </row>
    <row r="77" spans="1:23" s="64" customFormat="1" ht="15" customHeight="1">
      <c r="A77" s="45" t="s">
        <v>809</v>
      </c>
      <c r="B77" s="45" t="s">
        <v>258</v>
      </c>
      <c r="C77" s="45" t="s">
        <v>810</v>
      </c>
      <c r="D77" s="43" t="s">
        <v>256</v>
      </c>
      <c r="E77" s="43" t="s">
        <v>811</v>
      </c>
      <c r="F77" s="43" t="s">
        <v>248</v>
      </c>
      <c r="G77" s="41">
        <v>4728</v>
      </c>
      <c r="H77" s="116">
        <v>4</v>
      </c>
      <c r="I77" s="41">
        <v>5</v>
      </c>
      <c r="J77" s="98">
        <f t="shared" si="4"/>
        <v>20</v>
      </c>
      <c r="K77" s="60" t="s">
        <v>190</v>
      </c>
      <c r="L77" s="60" t="s">
        <v>422</v>
      </c>
      <c r="M77" s="60" t="s">
        <v>260</v>
      </c>
      <c r="N77" s="60" t="s">
        <v>191</v>
      </c>
      <c r="O77" s="60" t="s">
        <v>423</v>
      </c>
      <c r="P77" s="45" t="s">
        <v>250</v>
      </c>
      <c r="Q77" s="45" t="s">
        <v>6</v>
      </c>
      <c r="R77" s="45" t="s">
        <v>257</v>
      </c>
      <c r="S77" s="45">
        <v>0</v>
      </c>
      <c r="T77" s="119">
        <v>950</v>
      </c>
      <c r="U77" s="62">
        <f t="shared" si="5"/>
        <v>19000</v>
      </c>
      <c r="V77" s="63">
        <f t="shared" ca="1" si="6"/>
        <v>297</v>
      </c>
      <c r="W77" s="52" t="str">
        <f t="shared" ca="1" si="7"/>
        <v>06-12 Months</v>
      </c>
    </row>
    <row r="78" spans="1:23" s="64" customFormat="1" ht="15" customHeight="1">
      <c r="A78" s="45" t="s">
        <v>904</v>
      </c>
      <c r="B78" s="45" t="s">
        <v>245</v>
      </c>
      <c r="C78" s="45" t="s">
        <v>905</v>
      </c>
      <c r="D78" s="43" t="s">
        <v>246</v>
      </c>
      <c r="E78" s="43" t="s">
        <v>247</v>
      </c>
      <c r="F78" s="43" t="s">
        <v>248</v>
      </c>
      <c r="G78" s="41">
        <v>156985</v>
      </c>
      <c r="H78" s="116">
        <v>1570</v>
      </c>
      <c r="I78" s="41">
        <v>10</v>
      </c>
      <c r="J78" s="98">
        <f t="shared" si="4"/>
        <v>15700</v>
      </c>
      <c r="K78" s="60" t="s">
        <v>136</v>
      </c>
      <c r="L78" s="60" t="s">
        <v>841</v>
      </c>
      <c r="M78" s="60" t="s">
        <v>247</v>
      </c>
      <c r="N78" s="60" t="s">
        <v>137</v>
      </c>
      <c r="O78" s="60" t="s">
        <v>140</v>
      </c>
      <c r="P78" s="45" t="s">
        <v>250</v>
      </c>
      <c r="Q78" s="45" t="s">
        <v>6</v>
      </c>
      <c r="R78" s="45" t="s">
        <v>257</v>
      </c>
      <c r="S78" s="45" t="s">
        <v>247</v>
      </c>
      <c r="T78" s="119">
        <v>280</v>
      </c>
      <c r="U78" s="62">
        <f t="shared" si="5"/>
        <v>4396000</v>
      </c>
      <c r="V78" s="63">
        <f t="shared" ca="1" si="6"/>
        <v>230</v>
      </c>
      <c r="W78" s="52" t="str">
        <f t="shared" ca="1" si="7"/>
        <v>06-12 Months</v>
      </c>
    </row>
    <row r="79" spans="1:23" s="64" customFormat="1" ht="15" customHeight="1">
      <c r="A79" s="45" t="s">
        <v>920</v>
      </c>
      <c r="B79" s="45" t="s">
        <v>245</v>
      </c>
      <c r="C79" s="45" t="s">
        <v>921</v>
      </c>
      <c r="D79" s="43" t="s">
        <v>252</v>
      </c>
      <c r="E79" s="43" t="s">
        <v>247</v>
      </c>
      <c r="F79" s="43" t="s">
        <v>248</v>
      </c>
      <c r="G79" s="41">
        <v>159001</v>
      </c>
      <c r="H79" s="116">
        <v>49</v>
      </c>
      <c r="I79" s="41">
        <v>10</v>
      </c>
      <c r="J79" s="98">
        <f t="shared" si="4"/>
        <v>490</v>
      </c>
      <c r="K79" s="60" t="s">
        <v>152</v>
      </c>
      <c r="L79" s="60" t="s">
        <v>253</v>
      </c>
      <c r="M79" s="60" t="s">
        <v>247</v>
      </c>
      <c r="N79" s="60" t="s">
        <v>728</v>
      </c>
      <c r="O79" s="60" t="s">
        <v>907</v>
      </c>
      <c r="P79" s="45" t="s">
        <v>250</v>
      </c>
      <c r="Q79" s="45" t="s">
        <v>6</v>
      </c>
      <c r="R79" s="45" t="s">
        <v>257</v>
      </c>
      <c r="S79" s="45" t="s">
        <v>247</v>
      </c>
      <c r="T79" s="119">
        <v>99</v>
      </c>
      <c r="U79" s="62">
        <f t="shared" si="5"/>
        <v>48510</v>
      </c>
      <c r="V79" s="63">
        <f t="shared" ca="1" si="6"/>
        <v>220</v>
      </c>
      <c r="W79" s="52" t="str">
        <f t="shared" ca="1" si="7"/>
        <v>06-12 Months</v>
      </c>
    </row>
    <row r="80" spans="1:23" s="64" customFormat="1" ht="15" customHeight="1">
      <c r="A80" s="45" t="s">
        <v>928</v>
      </c>
      <c r="B80" s="45" t="s">
        <v>245</v>
      </c>
      <c r="C80" s="45" t="s">
        <v>929</v>
      </c>
      <c r="D80" s="43" t="s">
        <v>265</v>
      </c>
      <c r="E80" s="43" t="s">
        <v>247</v>
      </c>
      <c r="F80" s="43" t="s">
        <v>248</v>
      </c>
      <c r="G80" s="41">
        <v>160241</v>
      </c>
      <c r="H80" s="116">
        <v>0</v>
      </c>
      <c r="I80" s="41">
        <v>25</v>
      </c>
      <c r="J80" s="98">
        <f t="shared" si="4"/>
        <v>0</v>
      </c>
      <c r="K80" s="60" t="s">
        <v>143</v>
      </c>
      <c r="L80" s="60" t="s">
        <v>863</v>
      </c>
      <c r="M80" s="60" t="s">
        <v>247</v>
      </c>
      <c r="N80" s="60" t="s">
        <v>144</v>
      </c>
      <c r="O80" s="60" t="s">
        <v>145</v>
      </c>
      <c r="P80" s="45" t="s">
        <v>250</v>
      </c>
      <c r="Q80" s="45" t="s">
        <v>6</v>
      </c>
      <c r="R80" s="45" t="s">
        <v>257</v>
      </c>
      <c r="S80" s="45" t="s">
        <v>247</v>
      </c>
      <c r="T80" s="119">
        <v>105.8</v>
      </c>
      <c r="U80" s="62">
        <f t="shared" si="5"/>
        <v>0</v>
      </c>
      <c r="V80" s="63">
        <f t="shared" ca="1" si="6"/>
        <v>214</v>
      </c>
      <c r="W80" s="52" t="str">
        <f t="shared" ca="1" si="7"/>
        <v>06-12 Months</v>
      </c>
    </row>
    <row r="81" spans="1:23" s="64" customFormat="1" ht="15" customHeight="1">
      <c r="A81" s="45" t="s">
        <v>939</v>
      </c>
      <c r="B81" s="45" t="s">
        <v>258</v>
      </c>
      <c r="C81" s="45" t="s">
        <v>940</v>
      </c>
      <c r="D81" s="43" t="s">
        <v>941</v>
      </c>
      <c r="E81" s="43" t="s">
        <v>942</v>
      </c>
      <c r="F81" s="43" t="s">
        <v>248</v>
      </c>
      <c r="G81" s="41">
        <v>8004</v>
      </c>
      <c r="H81" s="116">
        <v>385</v>
      </c>
      <c r="I81" s="41">
        <v>6.9</v>
      </c>
      <c r="J81" s="98">
        <f t="shared" si="4"/>
        <v>2656.5</v>
      </c>
      <c r="K81" s="60" t="s">
        <v>152</v>
      </c>
      <c r="L81" s="60" t="s">
        <v>277</v>
      </c>
      <c r="M81" s="60" t="s">
        <v>945</v>
      </c>
      <c r="N81" s="60" t="s">
        <v>279</v>
      </c>
      <c r="O81" s="60" t="s">
        <v>279</v>
      </c>
      <c r="P81" s="45" t="s">
        <v>250</v>
      </c>
      <c r="Q81" s="45" t="s">
        <v>6</v>
      </c>
      <c r="R81" s="45" t="s">
        <v>257</v>
      </c>
      <c r="S81" s="45">
        <v>0</v>
      </c>
      <c r="T81" s="119">
        <v>240</v>
      </c>
      <c r="U81" s="62">
        <f t="shared" si="5"/>
        <v>637560</v>
      </c>
      <c r="V81" s="63">
        <f t="shared" ca="1" si="6"/>
        <v>208</v>
      </c>
      <c r="W81" s="52" t="str">
        <f t="shared" ca="1" si="7"/>
        <v>06-12 Months</v>
      </c>
    </row>
    <row r="82" spans="1:23" s="64" customFormat="1" ht="15" customHeight="1">
      <c r="A82" s="45" t="s">
        <v>959</v>
      </c>
      <c r="B82" s="45" t="s">
        <v>245</v>
      </c>
      <c r="C82" s="45" t="s">
        <v>961</v>
      </c>
      <c r="D82" s="43" t="s">
        <v>460</v>
      </c>
      <c r="E82" s="43" t="s">
        <v>247</v>
      </c>
      <c r="F82" s="43" t="s">
        <v>248</v>
      </c>
      <c r="G82" s="41">
        <v>162607</v>
      </c>
      <c r="H82" s="116">
        <v>750</v>
      </c>
      <c r="I82" s="41">
        <v>12.5</v>
      </c>
      <c r="J82" s="98">
        <f t="shared" si="4"/>
        <v>9375</v>
      </c>
      <c r="K82" s="60" t="s">
        <v>134</v>
      </c>
      <c r="L82" s="60" t="s">
        <v>134</v>
      </c>
      <c r="M82" s="60" t="s">
        <v>879</v>
      </c>
      <c r="N82" s="60" t="s">
        <v>880</v>
      </c>
      <c r="O82" s="60" t="s">
        <v>461</v>
      </c>
      <c r="P82" s="45" t="s">
        <v>250</v>
      </c>
      <c r="Q82" s="45" t="s">
        <v>6</v>
      </c>
      <c r="R82" s="45" t="s">
        <v>257</v>
      </c>
      <c r="S82" s="45" t="s">
        <v>247</v>
      </c>
      <c r="T82" s="119">
        <v>85</v>
      </c>
      <c r="U82" s="62">
        <f t="shared" si="5"/>
        <v>796875</v>
      </c>
      <c r="V82" s="63">
        <f t="shared" ca="1" si="6"/>
        <v>202</v>
      </c>
      <c r="W82" s="52" t="str">
        <f t="shared" ca="1" si="7"/>
        <v>06-12 Months</v>
      </c>
    </row>
    <row r="83" spans="1:23" s="64" customFormat="1" ht="15" customHeight="1">
      <c r="A83" s="45" t="s">
        <v>959</v>
      </c>
      <c r="B83" s="45" t="s">
        <v>245</v>
      </c>
      <c r="C83" s="45" t="s">
        <v>960</v>
      </c>
      <c r="D83" s="43" t="s">
        <v>460</v>
      </c>
      <c r="E83" s="43" t="s">
        <v>358</v>
      </c>
      <c r="F83" s="43" t="s">
        <v>248</v>
      </c>
      <c r="G83" s="41">
        <v>162497</v>
      </c>
      <c r="H83" s="116">
        <v>69</v>
      </c>
      <c r="I83" s="41">
        <v>12.5</v>
      </c>
      <c r="J83" s="98">
        <f t="shared" si="4"/>
        <v>862.5</v>
      </c>
      <c r="K83" s="60" t="s">
        <v>134</v>
      </c>
      <c r="L83" s="60" t="s">
        <v>134</v>
      </c>
      <c r="M83" s="60" t="s">
        <v>879</v>
      </c>
      <c r="N83" s="60" t="s">
        <v>880</v>
      </c>
      <c r="O83" s="60" t="s">
        <v>461</v>
      </c>
      <c r="P83" s="45" t="s">
        <v>250</v>
      </c>
      <c r="Q83" s="45" t="s">
        <v>6</v>
      </c>
      <c r="R83" s="45" t="s">
        <v>257</v>
      </c>
      <c r="S83" s="45" t="s">
        <v>247</v>
      </c>
      <c r="T83" s="119">
        <v>85</v>
      </c>
      <c r="U83" s="62">
        <f t="shared" si="5"/>
        <v>73312.5</v>
      </c>
      <c r="V83" s="63">
        <f t="shared" ca="1" si="6"/>
        <v>202</v>
      </c>
      <c r="W83" s="52" t="str">
        <f t="shared" ca="1" si="7"/>
        <v>06-12 Months</v>
      </c>
    </row>
    <row r="84" spans="1:23" s="64" customFormat="1" ht="15" customHeight="1">
      <c r="A84" s="45" t="s">
        <v>1008</v>
      </c>
      <c r="B84" s="45" t="s">
        <v>245</v>
      </c>
      <c r="C84" s="45" t="s">
        <v>1009</v>
      </c>
      <c r="D84" s="43" t="s">
        <v>1010</v>
      </c>
      <c r="E84" s="43" t="s">
        <v>1011</v>
      </c>
      <c r="F84" s="43" t="s">
        <v>248</v>
      </c>
      <c r="G84" s="41">
        <v>164985</v>
      </c>
      <c r="H84" s="116">
        <v>342</v>
      </c>
      <c r="I84" s="41">
        <v>6.8</v>
      </c>
      <c r="J84" s="98">
        <f t="shared" si="4"/>
        <v>2325.6</v>
      </c>
      <c r="K84" s="60" t="s">
        <v>152</v>
      </c>
      <c r="L84" s="60" t="s">
        <v>277</v>
      </c>
      <c r="M84" s="60" t="s">
        <v>255</v>
      </c>
      <c r="N84" s="60" t="s">
        <v>279</v>
      </c>
      <c r="O84" s="60" t="s">
        <v>279</v>
      </c>
      <c r="P84" s="45" t="s">
        <v>250</v>
      </c>
      <c r="Q84" s="45" t="s">
        <v>6</v>
      </c>
      <c r="R84" s="45" t="s">
        <v>257</v>
      </c>
      <c r="S84" s="45">
        <v>0</v>
      </c>
      <c r="T84" s="119">
        <v>200</v>
      </c>
      <c r="U84" s="62">
        <f t="shared" si="5"/>
        <v>465120</v>
      </c>
      <c r="V84" s="63">
        <f t="shared" ca="1" si="6"/>
        <v>189</v>
      </c>
      <c r="W84" s="52" t="str">
        <f t="shared" ca="1" si="7"/>
        <v>06-12 Months</v>
      </c>
    </row>
    <row r="85" spans="1:23" s="64" customFormat="1" ht="15" customHeight="1">
      <c r="A85" s="45" t="s">
        <v>1095</v>
      </c>
      <c r="B85" s="45" t="s">
        <v>245</v>
      </c>
      <c r="C85" s="45" t="s">
        <v>1084</v>
      </c>
      <c r="D85" s="43" t="s">
        <v>941</v>
      </c>
      <c r="E85" s="43" t="s">
        <v>1097</v>
      </c>
      <c r="F85" s="43" t="s">
        <v>248</v>
      </c>
      <c r="G85" s="41">
        <v>168151</v>
      </c>
      <c r="H85" s="116">
        <v>453</v>
      </c>
      <c r="I85" s="41">
        <v>6.8</v>
      </c>
      <c r="J85" s="98">
        <f t="shared" si="4"/>
        <v>3080.4</v>
      </c>
      <c r="K85" s="60" t="s">
        <v>152</v>
      </c>
      <c r="L85" s="60" t="s">
        <v>277</v>
      </c>
      <c r="M85" s="60" t="s">
        <v>255</v>
      </c>
      <c r="N85" s="60" t="s">
        <v>279</v>
      </c>
      <c r="O85" s="60" t="s">
        <v>279</v>
      </c>
      <c r="P85" s="45" t="s">
        <v>250</v>
      </c>
      <c r="Q85" s="45" t="s">
        <v>6</v>
      </c>
      <c r="R85" s="45" t="s">
        <v>257</v>
      </c>
      <c r="S85" s="45">
        <v>0</v>
      </c>
      <c r="T85" s="119">
        <v>200</v>
      </c>
      <c r="U85" s="62">
        <f t="shared" si="5"/>
        <v>616080</v>
      </c>
      <c r="V85" s="63">
        <f t="shared" ca="1" si="6"/>
        <v>174</v>
      </c>
      <c r="W85" s="52" t="str">
        <f t="shared" ca="1" si="7"/>
        <v>&lt; 6 Months</v>
      </c>
    </row>
    <row r="86" spans="1:23" s="64" customFormat="1" ht="15" customHeight="1">
      <c r="A86" s="45" t="s">
        <v>1095</v>
      </c>
      <c r="B86" s="45" t="s">
        <v>258</v>
      </c>
      <c r="C86" s="45" t="s">
        <v>1083</v>
      </c>
      <c r="D86" s="43" t="s">
        <v>256</v>
      </c>
      <c r="E86" s="43" t="s">
        <v>1096</v>
      </c>
      <c r="F86" s="43" t="s">
        <v>248</v>
      </c>
      <c r="G86" s="41">
        <v>9621</v>
      </c>
      <c r="H86" s="116">
        <v>50</v>
      </c>
      <c r="I86" s="41">
        <v>5</v>
      </c>
      <c r="J86" s="98">
        <f t="shared" si="4"/>
        <v>250</v>
      </c>
      <c r="K86" s="60" t="s">
        <v>190</v>
      </c>
      <c r="L86" s="60" t="s">
        <v>422</v>
      </c>
      <c r="M86" s="60" t="s">
        <v>1085</v>
      </c>
      <c r="N86" s="60" t="s">
        <v>191</v>
      </c>
      <c r="O86" s="60" t="s">
        <v>423</v>
      </c>
      <c r="P86" s="45" t="s">
        <v>250</v>
      </c>
      <c r="Q86" s="45" t="s">
        <v>6</v>
      </c>
      <c r="R86" s="45" t="s">
        <v>257</v>
      </c>
      <c r="S86" s="45">
        <v>0</v>
      </c>
      <c r="T86" s="119">
        <v>675</v>
      </c>
      <c r="U86" s="62">
        <f t="shared" si="5"/>
        <v>168750</v>
      </c>
      <c r="V86" s="63">
        <f t="shared" ca="1" si="6"/>
        <v>174</v>
      </c>
      <c r="W86" s="52" t="str">
        <f t="shared" ca="1" si="7"/>
        <v>&lt; 6 Months</v>
      </c>
    </row>
    <row r="87" spans="1:23" s="64" customFormat="1" ht="15" customHeight="1">
      <c r="A87" s="45" t="s">
        <v>1095</v>
      </c>
      <c r="B87" s="45" t="s">
        <v>258</v>
      </c>
      <c r="C87" s="45" t="s">
        <v>1083</v>
      </c>
      <c r="D87" s="43" t="s">
        <v>256</v>
      </c>
      <c r="E87" s="43" t="s">
        <v>1098</v>
      </c>
      <c r="F87" s="43" t="s">
        <v>248</v>
      </c>
      <c r="G87" s="41">
        <v>9620</v>
      </c>
      <c r="H87" s="116">
        <v>6</v>
      </c>
      <c r="I87" s="41">
        <v>5</v>
      </c>
      <c r="J87" s="98">
        <f t="shared" si="4"/>
        <v>30</v>
      </c>
      <c r="K87" s="60" t="s">
        <v>190</v>
      </c>
      <c r="L87" s="60" t="s">
        <v>422</v>
      </c>
      <c r="M87" s="60" t="s">
        <v>260</v>
      </c>
      <c r="N87" s="60" t="s">
        <v>1086</v>
      </c>
      <c r="O87" s="60" t="s">
        <v>423</v>
      </c>
      <c r="P87" s="45" t="s">
        <v>250</v>
      </c>
      <c r="Q87" s="45" t="s">
        <v>6</v>
      </c>
      <c r="R87" s="45" t="s">
        <v>257</v>
      </c>
      <c r="S87" s="45">
        <v>0</v>
      </c>
      <c r="T87" s="119">
        <v>675</v>
      </c>
      <c r="U87" s="62">
        <f t="shared" si="5"/>
        <v>20250</v>
      </c>
      <c r="V87" s="63">
        <f t="shared" ca="1" si="6"/>
        <v>174</v>
      </c>
      <c r="W87" s="52" t="str">
        <f t="shared" ca="1" si="7"/>
        <v>&lt; 6 Months</v>
      </c>
    </row>
    <row r="88" spans="1:23" s="64" customFormat="1" ht="15" customHeight="1">
      <c r="A88" s="45" t="s">
        <v>1099</v>
      </c>
      <c r="B88" s="45" t="s">
        <v>245</v>
      </c>
      <c r="C88" s="45" t="s">
        <v>1089</v>
      </c>
      <c r="D88" s="43" t="s">
        <v>270</v>
      </c>
      <c r="E88" s="43" t="s">
        <v>1090</v>
      </c>
      <c r="F88" s="43" t="s">
        <v>1101</v>
      </c>
      <c r="G88" s="41">
        <v>168296</v>
      </c>
      <c r="H88" s="116">
        <v>430</v>
      </c>
      <c r="I88" s="41">
        <v>5</v>
      </c>
      <c r="J88" s="98">
        <f t="shared" si="4"/>
        <v>2150</v>
      </c>
      <c r="K88" s="60" t="s">
        <v>190</v>
      </c>
      <c r="L88" s="60" t="s">
        <v>1094</v>
      </c>
      <c r="M88" s="60" t="s">
        <v>440</v>
      </c>
      <c r="N88" s="60" t="s">
        <v>1093</v>
      </c>
      <c r="O88" s="60" t="s">
        <v>441</v>
      </c>
      <c r="P88" s="45" t="s">
        <v>250</v>
      </c>
      <c r="Q88" s="45" t="s">
        <v>6</v>
      </c>
      <c r="R88" s="45" t="s">
        <v>257</v>
      </c>
      <c r="S88" s="45" t="s">
        <v>255</v>
      </c>
      <c r="T88" s="119">
        <v>775</v>
      </c>
      <c r="U88" s="62">
        <f t="shared" si="5"/>
        <v>1666250</v>
      </c>
      <c r="V88" s="63">
        <f t="shared" ca="1" si="6"/>
        <v>173</v>
      </c>
      <c r="W88" s="52" t="str">
        <f t="shared" ca="1" si="7"/>
        <v>&lt; 6 Months</v>
      </c>
    </row>
    <row r="89" spans="1:23" s="64" customFormat="1" ht="15" customHeight="1">
      <c r="A89" s="45" t="s">
        <v>1099</v>
      </c>
      <c r="B89" s="45" t="s">
        <v>245</v>
      </c>
      <c r="C89" s="45" t="s">
        <v>1088</v>
      </c>
      <c r="D89" s="43" t="s">
        <v>270</v>
      </c>
      <c r="E89" s="43" t="s">
        <v>1091</v>
      </c>
      <c r="F89" s="43" t="s">
        <v>1100</v>
      </c>
      <c r="G89" s="41">
        <v>168297</v>
      </c>
      <c r="H89" s="116">
        <v>382</v>
      </c>
      <c r="I89" s="41">
        <v>5</v>
      </c>
      <c r="J89" s="98">
        <f t="shared" si="4"/>
        <v>1910</v>
      </c>
      <c r="K89" s="60" t="s">
        <v>190</v>
      </c>
      <c r="L89" s="60" t="s">
        <v>1094</v>
      </c>
      <c r="M89" s="60" t="s">
        <v>440</v>
      </c>
      <c r="N89" s="60" t="s">
        <v>1092</v>
      </c>
      <c r="O89" s="60" t="s">
        <v>441</v>
      </c>
      <c r="P89" s="45" t="s">
        <v>250</v>
      </c>
      <c r="Q89" s="45" t="s">
        <v>6</v>
      </c>
      <c r="R89" s="45" t="s">
        <v>257</v>
      </c>
      <c r="S89" s="45" t="s">
        <v>255</v>
      </c>
      <c r="T89" s="119">
        <v>775</v>
      </c>
      <c r="U89" s="62">
        <f t="shared" si="5"/>
        <v>1480250</v>
      </c>
      <c r="V89" s="63">
        <f t="shared" ca="1" si="6"/>
        <v>173</v>
      </c>
      <c r="W89" s="52" t="str">
        <f t="shared" ca="1" si="7"/>
        <v>&lt; 6 Months</v>
      </c>
    </row>
    <row r="90" spans="1:23" s="64" customFormat="1" ht="15" customHeight="1">
      <c r="A90" s="45" t="s">
        <v>1102</v>
      </c>
      <c r="B90" s="45" t="s">
        <v>245</v>
      </c>
      <c r="C90" s="45" t="s">
        <v>1103</v>
      </c>
      <c r="D90" s="43" t="s">
        <v>256</v>
      </c>
      <c r="E90" s="43" t="s">
        <v>1117</v>
      </c>
      <c r="F90" s="43" t="s">
        <v>1104</v>
      </c>
      <c r="G90" s="41">
        <v>168714</v>
      </c>
      <c r="H90" s="116">
        <v>120</v>
      </c>
      <c r="I90" s="41">
        <v>4.8</v>
      </c>
      <c r="J90" s="98">
        <f t="shared" si="4"/>
        <v>576</v>
      </c>
      <c r="K90" s="60" t="s">
        <v>143</v>
      </c>
      <c r="L90" s="60" t="s">
        <v>865</v>
      </c>
      <c r="M90" s="60" t="s">
        <v>247</v>
      </c>
      <c r="N90" s="60" t="s">
        <v>146</v>
      </c>
      <c r="O90" s="60" t="s">
        <v>513</v>
      </c>
      <c r="P90" s="45" t="s">
        <v>250</v>
      </c>
      <c r="Q90" s="45" t="s">
        <v>6</v>
      </c>
      <c r="R90" s="45" t="s">
        <v>257</v>
      </c>
      <c r="S90" s="45" t="s">
        <v>247</v>
      </c>
      <c r="T90" s="119">
        <v>343.2</v>
      </c>
      <c r="U90" s="62">
        <f t="shared" si="5"/>
        <v>197683.19999999998</v>
      </c>
      <c r="V90" s="63">
        <f t="shared" ca="1" si="6"/>
        <v>172</v>
      </c>
      <c r="W90" s="52" t="str">
        <f t="shared" ca="1" si="7"/>
        <v>&lt; 6 Months</v>
      </c>
    </row>
    <row r="91" spans="1:23" s="64" customFormat="1" ht="15" customHeight="1">
      <c r="A91" s="45" t="s">
        <v>1118</v>
      </c>
      <c r="B91" s="45" t="s">
        <v>245</v>
      </c>
      <c r="C91" s="45" t="s">
        <v>1119</v>
      </c>
      <c r="D91" s="43" t="s">
        <v>265</v>
      </c>
      <c r="E91" s="43" t="s">
        <v>430</v>
      </c>
      <c r="F91" s="43" t="s">
        <v>248</v>
      </c>
      <c r="G91" s="41">
        <v>168918</v>
      </c>
      <c r="H91" s="116">
        <v>68</v>
      </c>
      <c r="I91" s="41">
        <v>25</v>
      </c>
      <c r="J91" s="98">
        <f t="shared" si="4"/>
        <v>1700</v>
      </c>
      <c r="K91" s="60" t="s">
        <v>143</v>
      </c>
      <c r="L91" s="60" t="s">
        <v>863</v>
      </c>
      <c r="M91" s="60" t="s">
        <v>247</v>
      </c>
      <c r="N91" s="60" t="s">
        <v>144</v>
      </c>
      <c r="O91" s="60" t="s">
        <v>145</v>
      </c>
      <c r="P91" s="45" t="s">
        <v>250</v>
      </c>
      <c r="Q91" s="45" t="s">
        <v>6</v>
      </c>
      <c r="R91" s="45" t="s">
        <v>257</v>
      </c>
      <c r="S91" s="45" t="s">
        <v>247</v>
      </c>
      <c r="T91" s="119">
        <v>109.8</v>
      </c>
      <c r="U91" s="62">
        <f t="shared" si="5"/>
        <v>186660</v>
      </c>
      <c r="V91" s="63">
        <f t="shared" ca="1" si="6"/>
        <v>171</v>
      </c>
      <c r="W91" s="52" t="str">
        <f t="shared" ca="1" si="7"/>
        <v>&lt; 6 Months</v>
      </c>
    </row>
    <row r="92" spans="1:23" s="64" customFormat="1" ht="15" customHeight="1">
      <c r="A92" s="45" t="s">
        <v>1133</v>
      </c>
      <c r="B92" s="45" t="s">
        <v>258</v>
      </c>
      <c r="C92" s="45" t="s">
        <v>1137</v>
      </c>
      <c r="D92" s="43" t="s">
        <v>270</v>
      </c>
      <c r="E92" s="43" t="s">
        <v>1138</v>
      </c>
      <c r="F92" s="43" t="s">
        <v>1139</v>
      </c>
      <c r="G92" s="41">
        <v>9970</v>
      </c>
      <c r="H92" s="116">
        <v>89</v>
      </c>
      <c r="I92" s="41">
        <v>5</v>
      </c>
      <c r="J92" s="98">
        <f t="shared" si="4"/>
        <v>445</v>
      </c>
      <c r="K92" s="60" t="s">
        <v>190</v>
      </c>
      <c r="L92" s="60" t="s">
        <v>857</v>
      </c>
      <c r="M92" s="60" t="s">
        <v>1144</v>
      </c>
      <c r="N92" s="60" t="s">
        <v>1145</v>
      </c>
      <c r="O92" s="60" t="s">
        <v>654</v>
      </c>
      <c r="P92" s="45" t="s">
        <v>250</v>
      </c>
      <c r="Q92" s="45" t="s">
        <v>6</v>
      </c>
      <c r="R92" s="45" t="s">
        <v>257</v>
      </c>
      <c r="S92" s="45">
        <v>0</v>
      </c>
      <c r="T92" s="119">
        <v>1030</v>
      </c>
      <c r="U92" s="62">
        <f t="shared" si="5"/>
        <v>458350</v>
      </c>
      <c r="V92" s="63">
        <f t="shared" ca="1" si="6"/>
        <v>168</v>
      </c>
      <c r="W92" s="52" t="str">
        <f t="shared" ca="1" si="7"/>
        <v>&lt; 6 Months</v>
      </c>
    </row>
    <row r="93" spans="1:23" s="64" customFormat="1" ht="15" customHeight="1">
      <c r="A93" s="45" t="s">
        <v>1152</v>
      </c>
      <c r="B93" s="45" t="s">
        <v>245</v>
      </c>
      <c r="C93" s="45" t="s">
        <v>1153</v>
      </c>
      <c r="D93" s="43" t="s">
        <v>941</v>
      </c>
      <c r="E93" s="43" t="s">
        <v>1154</v>
      </c>
      <c r="F93" s="43" t="s">
        <v>248</v>
      </c>
      <c r="G93" s="41">
        <v>170168</v>
      </c>
      <c r="H93" s="116">
        <v>1442</v>
      </c>
      <c r="I93" s="41">
        <v>6.8</v>
      </c>
      <c r="J93" s="98">
        <f t="shared" si="4"/>
        <v>9805.6</v>
      </c>
      <c r="K93" s="60" t="s">
        <v>152</v>
      </c>
      <c r="L93" s="60" t="s">
        <v>277</v>
      </c>
      <c r="M93" s="60" t="s">
        <v>255</v>
      </c>
      <c r="N93" s="60" t="s">
        <v>279</v>
      </c>
      <c r="O93" s="60" t="s">
        <v>279</v>
      </c>
      <c r="P93" s="45" t="s">
        <v>250</v>
      </c>
      <c r="Q93" s="45" t="s">
        <v>6</v>
      </c>
      <c r="R93" s="45" t="s">
        <v>257</v>
      </c>
      <c r="S93" s="45">
        <v>0</v>
      </c>
      <c r="T93" s="119">
        <v>199.05</v>
      </c>
      <c r="U93" s="62">
        <f t="shared" si="5"/>
        <v>1951804.6800000002</v>
      </c>
      <c r="V93" s="63">
        <f t="shared" ca="1" si="6"/>
        <v>165</v>
      </c>
      <c r="W93" s="52" t="str">
        <f t="shared" ca="1" si="7"/>
        <v>&lt; 6 Months</v>
      </c>
    </row>
    <row r="94" spans="1:23" s="64" customFormat="1" ht="15" customHeight="1">
      <c r="A94" s="45" t="s">
        <v>1152</v>
      </c>
      <c r="B94" s="45" t="s">
        <v>245</v>
      </c>
      <c r="C94" s="45" t="s">
        <v>1153</v>
      </c>
      <c r="D94" s="43" t="s">
        <v>941</v>
      </c>
      <c r="E94" s="43" t="s">
        <v>1154</v>
      </c>
      <c r="F94" s="43" t="s">
        <v>248</v>
      </c>
      <c r="G94" s="41">
        <v>170168</v>
      </c>
      <c r="H94" s="116">
        <v>1322</v>
      </c>
      <c r="I94" s="41">
        <v>6.8</v>
      </c>
      <c r="J94" s="98">
        <f t="shared" si="4"/>
        <v>8989.6</v>
      </c>
      <c r="K94" s="60" t="s">
        <v>152</v>
      </c>
      <c r="L94" s="60" t="s">
        <v>277</v>
      </c>
      <c r="M94" s="60" t="s">
        <v>255</v>
      </c>
      <c r="N94" s="60" t="s">
        <v>279</v>
      </c>
      <c r="O94" s="60" t="s">
        <v>279</v>
      </c>
      <c r="P94" s="45" t="s">
        <v>250</v>
      </c>
      <c r="Q94" s="45" t="s">
        <v>6</v>
      </c>
      <c r="R94" s="45" t="s">
        <v>257</v>
      </c>
      <c r="S94" s="45">
        <v>0</v>
      </c>
      <c r="T94" s="119">
        <v>199.05</v>
      </c>
      <c r="U94" s="62">
        <f t="shared" si="5"/>
        <v>1789379.8800000001</v>
      </c>
      <c r="V94" s="63">
        <f t="shared" ca="1" si="6"/>
        <v>165</v>
      </c>
      <c r="W94" s="52" t="str">
        <f t="shared" ca="1" si="7"/>
        <v>&lt; 6 Months</v>
      </c>
    </row>
    <row r="95" spans="1:23" s="64" customFormat="1" ht="15" customHeight="1">
      <c r="A95" s="45" t="s">
        <v>1152</v>
      </c>
      <c r="B95" s="45" t="s">
        <v>245</v>
      </c>
      <c r="C95" s="45" t="s">
        <v>1150</v>
      </c>
      <c r="D95" s="43" t="s">
        <v>941</v>
      </c>
      <c r="E95" s="43" t="s">
        <v>1040</v>
      </c>
      <c r="F95" s="43" t="s">
        <v>248</v>
      </c>
      <c r="G95" s="41">
        <v>170139</v>
      </c>
      <c r="H95" s="116">
        <v>1417</v>
      </c>
      <c r="I95" s="41">
        <v>6.8</v>
      </c>
      <c r="J95" s="98">
        <f t="shared" si="4"/>
        <v>9635.6</v>
      </c>
      <c r="K95" s="60" t="s">
        <v>152</v>
      </c>
      <c r="L95" s="60" t="s">
        <v>277</v>
      </c>
      <c r="M95" s="60" t="s">
        <v>255</v>
      </c>
      <c r="N95" s="60" t="s">
        <v>279</v>
      </c>
      <c r="O95" s="60" t="s">
        <v>279</v>
      </c>
      <c r="P95" s="45" t="s">
        <v>250</v>
      </c>
      <c r="Q95" s="45" t="s">
        <v>6</v>
      </c>
      <c r="R95" s="45" t="s">
        <v>257</v>
      </c>
      <c r="S95" s="45">
        <v>0</v>
      </c>
      <c r="T95" s="119">
        <v>199.05</v>
      </c>
      <c r="U95" s="62">
        <f t="shared" si="5"/>
        <v>1917966.1800000002</v>
      </c>
      <c r="V95" s="63">
        <f t="shared" ca="1" si="6"/>
        <v>165</v>
      </c>
      <c r="W95" s="52" t="str">
        <f t="shared" ca="1" si="7"/>
        <v>&lt; 6 Months</v>
      </c>
    </row>
    <row r="96" spans="1:23" s="64" customFormat="1" ht="15" customHeight="1">
      <c r="A96" s="45" t="s">
        <v>1168</v>
      </c>
      <c r="B96" s="45" t="s">
        <v>245</v>
      </c>
      <c r="C96" s="45" t="s">
        <v>1169</v>
      </c>
      <c r="D96" s="43" t="s">
        <v>256</v>
      </c>
      <c r="E96" s="43" t="s">
        <v>332</v>
      </c>
      <c r="F96" s="43" t="s">
        <v>1170</v>
      </c>
      <c r="G96" s="41">
        <v>171342</v>
      </c>
      <c r="H96" s="116">
        <v>0</v>
      </c>
      <c r="I96" s="41">
        <v>4.8</v>
      </c>
      <c r="J96" s="98">
        <f t="shared" si="4"/>
        <v>0</v>
      </c>
      <c r="K96" s="60" t="s">
        <v>143</v>
      </c>
      <c r="L96" s="60" t="s">
        <v>865</v>
      </c>
      <c r="M96" s="60" t="s">
        <v>247</v>
      </c>
      <c r="N96" s="60" t="s">
        <v>146</v>
      </c>
      <c r="O96" s="60" t="s">
        <v>513</v>
      </c>
      <c r="P96" s="45" t="s">
        <v>250</v>
      </c>
      <c r="Q96" s="45" t="s">
        <v>6</v>
      </c>
      <c r="R96" s="45" t="s">
        <v>257</v>
      </c>
      <c r="S96" s="45" t="s">
        <v>247</v>
      </c>
      <c r="T96" s="119">
        <v>343.2</v>
      </c>
      <c r="U96" s="62">
        <f t="shared" si="5"/>
        <v>0</v>
      </c>
      <c r="V96" s="63">
        <f t="shared" ca="1" si="6"/>
        <v>158</v>
      </c>
      <c r="W96" s="52" t="str">
        <f t="shared" ca="1" si="7"/>
        <v>&lt; 6 Months</v>
      </c>
    </row>
    <row r="97" spans="1:23" s="64" customFormat="1" ht="15" customHeight="1">
      <c r="A97" s="45" t="s">
        <v>1168</v>
      </c>
      <c r="B97" s="45" t="s">
        <v>245</v>
      </c>
      <c r="C97" s="45" t="s">
        <v>1171</v>
      </c>
      <c r="D97" s="43" t="s">
        <v>265</v>
      </c>
      <c r="E97" s="43" t="s">
        <v>358</v>
      </c>
      <c r="F97" s="43" t="s">
        <v>248</v>
      </c>
      <c r="G97" s="41">
        <v>171341</v>
      </c>
      <c r="H97" s="116">
        <v>410</v>
      </c>
      <c r="I97" s="41">
        <v>25</v>
      </c>
      <c r="J97" s="98">
        <f t="shared" si="4"/>
        <v>10250</v>
      </c>
      <c r="K97" s="60" t="s">
        <v>143</v>
      </c>
      <c r="L97" s="60" t="s">
        <v>863</v>
      </c>
      <c r="M97" s="60" t="s">
        <v>247</v>
      </c>
      <c r="N97" s="60" t="s">
        <v>144</v>
      </c>
      <c r="O97" s="60" t="s">
        <v>145</v>
      </c>
      <c r="P97" s="45" t="s">
        <v>250</v>
      </c>
      <c r="Q97" s="45" t="s">
        <v>6</v>
      </c>
      <c r="R97" s="45" t="s">
        <v>257</v>
      </c>
      <c r="S97" s="45" t="s">
        <v>247</v>
      </c>
      <c r="T97" s="119">
        <v>109.8</v>
      </c>
      <c r="U97" s="62">
        <f t="shared" si="5"/>
        <v>1125450</v>
      </c>
      <c r="V97" s="63">
        <f t="shared" ca="1" si="6"/>
        <v>158</v>
      </c>
      <c r="W97" s="52" t="str">
        <f t="shared" ca="1" si="7"/>
        <v>&lt; 6 Months</v>
      </c>
    </row>
    <row r="98" spans="1:23" s="64" customFormat="1" ht="15" customHeight="1">
      <c r="A98" s="45" t="s">
        <v>1199</v>
      </c>
      <c r="B98" s="45" t="s">
        <v>258</v>
      </c>
      <c r="C98" s="45" t="s">
        <v>1200</v>
      </c>
      <c r="D98" s="43" t="s">
        <v>256</v>
      </c>
      <c r="E98" s="43" t="s">
        <v>1201</v>
      </c>
      <c r="F98" s="43" t="s">
        <v>248</v>
      </c>
      <c r="G98" s="41">
        <v>10801</v>
      </c>
      <c r="H98" s="116">
        <v>55</v>
      </c>
      <c r="I98" s="41">
        <v>5</v>
      </c>
      <c r="J98" s="98">
        <f t="shared" si="4"/>
        <v>275</v>
      </c>
      <c r="K98" s="60" t="s">
        <v>190</v>
      </c>
      <c r="L98" s="60" t="s">
        <v>426</v>
      </c>
      <c r="M98" s="60" t="s">
        <v>426</v>
      </c>
      <c r="N98" s="60" t="s">
        <v>198</v>
      </c>
      <c r="O98" s="60" t="s">
        <v>427</v>
      </c>
      <c r="P98" s="45" t="s">
        <v>250</v>
      </c>
      <c r="Q98" s="45" t="s">
        <v>6</v>
      </c>
      <c r="R98" s="45" t="s">
        <v>257</v>
      </c>
      <c r="S98" s="45">
        <v>0</v>
      </c>
      <c r="T98" s="119">
        <v>800</v>
      </c>
      <c r="U98" s="62">
        <f t="shared" si="5"/>
        <v>220000</v>
      </c>
      <c r="V98" s="63">
        <f t="shared" ca="1" si="6"/>
        <v>150</v>
      </c>
      <c r="W98" s="52" t="str">
        <f t="shared" ca="1" si="7"/>
        <v>&lt; 6 Months</v>
      </c>
    </row>
    <row r="99" spans="1:23" s="64" customFormat="1" ht="15" customHeight="1">
      <c r="A99" s="45" t="s">
        <v>1199</v>
      </c>
      <c r="B99" s="45" t="s">
        <v>258</v>
      </c>
      <c r="C99" s="45" t="s">
        <v>1200</v>
      </c>
      <c r="D99" s="43" t="s">
        <v>256</v>
      </c>
      <c r="E99" s="43" t="s">
        <v>1204</v>
      </c>
      <c r="F99" s="43" t="s">
        <v>248</v>
      </c>
      <c r="G99" s="41">
        <v>10800</v>
      </c>
      <c r="H99" s="116">
        <v>5</v>
      </c>
      <c r="I99" s="41">
        <v>5</v>
      </c>
      <c r="J99" s="98">
        <f t="shared" si="4"/>
        <v>25</v>
      </c>
      <c r="K99" s="60" t="s">
        <v>190</v>
      </c>
      <c r="L99" s="60" t="s">
        <v>306</v>
      </c>
      <c r="M99" s="60" t="s">
        <v>1085</v>
      </c>
      <c r="N99" s="60" t="s">
        <v>210</v>
      </c>
      <c r="O99" s="60" t="s">
        <v>308</v>
      </c>
      <c r="P99" s="45" t="s">
        <v>250</v>
      </c>
      <c r="Q99" s="45" t="s">
        <v>6</v>
      </c>
      <c r="R99" s="45" t="s">
        <v>257</v>
      </c>
      <c r="S99" s="45">
        <v>0</v>
      </c>
      <c r="T99" s="119">
        <v>515</v>
      </c>
      <c r="U99" s="62">
        <f t="shared" si="5"/>
        <v>12875</v>
      </c>
      <c r="V99" s="63">
        <f t="shared" ca="1" si="6"/>
        <v>150</v>
      </c>
      <c r="W99" s="52" t="str">
        <f t="shared" ca="1" si="7"/>
        <v>&lt; 6 Months</v>
      </c>
    </row>
    <row r="100" spans="1:23" s="64" customFormat="1" ht="15" customHeight="1">
      <c r="A100" s="45" t="s">
        <v>1199</v>
      </c>
      <c r="B100" s="45" t="s">
        <v>258</v>
      </c>
      <c r="C100" s="45" t="s">
        <v>1200</v>
      </c>
      <c r="D100" s="43" t="s">
        <v>256</v>
      </c>
      <c r="E100" s="43" t="s">
        <v>1203</v>
      </c>
      <c r="F100" s="43" t="s">
        <v>248</v>
      </c>
      <c r="G100" s="41">
        <v>10798</v>
      </c>
      <c r="H100" s="116">
        <v>35</v>
      </c>
      <c r="I100" s="41">
        <v>5</v>
      </c>
      <c r="J100" s="98">
        <f t="shared" si="4"/>
        <v>175</v>
      </c>
      <c r="K100" s="60" t="s">
        <v>190</v>
      </c>
      <c r="L100" s="60" t="s">
        <v>422</v>
      </c>
      <c r="M100" s="60" t="s">
        <v>1085</v>
      </c>
      <c r="N100" s="60" t="s">
        <v>191</v>
      </c>
      <c r="O100" s="60" t="s">
        <v>423</v>
      </c>
      <c r="P100" s="45" t="s">
        <v>250</v>
      </c>
      <c r="Q100" s="45" t="s">
        <v>6</v>
      </c>
      <c r="R100" s="45" t="s">
        <v>257</v>
      </c>
      <c r="S100" s="45">
        <v>0</v>
      </c>
      <c r="T100" s="119">
        <v>675</v>
      </c>
      <c r="U100" s="62">
        <f t="shared" si="5"/>
        <v>118125</v>
      </c>
      <c r="V100" s="63">
        <f t="shared" ca="1" si="6"/>
        <v>150</v>
      </c>
      <c r="W100" s="52" t="str">
        <f t="shared" ca="1" si="7"/>
        <v>&lt; 6 Months</v>
      </c>
    </row>
    <row r="101" spans="1:23" s="64" customFormat="1" ht="15" customHeight="1">
      <c r="A101" s="45" t="s">
        <v>1199</v>
      </c>
      <c r="B101" s="45" t="s">
        <v>258</v>
      </c>
      <c r="C101" s="45" t="s">
        <v>1200</v>
      </c>
      <c r="D101" s="43" t="s">
        <v>256</v>
      </c>
      <c r="E101" s="43" t="s">
        <v>1202</v>
      </c>
      <c r="F101" s="43" t="s">
        <v>248</v>
      </c>
      <c r="G101" s="41">
        <v>10797</v>
      </c>
      <c r="H101" s="116">
        <v>19</v>
      </c>
      <c r="I101" s="41">
        <v>5</v>
      </c>
      <c r="J101" s="98">
        <f t="shared" si="4"/>
        <v>95</v>
      </c>
      <c r="K101" s="60" t="s">
        <v>190</v>
      </c>
      <c r="L101" s="60" t="s">
        <v>422</v>
      </c>
      <c r="M101" s="60" t="s">
        <v>260</v>
      </c>
      <c r="N101" s="60" t="s">
        <v>1086</v>
      </c>
      <c r="O101" s="60" t="s">
        <v>423</v>
      </c>
      <c r="P101" s="45" t="s">
        <v>250</v>
      </c>
      <c r="Q101" s="45" t="s">
        <v>6</v>
      </c>
      <c r="R101" s="45" t="s">
        <v>257</v>
      </c>
      <c r="S101" s="45">
        <v>0</v>
      </c>
      <c r="T101" s="119">
        <v>675</v>
      </c>
      <c r="U101" s="62">
        <f t="shared" si="5"/>
        <v>64125</v>
      </c>
      <c r="V101" s="63">
        <f t="shared" ca="1" si="6"/>
        <v>150</v>
      </c>
      <c r="W101" s="52" t="str">
        <f t="shared" ca="1" si="7"/>
        <v>&lt; 6 Months</v>
      </c>
    </row>
    <row r="102" spans="1:23" s="64" customFormat="1" ht="15" customHeight="1">
      <c r="A102" s="45" t="s">
        <v>315</v>
      </c>
      <c r="B102" s="45" t="s">
        <v>245</v>
      </c>
      <c r="C102" s="45" t="s">
        <v>518</v>
      </c>
      <c r="D102" s="43" t="s">
        <v>519</v>
      </c>
      <c r="E102" s="43" t="s">
        <v>520</v>
      </c>
      <c r="F102" s="43" t="s">
        <v>248</v>
      </c>
      <c r="G102" s="41">
        <v>79435</v>
      </c>
      <c r="H102" s="116">
        <v>4</v>
      </c>
      <c r="I102" s="41">
        <v>10</v>
      </c>
      <c r="J102" s="98">
        <f t="shared" si="4"/>
        <v>40</v>
      </c>
      <c r="K102" s="60" t="s">
        <v>92</v>
      </c>
      <c r="L102" s="60" t="s">
        <v>854</v>
      </c>
      <c r="M102" s="60" t="s">
        <v>521</v>
      </c>
      <c r="N102" s="60" t="s">
        <v>8</v>
      </c>
      <c r="O102" s="60" t="s">
        <v>522</v>
      </c>
      <c r="P102" s="45" t="s">
        <v>516</v>
      </c>
      <c r="Q102" s="45" t="s">
        <v>6</v>
      </c>
      <c r="R102" s="45" t="s">
        <v>257</v>
      </c>
      <c r="S102" s="45">
        <v>0</v>
      </c>
      <c r="T102" s="119">
        <v>501</v>
      </c>
      <c r="U102" s="62">
        <f t="shared" si="5"/>
        <v>20040</v>
      </c>
      <c r="V102" s="63">
        <f t="shared" ca="1" si="6"/>
        <v>869</v>
      </c>
      <c r="W102" s="52" t="str">
        <f t="shared" ca="1" si="7"/>
        <v>&gt;24 Months</v>
      </c>
    </row>
    <row r="103" spans="1:23" s="64" customFormat="1" ht="15" customHeight="1">
      <c r="A103" s="45" t="s">
        <v>526</v>
      </c>
      <c r="B103" s="45" t="s">
        <v>245</v>
      </c>
      <c r="C103" s="45" t="s">
        <v>527</v>
      </c>
      <c r="D103" s="43" t="s">
        <v>528</v>
      </c>
      <c r="E103" s="43" t="s">
        <v>529</v>
      </c>
      <c r="F103" s="43" t="s">
        <v>530</v>
      </c>
      <c r="G103" s="41">
        <v>86683</v>
      </c>
      <c r="H103" s="116">
        <v>30</v>
      </c>
      <c r="I103" s="41">
        <v>11.34</v>
      </c>
      <c r="J103" s="98">
        <f t="shared" si="4"/>
        <v>340.2</v>
      </c>
      <c r="K103" s="60" t="s">
        <v>867</v>
      </c>
      <c r="L103" s="60" t="s">
        <v>889</v>
      </c>
      <c r="M103" s="60" t="s">
        <v>845</v>
      </c>
      <c r="N103" s="60" t="s">
        <v>71</v>
      </c>
      <c r="O103" s="60" t="s">
        <v>71</v>
      </c>
      <c r="P103" s="45" t="s">
        <v>516</v>
      </c>
      <c r="Q103" s="45" t="s">
        <v>6</v>
      </c>
      <c r="R103" s="45" t="s">
        <v>254</v>
      </c>
      <c r="S103" s="45">
        <v>0</v>
      </c>
      <c r="T103" s="119">
        <v>900</v>
      </c>
      <c r="U103" s="62">
        <f t="shared" si="5"/>
        <v>306180</v>
      </c>
      <c r="V103" s="63">
        <f t="shared" ca="1" si="6"/>
        <v>805</v>
      </c>
      <c r="W103" s="52" t="str">
        <f t="shared" ca="1" si="7"/>
        <v>&gt;24 Months</v>
      </c>
    </row>
    <row r="104" spans="1:23" s="64" customFormat="1" ht="15" customHeight="1">
      <c r="A104" s="45" t="s">
        <v>532</v>
      </c>
      <c r="B104" s="45" t="s">
        <v>245</v>
      </c>
      <c r="C104" s="45" t="s">
        <v>533</v>
      </c>
      <c r="D104" s="43" t="s">
        <v>528</v>
      </c>
      <c r="E104" s="43" t="s">
        <v>534</v>
      </c>
      <c r="F104" s="43" t="s">
        <v>535</v>
      </c>
      <c r="G104" s="41">
        <v>86838</v>
      </c>
      <c r="H104" s="116">
        <v>12</v>
      </c>
      <c r="I104" s="41">
        <v>12</v>
      </c>
      <c r="J104" s="98">
        <f t="shared" si="4"/>
        <v>144</v>
      </c>
      <c r="K104" s="60" t="s">
        <v>73</v>
      </c>
      <c r="L104" s="60" t="s">
        <v>890</v>
      </c>
      <c r="M104" s="60" t="s">
        <v>536</v>
      </c>
      <c r="N104" s="60" t="s">
        <v>73</v>
      </c>
      <c r="O104" s="60" t="s">
        <v>73</v>
      </c>
      <c r="P104" s="45" t="s">
        <v>516</v>
      </c>
      <c r="Q104" s="45" t="s">
        <v>6</v>
      </c>
      <c r="R104" s="45" t="s">
        <v>254</v>
      </c>
      <c r="S104" s="45">
        <v>0</v>
      </c>
      <c r="T104" s="119">
        <v>1676.8</v>
      </c>
      <c r="U104" s="62">
        <f t="shared" si="5"/>
        <v>241459.19999999998</v>
      </c>
      <c r="V104" s="63">
        <f t="shared" ca="1" si="6"/>
        <v>804</v>
      </c>
      <c r="W104" s="52" t="str">
        <f t="shared" ca="1" si="7"/>
        <v>&gt;24 Months</v>
      </c>
    </row>
    <row r="105" spans="1:23" s="64" customFormat="1" ht="15" customHeight="1">
      <c r="A105" s="45" t="s">
        <v>544</v>
      </c>
      <c r="B105" s="45" t="s">
        <v>245</v>
      </c>
      <c r="C105" s="45" t="s">
        <v>545</v>
      </c>
      <c r="D105" s="43" t="s">
        <v>546</v>
      </c>
      <c r="E105" s="43" t="s">
        <v>547</v>
      </c>
      <c r="F105" s="43" t="s">
        <v>548</v>
      </c>
      <c r="G105" s="41">
        <v>113027</v>
      </c>
      <c r="H105" s="116">
        <v>2</v>
      </c>
      <c r="I105" s="41">
        <v>9.08</v>
      </c>
      <c r="J105" s="98">
        <f t="shared" si="4"/>
        <v>18.16</v>
      </c>
      <c r="K105" s="60" t="s">
        <v>42</v>
      </c>
      <c r="L105" s="60" t="s">
        <v>42</v>
      </c>
      <c r="M105" s="60" t="s">
        <v>549</v>
      </c>
      <c r="N105" s="60" t="s">
        <v>43</v>
      </c>
      <c r="O105" s="60" t="s">
        <v>550</v>
      </c>
      <c r="P105" s="45" t="s">
        <v>516</v>
      </c>
      <c r="Q105" s="45" t="s">
        <v>6</v>
      </c>
      <c r="R105" s="45" t="s">
        <v>257</v>
      </c>
      <c r="S105" s="45" t="s">
        <v>659</v>
      </c>
      <c r="T105" s="119">
        <v>1270</v>
      </c>
      <c r="U105" s="62">
        <f t="shared" si="5"/>
        <v>23063.200000000001</v>
      </c>
      <c r="V105" s="63">
        <f t="shared" ca="1" si="6"/>
        <v>580</v>
      </c>
      <c r="W105" s="52" t="str">
        <f t="shared" ca="1" si="7"/>
        <v>18-24 Months</v>
      </c>
    </row>
    <row r="106" spans="1:23" s="64" customFormat="1" ht="15" customHeight="1">
      <c r="A106" s="45" t="s">
        <v>551</v>
      </c>
      <c r="B106" s="45" t="s">
        <v>245</v>
      </c>
      <c r="C106" s="45" t="s">
        <v>552</v>
      </c>
      <c r="D106" s="43" t="s">
        <v>528</v>
      </c>
      <c r="E106" s="43" t="s">
        <v>553</v>
      </c>
      <c r="F106" s="43" t="s">
        <v>554</v>
      </c>
      <c r="G106" s="41">
        <v>109237</v>
      </c>
      <c r="H106" s="116">
        <v>2</v>
      </c>
      <c r="I106" s="41">
        <v>12</v>
      </c>
      <c r="J106" s="98">
        <f t="shared" si="4"/>
        <v>24</v>
      </c>
      <c r="K106" s="60" t="s">
        <v>73</v>
      </c>
      <c r="L106" s="60" t="s">
        <v>890</v>
      </c>
      <c r="M106" s="60" t="s">
        <v>536</v>
      </c>
      <c r="N106" s="60" t="s">
        <v>73</v>
      </c>
      <c r="O106" s="60" t="s">
        <v>73</v>
      </c>
      <c r="P106" s="45" t="s">
        <v>516</v>
      </c>
      <c r="Q106" s="45" t="s">
        <v>6</v>
      </c>
      <c r="R106" s="45" t="s">
        <v>257</v>
      </c>
      <c r="S106" s="45">
        <v>0</v>
      </c>
      <c r="T106" s="119">
        <v>1676.8</v>
      </c>
      <c r="U106" s="62">
        <f t="shared" si="5"/>
        <v>40243.199999999997</v>
      </c>
      <c r="V106" s="63">
        <f t="shared" ca="1" si="6"/>
        <v>563</v>
      </c>
      <c r="W106" s="52" t="str">
        <f t="shared" ca="1" si="7"/>
        <v>18-24 Months</v>
      </c>
    </row>
    <row r="107" spans="1:23" s="64" customFormat="1" ht="15" customHeight="1">
      <c r="A107" s="45" t="s">
        <v>557</v>
      </c>
      <c r="B107" s="45" t="s">
        <v>258</v>
      </c>
      <c r="C107" s="45" t="s">
        <v>558</v>
      </c>
      <c r="D107" s="43" t="s">
        <v>485</v>
      </c>
      <c r="E107" s="43" t="s">
        <v>559</v>
      </c>
      <c r="F107" s="43" t="s">
        <v>560</v>
      </c>
      <c r="G107" s="41">
        <v>76577</v>
      </c>
      <c r="H107" s="116">
        <v>49</v>
      </c>
      <c r="I107" s="41">
        <v>12.5</v>
      </c>
      <c r="J107" s="98">
        <f t="shared" si="4"/>
        <v>612.5</v>
      </c>
      <c r="K107" s="60" t="s">
        <v>177</v>
      </c>
      <c r="L107" s="60" t="s">
        <v>915</v>
      </c>
      <c r="M107" s="60" t="s">
        <v>295</v>
      </c>
      <c r="N107" s="60" t="s">
        <v>180</v>
      </c>
      <c r="O107" s="60" t="s">
        <v>490</v>
      </c>
      <c r="P107" s="45" t="s">
        <v>516</v>
      </c>
      <c r="Q107" s="45" t="s">
        <v>6</v>
      </c>
      <c r="R107" s="45" t="s">
        <v>273</v>
      </c>
      <c r="S107" s="45" t="s">
        <v>287</v>
      </c>
      <c r="T107" s="119">
        <v>403</v>
      </c>
      <c r="U107" s="62">
        <f t="shared" si="5"/>
        <v>246837.5</v>
      </c>
      <c r="V107" s="63">
        <f t="shared" ca="1" si="6"/>
        <v>550</v>
      </c>
      <c r="W107" s="52" t="str">
        <f t="shared" ca="1" si="7"/>
        <v>18-24 Months</v>
      </c>
    </row>
    <row r="108" spans="1:23" s="64" customFormat="1" ht="15" customHeight="1">
      <c r="A108" s="45" t="s">
        <v>557</v>
      </c>
      <c r="B108" s="45" t="s">
        <v>258</v>
      </c>
      <c r="C108" s="45" t="s">
        <v>561</v>
      </c>
      <c r="D108" s="43" t="s">
        <v>270</v>
      </c>
      <c r="E108" s="43" t="s">
        <v>565</v>
      </c>
      <c r="F108" s="43" t="s">
        <v>509</v>
      </c>
      <c r="G108" s="41">
        <v>76581</v>
      </c>
      <c r="H108" s="116">
        <v>7</v>
      </c>
      <c r="I108" s="41">
        <v>5</v>
      </c>
      <c r="J108" s="98">
        <f t="shared" si="4"/>
        <v>35</v>
      </c>
      <c r="K108" s="60" t="s">
        <v>177</v>
      </c>
      <c r="L108" s="60" t="s">
        <v>862</v>
      </c>
      <c r="M108" s="60" t="s">
        <v>440</v>
      </c>
      <c r="N108" s="60" t="s">
        <v>182</v>
      </c>
      <c r="O108" s="60" t="s">
        <v>566</v>
      </c>
      <c r="P108" s="45" t="s">
        <v>516</v>
      </c>
      <c r="Q108" s="45" t="s">
        <v>6</v>
      </c>
      <c r="R108" s="45" t="s">
        <v>257</v>
      </c>
      <c r="S108" s="45" t="s">
        <v>287</v>
      </c>
      <c r="T108" s="119">
        <v>730</v>
      </c>
      <c r="U108" s="62">
        <f t="shared" si="5"/>
        <v>25550</v>
      </c>
      <c r="V108" s="63">
        <f t="shared" ca="1" si="6"/>
        <v>550</v>
      </c>
      <c r="W108" s="52" t="str">
        <f t="shared" ca="1" si="7"/>
        <v>18-24 Months</v>
      </c>
    </row>
    <row r="109" spans="1:23" s="64" customFormat="1" ht="15" customHeight="1">
      <c r="A109" s="115" t="s">
        <v>557</v>
      </c>
      <c r="B109" s="45" t="s">
        <v>258</v>
      </c>
      <c r="C109" s="45" t="s">
        <v>561</v>
      </c>
      <c r="D109" s="43" t="s">
        <v>485</v>
      </c>
      <c r="E109" s="43" t="s">
        <v>559</v>
      </c>
      <c r="F109" s="43" t="s">
        <v>509</v>
      </c>
      <c r="G109" s="41">
        <v>76576</v>
      </c>
      <c r="H109" s="116">
        <v>36</v>
      </c>
      <c r="I109" s="41">
        <v>12.5</v>
      </c>
      <c r="J109" s="98">
        <f t="shared" si="4"/>
        <v>450</v>
      </c>
      <c r="K109" s="60" t="s">
        <v>177</v>
      </c>
      <c r="L109" s="60" t="s">
        <v>916</v>
      </c>
      <c r="M109" s="60" t="s">
        <v>440</v>
      </c>
      <c r="N109" s="60" t="s">
        <v>179</v>
      </c>
      <c r="O109" s="60" t="s">
        <v>563</v>
      </c>
      <c r="P109" s="45" t="s">
        <v>516</v>
      </c>
      <c r="Q109" s="45" t="s">
        <v>6</v>
      </c>
      <c r="R109" s="45" t="s">
        <v>257</v>
      </c>
      <c r="S109" s="45" t="s">
        <v>287</v>
      </c>
      <c r="T109" s="119">
        <v>462</v>
      </c>
      <c r="U109" s="62">
        <f t="shared" si="5"/>
        <v>207900</v>
      </c>
      <c r="V109" s="63">
        <f t="shared" ca="1" si="6"/>
        <v>550</v>
      </c>
      <c r="W109" s="52" t="str">
        <f t="shared" ca="1" si="7"/>
        <v>18-24 Months</v>
      </c>
    </row>
    <row r="110" spans="1:23" s="64" customFormat="1" ht="15" customHeight="1">
      <c r="A110" s="115" t="s">
        <v>567</v>
      </c>
      <c r="B110" s="45" t="s">
        <v>258</v>
      </c>
      <c r="C110" s="45" t="s">
        <v>577</v>
      </c>
      <c r="D110" s="43" t="s">
        <v>485</v>
      </c>
      <c r="E110" s="43" t="s">
        <v>578</v>
      </c>
      <c r="F110" s="43" t="s">
        <v>560</v>
      </c>
      <c r="G110" s="41">
        <v>76577</v>
      </c>
      <c r="H110" s="116">
        <v>38</v>
      </c>
      <c r="I110" s="41">
        <v>12.5</v>
      </c>
      <c r="J110" s="98">
        <f t="shared" si="4"/>
        <v>475</v>
      </c>
      <c r="K110" s="60" t="s">
        <v>177</v>
      </c>
      <c r="L110" s="60" t="s">
        <v>915</v>
      </c>
      <c r="M110" s="60" t="s">
        <v>295</v>
      </c>
      <c r="N110" s="60" t="s">
        <v>180</v>
      </c>
      <c r="O110" s="60" t="s">
        <v>490</v>
      </c>
      <c r="P110" s="45" t="s">
        <v>516</v>
      </c>
      <c r="Q110" s="45" t="s">
        <v>6</v>
      </c>
      <c r="R110" s="45" t="s">
        <v>273</v>
      </c>
      <c r="S110" s="45" t="s">
        <v>287</v>
      </c>
      <c r="T110" s="119">
        <v>403</v>
      </c>
      <c r="U110" s="62">
        <f t="shared" si="5"/>
        <v>191425</v>
      </c>
      <c r="V110" s="63">
        <f t="shared" ca="1" si="6"/>
        <v>544</v>
      </c>
      <c r="W110" s="52" t="str">
        <f t="shared" ca="1" si="7"/>
        <v>18-24 Months</v>
      </c>
    </row>
    <row r="111" spans="1:23" s="64" customFormat="1" ht="15" customHeight="1">
      <c r="A111" s="115" t="s">
        <v>567</v>
      </c>
      <c r="B111" s="45" t="s">
        <v>245</v>
      </c>
      <c r="C111" s="45" t="s">
        <v>568</v>
      </c>
      <c r="D111" s="43" t="s">
        <v>528</v>
      </c>
      <c r="E111" s="43" t="s">
        <v>573</v>
      </c>
      <c r="F111" s="43" t="s">
        <v>576</v>
      </c>
      <c r="G111" s="41">
        <v>119159</v>
      </c>
      <c r="H111" s="116">
        <v>14</v>
      </c>
      <c r="I111" s="41">
        <v>11.34</v>
      </c>
      <c r="J111" s="98">
        <f t="shared" si="4"/>
        <v>158.76</v>
      </c>
      <c r="K111" s="60" t="s">
        <v>867</v>
      </c>
      <c r="L111" s="60" t="s">
        <v>884</v>
      </c>
      <c r="M111" s="60" t="s">
        <v>542</v>
      </c>
      <c r="N111" s="60" t="s">
        <v>68</v>
      </c>
      <c r="O111" s="60" t="s">
        <v>543</v>
      </c>
      <c r="P111" s="45" t="s">
        <v>516</v>
      </c>
      <c r="Q111" s="45" t="s">
        <v>6</v>
      </c>
      <c r="R111" s="45" t="s">
        <v>257</v>
      </c>
      <c r="S111" s="45">
        <v>0</v>
      </c>
      <c r="T111" s="119">
        <v>1277</v>
      </c>
      <c r="U111" s="62">
        <f t="shared" si="5"/>
        <v>202736.52</v>
      </c>
      <c r="V111" s="63">
        <f t="shared" ca="1" si="6"/>
        <v>544</v>
      </c>
      <c r="W111" s="52" t="str">
        <f t="shared" ca="1" si="7"/>
        <v>18-24 Months</v>
      </c>
    </row>
    <row r="112" spans="1:23" s="64" customFormat="1" ht="15" customHeight="1">
      <c r="A112" s="115" t="s">
        <v>579</v>
      </c>
      <c r="B112" s="45" t="s">
        <v>258</v>
      </c>
      <c r="C112" s="45" t="s">
        <v>580</v>
      </c>
      <c r="D112" s="43" t="s">
        <v>485</v>
      </c>
      <c r="E112" s="43" t="s">
        <v>581</v>
      </c>
      <c r="F112" s="43" t="s">
        <v>582</v>
      </c>
      <c r="G112" s="41">
        <v>76870</v>
      </c>
      <c r="H112" s="116">
        <v>1</v>
      </c>
      <c r="I112" s="41">
        <v>12.5</v>
      </c>
      <c r="J112" s="98">
        <f t="shared" si="4"/>
        <v>12.5</v>
      </c>
      <c r="K112" s="60" t="s">
        <v>177</v>
      </c>
      <c r="L112" s="60" t="s">
        <v>917</v>
      </c>
      <c r="M112" s="60" t="s">
        <v>440</v>
      </c>
      <c r="N112" s="60" t="s">
        <v>183</v>
      </c>
      <c r="O112" s="60" t="s">
        <v>488</v>
      </c>
      <c r="P112" s="45" t="s">
        <v>516</v>
      </c>
      <c r="Q112" s="45" t="s">
        <v>6</v>
      </c>
      <c r="R112" s="45" t="s">
        <v>273</v>
      </c>
      <c r="S112" s="45" t="s">
        <v>287</v>
      </c>
      <c r="T112" s="119">
        <v>641</v>
      </c>
      <c r="U112" s="62">
        <f t="shared" si="5"/>
        <v>8012.5</v>
      </c>
      <c r="V112" s="63">
        <f t="shared" ca="1" si="6"/>
        <v>542</v>
      </c>
      <c r="W112" s="52" t="str">
        <f t="shared" ca="1" si="7"/>
        <v>18-24 Months</v>
      </c>
    </row>
    <row r="113" spans="1:23" s="64" customFormat="1" ht="15" customHeight="1">
      <c r="A113" s="115" t="s">
        <v>583</v>
      </c>
      <c r="B113" s="45" t="s">
        <v>258</v>
      </c>
      <c r="C113" s="45" t="s">
        <v>584</v>
      </c>
      <c r="D113" s="43" t="s">
        <v>485</v>
      </c>
      <c r="E113" s="43" t="s">
        <v>586</v>
      </c>
      <c r="F113" s="43" t="s">
        <v>248</v>
      </c>
      <c r="G113" s="41">
        <v>77154</v>
      </c>
      <c r="H113" s="116">
        <v>1</v>
      </c>
      <c r="I113" s="41">
        <v>12.5</v>
      </c>
      <c r="J113" s="98">
        <f t="shared" si="4"/>
        <v>12.5</v>
      </c>
      <c r="K113" s="60" t="s">
        <v>177</v>
      </c>
      <c r="L113" s="60" t="s">
        <v>915</v>
      </c>
      <c r="M113" s="60" t="s">
        <v>295</v>
      </c>
      <c r="N113" s="60" t="s">
        <v>180</v>
      </c>
      <c r="O113" s="60" t="s">
        <v>490</v>
      </c>
      <c r="P113" s="45" t="s">
        <v>516</v>
      </c>
      <c r="Q113" s="45" t="s">
        <v>6</v>
      </c>
      <c r="R113" s="45" t="s">
        <v>273</v>
      </c>
      <c r="S113" s="45" t="s">
        <v>287</v>
      </c>
      <c r="T113" s="119">
        <v>403</v>
      </c>
      <c r="U113" s="62">
        <f t="shared" si="5"/>
        <v>5037.5</v>
      </c>
      <c r="V113" s="63">
        <f t="shared" ca="1" si="6"/>
        <v>531</v>
      </c>
      <c r="W113" s="52" t="str">
        <f t="shared" ca="1" si="7"/>
        <v>12-18 Months</v>
      </c>
    </row>
    <row r="114" spans="1:23" s="64" customFormat="1" ht="15" customHeight="1">
      <c r="A114" s="115" t="s">
        <v>583</v>
      </c>
      <c r="B114" s="45" t="s">
        <v>258</v>
      </c>
      <c r="C114" s="45" t="s">
        <v>584</v>
      </c>
      <c r="D114" s="43" t="s">
        <v>485</v>
      </c>
      <c r="E114" s="43" t="s">
        <v>585</v>
      </c>
      <c r="F114" s="43" t="s">
        <v>248</v>
      </c>
      <c r="G114" s="41">
        <v>77155</v>
      </c>
      <c r="H114" s="116">
        <v>2</v>
      </c>
      <c r="I114" s="41">
        <v>12.5</v>
      </c>
      <c r="J114" s="98">
        <f t="shared" si="4"/>
        <v>25</v>
      </c>
      <c r="K114" s="60" t="s">
        <v>177</v>
      </c>
      <c r="L114" s="60" t="s">
        <v>916</v>
      </c>
      <c r="M114" s="60" t="s">
        <v>440</v>
      </c>
      <c r="N114" s="60" t="s">
        <v>179</v>
      </c>
      <c r="O114" s="60" t="s">
        <v>563</v>
      </c>
      <c r="P114" s="45" t="s">
        <v>516</v>
      </c>
      <c r="Q114" s="45" t="s">
        <v>6</v>
      </c>
      <c r="R114" s="45" t="s">
        <v>273</v>
      </c>
      <c r="S114" s="45" t="s">
        <v>287</v>
      </c>
      <c r="T114" s="119">
        <v>462</v>
      </c>
      <c r="U114" s="62">
        <f t="shared" si="5"/>
        <v>11550</v>
      </c>
      <c r="V114" s="63">
        <f t="shared" ca="1" si="6"/>
        <v>531</v>
      </c>
      <c r="W114" s="52" t="str">
        <f t="shared" ca="1" si="7"/>
        <v>12-18 Months</v>
      </c>
    </row>
    <row r="115" spans="1:23" s="64" customFormat="1" ht="15" customHeight="1">
      <c r="A115" s="45" t="s">
        <v>404</v>
      </c>
      <c r="B115" s="45" t="s">
        <v>258</v>
      </c>
      <c r="C115" s="45" t="s">
        <v>587</v>
      </c>
      <c r="D115" s="43" t="s">
        <v>485</v>
      </c>
      <c r="E115" s="43" t="s">
        <v>564</v>
      </c>
      <c r="F115" s="43" t="s">
        <v>588</v>
      </c>
      <c r="G115" s="41">
        <v>76583</v>
      </c>
      <c r="H115" s="116">
        <v>1</v>
      </c>
      <c r="I115" s="41">
        <v>12.5</v>
      </c>
      <c r="J115" s="98">
        <f t="shared" si="4"/>
        <v>12.5</v>
      </c>
      <c r="K115" s="60" t="s">
        <v>177</v>
      </c>
      <c r="L115" s="60" t="s">
        <v>917</v>
      </c>
      <c r="M115" s="60" t="s">
        <v>440</v>
      </c>
      <c r="N115" s="60" t="s">
        <v>183</v>
      </c>
      <c r="O115" s="60" t="s">
        <v>488</v>
      </c>
      <c r="P115" s="45" t="s">
        <v>516</v>
      </c>
      <c r="Q115" s="45" t="s">
        <v>6</v>
      </c>
      <c r="R115" s="45" t="s">
        <v>257</v>
      </c>
      <c r="S115" s="45" t="s">
        <v>287</v>
      </c>
      <c r="T115" s="119">
        <v>641</v>
      </c>
      <c r="U115" s="62">
        <f t="shared" si="5"/>
        <v>8012.5</v>
      </c>
      <c r="V115" s="63">
        <f t="shared" ca="1" si="6"/>
        <v>527</v>
      </c>
      <c r="W115" s="52" t="str">
        <f t="shared" ca="1" si="7"/>
        <v>12-18 Months</v>
      </c>
    </row>
    <row r="116" spans="1:23" s="64" customFormat="1" ht="15" customHeight="1">
      <c r="A116" s="45" t="s">
        <v>404</v>
      </c>
      <c r="B116" s="45" t="s">
        <v>258</v>
      </c>
      <c r="C116" s="45" t="s">
        <v>587</v>
      </c>
      <c r="D116" s="43" t="s">
        <v>485</v>
      </c>
      <c r="E116" s="43" t="s">
        <v>559</v>
      </c>
      <c r="F116" s="43" t="s">
        <v>590</v>
      </c>
      <c r="G116" s="41">
        <v>76577</v>
      </c>
      <c r="H116" s="116">
        <v>1</v>
      </c>
      <c r="I116" s="41">
        <v>12.5</v>
      </c>
      <c r="J116" s="98">
        <f t="shared" si="4"/>
        <v>12.5</v>
      </c>
      <c r="K116" s="60" t="s">
        <v>177</v>
      </c>
      <c r="L116" s="60" t="s">
        <v>915</v>
      </c>
      <c r="M116" s="60" t="s">
        <v>295</v>
      </c>
      <c r="N116" s="60" t="s">
        <v>180</v>
      </c>
      <c r="O116" s="60" t="s">
        <v>490</v>
      </c>
      <c r="P116" s="45" t="s">
        <v>516</v>
      </c>
      <c r="Q116" s="45" t="s">
        <v>6</v>
      </c>
      <c r="R116" s="45" t="s">
        <v>273</v>
      </c>
      <c r="S116" s="45" t="s">
        <v>287</v>
      </c>
      <c r="T116" s="119">
        <v>403</v>
      </c>
      <c r="U116" s="62">
        <f t="shared" si="5"/>
        <v>5037.5</v>
      </c>
      <c r="V116" s="63">
        <f t="shared" ca="1" si="6"/>
        <v>527</v>
      </c>
      <c r="W116" s="52" t="str">
        <f t="shared" ca="1" si="7"/>
        <v>12-18 Months</v>
      </c>
    </row>
    <row r="117" spans="1:23" s="64" customFormat="1" ht="15" customHeight="1">
      <c r="A117" s="45" t="s">
        <v>404</v>
      </c>
      <c r="B117" s="45" t="s">
        <v>258</v>
      </c>
      <c r="C117" s="45" t="s">
        <v>587</v>
      </c>
      <c r="D117" s="43" t="s">
        <v>270</v>
      </c>
      <c r="E117" s="43" t="s">
        <v>591</v>
      </c>
      <c r="F117" s="43" t="s">
        <v>592</v>
      </c>
      <c r="G117" s="41">
        <v>76868</v>
      </c>
      <c r="H117" s="116">
        <v>1</v>
      </c>
      <c r="I117" s="41">
        <v>5</v>
      </c>
      <c r="J117" s="98">
        <f t="shared" si="4"/>
        <v>5</v>
      </c>
      <c r="K117" s="60" t="s">
        <v>177</v>
      </c>
      <c r="L117" s="60" t="s">
        <v>914</v>
      </c>
      <c r="M117" s="60" t="s">
        <v>507</v>
      </c>
      <c r="N117" s="60" t="s">
        <v>178</v>
      </c>
      <c r="O117" s="60" t="s">
        <v>593</v>
      </c>
      <c r="P117" s="45" t="s">
        <v>516</v>
      </c>
      <c r="Q117" s="45" t="s">
        <v>6</v>
      </c>
      <c r="R117" s="45" t="s">
        <v>273</v>
      </c>
      <c r="S117" s="45" t="s">
        <v>287</v>
      </c>
      <c r="T117" s="119">
        <v>789</v>
      </c>
      <c r="U117" s="62">
        <f t="shared" si="5"/>
        <v>3945</v>
      </c>
      <c r="V117" s="63">
        <f t="shared" ca="1" si="6"/>
        <v>527</v>
      </c>
      <c r="W117" s="52" t="str">
        <f t="shared" ca="1" si="7"/>
        <v>12-18 Months</v>
      </c>
    </row>
    <row r="118" spans="1:23" s="64" customFormat="1" ht="15" customHeight="1">
      <c r="A118" s="45" t="s">
        <v>594</v>
      </c>
      <c r="B118" s="45" t="s">
        <v>245</v>
      </c>
      <c r="C118" s="45" t="s">
        <v>595</v>
      </c>
      <c r="D118" s="43" t="s">
        <v>546</v>
      </c>
      <c r="E118" s="43" t="s">
        <v>547</v>
      </c>
      <c r="F118" s="43" t="s">
        <v>596</v>
      </c>
      <c r="G118" s="41">
        <v>113027</v>
      </c>
      <c r="H118" s="116">
        <v>6</v>
      </c>
      <c r="I118" s="41">
        <v>9.08</v>
      </c>
      <c r="J118" s="98">
        <f t="shared" si="4"/>
        <v>54.480000000000004</v>
      </c>
      <c r="K118" s="60" t="s">
        <v>42</v>
      </c>
      <c r="L118" s="60" t="s">
        <v>42</v>
      </c>
      <c r="M118" s="60" t="s">
        <v>549</v>
      </c>
      <c r="N118" s="60" t="s">
        <v>43</v>
      </c>
      <c r="O118" s="60" t="s">
        <v>550</v>
      </c>
      <c r="P118" s="45" t="s">
        <v>516</v>
      </c>
      <c r="Q118" s="45" t="s">
        <v>6</v>
      </c>
      <c r="R118" s="45" t="s">
        <v>257</v>
      </c>
      <c r="S118" s="45" t="s">
        <v>659</v>
      </c>
      <c r="T118" s="119">
        <v>1270</v>
      </c>
      <c r="U118" s="62">
        <f t="shared" si="5"/>
        <v>69189.600000000006</v>
      </c>
      <c r="V118" s="63">
        <f t="shared" ca="1" si="6"/>
        <v>524</v>
      </c>
      <c r="W118" s="52" t="str">
        <f t="shared" ca="1" si="7"/>
        <v>12-18 Months</v>
      </c>
    </row>
    <row r="119" spans="1:23" s="64" customFormat="1" ht="15" customHeight="1">
      <c r="A119" s="45" t="s">
        <v>598</v>
      </c>
      <c r="B119" s="45" t="s">
        <v>245</v>
      </c>
      <c r="C119" s="45" t="s">
        <v>599</v>
      </c>
      <c r="D119" s="43" t="s">
        <v>270</v>
      </c>
      <c r="E119" s="43" t="s">
        <v>600</v>
      </c>
      <c r="F119" s="43" t="s">
        <v>601</v>
      </c>
      <c r="G119" s="41">
        <v>128827</v>
      </c>
      <c r="H119" s="116">
        <v>1</v>
      </c>
      <c r="I119" s="41">
        <v>5</v>
      </c>
      <c r="J119" s="98">
        <f t="shared" si="4"/>
        <v>5</v>
      </c>
      <c r="K119" s="60" t="s">
        <v>190</v>
      </c>
      <c r="L119" s="60" t="s">
        <v>860</v>
      </c>
      <c r="M119" s="60" t="s">
        <v>295</v>
      </c>
      <c r="N119" s="60" t="s">
        <v>205</v>
      </c>
      <c r="O119" s="60" t="s">
        <v>602</v>
      </c>
      <c r="P119" s="45" t="s">
        <v>516</v>
      </c>
      <c r="Q119" s="45" t="s">
        <v>6</v>
      </c>
      <c r="R119" s="45" t="s">
        <v>257</v>
      </c>
      <c r="S119" s="45" t="s">
        <v>274</v>
      </c>
      <c r="T119" s="119">
        <v>712</v>
      </c>
      <c r="U119" s="62">
        <f t="shared" si="5"/>
        <v>3560</v>
      </c>
      <c r="V119" s="63">
        <f t="shared" ca="1" si="6"/>
        <v>479</v>
      </c>
      <c r="W119" s="52" t="str">
        <f t="shared" ca="1" si="7"/>
        <v>12-18 Months</v>
      </c>
    </row>
    <row r="120" spans="1:23" s="64" customFormat="1" ht="15" customHeight="1">
      <c r="A120" s="45" t="s">
        <v>603</v>
      </c>
      <c r="B120" s="45" t="s">
        <v>245</v>
      </c>
      <c r="C120" s="45" t="s">
        <v>604</v>
      </c>
      <c r="D120" s="43" t="s">
        <v>555</v>
      </c>
      <c r="E120" s="43" t="s">
        <v>365</v>
      </c>
      <c r="F120" s="43" t="s">
        <v>605</v>
      </c>
      <c r="G120" s="41">
        <v>129048</v>
      </c>
      <c r="H120" s="116">
        <v>19</v>
      </c>
      <c r="I120" s="41">
        <v>15</v>
      </c>
      <c r="J120" s="98">
        <f t="shared" si="4"/>
        <v>285</v>
      </c>
      <c r="K120" s="60" t="s">
        <v>92</v>
      </c>
      <c r="L120" s="60" t="s">
        <v>537</v>
      </c>
      <c r="M120" s="60" t="s">
        <v>556</v>
      </c>
      <c r="N120" s="60" t="s">
        <v>93</v>
      </c>
      <c r="O120" s="60" t="s">
        <v>93</v>
      </c>
      <c r="P120" s="45" t="s">
        <v>516</v>
      </c>
      <c r="Q120" s="45" t="s">
        <v>6</v>
      </c>
      <c r="R120" s="45" t="s">
        <v>257</v>
      </c>
      <c r="S120" s="45">
        <v>0</v>
      </c>
      <c r="T120" s="119">
        <v>295</v>
      </c>
      <c r="U120" s="62">
        <f t="shared" si="5"/>
        <v>84075</v>
      </c>
      <c r="V120" s="63">
        <f t="shared" ca="1" si="6"/>
        <v>477</v>
      </c>
      <c r="W120" s="52" t="str">
        <f t="shared" ca="1" si="7"/>
        <v>12-18 Months</v>
      </c>
    </row>
    <row r="121" spans="1:23" s="64" customFormat="1" ht="15" customHeight="1">
      <c r="A121" s="45" t="s">
        <v>606</v>
      </c>
      <c r="B121" s="45" t="s">
        <v>245</v>
      </c>
      <c r="C121" s="45" t="s">
        <v>607</v>
      </c>
      <c r="D121" s="43" t="s">
        <v>555</v>
      </c>
      <c r="E121" s="43" t="s">
        <v>608</v>
      </c>
      <c r="F121" s="43" t="s">
        <v>248</v>
      </c>
      <c r="G121" s="41">
        <v>130273</v>
      </c>
      <c r="H121" s="116">
        <v>16</v>
      </c>
      <c r="I121" s="41">
        <v>15</v>
      </c>
      <c r="J121" s="98">
        <f t="shared" si="4"/>
        <v>240</v>
      </c>
      <c r="K121" s="60" t="s">
        <v>92</v>
      </c>
      <c r="L121" s="60" t="s">
        <v>537</v>
      </c>
      <c r="M121" s="60" t="s">
        <v>556</v>
      </c>
      <c r="N121" s="60" t="s">
        <v>93</v>
      </c>
      <c r="O121" s="60" t="s">
        <v>93</v>
      </c>
      <c r="P121" s="45" t="s">
        <v>516</v>
      </c>
      <c r="Q121" s="45" t="s">
        <v>6</v>
      </c>
      <c r="R121" s="45" t="s">
        <v>257</v>
      </c>
      <c r="S121" s="45">
        <v>0</v>
      </c>
      <c r="T121" s="119">
        <v>295</v>
      </c>
      <c r="U121" s="62">
        <f t="shared" si="5"/>
        <v>70800</v>
      </c>
      <c r="V121" s="63">
        <f t="shared" ca="1" si="6"/>
        <v>469</v>
      </c>
      <c r="W121" s="52" t="str">
        <f t="shared" ca="1" si="7"/>
        <v>12-18 Months</v>
      </c>
    </row>
    <row r="122" spans="1:23" s="64" customFormat="1" ht="15" customHeight="1">
      <c r="A122" s="45" t="s">
        <v>610</v>
      </c>
      <c r="B122" s="45" t="s">
        <v>245</v>
      </c>
      <c r="C122" s="45" t="s">
        <v>611</v>
      </c>
      <c r="D122" s="43" t="s">
        <v>270</v>
      </c>
      <c r="E122" s="43" t="s">
        <v>612</v>
      </c>
      <c r="F122" s="43" t="s">
        <v>615</v>
      </c>
      <c r="G122" s="41">
        <v>130939</v>
      </c>
      <c r="H122" s="116">
        <v>4</v>
      </c>
      <c r="I122" s="41">
        <v>5</v>
      </c>
      <c r="J122" s="98">
        <f t="shared" si="4"/>
        <v>20</v>
      </c>
      <c r="K122" s="60" t="s">
        <v>190</v>
      </c>
      <c r="L122" s="60" t="s">
        <v>860</v>
      </c>
      <c r="M122" s="60" t="s">
        <v>295</v>
      </c>
      <c r="N122" s="60" t="s">
        <v>205</v>
      </c>
      <c r="O122" s="60" t="s">
        <v>602</v>
      </c>
      <c r="P122" s="45" t="s">
        <v>516</v>
      </c>
      <c r="Q122" s="45" t="s">
        <v>6</v>
      </c>
      <c r="R122" s="45" t="s">
        <v>257</v>
      </c>
      <c r="S122" s="45" t="s">
        <v>274</v>
      </c>
      <c r="T122" s="119">
        <v>712</v>
      </c>
      <c r="U122" s="62">
        <f t="shared" si="5"/>
        <v>14240</v>
      </c>
      <c r="V122" s="63">
        <f t="shared" ca="1" si="6"/>
        <v>464</v>
      </c>
      <c r="W122" s="52" t="str">
        <f t="shared" ca="1" si="7"/>
        <v>12-18 Months</v>
      </c>
    </row>
    <row r="123" spans="1:23" s="64" customFormat="1" ht="15" customHeight="1">
      <c r="A123" s="45" t="s">
        <v>610</v>
      </c>
      <c r="B123" s="45" t="s">
        <v>245</v>
      </c>
      <c r="C123" s="45" t="s">
        <v>611</v>
      </c>
      <c r="D123" s="43" t="s">
        <v>270</v>
      </c>
      <c r="E123" s="43" t="s">
        <v>612</v>
      </c>
      <c r="F123" s="43" t="s">
        <v>613</v>
      </c>
      <c r="G123" s="41">
        <v>130940</v>
      </c>
      <c r="H123" s="116">
        <v>7</v>
      </c>
      <c r="I123" s="41">
        <v>5</v>
      </c>
      <c r="J123" s="98">
        <f t="shared" si="4"/>
        <v>35</v>
      </c>
      <c r="K123" s="60" t="s">
        <v>190</v>
      </c>
      <c r="L123" s="60" t="s">
        <v>860</v>
      </c>
      <c r="M123" s="60" t="s">
        <v>295</v>
      </c>
      <c r="N123" s="60" t="s">
        <v>205</v>
      </c>
      <c r="O123" s="60" t="s">
        <v>602</v>
      </c>
      <c r="P123" s="45" t="s">
        <v>516</v>
      </c>
      <c r="Q123" s="45" t="s">
        <v>6</v>
      </c>
      <c r="R123" s="45" t="s">
        <v>257</v>
      </c>
      <c r="S123" s="45" t="s">
        <v>274</v>
      </c>
      <c r="T123" s="119">
        <v>712</v>
      </c>
      <c r="U123" s="62">
        <f t="shared" si="5"/>
        <v>24920</v>
      </c>
      <c r="V123" s="63">
        <f t="shared" ca="1" si="6"/>
        <v>464</v>
      </c>
      <c r="W123" s="52" t="str">
        <f t="shared" ca="1" si="7"/>
        <v>12-18 Months</v>
      </c>
    </row>
    <row r="124" spans="1:23" s="64" customFormat="1" ht="15" customHeight="1">
      <c r="A124" s="45" t="s">
        <v>619</v>
      </c>
      <c r="B124" s="45" t="s">
        <v>245</v>
      </c>
      <c r="C124" s="45" t="s">
        <v>620</v>
      </c>
      <c r="D124" s="43" t="s">
        <v>621</v>
      </c>
      <c r="E124" s="43" t="s">
        <v>622</v>
      </c>
      <c r="F124" s="43" t="s">
        <v>623</v>
      </c>
      <c r="G124" s="41">
        <v>133878</v>
      </c>
      <c r="H124" s="116">
        <v>34</v>
      </c>
      <c r="I124" s="41">
        <v>13.6</v>
      </c>
      <c r="J124" s="98">
        <f t="shared" si="4"/>
        <v>462.4</v>
      </c>
      <c r="K124" s="60" t="s">
        <v>79</v>
      </c>
      <c r="L124" s="60" t="s">
        <v>848</v>
      </c>
      <c r="M124" s="60" t="s">
        <v>617</v>
      </c>
      <c r="N124" s="60" t="s">
        <v>81</v>
      </c>
      <c r="O124" s="60" t="s">
        <v>80</v>
      </c>
      <c r="P124" s="45" t="s">
        <v>516</v>
      </c>
      <c r="Q124" s="45" t="s">
        <v>6</v>
      </c>
      <c r="R124" s="45" t="s">
        <v>254</v>
      </c>
      <c r="S124" s="45">
        <v>0</v>
      </c>
      <c r="T124" s="119">
        <v>1380</v>
      </c>
      <c r="U124" s="62">
        <f t="shared" si="5"/>
        <v>638112</v>
      </c>
      <c r="V124" s="63">
        <f t="shared" ca="1" si="6"/>
        <v>439</v>
      </c>
      <c r="W124" s="52" t="str">
        <f t="shared" ca="1" si="7"/>
        <v>12-18 Months</v>
      </c>
    </row>
    <row r="125" spans="1:23" s="64" customFormat="1" ht="15" customHeight="1">
      <c r="A125" s="45" t="s">
        <v>624</v>
      </c>
      <c r="B125" s="45" t="s">
        <v>245</v>
      </c>
      <c r="C125" s="45" t="s">
        <v>625</v>
      </c>
      <c r="D125" s="43" t="s">
        <v>621</v>
      </c>
      <c r="E125" s="43" t="s">
        <v>626</v>
      </c>
      <c r="F125" s="43" t="s">
        <v>582</v>
      </c>
      <c r="G125" s="41">
        <v>134478</v>
      </c>
      <c r="H125" s="116">
        <v>5</v>
      </c>
      <c r="I125" s="41">
        <v>13.6</v>
      </c>
      <c r="J125" s="98">
        <f t="shared" si="4"/>
        <v>68</v>
      </c>
      <c r="K125" s="60" t="s">
        <v>79</v>
      </c>
      <c r="L125" s="60" t="s">
        <v>848</v>
      </c>
      <c r="M125" s="60" t="s">
        <v>617</v>
      </c>
      <c r="N125" s="60" t="s">
        <v>81</v>
      </c>
      <c r="O125" s="60" t="s">
        <v>80</v>
      </c>
      <c r="P125" s="45" t="s">
        <v>516</v>
      </c>
      <c r="Q125" s="45" t="s">
        <v>6</v>
      </c>
      <c r="R125" s="45" t="s">
        <v>257</v>
      </c>
      <c r="S125" s="45">
        <v>0</v>
      </c>
      <c r="T125" s="119">
        <v>1380</v>
      </c>
      <c r="U125" s="62">
        <f t="shared" si="5"/>
        <v>93840</v>
      </c>
      <c r="V125" s="63">
        <f t="shared" ca="1" si="6"/>
        <v>434</v>
      </c>
      <c r="W125" s="52" t="str">
        <f t="shared" ca="1" si="7"/>
        <v>12-18 Months</v>
      </c>
    </row>
    <row r="126" spans="1:23" s="64" customFormat="1" ht="15" customHeight="1">
      <c r="A126" s="45" t="s">
        <v>462</v>
      </c>
      <c r="B126" s="45" t="s">
        <v>245</v>
      </c>
      <c r="C126" s="45" t="s">
        <v>627</v>
      </c>
      <c r="D126" s="43" t="s">
        <v>621</v>
      </c>
      <c r="E126" s="43" t="s">
        <v>626</v>
      </c>
      <c r="F126" s="43" t="s">
        <v>248</v>
      </c>
      <c r="G126" s="41">
        <v>134856</v>
      </c>
      <c r="H126" s="116">
        <v>5</v>
      </c>
      <c r="I126" s="41">
        <v>13.6</v>
      </c>
      <c r="J126" s="98">
        <f t="shared" si="4"/>
        <v>68</v>
      </c>
      <c r="K126" s="60" t="s">
        <v>79</v>
      </c>
      <c r="L126" s="60" t="s">
        <v>848</v>
      </c>
      <c r="M126" s="60" t="s">
        <v>617</v>
      </c>
      <c r="N126" s="60" t="s">
        <v>81</v>
      </c>
      <c r="O126" s="60" t="s">
        <v>80</v>
      </c>
      <c r="P126" s="45" t="s">
        <v>516</v>
      </c>
      <c r="Q126" s="45" t="s">
        <v>6</v>
      </c>
      <c r="R126" s="45" t="s">
        <v>257</v>
      </c>
      <c r="S126" s="45">
        <v>0</v>
      </c>
      <c r="T126" s="119">
        <v>1380</v>
      </c>
      <c r="U126" s="62">
        <f t="shared" si="5"/>
        <v>93840</v>
      </c>
      <c r="V126" s="63">
        <f t="shared" ca="1" si="6"/>
        <v>431</v>
      </c>
      <c r="W126" s="52" t="str">
        <f t="shared" ca="1" si="7"/>
        <v>12-18 Months</v>
      </c>
    </row>
    <row r="127" spans="1:23" s="64" customFormat="1" ht="15" customHeight="1">
      <c r="A127" s="45" t="s">
        <v>464</v>
      </c>
      <c r="B127" s="45" t="s">
        <v>258</v>
      </c>
      <c r="C127" s="45" t="s">
        <v>628</v>
      </c>
      <c r="D127" s="43" t="s">
        <v>364</v>
      </c>
      <c r="E127" s="43" t="s">
        <v>629</v>
      </c>
      <c r="F127" s="43" t="s">
        <v>630</v>
      </c>
      <c r="G127" s="41">
        <v>81383</v>
      </c>
      <c r="H127" s="116">
        <v>6</v>
      </c>
      <c r="I127" s="41">
        <v>12.5</v>
      </c>
      <c r="J127" s="98">
        <f t="shared" si="4"/>
        <v>75</v>
      </c>
      <c r="K127" s="60" t="s">
        <v>177</v>
      </c>
      <c r="L127" s="60" t="s">
        <v>916</v>
      </c>
      <c r="M127" s="60" t="s">
        <v>440</v>
      </c>
      <c r="N127" s="60" t="s">
        <v>179</v>
      </c>
      <c r="O127" s="60" t="s">
        <v>563</v>
      </c>
      <c r="P127" s="45" t="s">
        <v>516</v>
      </c>
      <c r="Q127" s="45" t="s">
        <v>6</v>
      </c>
      <c r="R127" s="45" t="s">
        <v>257</v>
      </c>
      <c r="S127" s="45" t="s">
        <v>287</v>
      </c>
      <c r="T127" s="119">
        <v>462</v>
      </c>
      <c r="U127" s="62">
        <f t="shared" si="5"/>
        <v>34650</v>
      </c>
      <c r="V127" s="63">
        <f t="shared" ca="1" si="6"/>
        <v>419</v>
      </c>
      <c r="W127" s="52" t="str">
        <f t="shared" ca="1" si="7"/>
        <v>12-18 Months</v>
      </c>
    </row>
    <row r="128" spans="1:23" s="64" customFormat="1" ht="15" customHeight="1">
      <c r="A128" s="45" t="s">
        <v>631</v>
      </c>
      <c r="B128" s="45" t="s">
        <v>245</v>
      </c>
      <c r="C128" s="45" t="s">
        <v>632</v>
      </c>
      <c r="D128" s="43" t="s">
        <v>555</v>
      </c>
      <c r="E128" s="43" t="s">
        <v>633</v>
      </c>
      <c r="F128" s="43" t="s">
        <v>248</v>
      </c>
      <c r="G128" s="41">
        <v>136258</v>
      </c>
      <c r="H128" s="116">
        <v>10</v>
      </c>
      <c r="I128" s="41">
        <v>15</v>
      </c>
      <c r="J128" s="98">
        <f t="shared" si="4"/>
        <v>150</v>
      </c>
      <c r="K128" s="60" t="s">
        <v>92</v>
      </c>
      <c r="L128" s="60" t="s">
        <v>537</v>
      </c>
      <c r="M128" s="60" t="s">
        <v>556</v>
      </c>
      <c r="N128" s="60" t="s">
        <v>93</v>
      </c>
      <c r="O128" s="60" t="s">
        <v>93</v>
      </c>
      <c r="P128" s="45" t="s">
        <v>516</v>
      </c>
      <c r="Q128" s="45" t="s">
        <v>6</v>
      </c>
      <c r="R128" s="45" t="s">
        <v>257</v>
      </c>
      <c r="S128" s="45">
        <v>0</v>
      </c>
      <c r="T128" s="119">
        <v>295</v>
      </c>
      <c r="U128" s="62">
        <f t="shared" si="5"/>
        <v>44250</v>
      </c>
      <c r="V128" s="63">
        <f t="shared" ca="1" si="6"/>
        <v>418</v>
      </c>
      <c r="W128" s="52" t="str">
        <f t="shared" ca="1" si="7"/>
        <v>12-18 Months</v>
      </c>
    </row>
    <row r="129" spans="1:23" s="64" customFormat="1" ht="15" customHeight="1">
      <c r="A129" s="45" t="s">
        <v>634</v>
      </c>
      <c r="B129" s="45" t="s">
        <v>245</v>
      </c>
      <c r="C129" s="45" t="s">
        <v>635</v>
      </c>
      <c r="D129" s="43" t="s">
        <v>528</v>
      </c>
      <c r="E129" s="43" t="s">
        <v>636</v>
      </c>
      <c r="F129" s="43" t="s">
        <v>248</v>
      </c>
      <c r="G129" s="41">
        <v>137391</v>
      </c>
      <c r="H129" s="116">
        <v>59</v>
      </c>
      <c r="I129" s="41">
        <v>11.34</v>
      </c>
      <c r="J129" s="98">
        <f t="shared" si="4"/>
        <v>669.06</v>
      </c>
      <c r="K129" s="60" t="s">
        <v>867</v>
      </c>
      <c r="L129" s="60" t="s">
        <v>888</v>
      </c>
      <c r="M129" s="60" t="s">
        <v>847</v>
      </c>
      <c r="N129" s="60" t="s">
        <v>69</v>
      </c>
      <c r="O129" s="60" t="s">
        <v>637</v>
      </c>
      <c r="P129" s="45" t="s">
        <v>516</v>
      </c>
      <c r="Q129" s="45" t="s">
        <v>6</v>
      </c>
      <c r="R129" s="45" t="s">
        <v>257</v>
      </c>
      <c r="S129" s="45">
        <v>0</v>
      </c>
      <c r="T129" s="119">
        <v>1290</v>
      </c>
      <c r="U129" s="62">
        <f t="shared" si="5"/>
        <v>863087.39999999991</v>
      </c>
      <c r="V129" s="63">
        <f t="shared" ca="1" si="6"/>
        <v>409</v>
      </c>
      <c r="W129" s="52" t="str">
        <f t="shared" ca="1" si="7"/>
        <v>12-18 Months</v>
      </c>
    </row>
    <row r="130" spans="1:23" s="64" customFormat="1" ht="15" customHeight="1">
      <c r="A130" s="45" t="s">
        <v>972</v>
      </c>
      <c r="B130" s="45" t="s">
        <v>245</v>
      </c>
      <c r="C130" s="45" t="s">
        <v>975</v>
      </c>
      <c r="D130" s="43" t="s">
        <v>641</v>
      </c>
      <c r="E130" s="43" t="s">
        <v>642</v>
      </c>
      <c r="F130" s="43" t="s">
        <v>973</v>
      </c>
      <c r="G130" s="41">
        <v>139652</v>
      </c>
      <c r="H130" s="116">
        <v>0</v>
      </c>
      <c r="I130" s="41">
        <v>0</v>
      </c>
      <c r="J130" s="98">
        <f t="shared" si="4"/>
        <v>0</v>
      </c>
      <c r="K130" s="60">
        <v>0</v>
      </c>
      <c r="L130" s="60">
        <v>0</v>
      </c>
      <c r="M130" s="60">
        <v>0</v>
      </c>
      <c r="N130" s="60">
        <v>0</v>
      </c>
      <c r="O130" s="60">
        <v>0</v>
      </c>
      <c r="P130" s="45">
        <v>0</v>
      </c>
      <c r="Q130" s="45">
        <v>0</v>
      </c>
      <c r="R130" s="45">
        <v>0</v>
      </c>
      <c r="S130" s="45">
        <v>0</v>
      </c>
      <c r="T130" s="119">
        <v>0</v>
      </c>
      <c r="U130" s="62">
        <f t="shared" si="5"/>
        <v>0</v>
      </c>
      <c r="V130" s="63">
        <f t="shared" ca="1" si="6"/>
        <v>390</v>
      </c>
      <c r="W130" s="52" t="str">
        <f t="shared" ca="1" si="7"/>
        <v>12-18 Months</v>
      </c>
    </row>
    <row r="131" spans="1:23" s="64" customFormat="1" ht="15" customHeight="1">
      <c r="A131" s="45" t="s">
        <v>643</v>
      </c>
      <c r="B131" s="45" t="s">
        <v>245</v>
      </c>
      <c r="C131" s="45" t="s">
        <v>646</v>
      </c>
      <c r="D131" s="43" t="s">
        <v>540</v>
      </c>
      <c r="E131" s="43" t="s">
        <v>647</v>
      </c>
      <c r="F131" s="43" t="s">
        <v>648</v>
      </c>
      <c r="G131" s="41">
        <v>140344</v>
      </c>
      <c r="H131" s="116">
        <v>21</v>
      </c>
      <c r="I131" s="41">
        <v>10</v>
      </c>
      <c r="J131" s="98">
        <f t="shared" si="4"/>
        <v>210</v>
      </c>
      <c r="K131" s="60" t="s">
        <v>61</v>
      </c>
      <c r="L131" s="60" t="s">
        <v>697</v>
      </c>
      <c r="M131" s="60" t="s">
        <v>531</v>
      </c>
      <c r="N131" s="60" t="s">
        <v>62</v>
      </c>
      <c r="O131" s="60" t="s">
        <v>541</v>
      </c>
      <c r="P131" s="45" t="s">
        <v>516</v>
      </c>
      <c r="Q131" s="45" t="s">
        <v>6</v>
      </c>
      <c r="R131" s="45" t="s">
        <v>257</v>
      </c>
      <c r="S131" s="45">
        <v>0</v>
      </c>
      <c r="T131" s="119">
        <v>1060</v>
      </c>
      <c r="U131" s="62">
        <f t="shared" si="5"/>
        <v>222600</v>
      </c>
      <c r="V131" s="63">
        <f t="shared" ca="1" si="6"/>
        <v>384</v>
      </c>
      <c r="W131" s="52" t="str">
        <f t="shared" ca="1" si="7"/>
        <v>12-18 Months</v>
      </c>
    </row>
    <row r="132" spans="1:23" s="64" customFormat="1" ht="15" customHeight="1">
      <c r="A132" s="45" t="s">
        <v>510</v>
      </c>
      <c r="B132" s="45" t="s">
        <v>258</v>
      </c>
      <c r="C132" s="45" t="s">
        <v>649</v>
      </c>
      <c r="D132" s="43" t="s">
        <v>317</v>
      </c>
      <c r="E132" s="43" t="s">
        <v>652</v>
      </c>
      <c r="F132" s="43" t="s">
        <v>303</v>
      </c>
      <c r="G132" s="41">
        <v>2058</v>
      </c>
      <c r="H132" s="116">
        <v>1</v>
      </c>
      <c r="I132" s="41">
        <v>12</v>
      </c>
      <c r="J132" s="98">
        <f t="shared" si="4"/>
        <v>12</v>
      </c>
      <c r="K132" s="60" t="s">
        <v>177</v>
      </c>
      <c r="L132" s="60" t="s">
        <v>917</v>
      </c>
      <c r="M132" s="60" t="s">
        <v>440</v>
      </c>
      <c r="N132" s="60" t="s">
        <v>187</v>
      </c>
      <c r="O132" s="60" t="s">
        <v>488</v>
      </c>
      <c r="P132" s="45" t="s">
        <v>516</v>
      </c>
      <c r="Q132" s="45" t="s">
        <v>6</v>
      </c>
      <c r="R132" s="45" t="s">
        <v>257</v>
      </c>
      <c r="S132" s="45" t="s">
        <v>287</v>
      </c>
      <c r="T132" s="119">
        <v>641</v>
      </c>
      <c r="U132" s="62">
        <f t="shared" si="5"/>
        <v>7692</v>
      </c>
      <c r="V132" s="63">
        <f t="shared" ca="1" si="6"/>
        <v>377</v>
      </c>
      <c r="W132" s="52" t="str">
        <f t="shared" ca="1" si="7"/>
        <v>12-18 Months</v>
      </c>
    </row>
    <row r="133" spans="1:23" s="64" customFormat="1" ht="15" customHeight="1">
      <c r="A133" s="45" t="s">
        <v>510</v>
      </c>
      <c r="B133" s="45" t="s">
        <v>258</v>
      </c>
      <c r="C133" s="45" t="s">
        <v>649</v>
      </c>
      <c r="D133" s="43" t="s">
        <v>283</v>
      </c>
      <c r="E133" s="43" t="s">
        <v>650</v>
      </c>
      <c r="F133" s="43" t="s">
        <v>303</v>
      </c>
      <c r="G133" s="41">
        <v>2057</v>
      </c>
      <c r="H133" s="116">
        <v>1</v>
      </c>
      <c r="I133" s="41">
        <v>8</v>
      </c>
      <c r="J133" s="98">
        <f t="shared" si="4"/>
        <v>8</v>
      </c>
      <c r="K133" s="60" t="s">
        <v>177</v>
      </c>
      <c r="L133" s="60" t="s">
        <v>916</v>
      </c>
      <c r="M133" s="60" t="s">
        <v>440</v>
      </c>
      <c r="N133" s="60" t="s">
        <v>186</v>
      </c>
      <c r="O133" s="60" t="s">
        <v>563</v>
      </c>
      <c r="P133" s="45" t="s">
        <v>516</v>
      </c>
      <c r="Q133" s="45" t="s">
        <v>6</v>
      </c>
      <c r="R133" s="45" t="s">
        <v>257</v>
      </c>
      <c r="S133" s="45" t="s">
        <v>287</v>
      </c>
      <c r="T133" s="119">
        <v>462</v>
      </c>
      <c r="U133" s="62">
        <f t="shared" si="5"/>
        <v>3696</v>
      </c>
      <c r="V133" s="63">
        <f t="shared" ca="1" si="6"/>
        <v>377</v>
      </c>
      <c r="W133" s="52" t="str">
        <f t="shared" ca="1" si="7"/>
        <v>12-18 Months</v>
      </c>
    </row>
    <row r="134" spans="1:23" s="64" customFormat="1" ht="15" customHeight="1">
      <c r="A134" s="45" t="s">
        <v>510</v>
      </c>
      <c r="B134" s="45" t="s">
        <v>258</v>
      </c>
      <c r="C134" s="45" t="s">
        <v>649</v>
      </c>
      <c r="D134" s="43" t="s">
        <v>317</v>
      </c>
      <c r="E134" s="43" t="s">
        <v>653</v>
      </c>
      <c r="F134" s="43" t="s">
        <v>303</v>
      </c>
      <c r="G134" s="41">
        <v>2059</v>
      </c>
      <c r="H134" s="116">
        <v>1</v>
      </c>
      <c r="I134" s="41">
        <v>12</v>
      </c>
      <c r="J134" s="98">
        <f t="shared" si="4"/>
        <v>12</v>
      </c>
      <c r="K134" s="60" t="s">
        <v>177</v>
      </c>
      <c r="L134" s="60" t="s">
        <v>918</v>
      </c>
      <c r="M134" s="60" t="s">
        <v>440</v>
      </c>
      <c r="N134" s="60" t="s">
        <v>188</v>
      </c>
      <c r="O134" s="60" t="s">
        <v>492</v>
      </c>
      <c r="P134" s="45" t="s">
        <v>516</v>
      </c>
      <c r="Q134" s="45" t="s">
        <v>6</v>
      </c>
      <c r="R134" s="45" t="s">
        <v>257</v>
      </c>
      <c r="S134" s="45" t="s">
        <v>287</v>
      </c>
      <c r="T134" s="119">
        <v>715</v>
      </c>
      <c r="U134" s="62">
        <f t="shared" si="5"/>
        <v>8580</v>
      </c>
      <c r="V134" s="63">
        <f t="shared" ca="1" si="6"/>
        <v>377</v>
      </c>
      <c r="W134" s="52" t="str">
        <f t="shared" ca="1" si="7"/>
        <v>12-18 Months</v>
      </c>
    </row>
    <row r="135" spans="1:23" s="64" customFormat="1" ht="15" customHeight="1">
      <c r="A135" s="45" t="s">
        <v>510</v>
      </c>
      <c r="B135" s="45" t="s">
        <v>258</v>
      </c>
      <c r="C135" s="45" t="s">
        <v>649</v>
      </c>
      <c r="D135" s="43" t="s">
        <v>283</v>
      </c>
      <c r="E135" s="43" t="s">
        <v>651</v>
      </c>
      <c r="F135" s="43" t="s">
        <v>303</v>
      </c>
      <c r="G135" s="41">
        <v>2060</v>
      </c>
      <c r="H135" s="116">
        <v>1</v>
      </c>
      <c r="I135" s="41">
        <v>16</v>
      </c>
      <c r="J135" s="98">
        <f t="shared" si="4"/>
        <v>16</v>
      </c>
      <c r="K135" s="60" t="s">
        <v>177</v>
      </c>
      <c r="L135" s="60" t="s">
        <v>916</v>
      </c>
      <c r="M135" s="60" t="s">
        <v>440</v>
      </c>
      <c r="N135" s="60" t="s">
        <v>186</v>
      </c>
      <c r="O135" s="60" t="s">
        <v>563</v>
      </c>
      <c r="P135" s="45" t="s">
        <v>516</v>
      </c>
      <c r="Q135" s="45" t="s">
        <v>6</v>
      </c>
      <c r="R135" s="45" t="s">
        <v>257</v>
      </c>
      <c r="S135" s="45" t="s">
        <v>287</v>
      </c>
      <c r="T135" s="119">
        <v>462</v>
      </c>
      <c r="U135" s="62">
        <f t="shared" si="5"/>
        <v>7392</v>
      </c>
      <c r="V135" s="63">
        <f t="shared" ca="1" si="6"/>
        <v>377</v>
      </c>
      <c r="W135" s="52" t="str">
        <f t="shared" ca="1" si="7"/>
        <v>12-18 Months</v>
      </c>
    </row>
    <row r="136" spans="1:23" s="64" customFormat="1" ht="15" customHeight="1">
      <c r="A136" s="45" t="s">
        <v>655</v>
      </c>
      <c r="B136" s="45" t="s">
        <v>245</v>
      </c>
      <c r="C136" s="45" t="s">
        <v>656</v>
      </c>
      <c r="D136" s="43" t="s">
        <v>621</v>
      </c>
      <c r="E136" s="43" t="s">
        <v>626</v>
      </c>
      <c r="F136" s="43" t="s">
        <v>657</v>
      </c>
      <c r="G136" s="41">
        <v>142404</v>
      </c>
      <c r="H136" s="116">
        <v>1</v>
      </c>
      <c r="I136" s="41">
        <v>13.6</v>
      </c>
      <c r="J136" s="98">
        <f t="shared" ref="J136:J199" si="8">I136*H136</f>
        <v>13.6</v>
      </c>
      <c r="K136" s="60" t="s">
        <v>79</v>
      </c>
      <c r="L136" s="60" t="s">
        <v>848</v>
      </c>
      <c r="M136" s="60" t="s">
        <v>617</v>
      </c>
      <c r="N136" s="60" t="s">
        <v>81</v>
      </c>
      <c r="O136" s="60" t="s">
        <v>80</v>
      </c>
      <c r="P136" s="45" t="s">
        <v>516</v>
      </c>
      <c r="Q136" s="45" t="s">
        <v>6</v>
      </c>
      <c r="R136" s="45" t="s">
        <v>257</v>
      </c>
      <c r="S136" s="45">
        <v>0</v>
      </c>
      <c r="T136" s="119">
        <v>1380</v>
      </c>
      <c r="U136" s="62">
        <f t="shared" ref="U136:U199" si="9">T136*J136</f>
        <v>18768</v>
      </c>
      <c r="V136" s="63">
        <f t="shared" ref="V136:V199" ca="1" si="10">$V$4-A136</f>
        <v>367</v>
      </c>
      <c r="W136" s="52" t="str">
        <f t="shared" ref="W136:W199" ca="1" si="11">VLOOKUP(V136,$Y$2:$Z$6,2)</f>
        <v>12-18 Months</v>
      </c>
    </row>
    <row r="137" spans="1:23" s="64" customFormat="1" ht="15" customHeight="1">
      <c r="A137" s="45" t="s">
        <v>724</v>
      </c>
      <c r="B137" s="45" t="s">
        <v>245</v>
      </c>
      <c r="C137" s="45" t="s">
        <v>725</v>
      </c>
      <c r="D137" s="43" t="s">
        <v>555</v>
      </c>
      <c r="E137" s="43" t="s">
        <v>726</v>
      </c>
      <c r="F137" s="43" t="s">
        <v>248</v>
      </c>
      <c r="G137" s="41">
        <v>144668</v>
      </c>
      <c r="H137" s="116">
        <v>9</v>
      </c>
      <c r="I137" s="41">
        <v>15</v>
      </c>
      <c r="J137" s="98">
        <f t="shared" si="8"/>
        <v>135</v>
      </c>
      <c r="K137" s="60" t="s">
        <v>92</v>
      </c>
      <c r="L137" s="60" t="s">
        <v>537</v>
      </c>
      <c r="M137" s="60" t="s">
        <v>556</v>
      </c>
      <c r="N137" s="60" t="s">
        <v>93</v>
      </c>
      <c r="O137" s="60" t="s">
        <v>93</v>
      </c>
      <c r="P137" s="45" t="s">
        <v>516</v>
      </c>
      <c r="Q137" s="45" t="s">
        <v>6</v>
      </c>
      <c r="R137" s="45" t="s">
        <v>257</v>
      </c>
      <c r="S137" s="45">
        <v>0</v>
      </c>
      <c r="T137" s="119">
        <v>288</v>
      </c>
      <c r="U137" s="62">
        <f t="shared" si="9"/>
        <v>38880</v>
      </c>
      <c r="V137" s="63">
        <f t="shared" ca="1" si="10"/>
        <v>343</v>
      </c>
      <c r="W137" s="52" t="str">
        <f t="shared" ca="1" si="11"/>
        <v>06-12 Months</v>
      </c>
    </row>
    <row r="138" spans="1:23" s="64" customFormat="1" ht="15" customHeight="1">
      <c r="A138" s="45" t="s">
        <v>759</v>
      </c>
      <c r="B138" s="45" t="s">
        <v>245</v>
      </c>
      <c r="C138" s="45" t="s">
        <v>760</v>
      </c>
      <c r="D138" s="43" t="s">
        <v>555</v>
      </c>
      <c r="E138" s="43" t="s">
        <v>761</v>
      </c>
      <c r="F138" s="43" t="s">
        <v>248</v>
      </c>
      <c r="G138" s="41">
        <v>141756</v>
      </c>
      <c r="H138" s="116">
        <v>11</v>
      </c>
      <c r="I138" s="41">
        <v>15</v>
      </c>
      <c r="J138" s="98">
        <f t="shared" si="8"/>
        <v>165</v>
      </c>
      <c r="K138" s="60" t="s">
        <v>92</v>
      </c>
      <c r="L138" s="60" t="s">
        <v>537</v>
      </c>
      <c r="M138" s="60" t="s">
        <v>556</v>
      </c>
      <c r="N138" s="60" t="s">
        <v>93</v>
      </c>
      <c r="O138" s="60" t="s">
        <v>93</v>
      </c>
      <c r="P138" s="45" t="s">
        <v>516</v>
      </c>
      <c r="Q138" s="45" t="s">
        <v>6</v>
      </c>
      <c r="R138" s="45" t="s">
        <v>257</v>
      </c>
      <c r="S138" s="45">
        <v>0</v>
      </c>
      <c r="T138" s="119">
        <v>288</v>
      </c>
      <c r="U138" s="62">
        <f t="shared" si="9"/>
        <v>47520</v>
      </c>
      <c r="V138" s="63">
        <f t="shared" ca="1" si="10"/>
        <v>334</v>
      </c>
      <c r="W138" s="52" t="str">
        <f t="shared" ca="1" si="11"/>
        <v>06-12 Months</v>
      </c>
    </row>
    <row r="139" spans="1:23" s="64" customFormat="1" ht="15" customHeight="1">
      <c r="A139" s="45" t="s">
        <v>794</v>
      </c>
      <c r="B139" s="45" t="s">
        <v>245</v>
      </c>
      <c r="C139" s="45" t="s">
        <v>795</v>
      </c>
      <c r="D139" s="43" t="s">
        <v>796</v>
      </c>
      <c r="E139" s="43" t="s">
        <v>797</v>
      </c>
      <c r="F139" s="43" t="s">
        <v>797</v>
      </c>
      <c r="G139" s="41">
        <v>149321</v>
      </c>
      <c r="H139" s="116">
        <v>4</v>
      </c>
      <c r="I139" s="41">
        <v>8</v>
      </c>
      <c r="J139" s="98">
        <f t="shared" si="8"/>
        <v>32</v>
      </c>
      <c r="K139" s="60" t="s">
        <v>56</v>
      </c>
      <c r="L139" s="60" t="s">
        <v>798</v>
      </c>
      <c r="M139" s="60" t="s">
        <v>523</v>
      </c>
      <c r="N139" s="60" t="s">
        <v>800</v>
      </c>
      <c r="O139" s="60" t="s">
        <v>799</v>
      </c>
      <c r="P139" s="45" t="s">
        <v>516</v>
      </c>
      <c r="Q139" s="45" t="s">
        <v>6</v>
      </c>
      <c r="R139" s="45" t="s">
        <v>257</v>
      </c>
      <c r="S139" s="45">
        <v>0</v>
      </c>
      <c r="T139" s="119">
        <v>825</v>
      </c>
      <c r="U139" s="62">
        <f t="shared" si="9"/>
        <v>26400</v>
      </c>
      <c r="V139" s="63">
        <f t="shared" ca="1" si="10"/>
        <v>302</v>
      </c>
      <c r="W139" s="52" t="str">
        <f t="shared" ca="1" si="11"/>
        <v>06-12 Months</v>
      </c>
    </row>
    <row r="140" spans="1:23" s="64" customFormat="1" ht="15" customHeight="1">
      <c r="A140" s="45" t="s">
        <v>801</v>
      </c>
      <c r="B140" s="45" t="s">
        <v>258</v>
      </c>
      <c r="C140" s="45" t="s">
        <v>802</v>
      </c>
      <c r="D140" s="43" t="s">
        <v>270</v>
      </c>
      <c r="E140" s="43" t="s">
        <v>803</v>
      </c>
      <c r="F140" s="43" t="s">
        <v>804</v>
      </c>
      <c r="G140" s="41">
        <v>4523</v>
      </c>
      <c r="H140" s="116">
        <v>98</v>
      </c>
      <c r="I140" s="41">
        <v>5</v>
      </c>
      <c r="J140" s="98">
        <f t="shared" si="8"/>
        <v>490</v>
      </c>
      <c r="K140" s="60" t="s">
        <v>190</v>
      </c>
      <c r="L140" s="60" t="s">
        <v>366</v>
      </c>
      <c r="M140" s="60" t="s">
        <v>366</v>
      </c>
      <c r="N140" s="60" t="s">
        <v>196</v>
      </c>
      <c r="O140" s="60" t="s">
        <v>196</v>
      </c>
      <c r="P140" s="45" t="s">
        <v>516</v>
      </c>
      <c r="Q140" s="45" t="s">
        <v>6</v>
      </c>
      <c r="R140" s="45" t="s">
        <v>257</v>
      </c>
      <c r="S140" s="45" t="s">
        <v>274</v>
      </c>
      <c r="T140" s="119">
        <v>510</v>
      </c>
      <c r="U140" s="62">
        <f t="shared" si="9"/>
        <v>249900</v>
      </c>
      <c r="V140" s="63">
        <f t="shared" ca="1" si="10"/>
        <v>300</v>
      </c>
      <c r="W140" s="52" t="str">
        <f t="shared" ca="1" si="11"/>
        <v>06-12 Months</v>
      </c>
    </row>
    <row r="141" spans="1:23" s="64" customFormat="1" ht="15" customHeight="1">
      <c r="A141" s="45" t="s">
        <v>805</v>
      </c>
      <c r="B141" s="45" t="s">
        <v>245</v>
      </c>
      <c r="C141" s="45" t="s">
        <v>806</v>
      </c>
      <c r="D141" s="43" t="s">
        <v>621</v>
      </c>
      <c r="E141" s="43" t="s">
        <v>807</v>
      </c>
      <c r="F141" s="43" t="s">
        <v>808</v>
      </c>
      <c r="G141" s="41">
        <v>149845</v>
      </c>
      <c r="H141" s="116">
        <v>6</v>
      </c>
      <c r="I141" s="41">
        <v>13.6</v>
      </c>
      <c r="J141" s="98">
        <f t="shared" si="8"/>
        <v>81.599999999999994</v>
      </c>
      <c r="K141" s="60" t="s">
        <v>79</v>
      </c>
      <c r="L141" s="60" t="s">
        <v>848</v>
      </c>
      <c r="M141" s="60" t="s">
        <v>531</v>
      </c>
      <c r="N141" s="60" t="s">
        <v>81</v>
      </c>
      <c r="O141" s="60" t="s">
        <v>80</v>
      </c>
      <c r="P141" s="45" t="s">
        <v>516</v>
      </c>
      <c r="Q141" s="45" t="s">
        <v>6</v>
      </c>
      <c r="R141" s="45" t="s">
        <v>257</v>
      </c>
      <c r="S141" s="45">
        <v>0</v>
      </c>
      <c r="T141" s="119">
        <v>1380</v>
      </c>
      <c r="U141" s="62">
        <f t="shared" si="9"/>
        <v>112607.99999999999</v>
      </c>
      <c r="V141" s="63">
        <f t="shared" ca="1" si="10"/>
        <v>298</v>
      </c>
      <c r="W141" s="52" t="str">
        <f t="shared" ca="1" si="11"/>
        <v>06-12 Months</v>
      </c>
    </row>
    <row r="142" spans="1:23" s="64" customFormat="1" ht="15" customHeight="1">
      <c r="A142" s="45" t="s">
        <v>813</v>
      </c>
      <c r="B142" s="45" t="s">
        <v>258</v>
      </c>
      <c r="C142" s="45" t="s">
        <v>814</v>
      </c>
      <c r="D142" s="43" t="s">
        <v>270</v>
      </c>
      <c r="E142" s="43" t="s">
        <v>815</v>
      </c>
      <c r="F142" s="43" t="s">
        <v>467</v>
      </c>
      <c r="G142" s="41">
        <v>4905</v>
      </c>
      <c r="H142" s="116">
        <v>118</v>
      </c>
      <c r="I142" s="41">
        <v>5</v>
      </c>
      <c r="J142" s="98">
        <f t="shared" si="8"/>
        <v>590</v>
      </c>
      <c r="K142" s="60" t="s">
        <v>190</v>
      </c>
      <c r="L142" s="60" t="s">
        <v>856</v>
      </c>
      <c r="M142" s="60" t="s">
        <v>525</v>
      </c>
      <c r="N142" s="60" t="s">
        <v>1182</v>
      </c>
      <c r="O142" s="60" t="s">
        <v>816</v>
      </c>
      <c r="P142" s="45" t="s">
        <v>516</v>
      </c>
      <c r="Q142" s="45" t="s">
        <v>6</v>
      </c>
      <c r="R142" s="45" t="s">
        <v>257</v>
      </c>
      <c r="S142" s="45">
        <v>0</v>
      </c>
      <c r="T142" s="119">
        <v>200</v>
      </c>
      <c r="U142" s="62">
        <f t="shared" si="9"/>
        <v>118000</v>
      </c>
      <c r="V142" s="63">
        <f t="shared" ca="1" si="10"/>
        <v>292</v>
      </c>
      <c r="W142" s="52" t="str">
        <f t="shared" ca="1" si="11"/>
        <v>06-12 Months</v>
      </c>
    </row>
    <row r="143" spans="1:23" s="64" customFormat="1" ht="15" customHeight="1">
      <c r="A143" s="45" t="s">
        <v>817</v>
      </c>
      <c r="B143" s="45" t="s">
        <v>245</v>
      </c>
      <c r="C143" s="45" t="s">
        <v>818</v>
      </c>
      <c r="D143" s="43" t="s">
        <v>528</v>
      </c>
      <c r="E143" s="43" t="s">
        <v>819</v>
      </c>
      <c r="F143" s="43" t="s">
        <v>820</v>
      </c>
      <c r="G143" s="41">
        <v>150931</v>
      </c>
      <c r="H143" s="116">
        <v>1</v>
      </c>
      <c r="I143" s="41">
        <v>10</v>
      </c>
      <c r="J143" s="98">
        <f t="shared" si="8"/>
        <v>10</v>
      </c>
      <c r="K143" s="60" t="s">
        <v>867</v>
      </c>
      <c r="L143" s="60" t="s">
        <v>821</v>
      </c>
      <c r="M143" s="60" t="s">
        <v>821</v>
      </c>
      <c r="N143" s="60" t="s">
        <v>66</v>
      </c>
      <c r="O143" s="60" t="s">
        <v>572</v>
      </c>
      <c r="P143" s="45" t="s">
        <v>516</v>
      </c>
      <c r="Q143" s="45" t="s">
        <v>6</v>
      </c>
      <c r="R143" s="45" t="s">
        <v>257</v>
      </c>
      <c r="S143" s="45">
        <v>0</v>
      </c>
      <c r="T143" s="119">
        <v>625</v>
      </c>
      <c r="U143" s="62">
        <f t="shared" si="9"/>
        <v>6250</v>
      </c>
      <c r="V143" s="63">
        <f t="shared" ca="1" si="10"/>
        <v>287</v>
      </c>
      <c r="W143" s="52" t="str">
        <f t="shared" ca="1" si="11"/>
        <v>06-12 Months</v>
      </c>
    </row>
    <row r="144" spans="1:23" s="64" customFormat="1" ht="15" customHeight="1">
      <c r="A144" s="45" t="s">
        <v>817</v>
      </c>
      <c r="B144" s="45" t="s">
        <v>245</v>
      </c>
      <c r="C144" s="45" t="s">
        <v>818</v>
      </c>
      <c r="D144" s="43" t="s">
        <v>528</v>
      </c>
      <c r="E144" s="43" t="s">
        <v>819</v>
      </c>
      <c r="F144" s="43" t="s">
        <v>248</v>
      </c>
      <c r="G144" s="41">
        <v>150930</v>
      </c>
      <c r="H144" s="116">
        <v>57</v>
      </c>
      <c r="I144" s="41">
        <v>10</v>
      </c>
      <c r="J144" s="98">
        <f t="shared" si="8"/>
        <v>570</v>
      </c>
      <c r="K144" s="60" t="s">
        <v>867</v>
      </c>
      <c r="L144" s="60" t="s">
        <v>853</v>
      </c>
      <c r="M144" s="60" t="s">
        <v>570</v>
      </c>
      <c r="N144" s="60" t="s">
        <v>65</v>
      </c>
      <c r="O144" s="60" t="s">
        <v>571</v>
      </c>
      <c r="P144" s="45" t="s">
        <v>516</v>
      </c>
      <c r="Q144" s="45" t="s">
        <v>6</v>
      </c>
      <c r="R144" s="45" t="s">
        <v>257</v>
      </c>
      <c r="S144" s="45">
        <v>0</v>
      </c>
      <c r="T144" s="119">
        <v>625</v>
      </c>
      <c r="U144" s="62">
        <f t="shared" si="9"/>
        <v>356250</v>
      </c>
      <c r="V144" s="63">
        <f t="shared" ca="1" si="10"/>
        <v>287</v>
      </c>
      <c r="W144" s="52" t="str">
        <f t="shared" ca="1" si="11"/>
        <v>06-12 Months</v>
      </c>
    </row>
    <row r="145" spans="1:23" s="64" customFormat="1" ht="15" customHeight="1">
      <c r="A145" s="45" t="s">
        <v>822</v>
      </c>
      <c r="B145" s="45" t="s">
        <v>245</v>
      </c>
      <c r="C145" s="45" t="s">
        <v>823</v>
      </c>
      <c r="D145" s="43" t="s">
        <v>528</v>
      </c>
      <c r="E145" s="43" t="s">
        <v>824</v>
      </c>
      <c r="F145" s="43" t="s">
        <v>248</v>
      </c>
      <c r="G145" s="41">
        <v>151105</v>
      </c>
      <c r="H145" s="116">
        <v>4</v>
      </c>
      <c r="I145" s="41">
        <v>11.34</v>
      </c>
      <c r="J145" s="98">
        <f t="shared" si="8"/>
        <v>45.36</v>
      </c>
      <c r="K145" s="60" t="s">
        <v>867</v>
      </c>
      <c r="L145" s="60" t="s">
        <v>887</v>
      </c>
      <c r="M145" s="60" t="s">
        <v>846</v>
      </c>
      <c r="N145" s="60" t="s">
        <v>70</v>
      </c>
      <c r="O145" s="60" t="s">
        <v>543</v>
      </c>
      <c r="P145" s="45" t="s">
        <v>516</v>
      </c>
      <c r="Q145" s="45" t="s">
        <v>6</v>
      </c>
      <c r="R145" s="45" t="s">
        <v>257</v>
      </c>
      <c r="S145" s="45">
        <v>0</v>
      </c>
      <c r="T145" s="119">
        <v>1500</v>
      </c>
      <c r="U145" s="62">
        <f t="shared" si="9"/>
        <v>68040</v>
      </c>
      <c r="V145" s="63">
        <f t="shared" ca="1" si="10"/>
        <v>286</v>
      </c>
      <c r="W145" s="52" t="str">
        <f t="shared" ca="1" si="11"/>
        <v>06-12 Months</v>
      </c>
    </row>
    <row r="146" spans="1:23" s="64" customFormat="1" ht="15" customHeight="1">
      <c r="A146" s="69" t="s">
        <v>826</v>
      </c>
      <c r="B146" s="69" t="s">
        <v>245</v>
      </c>
      <c r="C146" s="69" t="s">
        <v>827</v>
      </c>
      <c r="D146" s="70" t="s">
        <v>528</v>
      </c>
      <c r="E146" s="70" t="s">
        <v>828</v>
      </c>
      <c r="F146" s="70" t="s">
        <v>829</v>
      </c>
      <c r="G146" s="41">
        <v>151709</v>
      </c>
      <c r="H146" s="116">
        <v>1</v>
      </c>
      <c r="I146" s="41">
        <v>11.34</v>
      </c>
      <c r="J146" s="98">
        <f t="shared" si="8"/>
        <v>11.34</v>
      </c>
      <c r="K146" s="60" t="s">
        <v>867</v>
      </c>
      <c r="L146" s="60" t="s">
        <v>889</v>
      </c>
      <c r="M146" s="60" t="s">
        <v>845</v>
      </c>
      <c r="N146" s="60" t="s">
        <v>71</v>
      </c>
      <c r="O146" s="60" t="s">
        <v>71</v>
      </c>
      <c r="P146" s="45" t="s">
        <v>516</v>
      </c>
      <c r="Q146" s="45" t="s">
        <v>6</v>
      </c>
      <c r="R146" s="45" t="s">
        <v>257</v>
      </c>
      <c r="S146" s="45">
        <v>0</v>
      </c>
      <c r="T146" s="119">
        <v>900</v>
      </c>
      <c r="U146" s="62">
        <f t="shared" si="9"/>
        <v>10206</v>
      </c>
      <c r="V146" s="63">
        <f t="shared" ca="1" si="10"/>
        <v>281</v>
      </c>
      <c r="W146" s="52" t="str">
        <f t="shared" ca="1" si="11"/>
        <v>06-12 Months</v>
      </c>
    </row>
    <row r="147" spans="1:23" s="64" customFormat="1" ht="15" customHeight="1">
      <c r="A147" s="45" t="s">
        <v>835</v>
      </c>
      <c r="B147" s="45" t="s">
        <v>245</v>
      </c>
      <c r="C147" s="45" t="s">
        <v>836</v>
      </c>
      <c r="D147" s="43" t="s">
        <v>638</v>
      </c>
      <c r="E147" s="43" t="s">
        <v>660</v>
      </c>
      <c r="F147" s="43" t="s">
        <v>547</v>
      </c>
      <c r="G147" s="41">
        <v>151836</v>
      </c>
      <c r="H147" s="116">
        <v>19</v>
      </c>
      <c r="I147" s="41">
        <v>4.54</v>
      </c>
      <c r="J147" s="98">
        <f t="shared" si="8"/>
        <v>86.26</v>
      </c>
      <c r="K147" s="60" t="s">
        <v>51</v>
      </c>
      <c r="L147" s="60" t="s">
        <v>640</v>
      </c>
      <c r="M147" s="60" t="s">
        <v>640</v>
      </c>
      <c r="N147" s="60" t="s">
        <v>54</v>
      </c>
      <c r="O147" s="60" t="s">
        <v>53</v>
      </c>
      <c r="P147" s="45" t="s">
        <v>516</v>
      </c>
      <c r="Q147" s="45" t="s">
        <v>6</v>
      </c>
      <c r="R147" s="45" t="s">
        <v>257</v>
      </c>
      <c r="S147" s="45" t="s">
        <v>659</v>
      </c>
      <c r="T147" s="119">
        <v>890</v>
      </c>
      <c r="U147" s="62">
        <f t="shared" si="9"/>
        <v>76771.400000000009</v>
      </c>
      <c r="V147" s="63">
        <f t="shared" ca="1" si="10"/>
        <v>280</v>
      </c>
      <c r="W147" s="52" t="str">
        <f t="shared" ca="1" si="11"/>
        <v>06-12 Months</v>
      </c>
    </row>
    <row r="148" spans="1:23" s="64" customFormat="1" ht="15" customHeight="1">
      <c r="A148" s="45" t="s">
        <v>839</v>
      </c>
      <c r="B148" s="45" t="s">
        <v>245</v>
      </c>
      <c r="C148" s="45" t="s">
        <v>837</v>
      </c>
      <c r="D148" s="43" t="s">
        <v>555</v>
      </c>
      <c r="E148" s="43" t="s">
        <v>838</v>
      </c>
      <c r="F148" s="43" t="s">
        <v>327</v>
      </c>
      <c r="G148" s="41">
        <v>152287</v>
      </c>
      <c r="H148" s="116">
        <v>12</v>
      </c>
      <c r="I148" s="41">
        <v>15</v>
      </c>
      <c r="J148" s="98">
        <f t="shared" si="8"/>
        <v>180</v>
      </c>
      <c r="K148" s="60" t="s">
        <v>92</v>
      </c>
      <c r="L148" s="60" t="s">
        <v>537</v>
      </c>
      <c r="M148" s="60" t="s">
        <v>556</v>
      </c>
      <c r="N148" s="60" t="s">
        <v>93</v>
      </c>
      <c r="O148" s="60" t="s">
        <v>93</v>
      </c>
      <c r="P148" s="45" t="s">
        <v>516</v>
      </c>
      <c r="Q148" s="45" t="s">
        <v>6</v>
      </c>
      <c r="R148" s="45" t="s">
        <v>257</v>
      </c>
      <c r="S148" s="45">
        <v>0</v>
      </c>
      <c r="T148" s="119">
        <v>418.25</v>
      </c>
      <c r="U148" s="62">
        <f t="shared" si="9"/>
        <v>75285</v>
      </c>
      <c r="V148" s="63">
        <f t="shared" ca="1" si="10"/>
        <v>276</v>
      </c>
      <c r="W148" s="52" t="str">
        <f t="shared" ca="1" si="11"/>
        <v>06-12 Months</v>
      </c>
    </row>
    <row r="149" spans="1:23" s="64" customFormat="1" ht="15" customHeight="1">
      <c r="A149" s="45" t="s">
        <v>872</v>
      </c>
      <c r="B149" s="45" t="s">
        <v>245</v>
      </c>
      <c r="C149" s="45" t="s">
        <v>873</v>
      </c>
      <c r="D149" s="43" t="s">
        <v>528</v>
      </c>
      <c r="E149" s="43" t="s">
        <v>248</v>
      </c>
      <c r="F149" s="43" t="s">
        <v>874</v>
      </c>
      <c r="G149" s="41">
        <v>153333</v>
      </c>
      <c r="H149" s="116">
        <v>9</v>
      </c>
      <c r="I149" s="41">
        <v>11.34</v>
      </c>
      <c r="J149" s="98">
        <f t="shared" si="8"/>
        <v>102.06</v>
      </c>
      <c r="K149" s="60" t="s">
        <v>867</v>
      </c>
      <c r="L149" s="60" t="s">
        <v>885</v>
      </c>
      <c r="M149" s="60" t="s">
        <v>875</v>
      </c>
      <c r="N149" s="60" t="s">
        <v>876</v>
      </c>
      <c r="O149" s="60" t="s">
        <v>876</v>
      </c>
      <c r="P149" s="45" t="s">
        <v>516</v>
      </c>
      <c r="Q149" s="45" t="s">
        <v>6</v>
      </c>
      <c r="R149" s="45" t="s">
        <v>257</v>
      </c>
      <c r="S149" s="45">
        <v>0</v>
      </c>
      <c r="T149" s="119">
        <v>1790</v>
      </c>
      <c r="U149" s="62">
        <f t="shared" si="9"/>
        <v>182687.4</v>
      </c>
      <c r="V149" s="63">
        <f t="shared" ca="1" si="10"/>
        <v>259</v>
      </c>
      <c r="W149" s="52" t="str">
        <f t="shared" ca="1" si="11"/>
        <v>06-12 Months</v>
      </c>
    </row>
    <row r="150" spans="1:23" s="64" customFormat="1" ht="15" customHeight="1">
      <c r="A150" s="45" t="s">
        <v>908</v>
      </c>
      <c r="B150" s="45" t="s">
        <v>258</v>
      </c>
      <c r="C150" s="45" t="s">
        <v>911</v>
      </c>
      <c r="D150" s="43" t="s">
        <v>270</v>
      </c>
      <c r="E150" s="43" t="s">
        <v>912</v>
      </c>
      <c r="F150" s="43" t="s">
        <v>895</v>
      </c>
      <c r="G150" s="41">
        <v>7231</v>
      </c>
      <c r="H150" s="116">
        <v>198</v>
      </c>
      <c r="I150" s="41">
        <v>5</v>
      </c>
      <c r="J150" s="98">
        <f t="shared" si="8"/>
        <v>990</v>
      </c>
      <c r="K150" s="60" t="s">
        <v>190</v>
      </c>
      <c r="L150" s="60" t="s">
        <v>366</v>
      </c>
      <c r="M150" s="60" t="s">
        <v>366</v>
      </c>
      <c r="N150" s="60" t="s">
        <v>196</v>
      </c>
      <c r="O150" s="60" t="s">
        <v>196</v>
      </c>
      <c r="P150" s="45" t="s">
        <v>516</v>
      </c>
      <c r="Q150" s="45" t="s">
        <v>6</v>
      </c>
      <c r="R150" s="45" t="s">
        <v>257</v>
      </c>
      <c r="S150" s="45" t="s">
        <v>274</v>
      </c>
      <c r="T150" s="119">
        <v>527</v>
      </c>
      <c r="U150" s="62">
        <f t="shared" si="9"/>
        <v>521730</v>
      </c>
      <c r="V150" s="63">
        <f t="shared" ca="1" si="10"/>
        <v>225</v>
      </c>
      <c r="W150" s="52" t="str">
        <f t="shared" ca="1" si="11"/>
        <v>06-12 Months</v>
      </c>
    </row>
    <row r="151" spans="1:23" s="64" customFormat="1" ht="15" customHeight="1">
      <c r="A151" s="45" t="s">
        <v>908</v>
      </c>
      <c r="B151" s="45" t="s">
        <v>258</v>
      </c>
      <c r="C151" s="45" t="s">
        <v>909</v>
      </c>
      <c r="D151" s="43" t="s">
        <v>270</v>
      </c>
      <c r="E151" s="43" t="s">
        <v>910</v>
      </c>
      <c r="F151" s="43" t="s">
        <v>896</v>
      </c>
      <c r="G151" s="41">
        <v>7246</v>
      </c>
      <c r="H151" s="116">
        <v>17</v>
      </c>
      <c r="I151" s="41">
        <v>5</v>
      </c>
      <c r="J151" s="98">
        <f t="shared" si="8"/>
        <v>85</v>
      </c>
      <c r="K151" s="60" t="s">
        <v>190</v>
      </c>
      <c r="L151" s="60" t="s">
        <v>855</v>
      </c>
      <c r="M151" s="60" t="s">
        <v>380</v>
      </c>
      <c r="N151" s="60" t="s">
        <v>199</v>
      </c>
      <c r="O151" s="60" t="s">
        <v>614</v>
      </c>
      <c r="P151" s="45" t="s">
        <v>516</v>
      </c>
      <c r="Q151" s="45" t="s">
        <v>6</v>
      </c>
      <c r="R151" s="45" t="s">
        <v>257</v>
      </c>
      <c r="S151" s="45" t="s">
        <v>274</v>
      </c>
      <c r="T151" s="119">
        <v>477</v>
      </c>
      <c r="U151" s="62">
        <f t="shared" si="9"/>
        <v>40545</v>
      </c>
      <c r="V151" s="63">
        <f t="shared" ca="1" si="10"/>
        <v>225</v>
      </c>
      <c r="W151" s="52" t="str">
        <f t="shared" ca="1" si="11"/>
        <v>06-12 Months</v>
      </c>
    </row>
    <row r="152" spans="1:23" s="64" customFormat="1" ht="15" customHeight="1">
      <c r="A152" s="45" t="s">
        <v>908</v>
      </c>
      <c r="B152" s="45" t="s">
        <v>258</v>
      </c>
      <c r="C152" s="45" t="s">
        <v>911</v>
      </c>
      <c r="D152" s="43" t="s">
        <v>270</v>
      </c>
      <c r="E152" s="43" t="s">
        <v>913</v>
      </c>
      <c r="F152" s="43" t="s">
        <v>894</v>
      </c>
      <c r="G152" s="41">
        <v>7232</v>
      </c>
      <c r="H152" s="116">
        <v>198</v>
      </c>
      <c r="I152" s="41">
        <v>5</v>
      </c>
      <c r="J152" s="98">
        <f t="shared" si="8"/>
        <v>990</v>
      </c>
      <c r="K152" s="60" t="s">
        <v>190</v>
      </c>
      <c r="L152" s="60" t="s">
        <v>366</v>
      </c>
      <c r="M152" s="60" t="s">
        <v>366</v>
      </c>
      <c r="N152" s="60" t="s">
        <v>196</v>
      </c>
      <c r="O152" s="60" t="s">
        <v>196</v>
      </c>
      <c r="P152" s="45" t="s">
        <v>516</v>
      </c>
      <c r="Q152" s="45" t="s">
        <v>6</v>
      </c>
      <c r="R152" s="45" t="s">
        <v>257</v>
      </c>
      <c r="S152" s="45" t="s">
        <v>274</v>
      </c>
      <c r="T152" s="119">
        <v>527</v>
      </c>
      <c r="U152" s="62">
        <f t="shared" si="9"/>
        <v>521730</v>
      </c>
      <c r="V152" s="63">
        <f t="shared" ca="1" si="10"/>
        <v>225</v>
      </c>
      <c r="W152" s="52" t="str">
        <f t="shared" ca="1" si="11"/>
        <v>06-12 Months</v>
      </c>
    </row>
    <row r="153" spans="1:23" s="64" customFormat="1" ht="15" customHeight="1">
      <c r="A153" s="45" t="s">
        <v>925</v>
      </c>
      <c r="B153" s="45" t="s">
        <v>245</v>
      </c>
      <c r="C153" s="45" t="s">
        <v>926</v>
      </c>
      <c r="D153" s="43" t="s">
        <v>638</v>
      </c>
      <c r="E153" s="43" t="s">
        <v>660</v>
      </c>
      <c r="F153" s="43" t="s">
        <v>927</v>
      </c>
      <c r="G153" s="41">
        <v>160135</v>
      </c>
      <c r="H153" s="116">
        <v>30</v>
      </c>
      <c r="I153" s="41">
        <v>4.54</v>
      </c>
      <c r="J153" s="98">
        <f t="shared" si="8"/>
        <v>136.19999999999999</v>
      </c>
      <c r="K153" s="60" t="s">
        <v>51</v>
      </c>
      <c r="L153" s="60" t="s">
        <v>640</v>
      </c>
      <c r="M153" s="60" t="s">
        <v>640</v>
      </c>
      <c r="N153" s="60" t="s">
        <v>54</v>
      </c>
      <c r="O153" s="60" t="s">
        <v>53</v>
      </c>
      <c r="P153" s="45" t="s">
        <v>516</v>
      </c>
      <c r="Q153" s="45" t="s">
        <v>6</v>
      </c>
      <c r="R153" s="45" t="s">
        <v>257</v>
      </c>
      <c r="S153" s="45" t="s">
        <v>659</v>
      </c>
      <c r="T153" s="119">
        <v>890</v>
      </c>
      <c r="U153" s="62">
        <f t="shared" si="9"/>
        <v>121217.99999999999</v>
      </c>
      <c r="V153" s="63">
        <f t="shared" ca="1" si="10"/>
        <v>215</v>
      </c>
      <c r="W153" s="52" t="str">
        <f t="shared" ca="1" si="11"/>
        <v>06-12 Months</v>
      </c>
    </row>
    <row r="154" spans="1:23" s="64" customFormat="1" ht="15" customHeight="1">
      <c r="A154" s="45" t="s">
        <v>928</v>
      </c>
      <c r="B154" s="45" t="s">
        <v>258</v>
      </c>
      <c r="C154" s="45" t="s">
        <v>930</v>
      </c>
      <c r="D154" s="43" t="s">
        <v>270</v>
      </c>
      <c r="E154" s="43" t="s">
        <v>931</v>
      </c>
      <c r="F154" s="43" t="s">
        <v>327</v>
      </c>
      <c r="G154" s="41">
        <v>7760</v>
      </c>
      <c r="H154" s="116">
        <v>249</v>
      </c>
      <c r="I154" s="41">
        <v>5</v>
      </c>
      <c r="J154" s="98">
        <f t="shared" si="8"/>
        <v>1245</v>
      </c>
      <c r="K154" s="60" t="s">
        <v>190</v>
      </c>
      <c r="L154" s="60" t="s">
        <v>856</v>
      </c>
      <c r="M154" s="60" t="s">
        <v>932</v>
      </c>
      <c r="N154" s="60" t="s">
        <v>1182</v>
      </c>
      <c r="O154" s="60" t="s">
        <v>816</v>
      </c>
      <c r="P154" s="45" t="s">
        <v>516</v>
      </c>
      <c r="Q154" s="45" t="s">
        <v>6</v>
      </c>
      <c r="R154" s="45" t="s">
        <v>257</v>
      </c>
      <c r="S154" s="45">
        <v>0</v>
      </c>
      <c r="T154" s="119">
        <v>200</v>
      </c>
      <c r="U154" s="62">
        <f t="shared" si="9"/>
        <v>249000</v>
      </c>
      <c r="V154" s="63">
        <f t="shared" ca="1" si="10"/>
        <v>214</v>
      </c>
      <c r="W154" s="52" t="str">
        <f t="shared" ca="1" si="11"/>
        <v>06-12 Months</v>
      </c>
    </row>
    <row r="155" spans="1:23" s="64" customFormat="1" ht="15" customHeight="1">
      <c r="A155" s="45" t="s">
        <v>934</v>
      </c>
      <c r="B155" s="45" t="s">
        <v>245</v>
      </c>
      <c r="C155" s="45" t="s">
        <v>937</v>
      </c>
      <c r="D155" s="43" t="s">
        <v>270</v>
      </c>
      <c r="E155" s="43" t="s">
        <v>377</v>
      </c>
      <c r="F155" s="43" t="s">
        <v>922</v>
      </c>
      <c r="G155" s="41">
        <v>161078</v>
      </c>
      <c r="H155" s="116">
        <v>28</v>
      </c>
      <c r="I155" s="41">
        <v>5</v>
      </c>
      <c r="J155" s="98">
        <f t="shared" si="8"/>
        <v>140</v>
      </c>
      <c r="K155" s="60" t="s">
        <v>190</v>
      </c>
      <c r="L155" s="60" t="s">
        <v>861</v>
      </c>
      <c r="M155" s="60" t="s">
        <v>378</v>
      </c>
      <c r="N155" s="60" t="s">
        <v>202</v>
      </c>
      <c r="O155" s="60" t="s">
        <v>202</v>
      </c>
      <c r="P155" s="45" t="s">
        <v>516</v>
      </c>
      <c r="Q155" s="45" t="s">
        <v>6</v>
      </c>
      <c r="R155" s="45" t="s">
        <v>257</v>
      </c>
      <c r="S155" s="45" t="s">
        <v>274</v>
      </c>
      <c r="T155" s="119">
        <v>1252.9000000000001</v>
      </c>
      <c r="U155" s="62">
        <f t="shared" si="9"/>
        <v>175406</v>
      </c>
      <c r="V155" s="63">
        <f t="shared" ca="1" si="10"/>
        <v>210</v>
      </c>
      <c r="W155" s="52" t="str">
        <f t="shared" ca="1" si="11"/>
        <v>06-12 Months</v>
      </c>
    </row>
    <row r="156" spans="1:23" s="64" customFormat="1" ht="15" customHeight="1">
      <c r="A156" s="45" t="s">
        <v>934</v>
      </c>
      <c r="B156" s="45" t="s">
        <v>245</v>
      </c>
      <c r="C156" s="45" t="s">
        <v>937</v>
      </c>
      <c r="D156" s="43" t="s">
        <v>270</v>
      </c>
      <c r="E156" s="43" t="s">
        <v>938</v>
      </c>
      <c r="F156" s="43" t="s">
        <v>922</v>
      </c>
      <c r="G156" s="41">
        <v>161054</v>
      </c>
      <c r="H156" s="116">
        <v>398</v>
      </c>
      <c r="I156" s="41">
        <v>5</v>
      </c>
      <c r="J156" s="98">
        <f t="shared" si="8"/>
        <v>1990</v>
      </c>
      <c r="K156" s="60" t="s">
        <v>190</v>
      </c>
      <c r="L156" s="60" t="s">
        <v>861</v>
      </c>
      <c r="M156" s="60" t="s">
        <v>378</v>
      </c>
      <c r="N156" s="60" t="s">
        <v>202</v>
      </c>
      <c r="O156" s="60" t="s">
        <v>202</v>
      </c>
      <c r="P156" s="45" t="s">
        <v>516</v>
      </c>
      <c r="Q156" s="45" t="s">
        <v>6</v>
      </c>
      <c r="R156" s="45" t="s">
        <v>257</v>
      </c>
      <c r="S156" s="45" t="s">
        <v>274</v>
      </c>
      <c r="T156" s="119">
        <v>1252.9000000000001</v>
      </c>
      <c r="U156" s="62">
        <f t="shared" si="9"/>
        <v>2493271</v>
      </c>
      <c r="V156" s="63">
        <f t="shared" ca="1" si="10"/>
        <v>210</v>
      </c>
      <c r="W156" s="52" t="str">
        <f t="shared" ca="1" si="11"/>
        <v>06-12 Months</v>
      </c>
    </row>
    <row r="157" spans="1:23" s="64" customFormat="1" ht="15" customHeight="1">
      <c r="A157" s="45" t="s">
        <v>943</v>
      </c>
      <c r="B157" s="45" t="s">
        <v>258</v>
      </c>
      <c r="C157" s="45" t="s">
        <v>944</v>
      </c>
      <c r="D157" s="43" t="s">
        <v>270</v>
      </c>
      <c r="E157" s="43" t="s">
        <v>377</v>
      </c>
      <c r="F157" s="43" t="s">
        <v>936</v>
      </c>
      <c r="G157" s="41">
        <v>7979</v>
      </c>
      <c r="H157" s="116">
        <v>4</v>
      </c>
      <c r="I157" s="41">
        <v>5</v>
      </c>
      <c r="J157" s="98">
        <f t="shared" si="8"/>
        <v>20</v>
      </c>
      <c r="K157" s="60" t="s">
        <v>190</v>
      </c>
      <c r="L157" s="60" t="s">
        <v>861</v>
      </c>
      <c r="M157" s="60" t="s">
        <v>378</v>
      </c>
      <c r="N157" s="60" t="s">
        <v>202</v>
      </c>
      <c r="O157" s="60" t="s">
        <v>202</v>
      </c>
      <c r="P157" s="45" t="s">
        <v>516</v>
      </c>
      <c r="Q157" s="45" t="s">
        <v>6</v>
      </c>
      <c r="R157" s="45" t="s">
        <v>257</v>
      </c>
      <c r="S157" s="45" t="s">
        <v>274</v>
      </c>
      <c r="T157" s="119">
        <v>1252.9000000000001</v>
      </c>
      <c r="U157" s="62">
        <f t="shared" si="9"/>
        <v>25058</v>
      </c>
      <c r="V157" s="63">
        <f t="shared" ca="1" si="10"/>
        <v>209</v>
      </c>
      <c r="W157" s="52" t="str">
        <f t="shared" ca="1" si="11"/>
        <v>06-12 Months</v>
      </c>
    </row>
    <row r="158" spans="1:23" s="64" customFormat="1" ht="15" customHeight="1">
      <c r="A158" s="45" t="s">
        <v>943</v>
      </c>
      <c r="B158" s="45" t="s">
        <v>258</v>
      </c>
      <c r="C158" s="45" t="s">
        <v>944</v>
      </c>
      <c r="D158" s="43" t="s">
        <v>270</v>
      </c>
      <c r="E158" s="43" t="s">
        <v>377</v>
      </c>
      <c r="F158" s="43" t="s">
        <v>935</v>
      </c>
      <c r="G158" s="41">
        <v>7978</v>
      </c>
      <c r="H158" s="116">
        <v>6</v>
      </c>
      <c r="I158" s="41">
        <v>5</v>
      </c>
      <c r="J158" s="98">
        <f t="shared" si="8"/>
        <v>30</v>
      </c>
      <c r="K158" s="60" t="s">
        <v>190</v>
      </c>
      <c r="L158" s="60" t="s">
        <v>861</v>
      </c>
      <c r="M158" s="60" t="s">
        <v>378</v>
      </c>
      <c r="N158" s="60" t="s">
        <v>202</v>
      </c>
      <c r="O158" s="60" t="s">
        <v>202</v>
      </c>
      <c r="P158" s="45" t="s">
        <v>516</v>
      </c>
      <c r="Q158" s="45" t="s">
        <v>6</v>
      </c>
      <c r="R158" s="45" t="s">
        <v>257</v>
      </c>
      <c r="S158" s="45" t="s">
        <v>274</v>
      </c>
      <c r="T158" s="119">
        <v>1252.9000000000001</v>
      </c>
      <c r="U158" s="62">
        <f t="shared" si="9"/>
        <v>37587</v>
      </c>
      <c r="V158" s="63">
        <f t="shared" ca="1" si="10"/>
        <v>209</v>
      </c>
      <c r="W158" s="52" t="str">
        <f t="shared" ca="1" si="11"/>
        <v>06-12 Months</v>
      </c>
    </row>
    <row r="159" spans="1:23" s="64" customFormat="1" ht="15" customHeight="1">
      <c r="A159" s="45" t="s">
        <v>958</v>
      </c>
      <c r="B159" s="45" t="s">
        <v>245</v>
      </c>
      <c r="C159" s="45" t="s">
        <v>963</v>
      </c>
      <c r="D159" s="43" t="s">
        <v>962</v>
      </c>
      <c r="E159" s="43" t="s">
        <v>964</v>
      </c>
      <c r="F159" s="43" t="s">
        <v>965</v>
      </c>
      <c r="G159" s="41">
        <v>162412</v>
      </c>
      <c r="H159" s="116">
        <v>2</v>
      </c>
      <c r="I159" s="41">
        <v>10</v>
      </c>
      <c r="J159" s="98">
        <f t="shared" si="8"/>
        <v>20</v>
      </c>
      <c r="K159" s="60" t="s">
        <v>92</v>
      </c>
      <c r="L159" s="60" t="s">
        <v>537</v>
      </c>
      <c r="M159" s="60" t="s">
        <v>556</v>
      </c>
      <c r="N159" s="60" t="s">
        <v>93</v>
      </c>
      <c r="O159" s="60" t="s">
        <v>93</v>
      </c>
      <c r="P159" s="45" t="s">
        <v>516</v>
      </c>
      <c r="Q159" s="45" t="s">
        <v>6</v>
      </c>
      <c r="R159" s="45" t="s">
        <v>257</v>
      </c>
      <c r="S159" s="45">
        <v>0</v>
      </c>
      <c r="T159" s="119">
        <v>420</v>
      </c>
      <c r="U159" s="62">
        <f t="shared" si="9"/>
        <v>8400</v>
      </c>
      <c r="V159" s="63">
        <f t="shared" ca="1" si="10"/>
        <v>204</v>
      </c>
      <c r="W159" s="52" t="str">
        <f t="shared" ca="1" si="11"/>
        <v>06-12 Months</v>
      </c>
    </row>
    <row r="160" spans="1:23" s="64" customFormat="1" ht="15" customHeight="1">
      <c r="A160" s="45" t="s">
        <v>958</v>
      </c>
      <c r="B160" s="45" t="s">
        <v>245</v>
      </c>
      <c r="C160" s="45" t="s">
        <v>963</v>
      </c>
      <c r="D160" s="43" t="s">
        <v>555</v>
      </c>
      <c r="E160" s="43" t="s">
        <v>966</v>
      </c>
      <c r="F160" s="43" t="s">
        <v>248</v>
      </c>
      <c r="G160" s="41">
        <v>162411</v>
      </c>
      <c r="H160" s="116">
        <v>6</v>
      </c>
      <c r="I160" s="41">
        <v>15</v>
      </c>
      <c r="J160" s="98">
        <f t="shared" si="8"/>
        <v>90</v>
      </c>
      <c r="K160" s="60" t="s">
        <v>92</v>
      </c>
      <c r="L160" s="60" t="s">
        <v>537</v>
      </c>
      <c r="M160" s="60" t="s">
        <v>556</v>
      </c>
      <c r="N160" s="60" t="s">
        <v>93</v>
      </c>
      <c r="O160" s="60" t="s">
        <v>93</v>
      </c>
      <c r="P160" s="45" t="s">
        <v>516</v>
      </c>
      <c r="Q160" s="45" t="s">
        <v>6</v>
      </c>
      <c r="R160" s="45" t="s">
        <v>257</v>
      </c>
      <c r="S160" s="45">
        <v>0</v>
      </c>
      <c r="T160" s="119">
        <v>420</v>
      </c>
      <c r="U160" s="62">
        <f t="shared" si="9"/>
        <v>37800</v>
      </c>
      <c r="V160" s="63">
        <f t="shared" ca="1" si="10"/>
        <v>204</v>
      </c>
      <c r="W160" s="52" t="str">
        <f t="shared" ca="1" si="11"/>
        <v>06-12 Months</v>
      </c>
    </row>
    <row r="161" spans="1:23" s="64" customFormat="1" ht="15" customHeight="1">
      <c r="A161" s="45" t="s">
        <v>974</v>
      </c>
      <c r="B161" s="45" t="s">
        <v>245</v>
      </c>
      <c r="C161" s="45" t="s">
        <v>976</v>
      </c>
      <c r="D161" s="43" t="s">
        <v>892</v>
      </c>
      <c r="E161" s="43" t="s">
        <v>933</v>
      </c>
      <c r="F161" s="43" t="s">
        <v>248</v>
      </c>
      <c r="G161" s="41">
        <v>162924</v>
      </c>
      <c r="H161" s="116">
        <v>242</v>
      </c>
      <c r="I161" s="41">
        <v>11.34</v>
      </c>
      <c r="J161" s="98">
        <f t="shared" si="8"/>
        <v>2744.2799999999997</v>
      </c>
      <c r="K161" s="60" t="s">
        <v>89</v>
      </c>
      <c r="L161" s="60" t="s">
        <v>700</v>
      </c>
      <c r="M161" s="60" t="s">
        <v>893</v>
      </c>
      <c r="N161" s="60" t="s">
        <v>825</v>
      </c>
      <c r="O161" s="60" t="s">
        <v>90</v>
      </c>
      <c r="P161" s="45" t="s">
        <v>516</v>
      </c>
      <c r="Q161" s="45" t="s">
        <v>6</v>
      </c>
      <c r="R161" s="45" t="s">
        <v>257</v>
      </c>
      <c r="S161" s="45">
        <v>0</v>
      </c>
      <c r="T161" s="119">
        <v>470</v>
      </c>
      <c r="U161" s="62">
        <f t="shared" si="9"/>
        <v>1289811.5999999999</v>
      </c>
      <c r="V161" s="63">
        <f t="shared" ca="1" si="10"/>
        <v>199</v>
      </c>
      <c r="W161" s="52" t="str">
        <f t="shared" ca="1" si="11"/>
        <v>06-12 Months</v>
      </c>
    </row>
    <row r="162" spans="1:23" s="64" customFormat="1" ht="15" customHeight="1">
      <c r="A162" s="45" t="s">
        <v>978</v>
      </c>
      <c r="B162" s="45" t="s">
        <v>245</v>
      </c>
      <c r="C162" s="45" t="s">
        <v>979</v>
      </c>
      <c r="D162" s="43" t="s">
        <v>270</v>
      </c>
      <c r="E162" s="43" t="s">
        <v>980</v>
      </c>
      <c r="F162" s="43" t="s">
        <v>248</v>
      </c>
      <c r="G162" s="41">
        <v>162094</v>
      </c>
      <c r="H162" s="116">
        <v>803</v>
      </c>
      <c r="I162" s="41">
        <v>5</v>
      </c>
      <c r="J162" s="98">
        <f t="shared" si="8"/>
        <v>4015</v>
      </c>
      <c r="K162" s="60" t="s">
        <v>177</v>
      </c>
      <c r="L162" s="60" t="s">
        <v>971</v>
      </c>
      <c r="M162" s="60" t="s">
        <v>968</v>
      </c>
      <c r="N162" s="60" t="s">
        <v>969</v>
      </c>
      <c r="O162" s="60" t="s">
        <v>969</v>
      </c>
      <c r="P162" s="45" t="s">
        <v>250</v>
      </c>
      <c r="Q162" s="45" t="s">
        <v>6</v>
      </c>
      <c r="R162" s="45" t="s">
        <v>257</v>
      </c>
      <c r="S162" s="45" t="s">
        <v>287</v>
      </c>
      <c r="T162" s="119">
        <v>1089.42</v>
      </c>
      <c r="U162" s="62">
        <f t="shared" si="9"/>
        <v>4374021.3000000007</v>
      </c>
      <c r="V162" s="63">
        <f t="shared" ca="1" si="10"/>
        <v>196</v>
      </c>
      <c r="W162" s="52" t="str">
        <f t="shared" ca="1" si="11"/>
        <v>06-12 Months</v>
      </c>
    </row>
    <row r="163" spans="1:23" s="64" customFormat="1" ht="15" customHeight="1">
      <c r="A163" s="45" t="s">
        <v>978</v>
      </c>
      <c r="B163" s="45" t="s">
        <v>245</v>
      </c>
      <c r="C163" s="45" t="s">
        <v>979</v>
      </c>
      <c r="D163" s="43" t="s">
        <v>270</v>
      </c>
      <c r="E163" s="43" t="s">
        <v>981</v>
      </c>
      <c r="F163" s="43" t="s">
        <v>248</v>
      </c>
      <c r="G163" s="41">
        <v>162095</v>
      </c>
      <c r="H163" s="116">
        <v>723</v>
      </c>
      <c r="I163" s="41">
        <v>5</v>
      </c>
      <c r="J163" s="98">
        <f t="shared" si="8"/>
        <v>3615</v>
      </c>
      <c r="K163" s="60" t="s">
        <v>177</v>
      </c>
      <c r="L163" s="60" t="s">
        <v>862</v>
      </c>
      <c r="M163" s="60" t="s">
        <v>968</v>
      </c>
      <c r="N163" s="60" t="s">
        <v>970</v>
      </c>
      <c r="O163" s="60" t="s">
        <v>970</v>
      </c>
      <c r="P163" s="45" t="s">
        <v>516</v>
      </c>
      <c r="Q163" s="45" t="s">
        <v>6</v>
      </c>
      <c r="R163" s="45" t="s">
        <v>257</v>
      </c>
      <c r="S163" s="45" t="s">
        <v>287</v>
      </c>
      <c r="T163" s="119">
        <v>900.77</v>
      </c>
      <c r="U163" s="62">
        <f t="shared" si="9"/>
        <v>3256283.55</v>
      </c>
      <c r="V163" s="63">
        <f t="shared" ca="1" si="10"/>
        <v>196</v>
      </c>
      <c r="W163" s="52" t="str">
        <f t="shared" ca="1" si="11"/>
        <v>06-12 Months</v>
      </c>
    </row>
    <row r="164" spans="1:23" s="64" customFormat="1" ht="15" customHeight="1">
      <c r="A164" s="45" t="s">
        <v>982</v>
      </c>
      <c r="B164" s="45" t="s">
        <v>258</v>
      </c>
      <c r="C164" s="45" t="s">
        <v>983</v>
      </c>
      <c r="D164" s="43" t="s">
        <v>270</v>
      </c>
      <c r="E164" s="43" t="s">
        <v>989</v>
      </c>
      <c r="F164" s="43" t="s">
        <v>661</v>
      </c>
      <c r="G164" s="41">
        <v>8578</v>
      </c>
      <c r="H164" s="116">
        <v>6</v>
      </c>
      <c r="I164" s="41">
        <v>5</v>
      </c>
      <c r="J164" s="98">
        <f t="shared" si="8"/>
        <v>30</v>
      </c>
      <c r="K164" s="60" t="s">
        <v>190</v>
      </c>
      <c r="L164" s="60" t="s">
        <v>858</v>
      </c>
      <c r="M164" s="60" t="s">
        <v>434</v>
      </c>
      <c r="N164" s="60" t="s">
        <v>203</v>
      </c>
      <c r="O164" s="60" t="s">
        <v>597</v>
      </c>
      <c r="P164" s="45" t="s">
        <v>516</v>
      </c>
      <c r="Q164" s="45" t="s">
        <v>6</v>
      </c>
      <c r="R164" s="45" t="s">
        <v>257</v>
      </c>
      <c r="S164" s="45" t="s">
        <v>274</v>
      </c>
      <c r="T164" s="119">
        <v>613</v>
      </c>
      <c r="U164" s="62">
        <f t="shared" si="9"/>
        <v>18390</v>
      </c>
      <c r="V164" s="63">
        <f t="shared" ca="1" si="10"/>
        <v>195</v>
      </c>
      <c r="W164" s="52" t="str">
        <f t="shared" ca="1" si="11"/>
        <v>06-12 Months</v>
      </c>
    </row>
    <row r="165" spans="1:23" s="64" customFormat="1" ht="15" customHeight="1">
      <c r="A165" s="45" t="s">
        <v>982</v>
      </c>
      <c r="B165" s="45" t="s">
        <v>258</v>
      </c>
      <c r="C165" s="45" t="s">
        <v>986</v>
      </c>
      <c r="D165" s="43" t="s">
        <v>270</v>
      </c>
      <c r="E165" s="43" t="s">
        <v>987</v>
      </c>
      <c r="F165" s="43" t="s">
        <v>988</v>
      </c>
      <c r="G165" s="41">
        <v>8582</v>
      </c>
      <c r="H165" s="116">
        <v>49</v>
      </c>
      <c r="I165" s="41">
        <v>5</v>
      </c>
      <c r="J165" s="98">
        <f t="shared" si="8"/>
        <v>245</v>
      </c>
      <c r="K165" s="60" t="s">
        <v>190</v>
      </c>
      <c r="L165" s="60" t="s">
        <v>858</v>
      </c>
      <c r="M165" s="60" t="s">
        <v>434</v>
      </c>
      <c r="N165" s="60" t="s">
        <v>203</v>
      </c>
      <c r="O165" s="60" t="s">
        <v>597</v>
      </c>
      <c r="P165" s="45" t="s">
        <v>516</v>
      </c>
      <c r="Q165" s="45" t="s">
        <v>6</v>
      </c>
      <c r="R165" s="45" t="s">
        <v>257</v>
      </c>
      <c r="S165" s="45" t="s">
        <v>274</v>
      </c>
      <c r="T165" s="119">
        <v>613</v>
      </c>
      <c r="U165" s="62">
        <f t="shared" si="9"/>
        <v>150185</v>
      </c>
      <c r="V165" s="63">
        <f t="shared" ca="1" si="10"/>
        <v>195</v>
      </c>
      <c r="W165" s="52" t="str">
        <f t="shared" ca="1" si="11"/>
        <v>06-12 Months</v>
      </c>
    </row>
    <row r="166" spans="1:23" s="64" customFormat="1" ht="15" customHeight="1">
      <c r="A166" s="45" t="s">
        <v>982</v>
      </c>
      <c r="B166" s="45" t="s">
        <v>258</v>
      </c>
      <c r="C166" s="45" t="s">
        <v>983</v>
      </c>
      <c r="D166" s="43" t="s">
        <v>270</v>
      </c>
      <c r="E166" s="43" t="s">
        <v>984</v>
      </c>
      <c r="F166" s="43" t="s">
        <v>985</v>
      </c>
      <c r="G166" s="41">
        <v>8576</v>
      </c>
      <c r="H166" s="116">
        <v>208</v>
      </c>
      <c r="I166" s="41">
        <v>5</v>
      </c>
      <c r="J166" s="98">
        <f t="shared" si="8"/>
        <v>1040</v>
      </c>
      <c r="K166" s="60" t="s">
        <v>190</v>
      </c>
      <c r="L166" s="60" t="s">
        <v>858</v>
      </c>
      <c r="M166" s="60" t="s">
        <v>434</v>
      </c>
      <c r="N166" s="60" t="s">
        <v>203</v>
      </c>
      <c r="O166" s="60" t="s">
        <v>597</v>
      </c>
      <c r="P166" s="45" t="s">
        <v>516</v>
      </c>
      <c r="Q166" s="45" t="s">
        <v>6</v>
      </c>
      <c r="R166" s="45" t="s">
        <v>257</v>
      </c>
      <c r="S166" s="45" t="s">
        <v>274</v>
      </c>
      <c r="T166" s="119">
        <v>613</v>
      </c>
      <c r="U166" s="62">
        <f t="shared" si="9"/>
        <v>637520</v>
      </c>
      <c r="V166" s="63">
        <f t="shared" ca="1" si="10"/>
        <v>195</v>
      </c>
      <c r="W166" s="52" t="str">
        <f t="shared" ca="1" si="11"/>
        <v>06-12 Months</v>
      </c>
    </row>
    <row r="167" spans="1:23" s="64" customFormat="1" ht="15" customHeight="1">
      <c r="A167" s="45" t="s">
        <v>982</v>
      </c>
      <c r="B167" s="45" t="s">
        <v>245</v>
      </c>
      <c r="C167" s="45" t="s">
        <v>990</v>
      </c>
      <c r="D167" s="43" t="s">
        <v>270</v>
      </c>
      <c r="E167" s="43" t="s">
        <v>981</v>
      </c>
      <c r="F167" s="43" t="s">
        <v>248</v>
      </c>
      <c r="G167" s="41">
        <v>162095</v>
      </c>
      <c r="H167" s="116">
        <v>81</v>
      </c>
      <c r="I167" s="41">
        <v>5</v>
      </c>
      <c r="J167" s="98">
        <f t="shared" si="8"/>
        <v>405</v>
      </c>
      <c r="K167" s="60" t="s">
        <v>177</v>
      </c>
      <c r="L167" s="60" t="s">
        <v>862</v>
      </c>
      <c r="M167" s="60" t="s">
        <v>968</v>
      </c>
      <c r="N167" s="60" t="s">
        <v>970</v>
      </c>
      <c r="O167" s="60" t="s">
        <v>970</v>
      </c>
      <c r="P167" s="45" t="s">
        <v>516</v>
      </c>
      <c r="Q167" s="45" t="s">
        <v>6</v>
      </c>
      <c r="R167" s="45" t="s">
        <v>257</v>
      </c>
      <c r="S167" s="45" t="s">
        <v>287</v>
      </c>
      <c r="T167" s="119">
        <v>900.77</v>
      </c>
      <c r="U167" s="62">
        <f t="shared" si="9"/>
        <v>364811.85</v>
      </c>
      <c r="V167" s="63">
        <f t="shared" ca="1" si="10"/>
        <v>195</v>
      </c>
      <c r="W167" s="52" t="str">
        <f t="shared" ca="1" si="11"/>
        <v>06-12 Months</v>
      </c>
    </row>
    <row r="168" spans="1:23" s="64" customFormat="1" ht="15" customHeight="1">
      <c r="A168" s="45" t="s">
        <v>991</v>
      </c>
      <c r="B168" s="45" t="s">
        <v>245</v>
      </c>
      <c r="C168" s="45" t="s">
        <v>992</v>
      </c>
      <c r="D168" s="43" t="s">
        <v>644</v>
      </c>
      <c r="E168" s="43" t="s">
        <v>1005</v>
      </c>
      <c r="F168" s="43" t="s">
        <v>771</v>
      </c>
      <c r="G168" s="41">
        <v>164028</v>
      </c>
      <c r="H168" s="116">
        <v>45</v>
      </c>
      <c r="I168" s="41">
        <v>11.34</v>
      </c>
      <c r="J168" s="98">
        <f t="shared" si="8"/>
        <v>510.3</v>
      </c>
      <c r="K168" s="60" t="s">
        <v>51</v>
      </c>
      <c r="L168" s="60" t="s">
        <v>993</v>
      </c>
      <c r="M168" s="60" t="s">
        <v>645</v>
      </c>
      <c r="N168" s="60" t="s">
        <v>994</v>
      </c>
      <c r="O168" s="60" t="s">
        <v>995</v>
      </c>
      <c r="P168" s="45" t="s">
        <v>516</v>
      </c>
      <c r="Q168" s="45" t="s">
        <v>6</v>
      </c>
      <c r="R168" s="45" t="s">
        <v>257</v>
      </c>
      <c r="S168" s="45" t="s">
        <v>659</v>
      </c>
      <c r="T168" s="119">
        <v>470</v>
      </c>
      <c r="U168" s="62">
        <f t="shared" si="9"/>
        <v>239841</v>
      </c>
      <c r="V168" s="63">
        <f t="shared" ca="1" si="10"/>
        <v>193</v>
      </c>
      <c r="W168" s="52" t="str">
        <f t="shared" ca="1" si="11"/>
        <v>06-12 Months</v>
      </c>
    </row>
    <row r="169" spans="1:23" s="64" customFormat="1" ht="15" customHeight="1">
      <c r="A169" s="45" t="s">
        <v>1007</v>
      </c>
      <c r="B169" s="45" t="s">
        <v>245</v>
      </c>
      <c r="C169" s="45" t="s">
        <v>1012</v>
      </c>
      <c r="D169" s="43" t="s">
        <v>528</v>
      </c>
      <c r="E169" s="43" t="s">
        <v>589</v>
      </c>
      <c r="F169" s="43" t="s">
        <v>1014</v>
      </c>
      <c r="G169" s="41">
        <v>164947</v>
      </c>
      <c r="H169" s="116">
        <v>5</v>
      </c>
      <c r="I169" s="41">
        <v>5</v>
      </c>
      <c r="J169" s="98">
        <f t="shared" si="8"/>
        <v>25</v>
      </c>
      <c r="K169" s="60" t="s">
        <v>867</v>
      </c>
      <c r="L169" s="60" t="s">
        <v>853</v>
      </c>
      <c r="M169" s="60" t="s">
        <v>1015</v>
      </c>
      <c r="N169" s="60" t="s">
        <v>65</v>
      </c>
      <c r="O169" s="60" t="s">
        <v>571</v>
      </c>
      <c r="P169" s="45" t="s">
        <v>516</v>
      </c>
      <c r="Q169" s="45" t="s">
        <v>6</v>
      </c>
      <c r="R169" s="45" t="s">
        <v>257</v>
      </c>
      <c r="S169" s="45">
        <v>0</v>
      </c>
      <c r="T169" s="119">
        <v>625</v>
      </c>
      <c r="U169" s="62">
        <f t="shared" si="9"/>
        <v>15625</v>
      </c>
      <c r="V169" s="63">
        <f t="shared" ca="1" si="10"/>
        <v>190</v>
      </c>
      <c r="W169" s="52" t="str">
        <f t="shared" ca="1" si="11"/>
        <v>06-12 Months</v>
      </c>
    </row>
    <row r="170" spans="1:23" s="64" customFormat="1" ht="15" customHeight="1">
      <c r="A170" s="45" t="s">
        <v>1007</v>
      </c>
      <c r="B170" s="45" t="s">
        <v>245</v>
      </c>
      <c r="C170" s="45" t="s">
        <v>1012</v>
      </c>
      <c r="D170" s="43" t="s">
        <v>270</v>
      </c>
      <c r="E170" s="43" t="s">
        <v>358</v>
      </c>
      <c r="F170" s="43" t="s">
        <v>1013</v>
      </c>
      <c r="G170" s="41">
        <v>164948</v>
      </c>
      <c r="H170" s="116">
        <v>26</v>
      </c>
      <c r="I170" s="41">
        <v>5</v>
      </c>
      <c r="J170" s="98">
        <f t="shared" si="8"/>
        <v>130</v>
      </c>
      <c r="K170" s="60" t="s">
        <v>190</v>
      </c>
      <c r="L170" s="60" t="s">
        <v>870</v>
      </c>
      <c r="M170" s="60" t="s">
        <v>247</v>
      </c>
      <c r="N170" s="60" t="s">
        <v>194</v>
      </c>
      <c r="O170" s="60" t="s">
        <v>450</v>
      </c>
      <c r="P170" s="45" t="s">
        <v>516</v>
      </c>
      <c r="Q170" s="45" t="s">
        <v>6</v>
      </c>
      <c r="R170" s="45" t="s">
        <v>257</v>
      </c>
      <c r="S170" s="45" t="s">
        <v>247</v>
      </c>
      <c r="T170" s="119">
        <v>401</v>
      </c>
      <c r="U170" s="62">
        <f t="shared" si="9"/>
        <v>52130</v>
      </c>
      <c r="V170" s="63">
        <f t="shared" ca="1" si="10"/>
        <v>190</v>
      </c>
      <c r="W170" s="52" t="str">
        <f t="shared" ca="1" si="11"/>
        <v>06-12 Months</v>
      </c>
    </row>
    <row r="171" spans="1:23" s="64" customFormat="1" ht="15" customHeight="1">
      <c r="A171" s="45" t="s">
        <v>1018</v>
      </c>
      <c r="B171" s="45" t="s">
        <v>245</v>
      </c>
      <c r="C171" s="45" t="s">
        <v>1019</v>
      </c>
      <c r="D171" s="43" t="s">
        <v>270</v>
      </c>
      <c r="E171" s="43" t="s">
        <v>1020</v>
      </c>
      <c r="F171" s="43" t="s">
        <v>1021</v>
      </c>
      <c r="G171" s="41">
        <v>165912</v>
      </c>
      <c r="H171" s="116">
        <v>98</v>
      </c>
      <c r="I171" s="41">
        <v>5</v>
      </c>
      <c r="J171" s="98">
        <f t="shared" si="8"/>
        <v>490</v>
      </c>
      <c r="K171" s="60" t="s">
        <v>190</v>
      </c>
      <c r="L171" s="60" t="s">
        <v>858</v>
      </c>
      <c r="M171" s="60" t="s">
        <v>434</v>
      </c>
      <c r="N171" s="60" t="s">
        <v>203</v>
      </c>
      <c r="O171" s="60" t="s">
        <v>597</v>
      </c>
      <c r="P171" s="45" t="s">
        <v>516</v>
      </c>
      <c r="Q171" s="45" t="s">
        <v>6</v>
      </c>
      <c r="R171" s="45" t="s">
        <v>257</v>
      </c>
      <c r="S171" s="45" t="s">
        <v>274</v>
      </c>
      <c r="T171" s="119">
        <v>613</v>
      </c>
      <c r="U171" s="62">
        <f t="shared" si="9"/>
        <v>300370</v>
      </c>
      <c r="V171" s="63">
        <f t="shared" ca="1" si="10"/>
        <v>185</v>
      </c>
      <c r="W171" s="52" t="str">
        <f t="shared" ca="1" si="11"/>
        <v>06-12 Months</v>
      </c>
    </row>
    <row r="172" spans="1:23" s="64" customFormat="1" ht="15" customHeight="1">
      <c r="A172" s="45" t="s">
        <v>1041</v>
      </c>
      <c r="B172" s="45" t="s">
        <v>245</v>
      </c>
      <c r="C172" s="45" t="s">
        <v>1042</v>
      </c>
      <c r="D172" s="43" t="s">
        <v>1043</v>
      </c>
      <c r="E172" s="43" t="s">
        <v>332</v>
      </c>
      <c r="F172" s="43" t="s">
        <v>248</v>
      </c>
      <c r="G172" s="41">
        <v>167285</v>
      </c>
      <c r="H172" s="116">
        <v>78</v>
      </c>
      <c r="I172" s="41">
        <v>50</v>
      </c>
      <c r="J172" s="98">
        <f t="shared" si="8"/>
        <v>3900</v>
      </c>
      <c r="K172" s="60" t="s">
        <v>762</v>
      </c>
      <c r="L172" s="60" t="s">
        <v>1044</v>
      </c>
      <c r="M172" s="60" t="s">
        <v>762</v>
      </c>
      <c r="N172" s="60" t="s">
        <v>1045</v>
      </c>
      <c r="O172" s="60" t="s">
        <v>1046</v>
      </c>
      <c r="P172" s="45" t="s">
        <v>516</v>
      </c>
      <c r="Q172" s="45" t="s">
        <v>6</v>
      </c>
      <c r="R172" s="45" t="s">
        <v>257</v>
      </c>
      <c r="S172" s="45">
        <v>0</v>
      </c>
      <c r="T172" s="119">
        <v>93</v>
      </c>
      <c r="U172" s="62">
        <f t="shared" si="9"/>
        <v>362700</v>
      </c>
      <c r="V172" s="63">
        <f t="shared" ca="1" si="10"/>
        <v>179</v>
      </c>
      <c r="W172" s="52" t="str">
        <f t="shared" ca="1" si="11"/>
        <v>&lt; 6 Months</v>
      </c>
    </row>
    <row r="173" spans="1:23" s="64" customFormat="1" ht="15" customHeight="1">
      <c r="A173" s="45" t="s">
        <v>1105</v>
      </c>
      <c r="B173" s="45" t="s">
        <v>258</v>
      </c>
      <c r="C173" s="45" t="s">
        <v>1051</v>
      </c>
      <c r="D173" s="43" t="s">
        <v>270</v>
      </c>
      <c r="E173" s="43" t="s">
        <v>1106</v>
      </c>
      <c r="F173" s="43" t="s">
        <v>248</v>
      </c>
      <c r="G173" s="41">
        <v>9498</v>
      </c>
      <c r="H173" s="116">
        <v>24</v>
      </c>
      <c r="I173" s="41">
        <v>5</v>
      </c>
      <c r="J173" s="98">
        <f t="shared" si="8"/>
        <v>120</v>
      </c>
      <c r="K173" s="60" t="s">
        <v>177</v>
      </c>
      <c r="L173" s="60" t="s">
        <v>917</v>
      </c>
      <c r="M173" s="60" t="s">
        <v>440</v>
      </c>
      <c r="N173" s="60" t="s">
        <v>1064</v>
      </c>
      <c r="O173" s="60" t="s">
        <v>488</v>
      </c>
      <c r="P173" s="45" t="s">
        <v>516</v>
      </c>
      <c r="Q173" s="45" t="s">
        <v>6</v>
      </c>
      <c r="R173" s="45" t="s">
        <v>257</v>
      </c>
      <c r="S173" s="45" t="s">
        <v>287</v>
      </c>
      <c r="T173" s="119">
        <v>565</v>
      </c>
      <c r="U173" s="62">
        <f t="shared" si="9"/>
        <v>67800</v>
      </c>
      <c r="V173" s="63">
        <f t="shared" ca="1" si="10"/>
        <v>178</v>
      </c>
      <c r="W173" s="52" t="str">
        <f t="shared" ca="1" si="11"/>
        <v>&lt; 6 Months</v>
      </c>
    </row>
    <row r="174" spans="1:23" s="64" customFormat="1" ht="15" customHeight="1">
      <c r="A174" s="45" t="s">
        <v>1105</v>
      </c>
      <c r="B174" s="45" t="s">
        <v>245</v>
      </c>
      <c r="C174" s="45" t="s">
        <v>1049</v>
      </c>
      <c r="D174" s="43" t="s">
        <v>1052</v>
      </c>
      <c r="E174" s="43" t="s">
        <v>1053</v>
      </c>
      <c r="F174" s="43" t="s">
        <v>1054</v>
      </c>
      <c r="G174" s="41">
        <v>167577</v>
      </c>
      <c r="H174" s="116">
        <v>13</v>
      </c>
      <c r="I174" s="41">
        <v>12.5</v>
      </c>
      <c r="J174" s="98">
        <f t="shared" si="8"/>
        <v>162.5</v>
      </c>
      <c r="K174" s="60" t="s">
        <v>1057</v>
      </c>
      <c r="L174" s="60" t="s">
        <v>1059</v>
      </c>
      <c r="M174" s="60" t="s">
        <v>295</v>
      </c>
      <c r="N174" s="60" t="s">
        <v>1060</v>
      </c>
      <c r="O174" s="60" t="s">
        <v>1061</v>
      </c>
      <c r="P174" s="45" t="s">
        <v>516</v>
      </c>
      <c r="Q174" s="45" t="s">
        <v>6</v>
      </c>
      <c r="R174" s="45" t="s">
        <v>257</v>
      </c>
      <c r="S174" s="45">
        <v>0</v>
      </c>
      <c r="T174" s="119">
        <v>550</v>
      </c>
      <c r="U174" s="62">
        <f t="shared" si="9"/>
        <v>89375</v>
      </c>
      <c r="V174" s="63">
        <f t="shared" ca="1" si="10"/>
        <v>178</v>
      </c>
      <c r="W174" s="52" t="str">
        <f t="shared" ca="1" si="11"/>
        <v>&lt; 6 Months</v>
      </c>
    </row>
    <row r="175" spans="1:23" s="64" customFormat="1" ht="15" customHeight="1">
      <c r="A175" s="45" t="s">
        <v>1105</v>
      </c>
      <c r="B175" s="45" t="s">
        <v>258</v>
      </c>
      <c r="C175" s="45" t="s">
        <v>1051</v>
      </c>
      <c r="D175" s="43" t="s">
        <v>270</v>
      </c>
      <c r="E175" s="43" t="s">
        <v>1056</v>
      </c>
      <c r="F175" s="43" t="s">
        <v>248</v>
      </c>
      <c r="G175" s="41">
        <v>9495</v>
      </c>
      <c r="H175" s="116">
        <v>74</v>
      </c>
      <c r="I175" s="41">
        <v>5</v>
      </c>
      <c r="J175" s="98">
        <f t="shared" si="8"/>
        <v>370</v>
      </c>
      <c r="K175" s="60" t="s">
        <v>177</v>
      </c>
      <c r="L175" s="60" t="s">
        <v>1065</v>
      </c>
      <c r="M175" s="60" t="s">
        <v>507</v>
      </c>
      <c r="N175" s="60" t="s">
        <v>562</v>
      </c>
      <c r="O175" s="60" t="s">
        <v>562</v>
      </c>
      <c r="P175" s="45" t="s">
        <v>516</v>
      </c>
      <c r="Q175" s="45" t="s">
        <v>6</v>
      </c>
      <c r="R175" s="45" t="s">
        <v>257</v>
      </c>
      <c r="S175" s="45" t="s">
        <v>287</v>
      </c>
      <c r="T175" s="119">
        <v>732</v>
      </c>
      <c r="U175" s="62">
        <f t="shared" si="9"/>
        <v>270840</v>
      </c>
      <c r="V175" s="63">
        <f t="shared" ca="1" si="10"/>
        <v>178</v>
      </c>
      <c r="W175" s="52" t="str">
        <f t="shared" ca="1" si="11"/>
        <v>&lt; 6 Months</v>
      </c>
    </row>
    <row r="176" spans="1:23" s="64" customFormat="1" ht="15" customHeight="1">
      <c r="A176" s="45" t="s">
        <v>1105</v>
      </c>
      <c r="B176" s="45" t="s">
        <v>258</v>
      </c>
      <c r="C176" s="45" t="s">
        <v>1051</v>
      </c>
      <c r="D176" s="43" t="s">
        <v>270</v>
      </c>
      <c r="E176" s="43" t="s">
        <v>1107</v>
      </c>
      <c r="F176" s="43" t="s">
        <v>248</v>
      </c>
      <c r="G176" s="41">
        <v>9496</v>
      </c>
      <c r="H176" s="116">
        <v>46</v>
      </c>
      <c r="I176" s="41">
        <v>5</v>
      </c>
      <c r="J176" s="98">
        <f t="shared" si="8"/>
        <v>230</v>
      </c>
      <c r="K176" s="60" t="s">
        <v>177</v>
      </c>
      <c r="L176" s="60" t="s">
        <v>918</v>
      </c>
      <c r="M176" s="60" t="s">
        <v>440</v>
      </c>
      <c r="N176" s="60" t="s">
        <v>1063</v>
      </c>
      <c r="O176" s="60" t="s">
        <v>492</v>
      </c>
      <c r="P176" s="45" t="s">
        <v>516</v>
      </c>
      <c r="Q176" s="45" t="s">
        <v>6</v>
      </c>
      <c r="R176" s="45" t="s">
        <v>257</v>
      </c>
      <c r="S176" s="45" t="s">
        <v>287</v>
      </c>
      <c r="T176" s="119">
        <v>635</v>
      </c>
      <c r="U176" s="62">
        <f t="shared" si="9"/>
        <v>146050</v>
      </c>
      <c r="V176" s="63">
        <f t="shared" ca="1" si="10"/>
        <v>178</v>
      </c>
      <c r="W176" s="52" t="str">
        <f t="shared" ca="1" si="11"/>
        <v>&lt; 6 Months</v>
      </c>
    </row>
    <row r="177" spans="1:23" s="64" customFormat="1" ht="15" customHeight="1">
      <c r="A177" s="45" t="s">
        <v>1105</v>
      </c>
      <c r="B177" s="45" t="s">
        <v>258</v>
      </c>
      <c r="C177" s="45" t="s">
        <v>1051</v>
      </c>
      <c r="D177" s="43" t="s">
        <v>270</v>
      </c>
      <c r="E177" s="43" t="s">
        <v>1109</v>
      </c>
      <c r="F177" s="43" t="s">
        <v>248</v>
      </c>
      <c r="G177" s="41">
        <v>9497</v>
      </c>
      <c r="H177" s="116">
        <v>80</v>
      </c>
      <c r="I177" s="41">
        <v>5</v>
      </c>
      <c r="J177" s="98">
        <f t="shared" si="8"/>
        <v>400</v>
      </c>
      <c r="K177" s="60" t="s">
        <v>177</v>
      </c>
      <c r="L177" s="60" t="s">
        <v>919</v>
      </c>
      <c r="M177" s="60" t="s">
        <v>507</v>
      </c>
      <c r="N177" s="60" t="s">
        <v>1062</v>
      </c>
      <c r="O177" s="60" t="s">
        <v>508</v>
      </c>
      <c r="P177" s="45" t="s">
        <v>516</v>
      </c>
      <c r="Q177" s="45" t="s">
        <v>6</v>
      </c>
      <c r="R177" s="45" t="s">
        <v>257</v>
      </c>
      <c r="S177" s="45" t="s">
        <v>287</v>
      </c>
      <c r="T177" s="119">
        <v>845</v>
      </c>
      <c r="U177" s="62">
        <f t="shared" si="9"/>
        <v>338000</v>
      </c>
      <c r="V177" s="63">
        <f t="shared" ca="1" si="10"/>
        <v>178</v>
      </c>
      <c r="W177" s="52" t="str">
        <f t="shared" ca="1" si="11"/>
        <v>&lt; 6 Months</v>
      </c>
    </row>
    <row r="178" spans="1:23" s="64" customFormat="1" ht="15" customHeight="1">
      <c r="A178" s="45" t="s">
        <v>1105</v>
      </c>
      <c r="B178" s="45" t="s">
        <v>245</v>
      </c>
      <c r="C178" s="45" t="s">
        <v>1050</v>
      </c>
      <c r="D178" s="43" t="s">
        <v>252</v>
      </c>
      <c r="E178" s="43" t="s">
        <v>1108</v>
      </c>
      <c r="F178" s="43" t="s">
        <v>1055</v>
      </c>
      <c r="G178" s="41">
        <v>167587</v>
      </c>
      <c r="H178" s="116">
        <v>500</v>
      </c>
      <c r="I178" s="41">
        <v>10</v>
      </c>
      <c r="J178" s="98">
        <f t="shared" si="8"/>
        <v>5000</v>
      </c>
      <c r="K178" s="60" t="s">
        <v>152</v>
      </c>
      <c r="L178" s="60" t="s">
        <v>262</v>
      </c>
      <c r="M178" s="60" t="s">
        <v>1058</v>
      </c>
      <c r="N178" s="60" t="s">
        <v>158</v>
      </c>
      <c r="O178" s="60" t="s">
        <v>264</v>
      </c>
      <c r="P178" s="45" t="s">
        <v>516</v>
      </c>
      <c r="Q178" s="45" t="s">
        <v>6</v>
      </c>
      <c r="R178" s="45" t="s">
        <v>257</v>
      </c>
      <c r="S178" s="45" t="s">
        <v>247</v>
      </c>
      <c r="T178" s="119">
        <v>116</v>
      </c>
      <c r="U178" s="62">
        <f t="shared" si="9"/>
        <v>580000</v>
      </c>
      <c r="V178" s="63">
        <f t="shared" ca="1" si="10"/>
        <v>178</v>
      </c>
      <c r="W178" s="52" t="str">
        <f t="shared" ca="1" si="11"/>
        <v>&lt; 6 Months</v>
      </c>
    </row>
    <row r="179" spans="1:23" s="64" customFormat="1" ht="15" customHeight="1">
      <c r="A179" s="45" t="s">
        <v>1110</v>
      </c>
      <c r="B179" s="45" t="s">
        <v>258</v>
      </c>
      <c r="C179" s="45" t="s">
        <v>1066</v>
      </c>
      <c r="D179" s="43" t="s">
        <v>270</v>
      </c>
      <c r="E179" s="43" t="s">
        <v>1111</v>
      </c>
      <c r="F179" s="43" t="s">
        <v>1025</v>
      </c>
      <c r="G179" s="41">
        <v>9472</v>
      </c>
      <c r="H179" s="116">
        <v>40</v>
      </c>
      <c r="I179" s="41">
        <v>5</v>
      </c>
      <c r="J179" s="98">
        <f t="shared" si="8"/>
        <v>200</v>
      </c>
      <c r="K179" s="60" t="s">
        <v>190</v>
      </c>
      <c r="L179" s="60" t="s">
        <v>1037</v>
      </c>
      <c r="M179" s="60" t="s">
        <v>1037</v>
      </c>
      <c r="N179" s="60" t="s">
        <v>1038</v>
      </c>
      <c r="O179" s="60" t="s">
        <v>1039</v>
      </c>
      <c r="P179" s="45" t="s">
        <v>516</v>
      </c>
      <c r="Q179" s="45" t="s">
        <v>6</v>
      </c>
      <c r="R179" s="45" t="s">
        <v>257</v>
      </c>
      <c r="S179" s="45" t="s">
        <v>274</v>
      </c>
      <c r="T179" s="119">
        <v>459</v>
      </c>
      <c r="U179" s="62">
        <f t="shared" si="9"/>
        <v>91800</v>
      </c>
      <c r="V179" s="63">
        <f t="shared" ca="1" si="10"/>
        <v>176</v>
      </c>
      <c r="W179" s="52" t="str">
        <f t="shared" ca="1" si="11"/>
        <v>&lt; 6 Months</v>
      </c>
    </row>
    <row r="180" spans="1:23" s="64" customFormat="1" ht="15" customHeight="1">
      <c r="A180" s="45" t="s">
        <v>1112</v>
      </c>
      <c r="B180" s="45" t="s">
        <v>245</v>
      </c>
      <c r="C180" s="45" t="s">
        <v>1068</v>
      </c>
      <c r="D180" s="43" t="s">
        <v>528</v>
      </c>
      <c r="E180" s="43" t="s">
        <v>1070</v>
      </c>
      <c r="F180" s="43" t="s">
        <v>248</v>
      </c>
      <c r="G180" s="41">
        <v>167915</v>
      </c>
      <c r="H180" s="116">
        <v>59</v>
      </c>
      <c r="I180" s="41">
        <v>7.5</v>
      </c>
      <c r="J180" s="98">
        <f t="shared" si="8"/>
        <v>442.5</v>
      </c>
      <c r="K180" s="60" t="s">
        <v>867</v>
      </c>
      <c r="L180" s="60" t="s">
        <v>1073</v>
      </c>
      <c r="M180" s="60" t="s">
        <v>531</v>
      </c>
      <c r="N180" s="60" t="s">
        <v>1077</v>
      </c>
      <c r="O180" s="60" t="s">
        <v>1077</v>
      </c>
      <c r="P180" s="45" t="s">
        <v>516</v>
      </c>
      <c r="Q180" s="45" t="s">
        <v>6</v>
      </c>
      <c r="R180" s="45" t="s">
        <v>257</v>
      </c>
      <c r="S180" s="45">
        <v>0</v>
      </c>
      <c r="T180" s="119">
        <v>2859.54</v>
      </c>
      <c r="U180" s="62">
        <f t="shared" si="9"/>
        <v>1265346.45</v>
      </c>
      <c r="V180" s="63">
        <f t="shared" ca="1" si="10"/>
        <v>175</v>
      </c>
      <c r="W180" s="52" t="str">
        <f t="shared" ca="1" si="11"/>
        <v>&lt; 6 Months</v>
      </c>
    </row>
    <row r="181" spans="1:23" s="64" customFormat="1" ht="15" customHeight="1">
      <c r="A181" s="45" t="s">
        <v>1112</v>
      </c>
      <c r="B181" s="45" t="s">
        <v>245</v>
      </c>
      <c r="C181" s="45" t="s">
        <v>1068</v>
      </c>
      <c r="D181" s="43" t="s">
        <v>528</v>
      </c>
      <c r="E181" s="43" t="s">
        <v>1072</v>
      </c>
      <c r="F181" s="43" t="s">
        <v>248</v>
      </c>
      <c r="G181" s="41">
        <v>167917</v>
      </c>
      <c r="H181" s="116">
        <v>44</v>
      </c>
      <c r="I181" s="41">
        <v>10</v>
      </c>
      <c r="J181" s="98">
        <f t="shared" si="8"/>
        <v>440</v>
      </c>
      <c r="K181" s="60" t="s">
        <v>867</v>
      </c>
      <c r="L181" s="60" t="s">
        <v>1075</v>
      </c>
      <c r="M181" s="60" t="s">
        <v>531</v>
      </c>
      <c r="N181" s="60" t="s">
        <v>1079</v>
      </c>
      <c r="O181" s="60" t="s">
        <v>1079</v>
      </c>
      <c r="P181" s="45" t="s">
        <v>516</v>
      </c>
      <c r="Q181" s="45" t="s">
        <v>6</v>
      </c>
      <c r="R181" s="45" t="s">
        <v>257</v>
      </c>
      <c r="S181" s="45">
        <v>0</v>
      </c>
      <c r="T181" s="119">
        <v>2461.79</v>
      </c>
      <c r="U181" s="62">
        <f t="shared" si="9"/>
        <v>1083187.6000000001</v>
      </c>
      <c r="V181" s="63">
        <f t="shared" ca="1" si="10"/>
        <v>175</v>
      </c>
      <c r="W181" s="52" t="str">
        <f t="shared" ca="1" si="11"/>
        <v>&lt; 6 Months</v>
      </c>
    </row>
    <row r="182" spans="1:23" s="64" customFormat="1" ht="15" customHeight="1">
      <c r="A182" s="45" t="s">
        <v>1112</v>
      </c>
      <c r="B182" s="45" t="s">
        <v>245</v>
      </c>
      <c r="C182" s="45" t="s">
        <v>1068</v>
      </c>
      <c r="D182" s="43" t="s">
        <v>528</v>
      </c>
      <c r="E182" s="43" t="s">
        <v>1113</v>
      </c>
      <c r="F182" s="43" t="s">
        <v>248</v>
      </c>
      <c r="G182" s="41">
        <v>167918</v>
      </c>
      <c r="H182" s="116">
        <v>44</v>
      </c>
      <c r="I182" s="41">
        <v>10</v>
      </c>
      <c r="J182" s="98">
        <f t="shared" si="8"/>
        <v>440</v>
      </c>
      <c r="K182" s="60" t="s">
        <v>867</v>
      </c>
      <c r="L182" s="60" t="s">
        <v>1076</v>
      </c>
      <c r="M182" s="60" t="s">
        <v>531</v>
      </c>
      <c r="N182" s="60" t="s">
        <v>1080</v>
      </c>
      <c r="O182" s="60" t="s">
        <v>1080</v>
      </c>
      <c r="P182" s="45" t="s">
        <v>516</v>
      </c>
      <c r="Q182" s="45" t="s">
        <v>6</v>
      </c>
      <c r="R182" s="45" t="s">
        <v>257</v>
      </c>
      <c r="S182" s="45">
        <v>0</v>
      </c>
      <c r="T182" s="119">
        <v>2461.79</v>
      </c>
      <c r="U182" s="62">
        <f t="shared" si="9"/>
        <v>1083187.6000000001</v>
      </c>
      <c r="V182" s="63">
        <f t="shared" ca="1" si="10"/>
        <v>175</v>
      </c>
      <c r="W182" s="52" t="str">
        <f t="shared" ca="1" si="11"/>
        <v>&lt; 6 Months</v>
      </c>
    </row>
    <row r="183" spans="1:23" s="64" customFormat="1" ht="15" customHeight="1">
      <c r="A183" s="45" t="s">
        <v>1112</v>
      </c>
      <c r="B183" s="45" t="s">
        <v>245</v>
      </c>
      <c r="C183" s="45" t="s">
        <v>1068</v>
      </c>
      <c r="D183" s="43" t="s">
        <v>528</v>
      </c>
      <c r="E183" s="43" t="s">
        <v>1071</v>
      </c>
      <c r="F183" s="43" t="s">
        <v>248</v>
      </c>
      <c r="G183" s="41">
        <v>167916</v>
      </c>
      <c r="H183" s="116">
        <v>58</v>
      </c>
      <c r="I183" s="41">
        <v>7.5</v>
      </c>
      <c r="J183" s="98">
        <f t="shared" si="8"/>
        <v>435</v>
      </c>
      <c r="K183" s="60" t="s">
        <v>867</v>
      </c>
      <c r="L183" s="60" t="s">
        <v>1074</v>
      </c>
      <c r="M183" s="60" t="s">
        <v>531</v>
      </c>
      <c r="N183" s="60" t="s">
        <v>1078</v>
      </c>
      <c r="O183" s="60" t="s">
        <v>1078</v>
      </c>
      <c r="P183" s="45" t="s">
        <v>516</v>
      </c>
      <c r="Q183" s="45" t="s">
        <v>6</v>
      </c>
      <c r="R183" s="45" t="s">
        <v>257</v>
      </c>
      <c r="S183" s="45">
        <v>0</v>
      </c>
      <c r="T183" s="119">
        <v>2859.54</v>
      </c>
      <c r="U183" s="62">
        <f t="shared" si="9"/>
        <v>1243899.8999999999</v>
      </c>
      <c r="V183" s="63">
        <f t="shared" ca="1" si="10"/>
        <v>175</v>
      </c>
      <c r="W183" s="52" t="str">
        <f t="shared" ca="1" si="11"/>
        <v>&lt; 6 Months</v>
      </c>
    </row>
    <row r="184" spans="1:23" s="64" customFormat="1" ht="15" customHeight="1">
      <c r="A184" s="45" t="s">
        <v>1112</v>
      </c>
      <c r="B184" s="45" t="s">
        <v>245</v>
      </c>
      <c r="C184" s="45" t="s">
        <v>1067</v>
      </c>
      <c r="D184" s="43" t="s">
        <v>528</v>
      </c>
      <c r="E184" s="43" t="s">
        <v>1069</v>
      </c>
      <c r="F184" s="43" t="s">
        <v>248</v>
      </c>
      <c r="G184" s="41">
        <v>167920</v>
      </c>
      <c r="H184" s="116">
        <v>149</v>
      </c>
      <c r="I184" s="41">
        <v>11.34</v>
      </c>
      <c r="J184" s="98">
        <f t="shared" si="8"/>
        <v>1689.66</v>
      </c>
      <c r="K184" s="60" t="s">
        <v>867</v>
      </c>
      <c r="L184" s="60" t="s">
        <v>885</v>
      </c>
      <c r="M184" s="60" t="s">
        <v>531</v>
      </c>
      <c r="N184" s="60" t="s">
        <v>876</v>
      </c>
      <c r="O184" s="60" t="s">
        <v>876</v>
      </c>
      <c r="P184" s="45" t="s">
        <v>516</v>
      </c>
      <c r="Q184" s="45" t="s">
        <v>6</v>
      </c>
      <c r="R184" s="45" t="s">
        <v>257</v>
      </c>
      <c r="S184" s="45">
        <v>0</v>
      </c>
      <c r="T184" s="119">
        <v>1964.45</v>
      </c>
      <c r="U184" s="62">
        <f t="shared" si="9"/>
        <v>3319252.5870000003</v>
      </c>
      <c r="V184" s="63">
        <f t="shared" ca="1" si="10"/>
        <v>175</v>
      </c>
      <c r="W184" s="52" t="str">
        <f t="shared" ca="1" si="11"/>
        <v>&lt; 6 Months</v>
      </c>
    </row>
    <row r="185" spans="1:23" s="64" customFormat="1" ht="15" customHeight="1">
      <c r="A185" s="45" t="s">
        <v>1112</v>
      </c>
      <c r="B185" s="45" t="s">
        <v>245</v>
      </c>
      <c r="C185" s="45" t="s">
        <v>1067</v>
      </c>
      <c r="D185" s="43" t="s">
        <v>528</v>
      </c>
      <c r="E185" s="43" t="s">
        <v>1114</v>
      </c>
      <c r="F185" s="43" t="s">
        <v>248</v>
      </c>
      <c r="G185" s="41">
        <v>167919</v>
      </c>
      <c r="H185" s="116">
        <v>159</v>
      </c>
      <c r="I185" s="41">
        <v>11.34</v>
      </c>
      <c r="J185" s="98">
        <f t="shared" si="8"/>
        <v>1803.06</v>
      </c>
      <c r="K185" s="60" t="s">
        <v>867</v>
      </c>
      <c r="L185" s="60" t="s">
        <v>886</v>
      </c>
      <c r="M185" s="60" t="s">
        <v>531</v>
      </c>
      <c r="N185" s="60" t="s">
        <v>877</v>
      </c>
      <c r="O185" s="60" t="s">
        <v>877</v>
      </c>
      <c r="P185" s="45" t="s">
        <v>516</v>
      </c>
      <c r="Q185" s="45" t="s">
        <v>6</v>
      </c>
      <c r="R185" s="45" t="s">
        <v>257</v>
      </c>
      <c r="S185" s="45">
        <v>0</v>
      </c>
      <c r="T185" s="119">
        <v>1820.3</v>
      </c>
      <c r="U185" s="62">
        <f t="shared" si="9"/>
        <v>3282110.1179999998</v>
      </c>
      <c r="V185" s="63">
        <f t="shared" ca="1" si="10"/>
        <v>175</v>
      </c>
      <c r="W185" s="52" t="str">
        <f t="shared" ca="1" si="11"/>
        <v>&lt; 6 Months</v>
      </c>
    </row>
    <row r="186" spans="1:23" s="64" customFormat="1" ht="15" customHeight="1">
      <c r="A186" s="45" t="s">
        <v>1099</v>
      </c>
      <c r="B186" s="45" t="s">
        <v>245</v>
      </c>
      <c r="C186" s="45" t="s">
        <v>1087</v>
      </c>
      <c r="D186" s="43" t="s">
        <v>644</v>
      </c>
      <c r="E186" s="43" t="s">
        <v>248</v>
      </c>
      <c r="F186" s="43" t="s">
        <v>771</v>
      </c>
      <c r="G186" s="41">
        <v>168348</v>
      </c>
      <c r="H186" s="116">
        <v>455</v>
      </c>
      <c r="I186" s="41">
        <v>11.34</v>
      </c>
      <c r="J186" s="98">
        <f t="shared" si="8"/>
        <v>5159.7</v>
      </c>
      <c r="K186" s="60" t="s">
        <v>51</v>
      </c>
      <c r="L186" s="60" t="s">
        <v>645</v>
      </c>
      <c r="M186" s="60" t="s">
        <v>645</v>
      </c>
      <c r="N186" s="60" t="s">
        <v>52</v>
      </c>
      <c r="O186" s="60" t="s">
        <v>52</v>
      </c>
      <c r="P186" s="45" t="s">
        <v>516</v>
      </c>
      <c r="Q186" s="45" t="s">
        <v>6</v>
      </c>
      <c r="R186" s="45" t="s">
        <v>257</v>
      </c>
      <c r="S186" s="45" t="s">
        <v>659</v>
      </c>
      <c r="T186" s="119">
        <v>360</v>
      </c>
      <c r="U186" s="62">
        <f t="shared" si="9"/>
        <v>1857492</v>
      </c>
      <c r="V186" s="63">
        <f t="shared" ca="1" si="10"/>
        <v>173</v>
      </c>
      <c r="W186" s="52" t="str">
        <f t="shared" ca="1" si="11"/>
        <v>&lt; 6 Months</v>
      </c>
    </row>
    <row r="187" spans="1:23" s="64" customFormat="1" ht="15" customHeight="1">
      <c r="A187" s="45" t="s">
        <v>1120</v>
      </c>
      <c r="B187" s="45" t="s">
        <v>258</v>
      </c>
      <c r="C187" s="45" t="s">
        <v>1121</v>
      </c>
      <c r="D187" s="43" t="s">
        <v>270</v>
      </c>
      <c r="E187" s="43" t="s">
        <v>1129</v>
      </c>
      <c r="F187" s="43" t="s">
        <v>1031</v>
      </c>
      <c r="G187" s="41">
        <v>9816</v>
      </c>
      <c r="H187" s="116">
        <v>98</v>
      </c>
      <c r="I187" s="41">
        <v>5</v>
      </c>
      <c r="J187" s="98">
        <f t="shared" si="8"/>
        <v>490</v>
      </c>
      <c r="K187" s="60" t="s">
        <v>152</v>
      </c>
      <c r="L187" s="60" t="s">
        <v>271</v>
      </c>
      <c r="M187" s="60" t="s">
        <v>271</v>
      </c>
      <c r="N187" s="60" t="s">
        <v>166</v>
      </c>
      <c r="O187" s="60" t="s">
        <v>272</v>
      </c>
      <c r="P187" s="45" t="s">
        <v>516</v>
      </c>
      <c r="Q187" s="45" t="s">
        <v>6</v>
      </c>
      <c r="R187" s="45" t="s">
        <v>257</v>
      </c>
      <c r="S187" s="45" t="s">
        <v>274</v>
      </c>
      <c r="T187" s="119">
        <v>303</v>
      </c>
      <c r="U187" s="62">
        <f t="shared" si="9"/>
        <v>148470</v>
      </c>
      <c r="V187" s="63">
        <f t="shared" ca="1" si="10"/>
        <v>170</v>
      </c>
      <c r="W187" s="52" t="str">
        <f t="shared" ca="1" si="11"/>
        <v>&lt; 6 Months</v>
      </c>
    </row>
    <row r="188" spans="1:23" s="64" customFormat="1" ht="15" customHeight="1">
      <c r="A188" s="45" t="s">
        <v>1120</v>
      </c>
      <c r="B188" s="45" t="s">
        <v>258</v>
      </c>
      <c r="C188" s="45" t="s">
        <v>1130</v>
      </c>
      <c r="D188" s="43" t="s">
        <v>270</v>
      </c>
      <c r="E188" s="43" t="s">
        <v>1132</v>
      </c>
      <c r="F188" s="43" t="s">
        <v>1027</v>
      </c>
      <c r="G188" s="41">
        <v>9810</v>
      </c>
      <c r="H188" s="116">
        <v>177</v>
      </c>
      <c r="I188" s="41">
        <v>5</v>
      </c>
      <c r="J188" s="98">
        <f t="shared" si="8"/>
        <v>885</v>
      </c>
      <c r="K188" s="60" t="s">
        <v>152</v>
      </c>
      <c r="L188" s="60" t="s">
        <v>271</v>
      </c>
      <c r="M188" s="60" t="s">
        <v>271</v>
      </c>
      <c r="N188" s="60" t="s">
        <v>166</v>
      </c>
      <c r="O188" s="60" t="s">
        <v>272</v>
      </c>
      <c r="P188" s="45" t="s">
        <v>516</v>
      </c>
      <c r="Q188" s="45" t="s">
        <v>6</v>
      </c>
      <c r="R188" s="45" t="s">
        <v>257</v>
      </c>
      <c r="S188" s="45" t="s">
        <v>274</v>
      </c>
      <c r="T188" s="119">
        <v>303</v>
      </c>
      <c r="U188" s="62">
        <f t="shared" si="9"/>
        <v>268155</v>
      </c>
      <c r="V188" s="63">
        <f t="shared" ca="1" si="10"/>
        <v>170</v>
      </c>
      <c r="W188" s="52" t="str">
        <f t="shared" ca="1" si="11"/>
        <v>&lt; 6 Months</v>
      </c>
    </row>
    <row r="189" spans="1:23" s="64" customFormat="1" ht="15" customHeight="1">
      <c r="A189" s="45" t="s">
        <v>1120</v>
      </c>
      <c r="B189" s="45" t="s">
        <v>258</v>
      </c>
      <c r="C189" s="45" t="s">
        <v>1121</v>
      </c>
      <c r="D189" s="43" t="s">
        <v>270</v>
      </c>
      <c r="E189" s="43" t="s">
        <v>1127</v>
      </c>
      <c r="F189" s="43" t="s">
        <v>1128</v>
      </c>
      <c r="G189" s="41">
        <v>9815</v>
      </c>
      <c r="H189" s="116">
        <v>198</v>
      </c>
      <c r="I189" s="41">
        <v>5</v>
      </c>
      <c r="J189" s="98">
        <f t="shared" si="8"/>
        <v>990</v>
      </c>
      <c r="K189" s="60" t="s">
        <v>152</v>
      </c>
      <c r="L189" s="60" t="s">
        <v>271</v>
      </c>
      <c r="M189" s="60" t="s">
        <v>271</v>
      </c>
      <c r="N189" s="60" t="s">
        <v>166</v>
      </c>
      <c r="O189" s="60" t="s">
        <v>272</v>
      </c>
      <c r="P189" s="45" t="s">
        <v>516</v>
      </c>
      <c r="Q189" s="45" t="s">
        <v>6</v>
      </c>
      <c r="R189" s="45" t="s">
        <v>257</v>
      </c>
      <c r="S189" s="45" t="s">
        <v>274</v>
      </c>
      <c r="T189" s="119">
        <v>303</v>
      </c>
      <c r="U189" s="62">
        <f t="shared" si="9"/>
        <v>299970</v>
      </c>
      <c r="V189" s="63">
        <f t="shared" ca="1" si="10"/>
        <v>170</v>
      </c>
      <c r="W189" s="52" t="str">
        <f t="shared" ca="1" si="11"/>
        <v>&lt; 6 Months</v>
      </c>
    </row>
    <row r="190" spans="1:23" s="64" customFormat="1" ht="15" customHeight="1">
      <c r="A190" s="45" t="s">
        <v>1120</v>
      </c>
      <c r="B190" s="45" t="s">
        <v>258</v>
      </c>
      <c r="C190" s="45" t="s">
        <v>1121</v>
      </c>
      <c r="D190" s="43" t="s">
        <v>270</v>
      </c>
      <c r="E190" s="43" t="s">
        <v>1125</v>
      </c>
      <c r="F190" s="43" t="s">
        <v>1126</v>
      </c>
      <c r="G190" s="41">
        <v>9814</v>
      </c>
      <c r="H190" s="116">
        <v>198</v>
      </c>
      <c r="I190" s="41">
        <v>5</v>
      </c>
      <c r="J190" s="98">
        <f t="shared" si="8"/>
        <v>990</v>
      </c>
      <c r="K190" s="60" t="s">
        <v>152</v>
      </c>
      <c r="L190" s="60" t="s">
        <v>271</v>
      </c>
      <c r="M190" s="60" t="s">
        <v>271</v>
      </c>
      <c r="N190" s="60" t="s">
        <v>166</v>
      </c>
      <c r="O190" s="60" t="s">
        <v>272</v>
      </c>
      <c r="P190" s="45" t="s">
        <v>516</v>
      </c>
      <c r="Q190" s="45" t="s">
        <v>6</v>
      </c>
      <c r="R190" s="45" t="s">
        <v>257</v>
      </c>
      <c r="S190" s="45" t="s">
        <v>274</v>
      </c>
      <c r="T190" s="119">
        <v>303</v>
      </c>
      <c r="U190" s="62">
        <f t="shared" si="9"/>
        <v>299970</v>
      </c>
      <c r="V190" s="63">
        <f t="shared" ca="1" si="10"/>
        <v>170</v>
      </c>
      <c r="W190" s="52" t="str">
        <f t="shared" ca="1" si="11"/>
        <v>&lt; 6 Months</v>
      </c>
    </row>
    <row r="191" spans="1:23" s="64" customFormat="1" ht="15" customHeight="1">
      <c r="A191" s="45" t="s">
        <v>1120</v>
      </c>
      <c r="B191" s="45" t="s">
        <v>258</v>
      </c>
      <c r="C191" s="45" t="s">
        <v>1121</v>
      </c>
      <c r="D191" s="43" t="s">
        <v>270</v>
      </c>
      <c r="E191" s="43" t="s">
        <v>1124</v>
      </c>
      <c r="F191" s="43" t="s">
        <v>1030</v>
      </c>
      <c r="G191" s="41">
        <v>9813</v>
      </c>
      <c r="H191" s="116">
        <v>197</v>
      </c>
      <c r="I191" s="41">
        <v>5</v>
      </c>
      <c r="J191" s="98">
        <f t="shared" si="8"/>
        <v>985</v>
      </c>
      <c r="K191" s="60" t="s">
        <v>152</v>
      </c>
      <c r="L191" s="60" t="s">
        <v>271</v>
      </c>
      <c r="M191" s="60" t="s">
        <v>271</v>
      </c>
      <c r="N191" s="60" t="s">
        <v>166</v>
      </c>
      <c r="O191" s="60" t="s">
        <v>272</v>
      </c>
      <c r="P191" s="45" t="s">
        <v>516</v>
      </c>
      <c r="Q191" s="45" t="s">
        <v>6</v>
      </c>
      <c r="R191" s="45" t="s">
        <v>257</v>
      </c>
      <c r="S191" s="45" t="s">
        <v>274</v>
      </c>
      <c r="T191" s="119">
        <v>303</v>
      </c>
      <c r="U191" s="62">
        <f t="shared" si="9"/>
        <v>298455</v>
      </c>
      <c r="V191" s="63">
        <f t="shared" ca="1" si="10"/>
        <v>170</v>
      </c>
      <c r="W191" s="52" t="str">
        <f t="shared" ca="1" si="11"/>
        <v>&lt; 6 Months</v>
      </c>
    </row>
    <row r="192" spans="1:23" s="64" customFormat="1" ht="15" customHeight="1">
      <c r="A192" s="45" t="s">
        <v>1120</v>
      </c>
      <c r="B192" s="45" t="s">
        <v>258</v>
      </c>
      <c r="C192" s="45" t="s">
        <v>1121</v>
      </c>
      <c r="D192" s="43" t="s">
        <v>270</v>
      </c>
      <c r="E192" s="43" t="s">
        <v>1123</v>
      </c>
      <c r="F192" s="43" t="s">
        <v>1029</v>
      </c>
      <c r="G192" s="41">
        <v>9812</v>
      </c>
      <c r="H192" s="116">
        <v>191</v>
      </c>
      <c r="I192" s="41">
        <v>5</v>
      </c>
      <c r="J192" s="98">
        <f t="shared" si="8"/>
        <v>955</v>
      </c>
      <c r="K192" s="60" t="s">
        <v>152</v>
      </c>
      <c r="L192" s="60" t="s">
        <v>271</v>
      </c>
      <c r="M192" s="60" t="s">
        <v>271</v>
      </c>
      <c r="N192" s="60" t="s">
        <v>166</v>
      </c>
      <c r="O192" s="60" t="s">
        <v>272</v>
      </c>
      <c r="P192" s="45" t="s">
        <v>516</v>
      </c>
      <c r="Q192" s="45" t="s">
        <v>6</v>
      </c>
      <c r="R192" s="45" t="s">
        <v>257</v>
      </c>
      <c r="S192" s="45" t="s">
        <v>274</v>
      </c>
      <c r="T192" s="119">
        <v>303</v>
      </c>
      <c r="U192" s="62">
        <f t="shared" si="9"/>
        <v>289365</v>
      </c>
      <c r="V192" s="63">
        <f t="shared" ca="1" si="10"/>
        <v>170</v>
      </c>
      <c r="W192" s="52" t="str">
        <f t="shared" ca="1" si="11"/>
        <v>&lt; 6 Months</v>
      </c>
    </row>
    <row r="193" spans="1:23" s="64" customFormat="1" ht="15" customHeight="1">
      <c r="A193" s="45" t="s">
        <v>1120</v>
      </c>
      <c r="B193" s="45" t="s">
        <v>258</v>
      </c>
      <c r="C193" s="45" t="s">
        <v>1121</v>
      </c>
      <c r="D193" s="43" t="s">
        <v>270</v>
      </c>
      <c r="E193" s="43" t="s">
        <v>1122</v>
      </c>
      <c r="F193" s="43" t="s">
        <v>1028</v>
      </c>
      <c r="G193" s="41">
        <v>9811</v>
      </c>
      <c r="H193" s="116">
        <v>198</v>
      </c>
      <c r="I193" s="41">
        <v>5</v>
      </c>
      <c r="J193" s="98">
        <f t="shared" si="8"/>
        <v>990</v>
      </c>
      <c r="K193" s="60" t="s">
        <v>152</v>
      </c>
      <c r="L193" s="60" t="s">
        <v>271</v>
      </c>
      <c r="M193" s="60" t="s">
        <v>271</v>
      </c>
      <c r="N193" s="60" t="s">
        <v>166</v>
      </c>
      <c r="O193" s="60" t="s">
        <v>272</v>
      </c>
      <c r="P193" s="45" t="s">
        <v>516</v>
      </c>
      <c r="Q193" s="45" t="s">
        <v>6</v>
      </c>
      <c r="R193" s="45" t="s">
        <v>257</v>
      </c>
      <c r="S193" s="45" t="s">
        <v>274</v>
      </c>
      <c r="T193" s="119">
        <v>303</v>
      </c>
      <c r="U193" s="62">
        <f t="shared" si="9"/>
        <v>299970</v>
      </c>
      <c r="V193" s="63">
        <f t="shared" ca="1" si="10"/>
        <v>170</v>
      </c>
      <c r="W193" s="52" t="str">
        <f t="shared" ca="1" si="11"/>
        <v>&lt; 6 Months</v>
      </c>
    </row>
    <row r="194" spans="1:23" s="64" customFormat="1" ht="15" customHeight="1">
      <c r="A194" s="45" t="s">
        <v>1120</v>
      </c>
      <c r="B194" s="45" t="s">
        <v>258</v>
      </c>
      <c r="C194" s="45" t="s">
        <v>1130</v>
      </c>
      <c r="D194" s="43" t="s">
        <v>270</v>
      </c>
      <c r="E194" s="43" t="s">
        <v>1131</v>
      </c>
      <c r="F194" s="43" t="s">
        <v>1026</v>
      </c>
      <c r="G194" s="41">
        <v>9809</v>
      </c>
      <c r="H194" s="116">
        <v>198</v>
      </c>
      <c r="I194" s="41">
        <v>5</v>
      </c>
      <c r="J194" s="98">
        <f t="shared" si="8"/>
        <v>990</v>
      </c>
      <c r="K194" s="60" t="s">
        <v>152</v>
      </c>
      <c r="L194" s="60" t="s">
        <v>271</v>
      </c>
      <c r="M194" s="60" t="s">
        <v>271</v>
      </c>
      <c r="N194" s="60" t="s">
        <v>166</v>
      </c>
      <c r="O194" s="60" t="s">
        <v>272</v>
      </c>
      <c r="P194" s="45" t="s">
        <v>516</v>
      </c>
      <c r="Q194" s="45" t="s">
        <v>6</v>
      </c>
      <c r="R194" s="45" t="s">
        <v>257</v>
      </c>
      <c r="S194" s="45" t="s">
        <v>274</v>
      </c>
      <c r="T194" s="119">
        <v>303</v>
      </c>
      <c r="U194" s="62">
        <f t="shared" si="9"/>
        <v>299970</v>
      </c>
      <c r="V194" s="63">
        <f t="shared" ca="1" si="10"/>
        <v>170</v>
      </c>
      <c r="W194" s="52" t="str">
        <f t="shared" ca="1" si="11"/>
        <v>&lt; 6 Months</v>
      </c>
    </row>
    <row r="195" spans="1:23" s="64" customFormat="1" ht="15" customHeight="1">
      <c r="A195" s="45" t="s">
        <v>1133</v>
      </c>
      <c r="B195" s="45" t="s">
        <v>258</v>
      </c>
      <c r="C195" s="45" t="s">
        <v>1140</v>
      </c>
      <c r="D195" s="43" t="s">
        <v>270</v>
      </c>
      <c r="E195" s="43" t="s">
        <v>1141</v>
      </c>
      <c r="F195" s="43" t="s">
        <v>248</v>
      </c>
      <c r="G195" s="41">
        <v>9977</v>
      </c>
      <c r="H195" s="116">
        <v>24</v>
      </c>
      <c r="I195" s="41">
        <v>5</v>
      </c>
      <c r="J195" s="98">
        <f t="shared" si="8"/>
        <v>120</v>
      </c>
      <c r="K195" s="60" t="s">
        <v>152</v>
      </c>
      <c r="L195" s="60" t="s">
        <v>271</v>
      </c>
      <c r="M195" s="60" t="s">
        <v>271</v>
      </c>
      <c r="N195" s="60" t="s">
        <v>166</v>
      </c>
      <c r="O195" s="60" t="s">
        <v>272</v>
      </c>
      <c r="P195" s="45" t="s">
        <v>516</v>
      </c>
      <c r="Q195" s="45" t="s">
        <v>6</v>
      </c>
      <c r="R195" s="45" t="s">
        <v>257</v>
      </c>
      <c r="S195" s="45" t="s">
        <v>274</v>
      </c>
      <c r="T195" s="119">
        <v>303</v>
      </c>
      <c r="U195" s="62">
        <f t="shared" si="9"/>
        <v>36360</v>
      </c>
      <c r="V195" s="63">
        <f t="shared" ca="1" si="10"/>
        <v>168</v>
      </c>
      <c r="W195" s="52" t="str">
        <f t="shared" ca="1" si="11"/>
        <v>&lt; 6 Months</v>
      </c>
    </row>
    <row r="196" spans="1:23" s="64" customFormat="1" ht="15" customHeight="1">
      <c r="A196" s="45" t="s">
        <v>1133</v>
      </c>
      <c r="B196" s="45" t="s">
        <v>258</v>
      </c>
      <c r="C196" s="45" t="s">
        <v>1140</v>
      </c>
      <c r="D196" s="43" t="s">
        <v>256</v>
      </c>
      <c r="E196" s="43" t="s">
        <v>1143</v>
      </c>
      <c r="F196" s="43" t="s">
        <v>248</v>
      </c>
      <c r="G196" s="41">
        <v>9976</v>
      </c>
      <c r="H196" s="116">
        <v>10</v>
      </c>
      <c r="I196" s="41">
        <v>5</v>
      </c>
      <c r="J196" s="98">
        <f t="shared" si="8"/>
        <v>50</v>
      </c>
      <c r="K196" s="60" t="s">
        <v>190</v>
      </c>
      <c r="L196" s="60" t="s">
        <v>366</v>
      </c>
      <c r="M196" s="60" t="s">
        <v>366</v>
      </c>
      <c r="N196" s="60" t="s">
        <v>196</v>
      </c>
      <c r="O196" s="60" t="s">
        <v>196</v>
      </c>
      <c r="P196" s="45" t="s">
        <v>516</v>
      </c>
      <c r="Q196" s="45" t="s">
        <v>6</v>
      </c>
      <c r="R196" s="45" t="s">
        <v>257</v>
      </c>
      <c r="S196" s="45" t="s">
        <v>274</v>
      </c>
      <c r="T196" s="119">
        <v>527</v>
      </c>
      <c r="U196" s="62">
        <f t="shared" si="9"/>
        <v>26350</v>
      </c>
      <c r="V196" s="63">
        <f t="shared" ca="1" si="10"/>
        <v>168</v>
      </c>
      <c r="W196" s="52" t="str">
        <f t="shared" ca="1" si="11"/>
        <v>&lt; 6 Months</v>
      </c>
    </row>
    <row r="197" spans="1:23" s="64" customFormat="1" ht="15" customHeight="1">
      <c r="A197" s="45" t="s">
        <v>1133</v>
      </c>
      <c r="B197" s="45" t="s">
        <v>258</v>
      </c>
      <c r="C197" s="45" t="s">
        <v>1140</v>
      </c>
      <c r="D197" s="43" t="s">
        <v>270</v>
      </c>
      <c r="E197" s="43" t="s">
        <v>1142</v>
      </c>
      <c r="F197" s="43" t="s">
        <v>248</v>
      </c>
      <c r="G197" s="41">
        <v>9975</v>
      </c>
      <c r="H197" s="116">
        <v>13</v>
      </c>
      <c r="I197" s="41">
        <v>5</v>
      </c>
      <c r="J197" s="98">
        <f t="shared" si="8"/>
        <v>65</v>
      </c>
      <c r="K197" s="60" t="s">
        <v>190</v>
      </c>
      <c r="L197" s="60" t="s">
        <v>870</v>
      </c>
      <c r="M197" s="60" t="s">
        <v>247</v>
      </c>
      <c r="N197" s="60" t="s">
        <v>194</v>
      </c>
      <c r="O197" s="60" t="s">
        <v>450</v>
      </c>
      <c r="P197" s="45" t="s">
        <v>516</v>
      </c>
      <c r="Q197" s="45" t="s">
        <v>6</v>
      </c>
      <c r="R197" s="45" t="s">
        <v>257</v>
      </c>
      <c r="S197" s="45" t="s">
        <v>247</v>
      </c>
      <c r="T197" s="119">
        <v>401</v>
      </c>
      <c r="U197" s="62">
        <f t="shared" si="9"/>
        <v>26065</v>
      </c>
      <c r="V197" s="63">
        <f t="shared" ca="1" si="10"/>
        <v>168</v>
      </c>
      <c r="W197" s="52" t="str">
        <f t="shared" ca="1" si="11"/>
        <v>&lt; 6 Months</v>
      </c>
    </row>
    <row r="198" spans="1:23" s="64" customFormat="1" ht="15" customHeight="1">
      <c r="A198" s="45" t="s">
        <v>1133</v>
      </c>
      <c r="B198" s="45" t="s">
        <v>258</v>
      </c>
      <c r="C198" s="45" t="s">
        <v>1134</v>
      </c>
      <c r="D198" s="43" t="s">
        <v>270</v>
      </c>
      <c r="E198" s="43" t="s">
        <v>1135</v>
      </c>
      <c r="F198" s="43" t="s">
        <v>1116</v>
      </c>
      <c r="G198" s="41">
        <v>9896</v>
      </c>
      <c r="H198" s="116">
        <v>206</v>
      </c>
      <c r="I198" s="41">
        <v>5</v>
      </c>
      <c r="J198" s="98">
        <f t="shared" si="8"/>
        <v>1030</v>
      </c>
      <c r="K198" s="60" t="s">
        <v>190</v>
      </c>
      <c r="L198" s="60" t="s">
        <v>861</v>
      </c>
      <c r="M198" s="60" t="s">
        <v>378</v>
      </c>
      <c r="N198" s="60" t="s">
        <v>202</v>
      </c>
      <c r="O198" s="60" t="s">
        <v>202</v>
      </c>
      <c r="P198" s="45" t="s">
        <v>516</v>
      </c>
      <c r="Q198" s="45" t="s">
        <v>6</v>
      </c>
      <c r="R198" s="45" t="s">
        <v>257</v>
      </c>
      <c r="S198" s="45" t="s">
        <v>274</v>
      </c>
      <c r="T198" s="119">
        <v>1127</v>
      </c>
      <c r="U198" s="62">
        <f t="shared" si="9"/>
        <v>1160810</v>
      </c>
      <c r="V198" s="63">
        <f t="shared" ca="1" si="10"/>
        <v>168</v>
      </c>
      <c r="W198" s="52" t="str">
        <f t="shared" ca="1" si="11"/>
        <v>&lt; 6 Months</v>
      </c>
    </row>
    <row r="199" spans="1:23" s="64" customFormat="1" ht="15" customHeight="1">
      <c r="A199" s="45" t="s">
        <v>1133</v>
      </c>
      <c r="B199" s="45" t="s">
        <v>258</v>
      </c>
      <c r="C199" s="45" t="s">
        <v>1134</v>
      </c>
      <c r="D199" s="43" t="s">
        <v>270</v>
      </c>
      <c r="E199" s="43" t="s">
        <v>1136</v>
      </c>
      <c r="F199" s="43" t="s">
        <v>1115</v>
      </c>
      <c r="G199" s="41">
        <v>9895</v>
      </c>
      <c r="H199" s="116">
        <v>45</v>
      </c>
      <c r="I199" s="41">
        <v>5</v>
      </c>
      <c r="J199" s="98">
        <f t="shared" si="8"/>
        <v>225</v>
      </c>
      <c r="K199" s="60" t="s">
        <v>190</v>
      </c>
      <c r="L199" s="60" t="s">
        <v>857</v>
      </c>
      <c r="M199" s="60" t="s">
        <v>507</v>
      </c>
      <c r="N199" s="60" t="s">
        <v>200</v>
      </c>
      <c r="O199" s="60" t="s">
        <v>654</v>
      </c>
      <c r="P199" s="45" t="s">
        <v>516</v>
      </c>
      <c r="Q199" s="45" t="s">
        <v>6</v>
      </c>
      <c r="R199" s="45" t="s">
        <v>257</v>
      </c>
      <c r="S199" s="45" t="s">
        <v>274</v>
      </c>
      <c r="T199" s="119">
        <v>1034</v>
      </c>
      <c r="U199" s="62">
        <f t="shared" si="9"/>
        <v>232650</v>
      </c>
      <c r="V199" s="63">
        <f t="shared" ca="1" si="10"/>
        <v>168</v>
      </c>
      <c r="W199" s="52" t="str">
        <f t="shared" ca="1" si="11"/>
        <v>&lt; 6 Months</v>
      </c>
    </row>
    <row r="200" spans="1:23" s="64" customFormat="1" ht="15" customHeight="1">
      <c r="A200" s="45" t="s">
        <v>1146</v>
      </c>
      <c r="B200" s="45" t="s">
        <v>245</v>
      </c>
      <c r="C200" s="45" t="s">
        <v>1147</v>
      </c>
      <c r="D200" s="43" t="s">
        <v>1148</v>
      </c>
      <c r="E200" s="43" t="s">
        <v>332</v>
      </c>
      <c r="F200" s="43" t="s">
        <v>248</v>
      </c>
      <c r="G200" s="41">
        <v>169856</v>
      </c>
      <c r="H200" s="116">
        <v>40</v>
      </c>
      <c r="I200" s="41">
        <v>50</v>
      </c>
      <c r="J200" s="98">
        <f t="shared" ref="J200:J263" si="12">I200*H200</f>
        <v>2000</v>
      </c>
      <c r="K200" s="60" t="s">
        <v>762</v>
      </c>
      <c r="L200" s="60" t="s">
        <v>1044</v>
      </c>
      <c r="M200" s="60" t="s">
        <v>762</v>
      </c>
      <c r="N200" s="60" t="s">
        <v>1045</v>
      </c>
      <c r="O200" s="60" t="s">
        <v>1046</v>
      </c>
      <c r="P200" s="45" t="s">
        <v>516</v>
      </c>
      <c r="Q200" s="45" t="s">
        <v>6</v>
      </c>
      <c r="R200" s="45" t="s">
        <v>257</v>
      </c>
      <c r="S200" s="45">
        <v>0</v>
      </c>
      <c r="T200" s="119">
        <v>93</v>
      </c>
      <c r="U200" s="62">
        <f t="shared" ref="U200:U263" si="13">T200*J200</f>
        <v>186000</v>
      </c>
      <c r="V200" s="63">
        <f t="shared" ref="V200:V263" ca="1" si="14">$V$4-A200</f>
        <v>167</v>
      </c>
      <c r="W200" s="52" t="str">
        <f t="shared" ref="W200:W263" ca="1" si="15">VLOOKUP(V200,$Y$2:$Z$6,2)</f>
        <v>&lt; 6 Months</v>
      </c>
    </row>
    <row r="201" spans="1:23" s="64" customFormat="1" ht="15" customHeight="1">
      <c r="A201" s="45" t="s">
        <v>1163</v>
      </c>
      <c r="B201" s="45" t="s">
        <v>258</v>
      </c>
      <c r="C201" s="45" t="s">
        <v>1164</v>
      </c>
      <c r="D201" s="43" t="s">
        <v>270</v>
      </c>
      <c r="E201" s="43" t="s">
        <v>1166</v>
      </c>
      <c r="F201" s="43" t="s">
        <v>1167</v>
      </c>
      <c r="G201" s="41">
        <v>10260</v>
      </c>
      <c r="H201" s="116">
        <v>158</v>
      </c>
      <c r="I201" s="41">
        <v>5</v>
      </c>
      <c r="J201" s="98">
        <f t="shared" si="12"/>
        <v>790</v>
      </c>
      <c r="K201" s="60" t="s">
        <v>190</v>
      </c>
      <c r="L201" s="60" t="s">
        <v>857</v>
      </c>
      <c r="M201" s="60" t="s">
        <v>507</v>
      </c>
      <c r="N201" s="60" t="s">
        <v>200</v>
      </c>
      <c r="O201" s="60" t="s">
        <v>654</v>
      </c>
      <c r="P201" s="45" t="s">
        <v>516</v>
      </c>
      <c r="Q201" s="45" t="s">
        <v>6</v>
      </c>
      <c r="R201" s="45" t="s">
        <v>257</v>
      </c>
      <c r="S201" s="45" t="s">
        <v>274</v>
      </c>
      <c r="T201" s="119">
        <v>1034</v>
      </c>
      <c r="U201" s="62">
        <f t="shared" si="13"/>
        <v>816860</v>
      </c>
      <c r="V201" s="63">
        <f t="shared" ca="1" si="14"/>
        <v>161</v>
      </c>
      <c r="W201" s="52" t="str">
        <f t="shared" ca="1" si="15"/>
        <v>&lt; 6 Months</v>
      </c>
    </row>
    <row r="202" spans="1:23" s="64" customFormat="1" ht="15" customHeight="1">
      <c r="A202" s="45" t="s">
        <v>1163</v>
      </c>
      <c r="B202" s="45" t="s">
        <v>258</v>
      </c>
      <c r="C202" s="45" t="s">
        <v>1164</v>
      </c>
      <c r="D202" s="43" t="s">
        <v>270</v>
      </c>
      <c r="E202" s="43" t="s">
        <v>1166</v>
      </c>
      <c r="F202" s="43" t="s">
        <v>1167</v>
      </c>
      <c r="G202" s="41">
        <v>10258</v>
      </c>
      <c r="H202" s="116">
        <v>158</v>
      </c>
      <c r="I202" s="41">
        <v>5</v>
      </c>
      <c r="J202" s="98">
        <f t="shared" si="12"/>
        <v>790</v>
      </c>
      <c r="K202" s="60" t="s">
        <v>190</v>
      </c>
      <c r="L202" s="60" t="s">
        <v>857</v>
      </c>
      <c r="M202" s="60" t="s">
        <v>507</v>
      </c>
      <c r="N202" s="60" t="s">
        <v>200</v>
      </c>
      <c r="O202" s="60" t="s">
        <v>654</v>
      </c>
      <c r="P202" s="45" t="s">
        <v>516</v>
      </c>
      <c r="Q202" s="45" t="s">
        <v>6</v>
      </c>
      <c r="R202" s="45" t="s">
        <v>257</v>
      </c>
      <c r="S202" s="45" t="s">
        <v>274</v>
      </c>
      <c r="T202" s="119">
        <v>1034</v>
      </c>
      <c r="U202" s="62">
        <f t="shared" si="13"/>
        <v>816860</v>
      </c>
      <c r="V202" s="63">
        <f t="shared" ca="1" si="14"/>
        <v>161</v>
      </c>
      <c r="W202" s="52" t="str">
        <f t="shared" ca="1" si="15"/>
        <v>&lt; 6 Months</v>
      </c>
    </row>
    <row r="203" spans="1:23" s="64" customFormat="1" ht="15" customHeight="1">
      <c r="A203" s="45" t="s">
        <v>1158</v>
      </c>
      <c r="B203" s="45" t="s">
        <v>245</v>
      </c>
      <c r="C203" s="45" t="s">
        <v>1159</v>
      </c>
      <c r="D203" s="43" t="s">
        <v>270</v>
      </c>
      <c r="E203" s="43" t="s">
        <v>1160</v>
      </c>
      <c r="F203" s="43" t="s">
        <v>1162</v>
      </c>
      <c r="G203" s="41">
        <v>170850</v>
      </c>
      <c r="H203" s="116">
        <v>118</v>
      </c>
      <c r="I203" s="41">
        <v>5</v>
      </c>
      <c r="J203" s="98">
        <f t="shared" si="12"/>
        <v>590</v>
      </c>
      <c r="K203" s="60" t="s">
        <v>190</v>
      </c>
      <c r="L203" s="60" t="s">
        <v>859</v>
      </c>
      <c r="M203" s="60" t="s">
        <v>440</v>
      </c>
      <c r="N203" s="60" t="s">
        <v>204</v>
      </c>
      <c r="O203" s="60" t="s">
        <v>441</v>
      </c>
      <c r="P203" s="45" t="s">
        <v>516</v>
      </c>
      <c r="Q203" s="45" t="s">
        <v>6</v>
      </c>
      <c r="R203" s="45" t="s">
        <v>257</v>
      </c>
      <c r="S203" s="45" t="s">
        <v>274</v>
      </c>
      <c r="T203" s="119">
        <v>860</v>
      </c>
      <c r="U203" s="62">
        <f t="shared" si="13"/>
        <v>507400</v>
      </c>
      <c r="V203" s="63">
        <f t="shared" ca="1" si="14"/>
        <v>160</v>
      </c>
      <c r="W203" s="52" t="str">
        <f t="shared" ca="1" si="15"/>
        <v>&lt; 6 Months</v>
      </c>
    </row>
    <row r="204" spans="1:23" s="64" customFormat="1" ht="15" customHeight="1">
      <c r="A204" s="45" t="s">
        <v>1158</v>
      </c>
      <c r="B204" s="45" t="s">
        <v>245</v>
      </c>
      <c r="C204" s="45" t="s">
        <v>1159</v>
      </c>
      <c r="D204" s="43" t="s">
        <v>270</v>
      </c>
      <c r="E204" s="43" t="s">
        <v>1160</v>
      </c>
      <c r="F204" s="43" t="s">
        <v>1161</v>
      </c>
      <c r="G204" s="41">
        <v>170852</v>
      </c>
      <c r="H204" s="116">
        <v>36</v>
      </c>
      <c r="I204" s="41">
        <v>5</v>
      </c>
      <c r="J204" s="98">
        <f t="shared" si="12"/>
        <v>180</v>
      </c>
      <c r="K204" s="60" t="s">
        <v>190</v>
      </c>
      <c r="L204" s="60" t="s">
        <v>859</v>
      </c>
      <c r="M204" s="60" t="s">
        <v>440</v>
      </c>
      <c r="N204" s="60" t="s">
        <v>204</v>
      </c>
      <c r="O204" s="60" t="s">
        <v>441</v>
      </c>
      <c r="P204" s="45" t="s">
        <v>516</v>
      </c>
      <c r="Q204" s="45" t="s">
        <v>6</v>
      </c>
      <c r="R204" s="45" t="s">
        <v>257</v>
      </c>
      <c r="S204" s="45" t="s">
        <v>274</v>
      </c>
      <c r="T204" s="119">
        <v>860</v>
      </c>
      <c r="U204" s="62">
        <f t="shared" si="13"/>
        <v>154800</v>
      </c>
      <c r="V204" s="63">
        <f t="shared" ca="1" si="14"/>
        <v>160</v>
      </c>
      <c r="W204" s="52" t="str">
        <f t="shared" ca="1" si="15"/>
        <v>&lt; 6 Months</v>
      </c>
    </row>
    <row r="205" spans="1:23" s="64" customFormat="1" ht="15" customHeight="1">
      <c r="A205" s="45" t="s">
        <v>1172</v>
      </c>
      <c r="B205" s="45" t="s">
        <v>258</v>
      </c>
      <c r="C205" s="45" t="s">
        <v>1173</v>
      </c>
      <c r="D205" s="43" t="s">
        <v>270</v>
      </c>
      <c r="E205" s="43" t="s">
        <v>1174</v>
      </c>
      <c r="F205" s="43" t="s">
        <v>248</v>
      </c>
      <c r="G205" s="41">
        <v>10470</v>
      </c>
      <c r="H205" s="116">
        <v>47</v>
      </c>
      <c r="I205" s="41">
        <v>5</v>
      </c>
      <c r="J205" s="98">
        <f t="shared" si="12"/>
        <v>235</v>
      </c>
      <c r="K205" s="60" t="s">
        <v>190</v>
      </c>
      <c r="L205" s="60" t="s">
        <v>1183</v>
      </c>
      <c r="M205" s="60" t="s">
        <v>440</v>
      </c>
      <c r="N205" s="60" t="s">
        <v>1184</v>
      </c>
      <c r="O205" s="60" t="s">
        <v>441</v>
      </c>
      <c r="P205" s="45" t="s">
        <v>516</v>
      </c>
      <c r="Q205" s="45" t="s">
        <v>6</v>
      </c>
      <c r="R205" s="45" t="s">
        <v>257</v>
      </c>
      <c r="S205" s="45" t="s">
        <v>274</v>
      </c>
      <c r="T205" s="119">
        <v>860</v>
      </c>
      <c r="U205" s="62">
        <f t="shared" si="13"/>
        <v>202100</v>
      </c>
      <c r="V205" s="63">
        <f t="shared" ca="1" si="14"/>
        <v>159</v>
      </c>
      <c r="W205" s="52" t="str">
        <f t="shared" ca="1" si="15"/>
        <v>&lt; 6 Months</v>
      </c>
    </row>
    <row r="206" spans="1:23" s="64" customFormat="1" ht="15" customHeight="1">
      <c r="A206" s="45" t="s">
        <v>1176</v>
      </c>
      <c r="B206" s="45" t="s">
        <v>258</v>
      </c>
      <c r="C206" s="45" t="s">
        <v>1177</v>
      </c>
      <c r="D206" s="43" t="s">
        <v>270</v>
      </c>
      <c r="E206" s="43" t="s">
        <v>1165</v>
      </c>
      <c r="F206" s="43" t="s">
        <v>1178</v>
      </c>
      <c r="G206" s="41">
        <v>10570</v>
      </c>
      <c r="H206" s="116">
        <v>60</v>
      </c>
      <c r="I206" s="41">
        <v>5</v>
      </c>
      <c r="J206" s="98">
        <f t="shared" si="12"/>
        <v>300</v>
      </c>
      <c r="K206" s="60" t="s">
        <v>190</v>
      </c>
      <c r="L206" s="60" t="s">
        <v>1183</v>
      </c>
      <c r="M206" s="60" t="s">
        <v>1175</v>
      </c>
      <c r="N206" s="60" t="s">
        <v>1184</v>
      </c>
      <c r="O206" s="60" t="s">
        <v>1181</v>
      </c>
      <c r="P206" s="45" t="s">
        <v>516</v>
      </c>
      <c r="Q206" s="45" t="s">
        <v>6</v>
      </c>
      <c r="R206" s="45" t="s">
        <v>257</v>
      </c>
      <c r="S206" s="45" t="s">
        <v>274</v>
      </c>
      <c r="T206" s="119">
        <v>860</v>
      </c>
      <c r="U206" s="62">
        <f t="shared" si="13"/>
        <v>258000</v>
      </c>
      <c r="V206" s="63">
        <f t="shared" ca="1" si="14"/>
        <v>157</v>
      </c>
      <c r="W206" s="52" t="str">
        <f t="shared" ca="1" si="15"/>
        <v>&lt; 6 Months</v>
      </c>
    </row>
    <row r="207" spans="1:23" s="64" customFormat="1" ht="15" customHeight="1">
      <c r="A207" s="45" t="s">
        <v>1176</v>
      </c>
      <c r="B207" s="45" t="s">
        <v>245</v>
      </c>
      <c r="C207" s="45" t="s">
        <v>1179</v>
      </c>
      <c r="D207" s="43" t="s">
        <v>644</v>
      </c>
      <c r="E207" s="43" t="s">
        <v>1180</v>
      </c>
      <c r="F207" s="43" t="s">
        <v>547</v>
      </c>
      <c r="G207" s="41">
        <v>171590</v>
      </c>
      <c r="H207" s="116">
        <v>84</v>
      </c>
      <c r="I207" s="41">
        <v>11.34</v>
      </c>
      <c r="J207" s="98">
        <f t="shared" si="12"/>
        <v>952.56</v>
      </c>
      <c r="K207" s="60" t="s">
        <v>51</v>
      </c>
      <c r="L207" s="60" t="s">
        <v>639</v>
      </c>
      <c r="M207" s="60" t="s">
        <v>639</v>
      </c>
      <c r="N207" s="60" t="s">
        <v>53</v>
      </c>
      <c r="O207" s="60" t="s">
        <v>53</v>
      </c>
      <c r="P207" s="45" t="s">
        <v>516</v>
      </c>
      <c r="Q207" s="45" t="s">
        <v>6</v>
      </c>
      <c r="R207" s="45" t="s">
        <v>257</v>
      </c>
      <c r="S207" s="45" t="s">
        <v>659</v>
      </c>
      <c r="T207" s="119">
        <v>415</v>
      </c>
      <c r="U207" s="62">
        <f t="shared" si="13"/>
        <v>395312.39999999997</v>
      </c>
      <c r="V207" s="63">
        <f t="shared" ca="1" si="14"/>
        <v>157</v>
      </c>
      <c r="W207" s="52" t="str">
        <f t="shared" ca="1" si="15"/>
        <v>&lt; 6 Months</v>
      </c>
    </row>
    <row r="208" spans="1:23" s="64" customFormat="1" ht="15" customHeight="1">
      <c r="A208" s="45" t="s">
        <v>1185</v>
      </c>
      <c r="B208" s="45" t="s">
        <v>258</v>
      </c>
      <c r="C208" s="45" t="s">
        <v>1186</v>
      </c>
      <c r="D208" s="43" t="s">
        <v>1189</v>
      </c>
      <c r="E208" s="43" t="s">
        <v>1190</v>
      </c>
      <c r="F208" s="43" t="s">
        <v>248</v>
      </c>
      <c r="G208" s="41">
        <v>10670</v>
      </c>
      <c r="H208" s="116">
        <v>1</v>
      </c>
      <c r="I208" s="41">
        <v>15</v>
      </c>
      <c r="J208" s="98">
        <f t="shared" si="12"/>
        <v>15</v>
      </c>
      <c r="K208" s="60" t="s">
        <v>34</v>
      </c>
      <c r="L208" s="60" t="s">
        <v>1193</v>
      </c>
      <c r="M208" s="60" t="s">
        <v>1192</v>
      </c>
      <c r="N208" s="60" t="s">
        <v>524</v>
      </c>
      <c r="O208" s="60" t="s">
        <v>524</v>
      </c>
      <c r="P208" s="45" t="s">
        <v>516</v>
      </c>
      <c r="Q208" s="45" t="s">
        <v>6</v>
      </c>
      <c r="R208" s="45" t="s">
        <v>688</v>
      </c>
      <c r="S208" s="45">
        <v>0</v>
      </c>
      <c r="T208" s="119">
        <v>360</v>
      </c>
      <c r="U208" s="62">
        <f t="shared" si="13"/>
        <v>5400</v>
      </c>
      <c r="V208" s="63">
        <f t="shared" ca="1" si="14"/>
        <v>154</v>
      </c>
      <c r="W208" s="52" t="str">
        <f t="shared" ca="1" si="15"/>
        <v>&lt; 6 Months</v>
      </c>
    </row>
    <row r="209" spans="1:23" s="64" customFormat="1" ht="15" customHeight="1">
      <c r="A209" s="45" t="s">
        <v>1185</v>
      </c>
      <c r="B209" s="45" t="s">
        <v>258</v>
      </c>
      <c r="C209" s="45" t="s">
        <v>1186</v>
      </c>
      <c r="D209" s="43" t="s">
        <v>528</v>
      </c>
      <c r="E209" s="43" t="s">
        <v>1188</v>
      </c>
      <c r="F209" s="43" t="s">
        <v>248</v>
      </c>
      <c r="G209" s="41">
        <v>10665</v>
      </c>
      <c r="H209" s="116">
        <v>2</v>
      </c>
      <c r="I209" s="41">
        <v>10</v>
      </c>
      <c r="J209" s="98">
        <f t="shared" si="12"/>
        <v>20</v>
      </c>
      <c r="K209" s="60" t="s">
        <v>867</v>
      </c>
      <c r="L209" s="60" t="s">
        <v>889</v>
      </c>
      <c r="M209" s="60" t="s">
        <v>1191</v>
      </c>
      <c r="N209" s="60" t="s">
        <v>71</v>
      </c>
      <c r="O209" s="60" t="s">
        <v>71</v>
      </c>
      <c r="P209" s="45" t="s">
        <v>516</v>
      </c>
      <c r="Q209" s="45" t="s">
        <v>6</v>
      </c>
      <c r="R209" s="45" t="s">
        <v>257</v>
      </c>
      <c r="S209" s="45">
        <v>0</v>
      </c>
      <c r="T209" s="119">
        <v>900</v>
      </c>
      <c r="U209" s="62">
        <f t="shared" si="13"/>
        <v>18000</v>
      </c>
      <c r="V209" s="63">
        <f t="shared" ca="1" si="14"/>
        <v>154</v>
      </c>
      <c r="W209" s="52" t="str">
        <f t="shared" ca="1" si="15"/>
        <v>&lt; 6 Months</v>
      </c>
    </row>
    <row r="210" spans="1:23" s="64" customFormat="1" ht="15" customHeight="1">
      <c r="A210" s="45" t="s">
        <v>1185</v>
      </c>
      <c r="B210" s="45" t="s">
        <v>258</v>
      </c>
      <c r="C210" s="45" t="s">
        <v>1186</v>
      </c>
      <c r="D210" s="43" t="s">
        <v>1187</v>
      </c>
      <c r="E210" s="43" t="s">
        <v>1188</v>
      </c>
      <c r="F210" s="43" t="s">
        <v>248</v>
      </c>
      <c r="G210" s="41">
        <v>10667</v>
      </c>
      <c r="H210" s="116">
        <v>2</v>
      </c>
      <c r="I210" s="41">
        <v>5</v>
      </c>
      <c r="J210" s="98">
        <f t="shared" si="12"/>
        <v>10</v>
      </c>
      <c r="K210" s="60" t="s">
        <v>129</v>
      </c>
      <c r="L210" s="60" t="s">
        <v>850</v>
      </c>
      <c r="M210" s="60" t="s">
        <v>1191</v>
      </c>
      <c r="N210" s="60" t="s">
        <v>131</v>
      </c>
      <c r="O210" s="60" t="s">
        <v>131</v>
      </c>
      <c r="P210" s="45" t="s">
        <v>516</v>
      </c>
      <c r="Q210" s="45" t="s">
        <v>6</v>
      </c>
      <c r="R210" s="45" t="s">
        <v>688</v>
      </c>
      <c r="S210" s="45">
        <v>0</v>
      </c>
      <c r="T210" s="119">
        <v>1460</v>
      </c>
      <c r="U210" s="62">
        <f t="shared" si="13"/>
        <v>14600</v>
      </c>
      <c r="V210" s="63">
        <f t="shared" ca="1" si="14"/>
        <v>154</v>
      </c>
      <c r="W210" s="52" t="str">
        <f t="shared" ca="1" si="15"/>
        <v>&lt; 6 Months</v>
      </c>
    </row>
    <row r="211" spans="1:23" s="64" customFormat="1" ht="15" customHeight="1">
      <c r="A211" s="45" t="s">
        <v>1205</v>
      </c>
      <c r="B211" s="45" t="s">
        <v>245</v>
      </c>
      <c r="C211" s="45" t="s">
        <v>1206</v>
      </c>
      <c r="D211" s="43" t="s">
        <v>621</v>
      </c>
      <c r="E211" s="43" t="s">
        <v>626</v>
      </c>
      <c r="F211" s="43" t="s">
        <v>248</v>
      </c>
      <c r="G211" s="41">
        <v>172480</v>
      </c>
      <c r="H211" s="116">
        <v>16</v>
      </c>
      <c r="I211" s="41">
        <v>13.6</v>
      </c>
      <c r="J211" s="98">
        <f t="shared" si="12"/>
        <v>217.6</v>
      </c>
      <c r="K211" s="60" t="s">
        <v>79</v>
      </c>
      <c r="L211" s="60" t="s">
        <v>848</v>
      </c>
      <c r="M211" s="60" t="s">
        <v>1207</v>
      </c>
      <c r="N211" s="60" t="s">
        <v>840</v>
      </c>
      <c r="O211" s="60" t="s">
        <v>80</v>
      </c>
      <c r="P211" s="45" t="s">
        <v>516</v>
      </c>
      <c r="Q211" s="45" t="s">
        <v>6</v>
      </c>
      <c r="R211" s="45" t="s">
        <v>257</v>
      </c>
      <c r="S211" s="45">
        <v>0</v>
      </c>
      <c r="T211" s="119">
        <v>1530</v>
      </c>
      <c r="U211" s="62">
        <f t="shared" si="13"/>
        <v>332928</v>
      </c>
      <c r="V211" s="63">
        <f t="shared" ca="1" si="14"/>
        <v>152</v>
      </c>
      <c r="W211" s="52" t="str">
        <f t="shared" ca="1" si="15"/>
        <v>&lt; 6 Months</v>
      </c>
    </row>
    <row r="212" spans="1:23" s="64" customFormat="1" ht="15" customHeight="1">
      <c r="A212" s="45" t="s">
        <v>1214</v>
      </c>
      <c r="B212" s="45" t="s">
        <v>245</v>
      </c>
      <c r="C212" s="45" t="s">
        <v>1215</v>
      </c>
      <c r="D212" s="43" t="s">
        <v>528</v>
      </c>
      <c r="E212" s="43" t="s">
        <v>1216</v>
      </c>
      <c r="F212" s="43" t="s">
        <v>332</v>
      </c>
      <c r="G212" s="41">
        <v>167916</v>
      </c>
      <c r="H212" s="116">
        <v>1</v>
      </c>
      <c r="I212" s="41">
        <v>7.5</v>
      </c>
      <c r="J212" s="98">
        <f t="shared" si="12"/>
        <v>7.5</v>
      </c>
      <c r="K212" s="60" t="s">
        <v>867</v>
      </c>
      <c r="L212" s="60" t="s">
        <v>1074</v>
      </c>
      <c r="M212" s="60" t="s">
        <v>531</v>
      </c>
      <c r="N212" s="60" t="s">
        <v>1078</v>
      </c>
      <c r="O212" s="60" t="s">
        <v>1078</v>
      </c>
      <c r="P212" s="45" t="s">
        <v>516</v>
      </c>
      <c r="Q212" s="45" t="s">
        <v>6</v>
      </c>
      <c r="R212" s="45" t="s">
        <v>257</v>
      </c>
      <c r="S212" s="45">
        <v>0</v>
      </c>
      <c r="T212" s="119">
        <v>2859.54</v>
      </c>
      <c r="U212" s="62">
        <f t="shared" si="13"/>
        <v>21446.55</v>
      </c>
      <c r="V212" s="63">
        <f t="shared" ca="1" si="14"/>
        <v>146</v>
      </c>
      <c r="W212" s="52" t="str">
        <f t="shared" ca="1" si="15"/>
        <v>&lt; 6 Months</v>
      </c>
    </row>
    <row r="213" spans="1:23" s="64" customFormat="1" ht="15" customHeight="1">
      <c r="A213" s="45" t="s">
        <v>1217</v>
      </c>
      <c r="B213" s="45" t="s">
        <v>258</v>
      </c>
      <c r="C213" s="45" t="s">
        <v>1218</v>
      </c>
      <c r="D213" s="43" t="s">
        <v>1219</v>
      </c>
      <c r="E213" s="43" t="s">
        <v>1220</v>
      </c>
      <c r="F213" s="43" t="s">
        <v>1221</v>
      </c>
      <c r="G213" s="41">
        <v>11204</v>
      </c>
      <c r="H213" s="116">
        <v>300</v>
      </c>
      <c r="I213" s="41">
        <v>16</v>
      </c>
      <c r="J213" s="98">
        <f t="shared" si="12"/>
        <v>4800</v>
      </c>
      <c r="K213" s="60" t="s">
        <v>92</v>
      </c>
      <c r="L213" s="60" t="s">
        <v>701</v>
      </c>
      <c r="M213" s="60" t="s">
        <v>298</v>
      </c>
      <c r="N213" s="60" t="s">
        <v>95</v>
      </c>
      <c r="O213" s="60" t="s">
        <v>95</v>
      </c>
      <c r="P213" s="45" t="s">
        <v>516</v>
      </c>
      <c r="Q213" s="45" t="s">
        <v>6</v>
      </c>
      <c r="R213" s="45" t="s">
        <v>257</v>
      </c>
      <c r="S213" s="45">
        <v>0</v>
      </c>
      <c r="T213" s="119">
        <v>370</v>
      </c>
      <c r="U213" s="62">
        <f t="shared" si="13"/>
        <v>1776000</v>
      </c>
      <c r="V213" s="63">
        <f t="shared" ca="1" si="14"/>
        <v>143</v>
      </c>
      <c r="W213" s="52" t="str">
        <f t="shared" ca="1" si="15"/>
        <v>&lt; 6 Months</v>
      </c>
    </row>
    <row r="214" spans="1:23" s="64" customFormat="1" ht="15" customHeight="1">
      <c r="A214" s="45" t="s">
        <v>1217</v>
      </c>
      <c r="B214" s="45" t="s">
        <v>245</v>
      </c>
      <c r="C214" s="45" t="s">
        <v>1222</v>
      </c>
      <c r="D214" s="43" t="s">
        <v>252</v>
      </c>
      <c r="E214" s="43" t="s">
        <v>1223</v>
      </c>
      <c r="F214" s="43" t="s">
        <v>1224</v>
      </c>
      <c r="G214" s="41">
        <v>174028</v>
      </c>
      <c r="H214" s="116">
        <v>73</v>
      </c>
      <c r="I214" s="41">
        <v>10</v>
      </c>
      <c r="J214" s="98">
        <f t="shared" si="12"/>
        <v>730</v>
      </c>
      <c r="K214" s="60" t="s">
        <v>152</v>
      </c>
      <c r="L214" s="60" t="s">
        <v>262</v>
      </c>
      <c r="M214" s="60" t="s">
        <v>1058</v>
      </c>
      <c r="N214" s="60" t="s">
        <v>158</v>
      </c>
      <c r="O214" s="60" t="s">
        <v>264</v>
      </c>
      <c r="P214" s="45" t="s">
        <v>516</v>
      </c>
      <c r="Q214" s="45" t="s">
        <v>6</v>
      </c>
      <c r="R214" s="45" t="s">
        <v>257</v>
      </c>
      <c r="S214" s="45" t="s">
        <v>247</v>
      </c>
      <c r="T214" s="119">
        <v>116</v>
      </c>
      <c r="U214" s="62">
        <f t="shared" si="13"/>
        <v>84680</v>
      </c>
      <c r="V214" s="63">
        <f t="shared" ca="1" si="14"/>
        <v>143</v>
      </c>
      <c r="W214" s="52" t="str">
        <f t="shared" ca="1" si="15"/>
        <v>&lt; 6 Months</v>
      </c>
    </row>
    <row r="215" spans="1:23" s="64" customFormat="1" ht="15" customHeight="1">
      <c r="A215" s="45" t="s">
        <v>1229</v>
      </c>
      <c r="B215" s="45" t="s">
        <v>245</v>
      </c>
      <c r="C215" s="45" t="s">
        <v>417</v>
      </c>
      <c r="D215" s="43" t="s">
        <v>1016</v>
      </c>
      <c r="E215" s="43" t="s">
        <v>1230</v>
      </c>
      <c r="F215" s="43" t="s">
        <v>547</v>
      </c>
      <c r="G215" s="41">
        <v>175099</v>
      </c>
      <c r="H215" s="116">
        <v>502</v>
      </c>
      <c r="I215" s="41">
        <v>4.54</v>
      </c>
      <c r="J215" s="98">
        <f t="shared" si="12"/>
        <v>2279.08</v>
      </c>
      <c r="K215" s="60" t="s">
        <v>42</v>
      </c>
      <c r="L215" s="60" t="s">
        <v>42</v>
      </c>
      <c r="M215" s="60" t="s">
        <v>640</v>
      </c>
      <c r="N215" s="60" t="s">
        <v>1017</v>
      </c>
      <c r="O215" s="60" t="s">
        <v>44</v>
      </c>
      <c r="P215" s="45" t="s">
        <v>516</v>
      </c>
      <c r="Q215" s="45" t="s">
        <v>6</v>
      </c>
      <c r="R215" s="45" t="s">
        <v>257</v>
      </c>
      <c r="S215" s="45" t="s">
        <v>659</v>
      </c>
      <c r="T215" s="119">
        <v>1130</v>
      </c>
      <c r="U215" s="62">
        <f t="shared" si="13"/>
        <v>2575360.4</v>
      </c>
      <c r="V215" s="63">
        <f t="shared" ca="1" si="14"/>
        <v>136</v>
      </c>
      <c r="W215" s="52" t="str">
        <f t="shared" ca="1" si="15"/>
        <v>&lt; 6 Months</v>
      </c>
    </row>
    <row r="216" spans="1:23" s="64" customFormat="1" ht="15" customHeight="1">
      <c r="A216" s="45" t="s">
        <v>1018</v>
      </c>
      <c r="B216" s="45" t="s">
        <v>258</v>
      </c>
      <c r="C216" s="45" t="s">
        <v>1022</v>
      </c>
      <c r="D216" s="43" t="s">
        <v>270</v>
      </c>
      <c r="E216" s="43" t="s">
        <v>1023</v>
      </c>
      <c r="F216" s="43" t="s">
        <v>1031</v>
      </c>
      <c r="G216" s="41">
        <v>9121</v>
      </c>
      <c r="H216" s="116">
        <v>100</v>
      </c>
      <c r="I216" s="41">
        <v>5</v>
      </c>
      <c r="J216" s="98">
        <f t="shared" si="12"/>
        <v>500</v>
      </c>
      <c r="K216" s="60" t="s">
        <v>152</v>
      </c>
      <c r="L216" s="60" t="s">
        <v>271</v>
      </c>
      <c r="M216" s="60" t="s">
        <v>271</v>
      </c>
      <c r="N216" s="60" t="s">
        <v>166</v>
      </c>
      <c r="O216" s="60" t="s">
        <v>272</v>
      </c>
      <c r="P216" s="45" t="s">
        <v>516</v>
      </c>
      <c r="Q216" s="45" t="s">
        <v>24</v>
      </c>
      <c r="R216" s="45" t="s">
        <v>251</v>
      </c>
      <c r="S216" s="45" t="s">
        <v>274</v>
      </c>
      <c r="T216" s="119">
        <v>303</v>
      </c>
      <c r="U216" s="62">
        <f t="shared" si="13"/>
        <v>151500</v>
      </c>
      <c r="V216" s="63">
        <f t="shared" ca="1" si="14"/>
        <v>185</v>
      </c>
      <c r="W216" s="52" t="str">
        <f t="shared" ca="1" si="15"/>
        <v>06-12 Months</v>
      </c>
    </row>
    <row r="217" spans="1:23" s="64" customFormat="1" ht="15" customHeight="1">
      <c r="A217" s="45" t="s">
        <v>1018</v>
      </c>
      <c r="B217" s="45" t="s">
        <v>258</v>
      </c>
      <c r="C217" s="45" t="s">
        <v>1022</v>
      </c>
      <c r="D217" s="43" t="s">
        <v>270</v>
      </c>
      <c r="E217" s="43" t="s">
        <v>1023</v>
      </c>
      <c r="F217" s="43" t="s">
        <v>1032</v>
      </c>
      <c r="G217" s="41">
        <v>9122</v>
      </c>
      <c r="H217" s="116">
        <v>200</v>
      </c>
      <c r="I217" s="41">
        <v>5</v>
      </c>
      <c r="J217" s="98">
        <f t="shared" si="12"/>
        <v>1000</v>
      </c>
      <c r="K217" s="60" t="s">
        <v>152</v>
      </c>
      <c r="L217" s="60" t="s">
        <v>271</v>
      </c>
      <c r="M217" s="60" t="s">
        <v>271</v>
      </c>
      <c r="N217" s="60" t="s">
        <v>166</v>
      </c>
      <c r="O217" s="60" t="s">
        <v>272</v>
      </c>
      <c r="P217" s="45" t="s">
        <v>516</v>
      </c>
      <c r="Q217" s="45" t="s">
        <v>24</v>
      </c>
      <c r="R217" s="45" t="s">
        <v>251</v>
      </c>
      <c r="S217" s="45" t="s">
        <v>274</v>
      </c>
      <c r="T217" s="119">
        <v>303</v>
      </c>
      <c r="U217" s="62">
        <f t="shared" si="13"/>
        <v>303000</v>
      </c>
      <c r="V217" s="63">
        <f t="shared" ca="1" si="14"/>
        <v>185</v>
      </c>
      <c r="W217" s="52" t="str">
        <f t="shared" ca="1" si="15"/>
        <v>06-12 Months</v>
      </c>
    </row>
    <row r="218" spans="1:23" s="64" customFormat="1" ht="15" customHeight="1">
      <c r="A218" s="45" t="s">
        <v>1018</v>
      </c>
      <c r="B218" s="45" t="s">
        <v>258</v>
      </c>
      <c r="C218" s="45" t="s">
        <v>1022</v>
      </c>
      <c r="D218" s="43" t="s">
        <v>270</v>
      </c>
      <c r="E218" s="43" t="s">
        <v>1023</v>
      </c>
      <c r="F218" s="43" t="s">
        <v>1033</v>
      </c>
      <c r="G218" s="41">
        <v>9123</v>
      </c>
      <c r="H218" s="116">
        <v>200</v>
      </c>
      <c r="I218" s="41">
        <v>5</v>
      </c>
      <c r="J218" s="98">
        <f t="shared" si="12"/>
        <v>1000</v>
      </c>
      <c r="K218" s="60" t="s">
        <v>152</v>
      </c>
      <c r="L218" s="60" t="s">
        <v>271</v>
      </c>
      <c r="M218" s="60" t="s">
        <v>271</v>
      </c>
      <c r="N218" s="60" t="s">
        <v>166</v>
      </c>
      <c r="O218" s="60" t="s">
        <v>272</v>
      </c>
      <c r="P218" s="45" t="s">
        <v>516</v>
      </c>
      <c r="Q218" s="45" t="s">
        <v>24</v>
      </c>
      <c r="R218" s="45" t="s">
        <v>251</v>
      </c>
      <c r="S218" s="45" t="s">
        <v>274</v>
      </c>
      <c r="T218" s="119">
        <v>303</v>
      </c>
      <c r="U218" s="62">
        <f t="shared" si="13"/>
        <v>303000</v>
      </c>
      <c r="V218" s="63">
        <f t="shared" ca="1" si="14"/>
        <v>185</v>
      </c>
      <c r="W218" s="52" t="str">
        <f t="shared" ca="1" si="15"/>
        <v>06-12 Months</v>
      </c>
    </row>
    <row r="219" spans="1:23" s="64" customFormat="1" ht="15" customHeight="1">
      <c r="A219" s="45" t="s">
        <v>1018</v>
      </c>
      <c r="B219" s="45" t="s">
        <v>258</v>
      </c>
      <c r="C219" s="45" t="s">
        <v>1022</v>
      </c>
      <c r="D219" s="43" t="s">
        <v>270</v>
      </c>
      <c r="E219" s="43" t="s">
        <v>1023</v>
      </c>
      <c r="F219" s="43" t="s">
        <v>1024</v>
      </c>
      <c r="G219" s="41">
        <v>9127</v>
      </c>
      <c r="H219" s="116">
        <v>200</v>
      </c>
      <c r="I219" s="41">
        <v>5</v>
      </c>
      <c r="J219" s="98">
        <f t="shared" si="12"/>
        <v>1000</v>
      </c>
      <c r="K219" s="60" t="s">
        <v>152</v>
      </c>
      <c r="L219" s="60" t="s">
        <v>271</v>
      </c>
      <c r="M219" s="60" t="s">
        <v>271</v>
      </c>
      <c r="N219" s="60" t="s">
        <v>166</v>
      </c>
      <c r="O219" s="60" t="s">
        <v>272</v>
      </c>
      <c r="P219" s="45" t="s">
        <v>516</v>
      </c>
      <c r="Q219" s="45" t="s">
        <v>24</v>
      </c>
      <c r="R219" s="45" t="s">
        <v>251</v>
      </c>
      <c r="S219" s="45" t="s">
        <v>274</v>
      </c>
      <c r="T219" s="119">
        <v>303</v>
      </c>
      <c r="U219" s="62">
        <f t="shared" si="13"/>
        <v>303000</v>
      </c>
      <c r="V219" s="63">
        <f t="shared" ca="1" si="14"/>
        <v>185</v>
      </c>
      <c r="W219" s="52" t="str">
        <f t="shared" ca="1" si="15"/>
        <v>06-12 Months</v>
      </c>
    </row>
    <row r="220" spans="1:23" s="64" customFormat="1" ht="15" customHeight="1">
      <c r="A220" s="45" t="s">
        <v>1018</v>
      </c>
      <c r="B220" s="45" t="s">
        <v>258</v>
      </c>
      <c r="C220" s="45" t="s">
        <v>1022</v>
      </c>
      <c r="D220" s="43" t="s">
        <v>270</v>
      </c>
      <c r="E220" s="43" t="s">
        <v>1023</v>
      </c>
      <c r="F220" s="43" t="s">
        <v>1035</v>
      </c>
      <c r="G220" s="41">
        <v>9125</v>
      </c>
      <c r="H220" s="116">
        <v>200</v>
      </c>
      <c r="I220" s="41">
        <v>5</v>
      </c>
      <c r="J220" s="98">
        <f t="shared" si="12"/>
        <v>1000</v>
      </c>
      <c r="K220" s="60" t="s">
        <v>152</v>
      </c>
      <c r="L220" s="60" t="s">
        <v>271</v>
      </c>
      <c r="M220" s="60" t="s">
        <v>271</v>
      </c>
      <c r="N220" s="60" t="s">
        <v>166</v>
      </c>
      <c r="O220" s="60" t="s">
        <v>272</v>
      </c>
      <c r="P220" s="45" t="s">
        <v>516</v>
      </c>
      <c r="Q220" s="45" t="s">
        <v>24</v>
      </c>
      <c r="R220" s="45" t="s">
        <v>251</v>
      </c>
      <c r="S220" s="45" t="s">
        <v>274</v>
      </c>
      <c r="T220" s="119">
        <v>303</v>
      </c>
      <c r="U220" s="62">
        <f t="shared" si="13"/>
        <v>303000</v>
      </c>
      <c r="V220" s="63">
        <f t="shared" ca="1" si="14"/>
        <v>185</v>
      </c>
      <c r="W220" s="52" t="str">
        <f t="shared" ca="1" si="15"/>
        <v>06-12 Months</v>
      </c>
    </row>
    <row r="221" spans="1:23" s="64" customFormat="1" ht="15" customHeight="1">
      <c r="A221" s="45" t="s">
        <v>1018</v>
      </c>
      <c r="B221" s="45" t="s">
        <v>258</v>
      </c>
      <c r="C221" s="45" t="s">
        <v>1022</v>
      </c>
      <c r="D221" s="43" t="s">
        <v>270</v>
      </c>
      <c r="E221" s="43" t="s">
        <v>1023</v>
      </c>
      <c r="F221" s="43" t="s">
        <v>1036</v>
      </c>
      <c r="G221" s="41">
        <v>9126</v>
      </c>
      <c r="H221" s="116">
        <v>200</v>
      </c>
      <c r="I221" s="41">
        <v>5</v>
      </c>
      <c r="J221" s="98">
        <f t="shared" si="12"/>
        <v>1000</v>
      </c>
      <c r="K221" s="60" t="s">
        <v>152</v>
      </c>
      <c r="L221" s="60" t="s">
        <v>271</v>
      </c>
      <c r="M221" s="60" t="s">
        <v>271</v>
      </c>
      <c r="N221" s="60" t="s">
        <v>166</v>
      </c>
      <c r="O221" s="60" t="s">
        <v>272</v>
      </c>
      <c r="P221" s="45" t="s">
        <v>516</v>
      </c>
      <c r="Q221" s="45" t="s">
        <v>24</v>
      </c>
      <c r="R221" s="45" t="s">
        <v>251</v>
      </c>
      <c r="S221" s="45" t="s">
        <v>274</v>
      </c>
      <c r="T221" s="119">
        <v>303</v>
      </c>
      <c r="U221" s="62">
        <f t="shared" si="13"/>
        <v>303000</v>
      </c>
      <c r="V221" s="63">
        <f t="shared" ca="1" si="14"/>
        <v>185</v>
      </c>
      <c r="W221" s="52" t="str">
        <f t="shared" ca="1" si="15"/>
        <v>06-12 Months</v>
      </c>
    </row>
    <row r="222" spans="1:23" s="64" customFormat="1" ht="15" customHeight="1">
      <c r="A222" s="45" t="s">
        <v>1018</v>
      </c>
      <c r="B222" s="45" t="s">
        <v>258</v>
      </c>
      <c r="C222" s="45" t="s">
        <v>1022</v>
      </c>
      <c r="D222" s="43" t="s">
        <v>270</v>
      </c>
      <c r="E222" s="43" t="s">
        <v>1023</v>
      </c>
      <c r="F222" s="43" t="s">
        <v>1034</v>
      </c>
      <c r="G222" s="41">
        <v>9124</v>
      </c>
      <c r="H222" s="116">
        <v>200</v>
      </c>
      <c r="I222" s="41">
        <v>5</v>
      </c>
      <c r="J222" s="98">
        <f t="shared" si="12"/>
        <v>1000</v>
      </c>
      <c r="K222" s="60" t="s">
        <v>152</v>
      </c>
      <c r="L222" s="60" t="s">
        <v>271</v>
      </c>
      <c r="M222" s="60" t="s">
        <v>271</v>
      </c>
      <c r="N222" s="60" t="s">
        <v>166</v>
      </c>
      <c r="O222" s="60" t="s">
        <v>272</v>
      </c>
      <c r="P222" s="45" t="s">
        <v>516</v>
      </c>
      <c r="Q222" s="45" t="s">
        <v>24</v>
      </c>
      <c r="R222" s="45" t="s">
        <v>251</v>
      </c>
      <c r="S222" s="45" t="s">
        <v>274</v>
      </c>
      <c r="T222" s="119">
        <v>303</v>
      </c>
      <c r="U222" s="62">
        <f t="shared" si="13"/>
        <v>303000</v>
      </c>
      <c r="V222" s="63">
        <f t="shared" ca="1" si="14"/>
        <v>185</v>
      </c>
      <c r="W222" s="52" t="str">
        <f t="shared" ca="1" si="15"/>
        <v>06-12 Months</v>
      </c>
    </row>
    <row r="223" spans="1:23" s="64" customFormat="1" ht="15" customHeight="1">
      <c r="A223" s="65">
        <v>45300</v>
      </c>
      <c r="B223" s="66" t="s">
        <v>5</v>
      </c>
      <c r="C223" s="66" t="s">
        <v>662</v>
      </c>
      <c r="D223" s="67" t="s">
        <v>209</v>
      </c>
      <c r="E223" s="67" t="s">
        <v>306</v>
      </c>
      <c r="F223" s="67" t="s">
        <v>306</v>
      </c>
      <c r="G223" s="41">
        <v>105768</v>
      </c>
      <c r="H223" s="116">
        <f>99-5-4-2-22-1</f>
        <v>65</v>
      </c>
      <c r="I223" s="41">
        <v>20</v>
      </c>
      <c r="J223" s="98">
        <f t="shared" si="12"/>
        <v>1300</v>
      </c>
      <c r="K223" s="60" t="s">
        <v>190</v>
      </c>
      <c r="L223" s="60" t="s">
        <v>306</v>
      </c>
      <c r="M223" s="60" t="s">
        <v>306</v>
      </c>
      <c r="N223" s="60" t="s">
        <v>209</v>
      </c>
      <c r="O223" s="60" t="s">
        <v>308</v>
      </c>
      <c r="P223" s="45" t="s">
        <v>250</v>
      </c>
      <c r="Q223" s="45" t="s">
        <v>5</v>
      </c>
      <c r="R223" s="45" t="s">
        <v>257</v>
      </c>
      <c r="S223" s="45" t="s">
        <v>255</v>
      </c>
      <c r="T223" s="119">
        <v>550</v>
      </c>
      <c r="U223" s="62">
        <f t="shared" si="13"/>
        <v>715000</v>
      </c>
      <c r="V223" s="63">
        <f t="shared" ca="1" si="14"/>
        <v>854</v>
      </c>
      <c r="W223" s="52" t="str">
        <f t="shared" ca="1" si="15"/>
        <v>&gt;24 Months</v>
      </c>
    </row>
    <row r="224" spans="1:23" s="64" customFormat="1" ht="15" customHeight="1">
      <c r="A224" s="65">
        <v>45372</v>
      </c>
      <c r="B224" s="66" t="s">
        <v>5</v>
      </c>
      <c r="C224" s="66" t="s">
        <v>662</v>
      </c>
      <c r="D224" s="67" t="s">
        <v>14</v>
      </c>
      <c r="E224" s="67" t="s">
        <v>148</v>
      </c>
      <c r="F224" s="67" t="s">
        <v>148</v>
      </c>
      <c r="G224" s="41">
        <v>107268</v>
      </c>
      <c r="H224" s="116">
        <v>49</v>
      </c>
      <c r="I224" s="41">
        <v>12</v>
      </c>
      <c r="J224" s="98">
        <f t="shared" si="12"/>
        <v>588</v>
      </c>
      <c r="K224" s="60" t="s">
        <v>148</v>
      </c>
      <c r="L224" s="60" t="s">
        <v>320</v>
      </c>
      <c r="M224" s="60" t="s">
        <v>255</v>
      </c>
      <c r="N224" s="60" t="s">
        <v>14</v>
      </c>
      <c r="O224" s="60" t="s">
        <v>664</v>
      </c>
      <c r="P224" s="45" t="s">
        <v>250</v>
      </c>
      <c r="Q224" s="45" t="s">
        <v>5</v>
      </c>
      <c r="R224" s="45" t="s">
        <v>257</v>
      </c>
      <c r="S224" s="45" t="s">
        <v>255</v>
      </c>
      <c r="T224" s="119">
        <v>250</v>
      </c>
      <c r="U224" s="62">
        <f t="shared" si="13"/>
        <v>147000</v>
      </c>
      <c r="V224" s="63">
        <f t="shared" ca="1" si="14"/>
        <v>782</v>
      </c>
      <c r="W224" s="52" t="str">
        <f t="shared" ca="1" si="15"/>
        <v>&gt;24 Months</v>
      </c>
    </row>
    <row r="225" spans="1:23" s="64" customFormat="1" ht="15" customHeight="1">
      <c r="A225" s="65">
        <v>45604</v>
      </c>
      <c r="B225" s="66" t="s">
        <v>5</v>
      </c>
      <c r="C225" s="66" t="s">
        <v>662</v>
      </c>
      <c r="D225" s="67" t="s">
        <v>667</v>
      </c>
      <c r="E225" s="67" t="s">
        <v>259</v>
      </c>
      <c r="F225" s="67" t="s">
        <v>248</v>
      </c>
      <c r="G225" s="41">
        <v>113174</v>
      </c>
      <c r="H225" s="116">
        <f>2631-1-5-210</f>
        <v>2415</v>
      </c>
      <c r="I225" s="41">
        <v>10</v>
      </c>
      <c r="J225" s="98">
        <f t="shared" si="12"/>
        <v>24150</v>
      </c>
      <c r="K225" s="60" t="s">
        <v>152</v>
      </c>
      <c r="L225" s="60" t="s">
        <v>897</v>
      </c>
      <c r="M225" s="60" t="s">
        <v>263</v>
      </c>
      <c r="N225" s="60" t="s">
        <v>891</v>
      </c>
      <c r="O225" s="60" t="s">
        <v>346</v>
      </c>
      <c r="P225" s="45" t="s">
        <v>250</v>
      </c>
      <c r="Q225" s="45" t="s">
        <v>5</v>
      </c>
      <c r="R225" s="45" t="s">
        <v>257</v>
      </c>
      <c r="S225" s="45" t="s">
        <v>247</v>
      </c>
      <c r="T225" s="119">
        <v>195</v>
      </c>
      <c r="U225" s="62">
        <f t="shared" si="13"/>
        <v>4709250</v>
      </c>
      <c r="V225" s="63">
        <f t="shared" ca="1" si="14"/>
        <v>550</v>
      </c>
      <c r="W225" s="52" t="str">
        <f t="shared" ca="1" si="15"/>
        <v>18-24 Months</v>
      </c>
    </row>
    <row r="226" spans="1:23" s="64" customFormat="1" ht="15" customHeight="1">
      <c r="A226" s="65">
        <v>45629</v>
      </c>
      <c r="B226" s="66" t="s">
        <v>5</v>
      </c>
      <c r="C226" s="66" t="s">
        <v>662</v>
      </c>
      <c r="D226" s="67" t="s">
        <v>158</v>
      </c>
      <c r="E226" s="67" t="s">
        <v>262</v>
      </c>
      <c r="F226" s="67" t="s">
        <v>248</v>
      </c>
      <c r="G226" s="41">
        <v>113940</v>
      </c>
      <c r="H226" s="116">
        <f>2590-200-50-50-1-100-2-1000-10-1000-120-57</f>
        <v>0</v>
      </c>
      <c r="I226" s="41">
        <v>10</v>
      </c>
      <c r="J226" s="98">
        <f t="shared" si="12"/>
        <v>0</v>
      </c>
      <c r="K226" s="60" t="s">
        <v>152</v>
      </c>
      <c r="L226" s="60" t="s">
        <v>262</v>
      </c>
      <c r="M226" s="60" t="s">
        <v>260</v>
      </c>
      <c r="N226" s="60" t="s">
        <v>158</v>
      </c>
      <c r="O226" s="60" t="s">
        <v>663</v>
      </c>
      <c r="P226" s="45" t="s">
        <v>250</v>
      </c>
      <c r="Q226" s="45" t="s">
        <v>5</v>
      </c>
      <c r="R226" s="45" t="s">
        <v>257</v>
      </c>
      <c r="S226" s="45" t="s">
        <v>247</v>
      </c>
      <c r="T226" s="119">
        <v>116</v>
      </c>
      <c r="U226" s="62">
        <f t="shared" si="13"/>
        <v>0</v>
      </c>
      <c r="V226" s="63">
        <f t="shared" ca="1" si="14"/>
        <v>525</v>
      </c>
      <c r="W226" s="52" t="str">
        <f t="shared" ca="1" si="15"/>
        <v>12-18 Months</v>
      </c>
    </row>
    <row r="227" spans="1:23" s="64" customFormat="1" ht="15" customHeight="1">
      <c r="A227" s="65">
        <v>45636</v>
      </c>
      <c r="B227" s="66" t="s">
        <v>5</v>
      </c>
      <c r="C227" s="66" t="s">
        <v>662</v>
      </c>
      <c r="D227" s="67" t="s">
        <v>667</v>
      </c>
      <c r="E227" s="67" t="s">
        <v>671</v>
      </c>
      <c r="F227" s="67" t="s">
        <v>248</v>
      </c>
      <c r="G227" s="41">
        <v>114156</v>
      </c>
      <c r="H227" s="116">
        <f>364-50-12-89-15-100-98</f>
        <v>0</v>
      </c>
      <c r="I227" s="41">
        <v>10</v>
      </c>
      <c r="J227" s="98">
        <f t="shared" si="12"/>
        <v>0</v>
      </c>
      <c r="K227" s="60" t="s">
        <v>152</v>
      </c>
      <c r="L227" s="60" t="s">
        <v>897</v>
      </c>
      <c r="M227" s="60" t="s">
        <v>263</v>
      </c>
      <c r="N227" s="60" t="s">
        <v>156</v>
      </c>
      <c r="O227" s="60" t="s">
        <v>346</v>
      </c>
      <c r="P227" s="45" t="s">
        <v>250</v>
      </c>
      <c r="Q227" s="45" t="s">
        <v>5</v>
      </c>
      <c r="R227" s="45" t="s">
        <v>257</v>
      </c>
      <c r="S227" s="45" t="s">
        <v>247</v>
      </c>
      <c r="T227" s="119">
        <v>208</v>
      </c>
      <c r="U227" s="62">
        <f t="shared" si="13"/>
        <v>0</v>
      </c>
      <c r="V227" s="63">
        <f t="shared" ca="1" si="14"/>
        <v>518</v>
      </c>
      <c r="W227" s="52" t="str">
        <f t="shared" ca="1" si="15"/>
        <v>12-18 Months</v>
      </c>
    </row>
    <row r="228" spans="1:23" s="64" customFormat="1" ht="15" customHeight="1">
      <c r="A228" s="65">
        <v>45636</v>
      </c>
      <c r="B228" s="66" t="s">
        <v>5</v>
      </c>
      <c r="C228" s="66" t="s">
        <v>662</v>
      </c>
      <c r="D228" s="67" t="s">
        <v>158</v>
      </c>
      <c r="E228" s="67" t="s">
        <v>262</v>
      </c>
      <c r="F228" s="67" t="s">
        <v>248</v>
      </c>
      <c r="G228" s="41">
        <v>114157</v>
      </c>
      <c r="H228" s="116">
        <f>1765+1-5-5-5-10-110-110-110-110-100-220-500-110-371</f>
        <v>0</v>
      </c>
      <c r="I228" s="41">
        <v>10</v>
      </c>
      <c r="J228" s="98">
        <f t="shared" si="12"/>
        <v>0</v>
      </c>
      <c r="K228" s="60" t="s">
        <v>152</v>
      </c>
      <c r="L228" s="60" t="s">
        <v>262</v>
      </c>
      <c r="M228" s="60" t="s">
        <v>260</v>
      </c>
      <c r="N228" s="60" t="s">
        <v>158</v>
      </c>
      <c r="O228" s="60" t="s">
        <v>663</v>
      </c>
      <c r="P228" s="45" t="s">
        <v>250</v>
      </c>
      <c r="Q228" s="45" t="s">
        <v>5</v>
      </c>
      <c r="R228" s="45" t="s">
        <v>257</v>
      </c>
      <c r="S228" s="45" t="s">
        <v>247</v>
      </c>
      <c r="T228" s="119">
        <v>116</v>
      </c>
      <c r="U228" s="62">
        <f t="shared" si="13"/>
        <v>0</v>
      </c>
      <c r="V228" s="63">
        <f t="shared" ca="1" si="14"/>
        <v>518</v>
      </c>
      <c r="W228" s="52" t="str">
        <f t="shared" ca="1" si="15"/>
        <v>12-18 Months</v>
      </c>
    </row>
    <row r="229" spans="1:23" s="64" customFormat="1" ht="15" customHeight="1">
      <c r="A229" s="65">
        <v>45636</v>
      </c>
      <c r="B229" s="66" t="s">
        <v>5</v>
      </c>
      <c r="C229" s="66" t="s">
        <v>662</v>
      </c>
      <c r="D229" s="67" t="s">
        <v>164</v>
      </c>
      <c r="E229" s="67" t="s">
        <v>672</v>
      </c>
      <c r="F229" s="67" t="s">
        <v>248</v>
      </c>
      <c r="G229" s="41">
        <v>114158</v>
      </c>
      <c r="H229" s="116">
        <f>1919-1-130-234-566-60-15-30-40-2-1-500-200-140</f>
        <v>0</v>
      </c>
      <c r="I229" s="41">
        <v>10</v>
      </c>
      <c r="J229" s="98">
        <f t="shared" si="12"/>
        <v>0</v>
      </c>
      <c r="K229" s="60" t="s">
        <v>152</v>
      </c>
      <c r="L229" s="60" t="s">
        <v>672</v>
      </c>
      <c r="M229" s="60" t="s">
        <v>260</v>
      </c>
      <c r="N229" s="60" t="s">
        <v>164</v>
      </c>
      <c r="O229" s="60" t="s">
        <v>673</v>
      </c>
      <c r="P229" s="45" t="s">
        <v>250</v>
      </c>
      <c r="Q229" s="45" t="s">
        <v>5</v>
      </c>
      <c r="R229" s="45" t="s">
        <v>257</v>
      </c>
      <c r="S229" s="45" t="s">
        <v>247</v>
      </c>
      <c r="T229" s="119">
        <v>114</v>
      </c>
      <c r="U229" s="62">
        <f t="shared" si="13"/>
        <v>0</v>
      </c>
      <c r="V229" s="63">
        <f t="shared" ca="1" si="14"/>
        <v>518</v>
      </c>
      <c r="W229" s="52" t="str">
        <f t="shared" ca="1" si="15"/>
        <v>12-18 Months</v>
      </c>
    </row>
    <row r="230" spans="1:23">
      <c r="A230" s="65">
        <v>45639</v>
      </c>
      <c r="B230" s="66" t="s">
        <v>5</v>
      </c>
      <c r="C230" s="66" t="s">
        <v>662</v>
      </c>
      <c r="D230" s="67" t="s">
        <v>158</v>
      </c>
      <c r="E230" s="67" t="s">
        <v>262</v>
      </c>
      <c r="F230" s="67" t="s">
        <v>248</v>
      </c>
      <c r="G230" s="41">
        <v>114238</v>
      </c>
      <c r="H230" s="116">
        <f>2093-1-5-50-1469</f>
        <v>568</v>
      </c>
      <c r="I230" s="41">
        <v>10</v>
      </c>
      <c r="J230" s="98">
        <f t="shared" si="12"/>
        <v>5680</v>
      </c>
      <c r="K230" s="60" t="s">
        <v>152</v>
      </c>
      <c r="L230" s="60" t="s">
        <v>262</v>
      </c>
      <c r="M230" s="60" t="s">
        <v>260</v>
      </c>
      <c r="N230" s="60" t="s">
        <v>158</v>
      </c>
      <c r="O230" s="60" t="s">
        <v>663</v>
      </c>
      <c r="P230" s="45" t="s">
        <v>250</v>
      </c>
      <c r="Q230" s="45" t="s">
        <v>5</v>
      </c>
      <c r="R230" s="45" t="s">
        <v>257</v>
      </c>
      <c r="S230" s="45" t="s">
        <v>247</v>
      </c>
      <c r="T230" s="119">
        <v>116</v>
      </c>
      <c r="U230" s="62">
        <f t="shared" si="13"/>
        <v>658880</v>
      </c>
      <c r="V230" s="63">
        <f t="shared" ca="1" si="14"/>
        <v>515</v>
      </c>
      <c r="W230" s="52" t="str">
        <f t="shared" ca="1" si="15"/>
        <v>12-18 Months</v>
      </c>
    </row>
    <row r="231" spans="1:23">
      <c r="A231" s="65">
        <v>45639</v>
      </c>
      <c r="B231" s="66" t="s">
        <v>5</v>
      </c>
      <c r="C231" s="66" t="s">
        <v>662</v>
      </c>
      <c r="D231" s="67" t="s">
        <v>158</v>
      </c>
      <c r="E231" s="67" t="s">
        <v>262</v>
      </c>
      <c r="F231" s="67" t="s">
        <v>248</v>
      </c>
      <c r="G231" s="41">
        <v>114268</v>
      </c>
      <c r="H231" s="116">
        <f>2598-5-20-1000-35-300-300-110-400-20-100-300-8</f>
        <v>0</v>
      </c>
      <c r="I231" s="41">
        <v>10</v>
      </c>
      <c r="J231" s="98">
        <f t="shared" si="12"/>
        <v>0</v>
      </c>
      <c r="K231" s="60" t="s">
        <v>152</v>
      </c>
      <c r="L231" s="60" t="s">
        <v>262</v>
      </c>
      <c r="M231" s="60" t="s">
        <v>260</v>
      </c>
      <c r="N231" s="60" t="s">
        <v>158</v>
      </c>
      <c r="O231" s="60" t="s">
        <v>663</v>
      </c>
      <c r="P231" s="45" t="s">
        <v>250</v>
      </c>
      <c r="Q231" s="45" t="s">
        <v>5</v>
      </c>
      <c r="R231" s="45" t="s">
        <v>257</v>
      </c>
      <c r="S231" s="45" t="s">
        <v>247</v>
      </c>
      <c r="T231" s="119">
        <v>116</v>
      </c>
      <c r="U231" s="62">
        <f t="shared" si="13"/>
        <v>0</v>
      </c>
      <c r="V231" s="63">
        <f t="shared" ca="1" si="14"/>
        <v>515</v>
      </c>
      <c r="W231" s="52" t="str">
        <f t="shared" ca="1" si="15"/>
        <v>12-18 Months</v>
      </c>
    </row>
    <row r="232" spans="1:23">
      <c r="A232" s="65">
        <v>45640</v>
      </c>
      <c r="B232" s="66" t="s">
        <v>5</v>
      </c>
      <c r="C232" s="66" t="s">
        <v>662</v>
      </c>
      <c r="D232" s="67" t="s">
        <v>158</v>
      </c>
      <c r="E232" s="67" t="s">
        <v>262</v>
      </c>
      <c r="F232" s="67" t="s">
        <v>248</v>
      </c>
      <c r="G232" s="41">
        <v>114290</v>
      </c>
      <c r="H232" s="116">
        <f>2600-5-292-150-100-300-80-100-120-120-150-50-40-25-100-50-100-80-150-70-50-120-5</f>
        <v>343</v>
      </c>
      <c r="I232" s="41">
        <v>10</v>
      </c>
      <c r="J232" s="98">
        <f t="shared" si="12"/>
        <v>3430</v>
      </c>
      <c r="K232" s="60" t="s">
        <v>152</v>
      </c>
      <c r="L232" s="60" t="s">
        <v>262</v>
      </c>
      <c r="M232" s="60" t="s">
        <v>260</v>
      </c>
      <c r="N232" s="60" t="s">
        <v>158</v>
      </c>
      <c r="O232" s="60" t="s">
        <v>663</v>
      </c>
      <c r="P232" s="45" t="s">
        <v>250</v>
      </c>
      <c r="Q232" s="45" t="s">
        <v>5</v>
      </c>
      <c r="R232" s="45" t="s">
        <v>257</v>
      </c>
      <c r="S232" s="45" t="s">
        <v>247</v>
      </c>
      <c r="T232" s="119">
        <v>116</v>
      </c>
      <c r="U232" s="62">
        <f t="shared" si="13"/>
        <v>397880</v>
      </c>
      <c r="V232" s="63">
        <f t="shared" ca="1" si="14"/>
        <v>514</v>
      </c>
      <c r="W232" s="52" t="str">
        <f t="shared" ca="1" si="15"/>
        <v>12-18 Months</v>
      </c>
    </row>
    <row r="233" spans="1:23">
      <c r="A233" s="65">
        <v>45640</v>
      </c>
      <c r="B233" s="66" t="s">
        <v>5</v>
      </c>
      <c r="C233" s="66" t="s">
        <v>662</v>
      </c>
      <c r="D233" s="67" t="s">
        <v>158</v>
      </c>
      <c r="E233" s="67" t="s">
        <v>262</v>
      </c>
      <c r="F233" s="67" t="s">
        <v>248</v>
      </c>
      <c r="G233" s="41">
        <v>114308</v>
      </c>
      <c r="H233" s="116">
        <f>2600-175-200-100-120-300-25-3-11-3-30-1-5-100-200-50-50-50-15-2</f>
        <v>1160</v>
      </c>
      <c r="I233" s="41">
        <v>10</v>
      </c>
      <c r="J233" s="98">
        <f t="shared" si="12"/>
        <v>11600</v>
      </c>
      <c r="K233" s="60" t="s">
        <v>152</v>
      </c>
      <c r="L233" s="60" t="s">
        <v>262</v>
      </c>
      <c r="M233" s="60" t="s">
        <v>260</v>
      </c>
      <c r="N233" s="60" t="s">
        <v>158</v>
      </c>
      <c r="O233" s="60" t="s">
        <v>663</v>
      </c>
      <c r="P233" s="45" t="s">
        <v>250</v>
      </c>
      <c r="Q233" s="45" t="s">
        <v>5</v>
      </c>
      <c r="R233" s="45" t="s">
        <v>257</v>
      </c>
      <c r="S233" s="45" t="s">
        <v>247</v>
      </c>
      <c r="T233" s="119">
        <v>116</v>
      </c>
      <c r="U233" s="62">
        <f t="shared" si="13"/>
        <v>1345600</v>
      </c>
      <c r="V233" s="63">
        <f t="shared" ca="1" si="14"/>
        <v>514</v>
      </c>
      <c r="W233" s="52" t="str">
        <f t="shared" ca="1" si="15"/>
        <v>12-18 Months</v>
      </c>
    </row>
    <row r="234" spans="1:23">
      <c r="A234" s="65">
        <v>45647</v>
      </c>
      <c r="B234" s="66" t="s">
        <v>5</v>
      </c>
      <c r="C234" s="66" t="s">
        <v>662</v>
      </c>
      <c r="D234" s="67" t="s">
        <v>158</v>
      </c>
      <c r="E234" s="67" t="s">
        <v>262</v>
      </c>
      <c r="F234" s="67" t="s">
        <v>248</v>
      </c>
      <c r="G234" s="41">
        <v>114483</v>
      </c>
      <c r="H234" s="116">
        <f>1990-5</f>
        <v>1985</v>
      </c>
      <c r="I234" s="41">
        <v>10</v>
      </c>
      <c r="J234" s="98">
        <f t="shared" si="12"/>
        <v>19850</v>
      </c>
      <c r="K234" s="60" t="s">
        <v>152</v>
      </c>
      <c r="L234" s="60" t="s">
        <v>262</v>
      </c>
      <c r="M234" s="60" t="s">
        <v>260</v>
      </c>
      <c r="N234" s="60" t="s">
        <v>158</v>
      </c>
      <c r="O234" s="60" t="s">
        <v>663</v>
      </c>
      <c r="P234" s="45" t="s">
        <v>250</v>
      </c>
      <c r="Q234" s="45" t="s">
        <v>5</v>
      </c>
      <c r="R234" s="45" t="s">
        <v>257</v>
      </c>
      <c r="S234" s="45" t="s">
        <v>247</v>
      </c>
      <c r="T234" s="119">
        <v>116</v>
      </c>
      <c r="U234" s="62">
        <f t="shared" si="13"/>
        <v>2302600</v>
      </c>
      <c r="V234" s="63">
        <f t="shared" ca="1" si="14"/>
        <v>507</v>
      </c>
      <c r="W234" s="52" t="str">
        <f t="shared" ca="1" si="15"/>
        <v>12-18 Months</v>
      </c>
    </row>
    <row r="235" spans="1:23">
      <c r="A235" s="65">
        <v>45656</v>
      </c>
      <c r="B235" s="66" t="s">
        <v>5</v>
      </c>
      <c r="C235" s="66" t="s">
        <v>662</v>
      </c>
      <c r="D235" s="67" t="s">
        <v>674</v>
      </c>
      <c r="E235" s="67" t="s">
        <v>669</v>
      </c>
      <c r="F235" s="67" t="s">
        <v>675</v>
      </c>
      <c r="G235" s="41">
        <v>114748</v>
      </c>
      <c r="H235" s="116">
        <f>350-102-248</f>
        <v>0</v>
      </c>
      <c r="I235" s="41">
        <v>10</v>
      </c>
      <c r="J235" s="98">
        <f t="shared" si="12"/>
        <v>0</v>
      </c>
      <c r="K235" s="60" t="s">
        <v>152</v>
      </c>
      <c r="L235" s="60" t="s">
        <v>897</v>
      </c>
      <c r="M235" s="60" t="s">
        <v>263</v>
      </c>
      <c r="N235" s="60" t="s">
        <v>156</v>
      </c>
      <c r="O235" s="60" t="s">
        <v>346</v>
      </c>
      <c r="P235" s="45" t="s">
        <v>250</v>
      </c>
      <c r="Q235" s="45" t="s">
        <v>5</v>
      </c>
      <c r="R235" s="45" t="s">
        <v>257</v>
      </c>
      <c r="S235" s="45" t="s">
        <v>247</v>
      </c>
      <c r="T235" s="119">
        <v>208</v>
      </c>
      <c r="U235" s="62">
        <f t="shared" si="13"/>
        <v>0</v>
      </c>
      <c r="V235" s="63">
        <f t="shared" ca="1" si="14"/>
        <v>498</v>
      </c>
      <c r="W235" s="52" t="str">
        <f t="shared" ca="1" si="15"/>
        <v>12-18 Months</v>
      </c>
    </row>
    <row r="236" spans="1:23">
      <c r="A236" s="65">
        <v>45657</v>
      </c>
      <c r="B236" s="66" t="s">
        <v>5</v>
      </c>
      <c r="C236" s="66" t="s">
        <v>662</v>
      </c>
      <c r="D236" s="67" t="s">
        <v>674</v>
      </c>
      <c r="E236" s="67" t="s">
        <v>345</v>
      </c>
      <c r="F236" s="67"/>
      <c r="G236" s="41">
        <v>114755</v>
      </c>
      <c r="H236" s="116">
        <f>147-95-52</f>
        <v>0</v>
      </c>
      <c r="I236" s="41">
        <v>10</v>
      </c>
      <c r="J236" s="98">
        <f t="shared" si="12"/>
        <v>0</v>
      </c>
      <c r="K236" s="60" t="s">
        <v>152</v>
      </c>
      <c r="L236" s="60" t="s">
        <v>897</v>
      </c>
      <c r="M236" s="60" t="s">
        <v>263</v>
      </c>
      <c r="N236" s="60" t="s">
        <v>156</v>
      </c>
      <c r="O236" s="60" t="s">
        <v>346</v>
      </c>
      <c r="P236" s="45" t="s">
        <v>250</v>
      </c>
      <c r="Q236" s="45" t="s">
        <v>5</v>
      </c>
      <c r="R236" s="45" t="s">
        <v>257</v>
      </c>
      <c r="S236" s="45" t="s">
        <v>247</v>
      </c>
      <c r="T236" s="119">
        <v>208</v>
      </c>
      <c r="U236" s="62">
        <f t="shared" si="13"/>
        <v>0</v>
      </c>
      <c r="V236" s="63">
        <f t="shared" ca="1" si="14"/>
        <v>497</v>
      </c>
      <c r="W236" s="52" t="str">
        <f t="shared" ca="1" si="15"/>
        <v>12-18 Months</v>
      </c>
    </row>
    <row r="237" spans="1:23">
      <c r="A237" s="65">
        <v>45657</v>
      </c>
      <c r="B237" s="66" t="s">
        <v>5</v>
      </c>
      <c r="C237" s="66" t="s">
        <v>662</v>
      </c>
      <c r="D237" s="67" t="s">
        <v>158</v>
      </c>
      <c r="E237" s="67" t="s">
        <v>280</v>
      </c>
      <c r="F237" s="67"/>
      <c r="G237" s="41">
        <v>114757</v>
      </c>
      <c r="H237" s="116">
        <f>400-200-13-110</f>
        <v>77</v>
      </c>
      <c r="I237" s="41">
        <v>10</v>
      </c>
      <c r="J237" s="98">
        <f t="shared" si="12"/>
        <v>770</v>
      </c>
      <c r="K237" s="60" t="s">
        <v>152</v>
      </c>
      <c r="L237" s="60" t="s">
        <v>262</v>
      </c>
      <c r="M237" s="60" t="s">
        <v>260</v>
      </c>
      <c r="N237" s="60" t="s">
        <v>158</v>
      </c>
      <c r="O237" s="60" t="s">
        <v>663</v>
      </c>
      <c r="P237" s="45" t="s">
        <v>250</v>
      </c>
      <c r="Q237" s="45" t="s">
        <v>5</v>
      </c>
      <c r="R237" s="45" t="s">
        <v>257</v>
      </c>
      <c r="S237" s="45" t="s">
        <v>247</v>
      </c>
      <c r="T237" s="119">
        <v>116</v>
      </c>
      <c r="U237" s="62">
        <f t="shared" si="13"/>
        <v>89320</v>
      </c>
      <c r="V237" s="63">
        <f t="shared" ca="1" si="14"/>
        <v>497</v>
      </c>
      <c r="W237" s="52" t="str">
        <f t="shared" ca="1" si="15"/>
        <v>12-18 Months</v>
      </c>
    </row>
    <row r="238" spans="1:23">
      <c r="A238" s="65">
        <v>45672</v>
      </c>
      <c r="B238" s="66" t="s">
        <v>5</v>
      </c>
      <c r="C238" s="66" t="s">
        <v>662</v>
      </c>
      <c r="D238" s="67" t="s">
        <v>676</v>
      </c>
      <c r="E238" s="67" t="s">
        <v>676</v>
      </c>
      <c r="F238" s="67"/>
      <c r="G238" s="41">
        <v>115101</v>
      </c>
      <c r="H238" s="116">
        <f>100-10-52-38</f>
        <v>0</v>
      </c>
      <c r="I238" s="41">
        <v>10</v>
      </c>
      <c r="J238" s="98">
        <f t="shared" si="12"/>
        <v>0</v>
      </c>
      <c r="K238" s="60" t="s">
        <v>152</v>
      </c>
      <c r="L238" s="60" t="s">
        <v>897</v>
      </c>
      <c r="M238" s="60" t="s">
        <v>263</v>
      </c>
      <c r="N238" s="60" t="s">
        <v>156</v>
      </c>
      <c r="O238" s="60" t="s">
        <v>346</v>
      </c>
      <c r="P238" s="45" t="s">
        <v>250</v>
      </c>
      <c r="Q238" s="45" t="s">
        <v>5</v>
      </c>
      <c r="R238" s="45" t="s">
        <v>257</v>
      </c>
      <c r="S238" s="45" t="s">
        <v>247</v>
      </c>
      <c r="T238" s="119">
        <v>208</v>
      </c>
      <c r="U238" s="62">
        <f t="shared" si="13"/>
        <v>0</v>
      </c>
      <c r="V238" s="63">
        <f t="shared" ca="1" si="14"/>
        <v>482</v>
      </c>
      <c r="W238" s="52" t="str">
        <f t="shared" ca="1" si="15"/>
        <v>12-18 Months</v>
      </c>
    </row>
    <row r="239" spans="1:23">
      <c r="A239" s="65">
        <v>45684</v>
      </c>
      <c r="B239" s="66" t="s">
        <v>5</v>
      </c>
      <c r="C239" s="66" t="s">
        <v>662</v>
      </c>
      <c r="D239" s="67" t="s">
        <v>332</v>
      </c>
      <c r="E239" s="67" t="s">
        <v>332</v>
      </c>
      <c r="F239" s="67"/>
      <c r="G239" s="41">
        <v>115342</v>
      </c>
      <c r="H239" s="116">
        <v>26</v>
      </c>
      <c r="I239" s="41">
        <v>20</v>
      </c>
      <c r="J239" s="98">
        <f t="shared" si="12"/>
        <v>520</v>
      </c>
      <c r="K239" s="60" t="s">
        <v>190</v>
      </c>
      <c r="L239" s="60" t="s">
        <v>306</v>
      </c>
      <c r="M239" s="60" t="s">
        <v>306</v>
      </c>
      <c r="N239" s="60" t="s">
        <v>207</v>
      </c>
      <c r="O239" s="60" t="s">
        <v>308</v>
      </c>
      <c r="P239" s="45" t="s">
        <v>250</v>
      </c>
      <c r="Q239" s="45" t="s">
        <v>5</v>
      </c>
      <c r="R239" s="45" t="s">
        <v>257</v>
      </c>
      <c r="S239" s="45" t="s">
        <v>255</v>
      </c>
      <c r="T239" s="119">
        <v>550</v>
      </c>
      <c r="U239" s="62">
        <f t="shared" si="13"/>
        <v>286000</v>
      </c>
      <c r="V239" s="63">
        <f t="shared" ca="1" si="14"/>
        <v>470</v>
      </c>
      <c r="W239" s="52" t="str">
        <f t="shared" ca="1" si="15"/>
        <v>12-18 Months</v>
      </c>
    </row>
    <row r="240" spans="1:23">
      <c r="A240" s="65">
        <v>45687</v>
      </c>
      <c r="B240" s="66" t="s">
        <v>5</v>
      </c>
      <c r="C240" s="66" t="s">
        <v>662</v>
      </c>
      <c r="D240" s="67" t="s">
        <v>677</v>
      </c>
      <c r="E240" s="67" t="s">
        <v>677</v>
      </c>
      <c r="F240" s="67"/>
      <c r="G240" s="41">
        <v>115424</v>
      </c>
      <c r="H240" s="116">
        <f>2199-2-150-595-2-100-1350</f>
        <v>0</v>
      </c>
      <c r="I240" s="41">
        <v>10</v>
      </c>
      <c r="J240" s="98">
        <f t="shared" si="12"/>
        <v>0</v>
      </c>
      <c r="K240" s="60" t="s">
        <v>152</v>
      </c>
      <c r="L240" s="60" t="s">
        <v>897</v>
      </c>
      <c r="M240" s="60" t="s">
        <v>263</v>
      </c>
      <c r="N240" s="60" t="s">
        <v>156</v>
      </c>
      <c r="O240" s="60" t="s">
        <v>346</v>
      </c>
      <c r="P240" s="45" t="s">
        <v>250</v>
      </c>
      <c r="Q240" s="45" t="s">
        <v>5</v>
      </c>
      <c r="R240" s="45" t="s">
        <v>257</v>
      </c>
      <c r="S240" s="45" t="s">
        <v>247</v>
      </c>
      <c r="T240" s="119">
        <v>208</v>
      </c>
      <c r="U240" s="62">
        <f t="shared" si="13"/>
        <v>0</v>
      </c>
      <c r="V240" s="63">
        <f t="shared" ca="1" si="14"/>
        <v>467</v>
      </c>
      <c r="W240" s="52" t="str">
        <f t="shared" ca="1" si="15"/>
        <v>12-18 Months</v>
      </c>
    </row>
    <row r="241" spans="1:26">
      <c r="A241" s="65">
        <v>45690</v>
      </c>
      <c r="B241" s="45" t="s">
        <v>5</v>
      </c>
      <c r="C241" s="45" t="s">
        <v>662</v>
      </c>
      <c r="D241" s="43" t="s">
        <v>667</v>
      </c>
      <c r="E241" s="43" t="s">
        <v>678</v>
      </c>
      <c r="F241" s="43"/>
      <c r="G241" s="41">
        <v>115505</v>
      </c>
      <c r="H241" s="116">
        <f>2600-19-350-15-350-500-350-250-1-2-1-20-50-50-50-100-100</f>
        <v>392</v>
      </c>
      <c r="I241" s="41">
        <v>10</v>
      </c>
      <c r="J241" s="98">
        <f t="shared" si="12"/>
        <v>3920</v>
      </c>
      <c r="K241" s="60" t="s">
        <v>152</v>
      </c>
      <c r="L241" s="60" t="s">
        <v>679</v>
      </c>
      <c r="M241" s="60" t="s">
        <v>263</v>
      </c>
      <c r="N241" s="60" t="s">
        <v>163</v>
      </c>
      <c r="O241" s="60" t="s">
        <v>680</v>
      </c>
      <c r="P241" s="45" t="s">
        <v>250</v>
      </c>
      <c r="Q241" s="45" t="s">
        <v>5</v>
      </c>
      <c r="R241" s="45" t="s">
        <v>257</v>
      </c>
      <c r="S241" s="45" t="s">
        <v>247</v>
      </c>
      <c r="T241" s="120">
        <v>87.7</v>
      </c>
      <c r="U241" s="62">
        <f t="shared" si="13"/>
        <v>343784</v>
      </c>
      <c r="V241" s="63">
        <f t="shared" ca="1" si="14"/>
        <v>464</v>
      </c>
      <c r="W241" s="52" t="str">
        <f t="shared" ca="1" si="15"/>
        <v>12-18 Months</v>
      </c>
    </row>
    <row r="242" spans="1:26">
      <c r="A242" s="65">
        <v>45704</v>
      </c>
      <c r="B242" s="45" t="s">
        <v>5</v>
      </c>
      <c r="C242" s="45" t="s">
        <v>662</v>
      </c>
      <c r="D242" s="43" t="s">
        <v>667</v>
      </c>
      <c r="E242" s="67" t="s">
        <v>677</v>
      </c>
      <c r="F242" s="43"/>
      <c r="G242" s="41">
        <v>115795</v>
      </c>
      <c r="H242" s="116">
        <f>2600-2-1-100-15-5-30-1-300-1-30-100-500-300-30-1-380-30-50-50-267-20-160-51-5-20-20-1-30-100</f>
        <v>0</v>
      </c>
      <c r="I242" s="41">
        <v>10</v>
      </c>
      <c r="J242" s="98">
        <f t="shared" si="12"/>
        <v>0</v>
      </c>
      <c r="K242" s="60" t="s">
        <v>152</v>
      </c>
      <c r="L242" s="60" t="s">
        <v>897</v>
      </c>
      <c r="M242" s="60" t="s">
        <v>263</v>
      </c>
      <c r="N242" s="60" t="s">
        <v>156</v>
      </c>
      <c r="O242" s="60" t="s">
        <v>346</v>
      </c>
      <c r="P242" s="45" t="s">
        <v>250</v>
      </c>
      <c r="Q242" s="45" t="s">
        <v>5</v>
      </c>
      <c r="R242" s="45" t="s">
        <v>257</v>
      </c>
      <c r="S242" s="45" t="s">
        <v>247</v>
      </c>
      <c r="T242" s="119">
        <v>208</v>
      </c>
      <c r="U242" s="62">
        <f t="shared" si="13"/>
        <v>0</v>
      </c>
      <c r="V242" s="63">
        <f t="shared" ca="1" si="14"/>
        <v>450</v>
      </c>
      <c r="W242" s="52" t="str">
        <f t="shared" ca="1" si="15"/>
        <v>12-18 Months</v>
      </c>
    </row>
    <row r="243" spans="1:26">
      <c r="A243" s="65">
        <v>45714</v>
      </c>
      <c r="B243" s="45" t="s">
        <v>5</v>
      </c>
      <c r="C243" s="45" t="s">
        <v>662</v>
      </c>
      <c r="D243" s="43" t="s">
        <v>667</v>
      </c>
      <c r="E243" s="43" t="s">
        <v>682</v>
      </c>
      <c r="F243" s="43"/>
      <c r="G243" s="41">
        <v>115988</v>
      </c>
      <c r="H243" s="116">
        <f>842-629-25+629-390-20-200-20-187</f>
        <v>0</v>
      </c>
      <c r="I243" s="41">
        <v>10</v>
      </c>
      <c r="J243" s="98">
        <f t="shared" si="12"/>
        <v>0</v>
      </c>
      <c r="K243" s="60" t="s">
        <v>152</v>
      </c>
      <c r="L243" s="60" t="s">
        <v>897</v>
      </c>
      <c r="M243" s="60" t="s">
        <v>263</v>
      </c>
      <c r="N243" s="60" t="s">
        <v>156</v>
      </c>
      <c r="O243" s="60" t="s">
        <v>346</v>
      </c>
      <c r="P243" s="45" t="s">
        <v>250</v>
      </c>
      <c r="Q243" s="45" t="s">
        <v>5</v>
      </c>
      <c r="R243" s="45" t="s">
        <v>257</v>
      </c>
      <c r="S243" s="45" t="s">
        <v>247</v>
      </c>
      <c r="T243" s="119">
        <v>208</v>
      </c>
      <c r="U243" s="62">
        <f t="shared" si="13"/>
        <v>0</v>
      </c>
      <c r="V243" s="63">
        <f t="shared" ca="1" si="14"/>
        <v>440</v>
      </c>
      <c r="W243" s="52" t="str">
        <f t="shared" ca="1" si="15"/>
        <v>12-18 Months</v>
      </c>
    </row>
    <row r="244" spans="1:26">
      <c r="A244" s="65">
        <v>45717</v>
      </c>
      <c r="B244" s="45" t="s">
        <v>5</v>
      </c>
      <c r="C244" s="45" t="s">
        <v>662</v>
      </c>
      <c r="D244" s="43" t="s">
        <v>667</v>
      </c>
      <c r="E244" s="43" t="s">
        <v>280</v>
      </c>
      <c r="F244" s="43"/>
      <c r="G244" s="41">
        <v>116061</v>
      </c>
      <c r="H244" s="116">
        <v>700</v>
      </c>
      <c r="I244" s="41">
        <v>10</v>
      </c>
      <c r="J244" s="98">
        <f t="shared" si="12"/>
        <v>7000</v>
      </c>
      <c r="K244" s="60" t="s">
        <v>152</v>
      </c>
      <c r="L244" s="60" t="s">
        <v>262</v>
      </c>
      <c r="M244" s="60" t="s">
        <v>260</v>
      </c>
      <c r="N244" s="60" t="s">
        <v>158</v>
      </c>
      <c r="O244" s="60" t="s">
        <v>264</v>
      </c>
      <c r="P244" s="45" t="s">
        <v>250</v>
      </c>
      <c r="Q244" s="45" t="s">
        <v>5</v>
      </c>
      <c r="R244" s="45" t="s">
        <v>257</v>
      </c>
      <c r="S244" s="45" t="s">
        <v>247</v>
      </c>
      <c r="T244" s="119">
        <v>116</v>
      </c>
      <c r="U244" s="62">
        <f t="shared" si="13"/>
        <v>812000</v>
      </c>
      <c r="V244" s="63">
        <f t="shared" ca="1" si="14"/>
        <v>437</v>
      </c>
      <c r="W244" s="52" t="str">
        <f t="shared" ca="1" si="15"/>
        <v>12-18 Months</v>
      </c>
    </row>
    <row r="245" spans="1:26" s="71" customFormat="1">
      <c r="A245" s="68">
        <v>45719</v>
      </c>
      <c r="B245" s="69" t="s">
        <v>5</v>
      </c>
      <c r="C245" s="69" t="s">
        <v>662</v>
      </c>
      <c r="D245" s="70" t="s">
        <v>667</v>
      </c>
      <c r="E245" s="70" t="s">
        <v>682</v>
      </c>
      <c r="F245" s="70"/>
      <c r="G245" s="41">
        <v>116095</v>
      </c>
      <c r="H245" s="116">
        <f>535-250-113-172</f>
        <v>0</v>
      </c>
      <c r="I245" s="41">
        <v>10</v>
      </c>
      <c r="J245" s="98">
        <f t="shared" si="12"/>
        <v>0</v>
      </c>
      <c r="K245" s="60" t="s">
        <v>152</v>
      </c>
      <c r="L245" s="60" t="s">
        <v>897</v>
      </c>
      <c r="M245" s="60" t="s">
        <v>263</v>
      </c>
      <c r="N245" s="60" t="s">
        <v>156</v>
      </c>
      <c r="O245" s="60" t="s">
        <v>346</v>
      </c>
      <c r="P245" s="69" t="s">
        <v>250</v>
      </c>
      <c r="Q245" s="69" t="s">
        <v>5</v>
      </c>
      <c r="R245" s="45" t="s">
        <v>257</v>
      </c>
      <c r="S245" s="45" t="s">
        <v>247</v>
      </c>
      <c r="T245" s="119">
        <v>208</v>
      </c>
      <c r="U245" s="62">
        <f t="shared" si="13"/>
        <v>0</v>
      </c>
      <c r="V245" s="63">
        <f t="shared" ca="1" si="14"/>
        <v>435</v>
      </c>
      <c r="W245" s="52" t="str">
        <f t="shared" ca="1" si="15"/>
        <v>12-18 Months</v>
      </c>
      <c r="Y245" s="9"/>
      <c r="Z245" s="9"/>
    </row>
    <row r="246" spans="1:26">
      <c r="A246" s="65">
        <v>45720</v>
      </c>
      <c r="B246" s="45" t="s">
        <v>5</v>
      </c>
      <c r="C246" s="45" t="s">
        <v>662</v>
      </c>
      <c r="D246" s="43" t="s">
        <v>667</v>
      </c>
      <c r="E246" s="43" t="s">
        <v>682</v>
      </c>
      <c r="F246" s="43"/>
      <c r="G246" s="41">
        <v>116119</v>
      </c>
      <c r="H246" s="116">
        <f>2600-1-850-200-500-150-800-8-28-63</f>
        <v>0</v>
      </c>
      <c r="I246" s="41">
        <v>10</v>
      </c>
      <c r="J246" s="98">
        <f t="shared" si="12"/>
        <v>0</v>
      </c>
      <c r="K246" s="60" t="s">
        <v>152</v>
      </c>
      <c r="L246" s="60" t="s">
        <v>897</v>
      </c>
      <c r="M246" s="60" t="s">
        <v>263</v>
      </c>
      <c r="N246" s="60" t="s">
        <v>156</v>
      </c>
      <c r="O246" s="60" t="s">
        <v>346</v>
      </c>
      <c r="P246" s="45" t="s">
        <v>250</v>
      </c>
      <c r="Q246" s="45" t="s">
        <v>5</v>
      </c>
      <c r="R246" s="45" t="s">
        <v>257</v>
      </c>
      <c r="S246" s="45" t="s">
        <v>247</v>
      </c>
      <c r="T246" s="119">
        <v>208</v>
      </c>
      <c r="U246" s="62">
        <f t="shared" si="13"/>
        <v>0</v>
      </c>
      <c r="V246" s="63">
        <f t="shared" ca="1" si="14"/>
        <v>434</v>
      </c>
      <c r="W246" s="52" t="str">
        <f t="shared" ca="1" si="15"/>
        <v>12-18 Months</v>
      </c>
    </row>
    <row r="247" spans="1:26">
      <c r="A247" s="65">
        <v>45720</v>
      </c>
      <c r="B247" s="45" t="s">
        <v>5</v>
      </c>
      <c r="C247" s="45" t="s">
        <v>662</v>
      </c>
      <c r="D247" s="43" t="s">
        <v>667</v>
      </c>
      <c r="E247" s="43" t="s">
        <v>280</v>
      </c>
      <c r="F247" s="43"/>
      <c r="G247" s="41">
        <v>116121</v>
      </c>
      <c r="H247" s="116">
        <f>678-178</f>
        <v>500</v>
      </c>
      <c r="I247" s="41">
        <v>10</v>
      </c>
      <c r="J247" s="98">
        <f t="shared" si="12"/>
        <v>5000</v>
      </c>
      <c r="K247" s="60" t="s">
        <v>152</v>
      </c>
      <c r="L247" s="60" t="s">
        <v>262</v>
      </c>
      <c r="M247" s="60" t="s">
        <v>260</v>
      </c>
      <c r="N247" s="60" t="s">
        <v>158</v>
      </c>
      <c r="O247" s="60" t="s">
        <v>264</v>
      </c>
      <c r="P247" s="45" t="s">
        <v>250</v>
      </c>
      <c r="Q247" s="45" t="s">
        <v>5</v>
      </c>
      <c r="R247" s="45" t="s">
        <v>257</v>
      </c>
      <c r="S247" s="45" t="s">
        <v>247</v>
      </c>
      <c r="T247" s="119">
        <v>116</v>
      </c>
      <c r="U247" s="62">
        <f t="shared" si="13"/>
        <v>580000</v>
      </c>
      <c r="V247" s="63">
        <f t="shared" ca="1" si="14"/>
        <v>434</v>
      </c>
      <c r="W247" s="52" t="str">
        <f t="shared" ca="1" si="15"/>
        <v>12-18 Months</v>
      </c>
    </row>
    <row r="248" spans="1:26">
      <c r="A248" s="65">
        <v>45720</v>
      </c>
      <c r="B248" s="45" t="s">
        <v>5</v>
      </c>
      <c r="C248" s="45" t="s">
        <v>662</v>
      </c>
      <c r="D248" s="43" t="s">
        <v>667</v>
      </c>
      <c r="E248" s="43" t="s">
        <v>681</v>
      </c>
      <c r="F248" s="43"/>
      <c r="G248" s="41">
        <v>116101</v>
      </c>
      <c r="H248" s="116">
        <f>430-131-150-100-49</f>
        <v>0</v>
      </c>
      <c r="I248" s="41">
        <v>10</v>
      </c>
      <c r="J248" s="98">
        <f t="shared" si="12"/>
        <v>0</v>
      </c>
      <c r="K248" s="60" t="s">
        <v>152</v>
      </c>
      <c r="L248" s="60" t="s">
        <v>898</v>
      </c>
      <c r="M248" s="60" t="s">
        <v>260</v>
      </c>
      <c r="N248" s="60" t="s">
        <v>155</v>
      </c>
      <c r="O248" s="60" t="s">
        <v>359</v>
      </c>
      <c r="P248" s="45" t="s">
        <v>250</v>
      </c>
      <c r="Q248" s="45" t="s">
        <v>5</v>
      </c>
      <c r="R248" s="45" t="s">
        <v>257</v>
      </c>
      <c r="S248" s="45" t="s">
        <v>247</v>
      </c>
      <c r="T248" s="119">
        <v>233</v>
      </c>
      <c r="U248" s="62">
        <f t="shared" si="13"/>
        <v>0</v>
      </c>
      <c r="V248" s="63">
        <f t="shared" ca="1" si="14"/>
        <v>434</v>
      </c>
      <c r="W248" s="52" t="str">
        <f t="shared" ca="1" si="15"/>
        <v>12-18 Months</v>
      </c>
    </row>
    <row r="249" spans="1:26">
      <c r="A249" s="65">
        <v>45721</v>
      </c>
      <c r="B249" s="45" t="s">
        <v>5</v>
      </c>
      <c r="C249" s="45" t="s">
        <v>662</v>
      </c>
      <c r="D249" s="43" t="s">
        <v>667</v>
      </c>
      <c r="E249" s="43" t="s">
        <v>682</v>
      </c>
      <c r="F249" s="43"/>
      <c r="G249" s="41">
        <v>116140</v>
      </c>
      <c r="H249" s="116">
        <f>2600-1-50-4-25-100-150-10-22-50-50-20-650-59-25-15-100-204-25-20-25-300-50-137-250-100-100-58+9</f>
        <v>9</v>
      </c>
      <c r="I249" s="41">
        <v>10</v>
      </c>
      <c r="J249" s="98">
        <f t="shared" si="12"/>
        <v>90</v>
      </c>
      <c r="K249" s="60" t="s">
        <v>152</v>
      </c>
      <c r="L249" s="60" t="s">
        <v>897</v>
      </c>
      <c r="M249" s="60" t="s">
        <v>263</v>
      </c>
      <c r="N249" s="60" t="s">
        <v>156</v>
      </c>
      <c r="O249" s="60" t="s">
        <v>346</v>
      </c>
      <c r="P249" s="45" t="s">
        <v>250</v>
      </c>
      <c r="Q249" s="45" t="s">
        <v>5</v>
      </c>
      <c r="R249" s="45" t="s">
        <v>257</v>
      </c>
      <c r="S249" s="45" t="s">
        <v>247</v>
      </c>
      <c r="T249" s="119">
        <v>208</v>
      </c>
      <c r="U249" s="62">
        <f t="shared" si="13"/>
        <v>18720</v>
      </c>
      <c r="V249" s="63">
        <f t="shared" ca="1" si="14"/>
        <v>433</v>
      </c>
      <c r="W249" s="52" t="str">
        <f t="shared" ca="1" si="15"/>
        <v>12-18 Months</v>
      </c>
    </row>
    <row r="250" spans="1:26">
      <c r="A250" s="65">
        <v>45737</v>
      </c>
      <c r="B250" s="45" t="s">
        <v>5</v>
      </c>
      <c r="C250" s="45" t="s">
        <v>662</v>
      </c>
      <c r="D250" s="43" t="s">
        <v>667</v>
      </c>
      <c r="E250" s="43" t="s">
        <v>682</v>
      </c>
      <c r="F250" s="43"/>
      <c r="G250" s="41">
        <v>116495</v>
      </c>
      <c r="H250" s="116">
        <f>2600-1-170-26-150-25-50-300-50-150-1-1-100-1500-75-1</f>
        <v>0</v>
      </c>
      <c r="I250" s="41">
        <v>10</v>
      </c>
      <c r="J250" s="98">
        <f t="shared" si="12"/>
        <v>0</v>
      </c>
      <c r="K250" s="60" t="s">
        <v>152</v>
      </c>
      <c r="L250" s="60" t="s">
        <v>897</v>
      </c>
      <c r="M250" s="60" t="s">
        <v>263</v>
      </c>
      <c r="N250" s="60" t="s">
        <v>156</v>
      </c>
      <c r="O250" s="60" t="s">
        <v>346</v>
      </c>
      <c r="P250" s="45" t="s">
        <v>250</v>
      </c>
      <c r="Q250" s="45" t="s">
        <v>5</v>
      </c>
      <c r="R250" s="45" t="s">
        <v>257</v>
      </c>
      <c r="S250" s="45" t="s">
        <v>247</v>
      </c>
      <c r="T250" s="119">
        <v>208</v>
      </c>
      <c r="U250" s="62">
        <f t="shared" si="13"/>
        <v>0</v>
      </c>
      <c r="V250" s="63">
        <f t="shared" ca="1" si="14"/>
        <v>417</v>
      </c>
      <c r="W250" s="52" t="str">
        <f t="shared" ca="1" si="15"/>
        <v>12-18 Months</v>
      </c>
    </row>
    <row r="251" spans="1:26">
      <c r="A251" s="65">
        <v>45737</v>
      </c>
      <c r="B251" s="45" t="s">
        <v>5</v>
      </c>
      <c r="C251" s="45" t="s">
        <v>662</v>
      </c>
      <c r="D251" s="43" t="s">
        <v>667</v>
      </c>
      <c r="E251" s="43" t="s">
        <v>681</v>
      </c>
      <c r="F251" s="43"/>
      <c r="G251" s="41">
        <v>116496</v>
      </c>
      <c r="H251" s="116">
        <f>305-42-25-30-30</f>
        <v>178</v>
      </c>
      <c r="I251" s="41">
        <v>10</v>
      </c>
      <c r="J251" s="98">
        <f t="shared" si="12"/>
        <v>1780</v>
      </c>
      <c r="K251" s="60" t="s">
        <v>152</v>
      </c>
      <c r="L251" s="60" t="s">
        <v>897</v>
      </c>
      <c r="M251" s="60" t="s">
        <v>263</v>
      </c>
      <c r="N251" s="60" t="s">
        <v>156</v>
      </c>
      <c r="O251" s="60" t="s">
        <v>346</v>
      </c>
      <c r="P251" s="45" t="s">
        <v>250</v>
      </c>
      <c r="Q251" s="45" t="s">
        <v>5</v>
      </c>
      <c r="R251" s="45" t="s">
        <v>257</v>
      </c>
      <c r="S251" s="45" t="s">
        <v>247</v>
      </c>
      <c r="T251" s="119">
        <v>208</v>
      </c>
      <c r="U251" s="62">
        <f t="shared" si="13"/>
        <v>370240</v>
      </c>
      <c r="V251" s="63">
        <f t="shared" ca="1" si="14"/>
        <v>417</v>
      </c>
      <c r="W251" s="52" t="str">
        <f t="shared" ca="1" si="15"/>
        <v>12-18 Months</v>
      </c>
    </row>
    <row r="252" spans="1:26">
      <c r="A252" s="65">
        <v>45741</v>
      </c>
      <c r="B252" s="45" t="s">
        <v>5</v>
      </c>
      <c r="C252" s="45" t="s">
        <v>662</v>
      </c>
      <c r="D252" s="43" t="s">
        <v>667</v>
      </c>
      <c r="E252" s="43" t="s">
        <v>679</v>
      </c>
      <c r="F252" s="43"/>
      <c r="G252" s="41">
        <v>116640</v>
      </c>
      <c r="H252" s="116">
        <v>132</v>
      </c>
      <c r="I252" s="41">
        <v>10</v>
      </c>
      <c r="J252" s="98">
        <f t="shared" si="12"/>
        <v>1320</v>
      </c>
      <c r="K252" s="60" t="s">
        <v>152</v>
      </c>
      <c r="L252" s="60" t="s">
        <v>679</v>
      </c>
      <c r="M252" s="60" t="s">
        <v>263</v>
      </c>
      <c r="N252" s="60" t="s">
        <v>163</v>
      </c>
      <c r="O252" s="60" t="s">
        <v>680</v>
      </c>
      <c r="P252" s="45" t="s">
        <v>250</v>
      </c>
      <c r="Q252" s="45" t="s">
        <v>5</v>
      </c>
      <c r="R252" s="45" t="s">
        <v>257</v>
      </c>
      <c r="S252" s="45" t="s">
        <v>247</v>
      </c>
      <c r="T252" s="120">
        <v>87.7</v>
      </c>
      <c r="U252" s="62">
        <f t="shared" si="13"/>
        <v>115764</v>
      </c>
      <c r="V252" s="63">
        <f t="shared" ca="1" si="14"/>
        <v>413</v>
      </c>
      <c r="W252" s="52" t="str">
        <f t="shared" ca="1" si="15"/>
        <v>12-18 Months</v>
      </c>
    </row>
    <row r="253" spans="1:26">
      <c r="A253" s="65">
        <v>45751</v>
      </c>
      <c r="B253" s="45" t="s">
        <v>5</v>
      </c>
      <c r="C253" s="45" t="s">
        <v>662</v>
      </c>
      <c r="D253" s="43" t="s">
        <v>667</v>
      </c>
      <c r="E253" s="43" t="s">
        <v>280</v>
      </c>
      <c r="F253" s="1"/>
      <c r="G253" s="41">
        <v>116793</v>
      </c>
      <c r="H253" s="116">
        <f>2600-1-705</f>
        <v>1894</v>
      </c>
      <c r="I253" s="41">
        <v>10</v>
      </c>
      <c r="J253" s="98">
        <f t="shared" si="12"/>
        <v>18940</v>
      </c>
      <c r="K253" s="60" t="s">
        <v>152</v>
      </c>
      <c r="L253" s="60" t="s">
        <v>262</v>
      </c>
      <c r="M253" s="60" t="s">
        <v>260</v>
      </c>
      <c r="N253" s="60" t="s">
        <v>158</v>
      </c>
      <c r="O253" s="60" t="s">
        <v>663</v>
      </c>
      <c r="P253" s="45" t="s">
        <v>250</v>
      </c>
      <c r="Q253" s="45" t="s">
        <v>5</v>
      </c>
      <c r="R253" s="45" t="s">
        <v>257</v>
      </c>
      <c r="S253" s="45" t="s">
        <v>247</v>
      </c>
      <c r="T253" s="119">
        <v>116</v>
      </c>
      <c r="U253" s="62">
        <f t="shared" si="13"/>
        <v>2197040</v>
      </c>
      <c r="V253" s="63">
        <f t="shared" ca="1" si="14"/>
        <v>403</v>
      </c>
      <c r="W253" s="52" t="str">
        <f t="shared" ca="1" si="15"/>
        <v>12-18 Months</v>
      </c>
    </row>
    <row r="254" spans="1:26">
      <c r="A254" s="65">
        <v>45751</v>
      </c>
      <c r="B254" s="45" t="s">
        <v>5</v>
      </c>
      <c r="C254" s="45" t="s">
        <v>662</v>
      </c>
      <c r="D254" s="43" t="s">
        <v>667</v>
      </c>
      <c r="E254" s="43" t="s">
        <v>280</v>
      </c>
      <c r="F254" s="1"/>
      <c r="G254" s="41">
        <v>116794</v>
      </c>
      <c r="H254" s="116">
        <f>2600-250-2-1-2-400-550-250-100-30-400-30-400-50-1-4-50-50-30</f>
        <v>0</v>
      </c>
      <c r="I254" s="41">
        <v>10</v>
      </c>
      <c r="J254" s="98">
        <f t="shared" si="12"/>
        <v>0</v>
      </c>
      <c r="K254" s="60" t="s">
        <v>152</v>
      </c>
      <c r="L254" s="60" t="s">
        <v>262</v>
      </c>
      <c r="M254" s="60" t="s">
        <v>260</v>
      </c>
      <c r="N254" s="60" t="s">
        <v>158</v>
      </c>
      <c r="O254" s="60" t="s">
        <v>663</v>
      </c>
      <c r="P254" s="45" t="s">
        <v>250</v>
      </c>
      <c r="Q254" s="45" t="s">
        <v>5</v>
      </c>
      <c r="R254" s="45" t="s">
        <v>257</v>
      </c>
      <c r="S254" s="45" t="s">
        <v>247</v>
      </c>
      <c r="T254" s="119">
        <v>116</v>
      </c>
      <c r="U254" s="62">
        <f t="shared" si="13"/>
        <v>0</v>
      </c>
      <c r="V254" s="63">
        <f t="shared" ca="1" si="14"/>
        <v>403</v>
      </c>
      <c r="W254" s="52" t="str">
        <f t="shared" ca="1" si="15"/>
        <v>12-18 Months</v>
      </c>
    </row>
    <row r="255" spans="1:26">
      <c r="A255" s="65">
        <v>45751</v>
      </c>
      <c r="B255" s="45" t="s">
        <v>5</v>
      </c>
      <c r="C255" s="45" t="s">
        <v>662</v>
      </c>
      <c r="D255" s="43" t="s">
        <v>667</v>
      </c>
      <c r="E255" s="1" t="s">
        <v>665</v>
      </c>
      <c r="F255" s="1"/>
      <c r="G255" s="41">
        <v>116799</v>
      </c>
      <c r="H255" s="116">
        <f>2600-2-180-120-150-100-700-156-200-120-15-300-50-70-300-137</f>
        <v>0</v>
      </c>
      <c r="I255" s="41">
        <v>10</v>
      </c>
      <c r="J255" s="98">
        <f t="shared" si="12"/>
        <v>0</v>
      </c>
      <c r="K255" s="60" t="s">
        <v>152</v>
      </c>
      <c r="L255" s="60" t="s">
        <v>310</v>
      </c>
      <c r="M255" s="60" t="s">
        <v>666</v>
      </c>
      <c r="N255" s="60" t="s">
        <v>173</v>
      </c>
      <c r="O255" s="60" t="s">
        <v>173</v>
      </c>
      <c r="P255" s="45" t="s">
        <v>250</v>
      </c>
      <c r="Q255" s="45" t="s">
        <v>5</v>
      </c>
      <c r="R255" s="45" t="s">
        <v>257</v>
      </c>
      <c r="S255" s="45" t="s">
        <v>247</v>
      </c>
      <c r="T255" s="119">
        <v>90.5</v>
      </c>
      <c r="U255" s="62">
        <f t="shared" si="13"/>
        <v>0</v>
      </c>
      <c r="V255" s="63">
        <f t="shared" ca="1" si="14"/>
        <v>403</v>
      </c>
      <c r="W255" s="52" t="str">
        <f t="shared" ca="1" si="15"/>
        <v>12-18 Months</v>
      </c>
    </row>
    <row r="256" spans="1:26">
      <c r="A256" s="65">
        <v>45752</v>
      </c>
      <c r="B256" s="45" t="s">
        <v>5</v>
      </c>
      <c r="C256" s="45" t="s">
        <v>662</v>
      </c>
      <c r="D256" s="43" t="s">
        <v>667</v>
      </c>
      <c r="E256" s="1" t="s">
        <v>665</v>
      </c>
      <c r="F256" s="1"/>
      <c r="G256" s="41">
        <v>116835</v>
      </c>
      <c r="H256" s="116">
        <f>2600-2-2-196-700-700-400-1-40-100</f>
        <v>459</v>
      </c>
      <c r="I256" s="41">
        <v>10</v>
      </c>
      <c r="J256" s="98">
        <f t="shared" si="12"/>
        <v>4590</v>
      </c>
      <c r="K256" s="60" t="s">
        <v>152</v>
      </c>
      <c r="L256" s="60" t="s">
        <v>310</v>
      </c>
      <c r="M256" s="60" t="s">
        <v>666</v>
      </c>
      <c r="N256" s="60" t="s">
        <v>173</v>
      </c>
      <c r="O256" s="60" t="s">
        <v>173</v>
      </c>
      <c r="P256" s="45" t="s">
        <v>250</v>
      </c>
      <c r="Q256" s="45" t="s">
        <v>5</v>
      </c>
      <c r="R256" s="45" t="s">
        <v>257</v>
      </c>
      <c r="S256" s="45" t="s">
        <v>247</v>
      </c>
      <c r="T256" s="119">
        <v>90.5</v>
      </c>
      <c r="U256" s="62">
        <f t="shared" si="13"/>
        <v>415395</v>
      </c>
      <c r="V256" s="63">
        <f t="shared" ca="1" si="14"/>
        <v>402</v>
      </c>
      <c r="W256" s="52" t="str">
        <f t="shared" ca="1" si="15"/>
        <v>12-18 Months</v>
      </c>
    </row>
    <row r="257" spans="1:23">
      <c r="A257" s="65">
        <v>45755</v>
      </c>
      <c r="B257" s="45" t="s">
        <v>5</v>
      </c>
      <c r="C257" s="45" t="s">
        <v>662</v>
      </c>
      <c r="D257" s="43" t="s">
        <v>667</v>
      </c>
      <c r="E257" s="43" t="s">
        <v>280</v>
      </c>
      <c r="F257" s="1"/>
      <c r="G257" s="41">
        <v>116927</v>
      </c>
      <c r="H257" s="116">
        <v>250</v>
      </c>
      <c r="I257" s="41">
        <v>10</v>
      </c>
      <c r="J257" s="98">
        <f t="shared" si="12"/>
        <v>2500</v>
      </c>
      <c r="K257" s="60" t="s">
        <v>152</v>
      </c>
      <c r="L257" s="60" t="s">
        <v>262</v>
      </c>
      <c r="M257" s="60" t="s">
        <v>260</v>
      </c>
      <c r="N257" s="60" t="s">
        <v>158</v>
      </c>
      <c r="O257" s="60" t="s">
        <v>663</v>
      </c>
      <c r="P257" s="45" t="s">
        <v>250</v>
      </c>
      <c r="Q257" s="45" t="s">
        <v>5</v>
      </c>
      <c r="R257" s="45" t="s">
        <v>257</v>
      </c>
      <c r="S257" s="45" t="s">
        <v>247</v>
      </c>
      <c r="T257" s="119">
        <v>116</v>
      </c>
      <c r="U257" s="62">
        <f t="shared" si="13"/>
        <v>290000</v>
      </c>
      <c r="V257" s="63">
        <f t="shared" ca="1" si="14"/>
        <v>399</v>
      </c>
      <c r="W257" s="52" t="str">
        <f t="shared" ca="1" si="15"/>
        <v>12-18 Months</v>
      </c>
    </row>
    <row r="258" spans="1:23">
      <c r="A258" s="65">
        <v>45759</v>
      </c>
      <c r="B258" s="45" t="s">
        <v>5</v>
      </c>
      <c r="C258" s="45" t="s">
        <v>662</v>
      </c>
      <c r="D258" s="43" t="s">
        <v>667</v>
      </c>
      <c r="E258" s="43" t="s">
        <v>280</v>
      </c>
      <c r="F258" s="1"/>
      <c r="G258" s="41">
        <v>117041</v>
      </c>
      <c r="H258" s="116">
        <f>1657+942-2-1600-2-2-100-500-100-242-15-10-26</f>
        <v>0</v>
      </c>
      <c r="I258" s="41">
        <v>10</v>
      </c>
      <c r="J258" s="98">
        <f t="shared" si="12"/>
        <v>0</v>
      </c>
      <c r="K258" s="60" t="s">
        <v>152</v>
      </c>
      <c r="L258" s="60" t="s">
        <v>262</v>
      </c>
      <c r="M258" s="60" t="s">
        <v>260</v>
      </c>
      <c r="N258" s="60" t="s">
        <v>158</v>
      </c>
      <c r="O258" s="60" t="s">
        <v>663</v>
      </c>
      <c r="P258" s="45" t="s">
        <v>250</v>
      </c>
      <c r="Q258" s="45" t="s">
        <v>5</v>
      </c>
      <c r="R258" s="45" t="s">
        <v>257</v>
      </c>
      <c r="S258" s="45" t="s">
        <v>247</v>
      </c>
      <c r="T258" s="119">
        <v>116</v>
      </c>
      <c r="U258" s="62">
        <f t="shared" si="13"/>
        <v>0</v>
      </c>
      <c r="V258" s="63">
        <f t="shared" ca="1" si="14"/>
        <v>395</v>
      </c>
      <c r="W258" s="52" t="str">
        <f t="shared" ca="1" si="15"/>
        <v>12-18 Months</v>
      </c>
    </row>
    <row r="259" spans="1:23">
      <c r="A259" s="65">
        <v>45759</v>
      </c>
      <c r="B259" s="45" t="s">
        <v>5</v>
      </c>
      <c r="C259" s="45" t="s">
        <v>662</v>
      </c>
      <c r="D259" s="43" t="s">
        <v>667</v>
      </c>
      <c r="E259" s="43" t="s">
        <v>280</v>
      </c>
      <c r="F259" s="1"/>
      <c r="G259" s="41">
        <v>117042</v>
      </c>
      <c r="H259" s="116">
        <f>2600-1-2000-5-5-5-200-100</f>
        <v>284</v>
      </c>
      <c r="I259" s="41">
        <v>10</v>
      </c>
      <c r="J259" s="98">
        <f t="shared" si="12"/>
        <v>2840</v>
      </c>
      <c r="K259" s="60" t="s">
        <v>152</v>
      </c>
      <c r="L259" s="60" t="s">
        <v>262</v>
      </c>
      <c r="M259" s="60" t="s">
        <v>260</v>
      </c>
      <c r="N259" s="60" t="s">
        <v>158</v>
      </c>
      <c r="O259" s="60" t="s">
        <v>663</v>
      </c>
      <c r="P259" s="45" t="s">
        <v>250</v>
      </c>
      <c r="Q259" s="45" t="s">
        <v>5</v>
      </c>
      <c r="R259" s="45" t="s">
        <v>257</v>
      </c>
      <c r="S259" s="45" t="s">
        <v>247</v>
      </c>
      <c r="T259" s="119">
        <v>116</v>
      </c>
      <c r="U259" s="62">
        <f t="shared" si="13"/>
        <v>329440</v>
      </c>
      <c r="V259" s="63">
        <f t="shared" ca="1" si="14"/>
        <v>395</v>
      </c>
      <c r="W259" s="52" t="str">
        <f t="shared" ca="1" si="15"/>
        <v>12-18 Months</v>
      </c>
    </row>
    <row r="260" spans="1:23">
      <c r="A260" s="65">
        <v>45760</v>
      </c>
      <c r="B260" s="45" t="s">
        <v>5</v>
      </c>
      <c r="C260" s="45" t="s">
        <v>662</v>
      </c>
      <c r="D260" s="43" t="s">
        <v>667</v>
      </c>
      <c r="E260" s="43" t="s">
        <v>280</v>
      </c>
      <c r="F260" s="1"/>
      <c r="G260" s="41">
        <v>117074</v>
      </c>
      <c r="H260" s="116">
        <f>2600-5-5-5-5-200-300</f>
        <v>2080</v>
      </c>
      <c r="I260" s="41">
        <v>10</v>
      </c>
      <c r="J260" s="98">
        <f t="shared" si="12"/>
        <v>20800</v>
      </c>
      <c r="K260" s="60" t="s">
        <v>152</v>
      </c>
      <c r="L260" s="60" t="s">
        <v>262</v>
      </c>
      <c r="M260" s="60" t="s">
        <v>260</v>
      </c>
      <c r="N260" s="60" t="s">
        <v>158</v>
      </c>
      <c r="O260" s="60" t="s">
        <v>663</v>
      </c>
      <c r="P260" s="45" t="s">
        <v>250</v>
      </c>
      <c r="Q260" s="45" t="s">
        <v>5</v>
      </c>
      <c r="R260" s="45" t="s">
        <v>257</v>
      </c>
      <c r="S260" s="45" t="s">
        <v>247</v>
      </c>
      <c r="T260" s="119">
        <v>116</v>
      </c>
      <c r="U260" s="62">
        <f t="shared" si="13"/>
        <v>2412800</v>
      </c>
      <c r="V260" s="63">
        <f t="shared" ca="1" si="14"/>
        <v>394</v>
      </c>
      <c r="W260" s="52" t="str">
        <f t="shared" ca="1" si="15"/>
        <v>12-18 Months</v>
      </c>
    </row>
    <row r="261" spans="1:23">
      <c r="A261" s="65">
        <v>45759</v>
      </c>
      <c r="B261" s="45" t="s">
        <v>5</v>
      </c>
      <c r="C261" s="45" t="s">
        <v>662</v>
      </c>
      <c r="D261" s="43" t="s">
        <v>667</v>
      </c>
      <c r="E261" s="43" t="s">
        <v>337</v>
      </c>
      <c r="F261" s="99" t="s">
        <v>788</v>
      </c>
      <c r="G261" s="41">
        <v>117075</v>
      </c>
      <c r="H261" s="116">
        <f>2600-1-1-250-50-2-42-40-21-300-25-40-50-150-50-27-40-25-40-105-52-51-5-10-1223</f>
        <v>0</v>
      </c>
      <c r="I261" s="41">
        <v>10</v>
      </c>
      <c r="J261" s="98">
        <f t="shared" si="12"/>
        <v>0</v>
      </c>
      <c r="K261" s="60" t="s">
        <v>152</v>
      </c>
      <c r="L261" s="60" t="s">
        <v>898</v>
      </c>
      <c r="M261" s="60" t="s">
        <v>260</v>
      </c>
      <c r="N261" s="60" t="s">
        <v>155</v>
      </c>
      <c r="O261" s="60" t="s">
        <v>359</v>
      </c>
      <c r="P261" s="45" t="s">
        <v>250</v>
      </c>
      <c r="Q261" s="45" t="s">
        <v>5</v>
      </c>
      <c r="R261" s="45" t="s">
        <v>257</v>
      </c>
      <c r="S261" s="45" t="s">
        <v>247</v>
      </c>
      <c r="T261" s="119">
        <v>233</v>
      </c>
      <c r="U261" s="62">
        <f t="shared" si="13"/>
        <v>0</v>
      </c>
      <c r="V261" s="63">
        <f t="shared" ca="1" si="14"/>
        <v>395</v>
      </c>
      <c r="W261" s="52" t="str">
        <f t="shared" ca="1" si="15"/>
        <v>12-18 Months</v>
      </c>
    </row>
    <row r="262" spans="1:23">
      <c r="A262" s="65">
        <v>45759</v>
      </c>
      <c r="B262" s="45" t="s">
        <v>5</v>
      </c>
      <c r="C262" s="45" t="s">
        <v>662</v>
      </c>
      <c r="D262" s="43" t="s">
        <v>667</v>
      </c>
      <c r="E262" s="43" t="s">
        <v>337</v>
      </c>
      <c r="F262" s="99" t="s">
        <v>788</v>
      </c>
      <c r="G262" s="41">
        <v>117076</v>
      </c>
      <c r="H262" s="116">
        <f>2600-1-2-2-10-20-2-1-2-2000-560</f>
        <v>0</v>
      </c>
      <c r="I262" s="41">
        <v>10</v>
      </c>
      <c r="J262" s="98">
        <f t="shared" si="12"/>
        <v>0</v>
      </c>
      <c r="K262" s="60" t="s">
        <v>152</v>
      </c>
      <c r="L262" s="60" t="s">
        <v>898</v>
      </c>
      <c r="M262" s="60" t="s">
        <v>260</v>
      </c>
      <c r="N262" s="60" t="s">
        <v>155</v>
      </c>
      <c r="O262" s="60" t="s">
        <v>359</v>
      </c>
      <c r="P262" s="45" t="s">
        <v>250</v>
      </c>
      <c r="Q262" s="45" t="s">
        <v>5</v>
      </c>
      <c r="R262" s="45" t="s">
        <v>257</v>
      </c>
      <c r="S262" s="45" t="s">
        <v>247</v>
      </c>
      <c r="T262" s="119">
        <v>233</v>
      </c>
      <c r="U262" s="62">
        <f t="shared" si="13"/>
        <v>0</v>
      </c>
      <c r="V262" s="63">
        <f t="shared" ca="1" si="14"/>
        <v>395</v>
      </c>
      <c r="W262" s="52" t="str">
        <f t="shared" ca="1" si="15"/>
        <v>12-18 Months</v>
      </c>
    </row>
    <row r="263" spans="1:23">
      <c r="A263" s="65">
        <v>45762</v>
      </c>
      <c r="B263" s="45" t="s">
        <v>5</v>
      </c>
      <c r="C263" s="45" t="s">
        <v>662</v>
      </c>
      <c r="D263" s="43" t="s">
        <v>667</v>
      </c>
      <c r="E263" s="43" t="s">
        <v>685</v>
      </c>
      <c r="F263" s="1"/>
      <c r="G263" s="41">
        <v>117122</v>
      </c>
      <c r="H263" s="116">
        <v>34</v>
      </c>
      <c r="I263" s="41">
        <v>10</v>
      </c>
      <c r="J263" s="98">
        <f t="shared" si="12"/>
        <v>340</v>
      </c>
      <c r="K263" s="60" t="s">
        <v>152</v>
      </c>
      <c r="L263" s="60" t="s">
        <v>262</v>
      </c>
      <c r="M263" s="60" t="s">
        <v>260</v>
      </c>
      <c r="N263" s="60" t="s">
        <v>158</v>
      </c>
      <c r="O263" s="60" t="s">
        <v>663</v>
      </c>
      <c r="P263" s="45" t="s">
        <v>250</v>
      </c>
      <c r="Q263" s="45" t="s">
        <v>5</v>
      </c>
      <c r="R263" s="45" t="s">
        <v>257</v>
      </c>
      <c r="S263" s="45" t="s">
        <v>247</v>
      </c>
      <c r="T263" s="119">
        <v>116</v>
      </c>
      <c r="U263" s="62">
        <f t="shared" si="13"/>
        <v>39440</v>
      </c>
      <c r="V263" s="63">
        <f t="shared" ca="1" si="14"/>
        <v>392</v>
      </c>
      <c r="W263" s="52" t="str">
        <f t="shared" ca="1" si="15"/>
        <v>12-18 Months</v>
      </c>
    </row>
    <row r="264" spans="1:23">
      <c r="A264" s="65">
        <v>45774</v>
      </c>
      <c r="B264" s="45" t="s">
        <v>5</v>
      </c>
      <c r="C264" s="45" t="s">
        <v>662</v>
      </c>
      <c r="D264" s="43" t="s">
        <v>667</v>
      </c>
      <c r="E264" s="43" t="s">
        <v>337</v>
      </c>
      <c r="F264" s="99" t="s">
        <v>788</v>
      </c>
      <c r="G264" s="41">
        <v>117407</v>
      </c>
      <c r="H264" s="116">
        <f>2600-2-217-100-100-100-101-200-25-2-7-250</f>
        <v>1496</v>
      </c>
      <c r="I264" s="41">
        <v>10</v>
      </c>
      <c r="J264" s="98">
        <f t="shared" ref="J264:J327" si="16">I264*H264</f>
        <v>14960</v>
      </c>
      <c r="K264" s="60" t="s">
        <v>152</v>
      </c>
      <c r="L264" s="60" t="s">
        <v>898</v>
      </c>
      <c r="M264" s="60" t="s">
        <v>260</v>
      </c>
      <c r="N264" s="60" t="s">
        <v>155</v>
      </c>
      <c r="O264" s="60" t="s">
        <v>359</v>
      </c>
      <c r="P264" s="45" t="s">
        <v>250</v>
      </c>
      <c r="Q264" s="45" t="s">
        <v>5</v>
      </c>
      <c r="R264" s="45" t="s">
        <v>257</v>
      </c>
      <c r="S264" s="45" t="s">
        <v>247</v>
      </c>
      <c r="T264" s="119">
        <v>233</v>
      </c>
      <c r="U264" s="62">
        <f t="shared" ref="U264:U327" si="17">T264*J264</f>
        <v>3485680</v>
      </c>
      <c r="V264" s="63">
        <f t="shared" ref="V264:V327" ca="1" si="18">$V$4-A264</f>
        <v>380</v>
      </c>
      <c r="W264" s="52" t="str">
        <f t="shared" ref="W264:W327" ca="1" si="19">VLOOKUP(V264,$Y$2:$Z$6,2)</f>
        <v>12-18 Months</v>
      </c>
    </row>
    <row r="265" spans="1:23">
      <c r="A265" s="65">
        <v>45774</v>
      </c>
      <c r="B265" s="45" t="s">
        <v>5</v>
      </c>
      <c r="C265" s="45" t="s">
        <v>662</v>
      </c>
      <c r="D265" s="43" t="s">
        <v>667</v>
      </c>
      <c r="E265" s="43" t="s">
        <v>337</v>
      </c>
      <c r="F265" s="99" t="s">
        <v>788</v>
      </c>
      <c r="G265" s="41">
        <v>117411</v>
      </c>
      <c r="H265" s="116">
        <f>2600-2-1500</f>
        <v>1098</v>
      </c>
      <c r="I265" s="41">
        <v>10</v>
      </c>
      <c r="J265" s="98">
        <f t="shared" si="16"/>
        <v>10980</v>
      </c>
      <c r="K265" s="60" t="s">
        <v>152</v>
      </c>
      <c r="L265" s="60" t="s">
        <v>898</v>
      </c>
      <c r="M265" s="60" t="s">
        <v>260</v>
      </c>
      <c r="N265" s="60" t="s">
        <v>155</v>
      </c>
      <c r="O265" s="60" t="s">
        <v>359</v>
      </c>
      <c r="P265" s="45" t="s">
        <v>250</v>
      </c>
      <c r="Q265" s="45" t="s">
        <v>5</v>
      </c>
      <c r="R265" s="45" t="s">
        <v>257</v>
      </c>
      <c r="S265" s="45" t="s">
        <v>247</v>
      </c>
      <c r="T265" s="119">
        <v>233</v>
      </c>
      <c r="U265" s="62">
        <f t="shared" si="17"/>
        <v>2558340</v>
      </c>
      <c r="V265" s="63">
        <f t="shared" ca="1" si="18"/>
        <v>380</v>
      </c>
      <c r="W265" s="52" t="str">
        <f t="shared" ca="1" si="19"/>
        <v>12-18 Months</v>
      </c>
    </row>
    <row r="266" spans="1:23">
      <c r="A266" s="65">
        <v>45775</v>
      </c>
      <c r="B266" s="45" t="s">
        <v>5</v>
      </c>
      <c r="C266" s="45" t="s">
        <v>662</v>
      </c>
      <c r="D266" s="43" t="s">
        <v>667</v>
      </c>
      <c r="E266" s="43" t="s">
        <v>337</v>
      </c>
      <c r="F266" s="99" t="s">
        <v>788</v>
      </c>
      <c r="G266" s="41">
        <v>117413</v>
      </c>
      <c r="H266" s="116">
        <f>2600-2-100-100-50-800-100-20</f>
        <v>1428</v>
      </c>
      <c r="I266" s="41">
        <v>10</v>
      </c>
      <c r="J266" s="98">
        <f t="shared" si="16"/>
        <v>14280</v>
      </c>
      <c r="K266" s="60" t="s">
        <v>152</v>
      </c>
      <c r="L266" s="60" t="s">
        <v>898</v>
      </c>
      <c r="M266" s="60" t="s">
        <v>260</v>
      </c>
      <c r="N266" s="60" t="s">
        <v>155</v>
      </c>
      <c r="O266" s="60" t="s">
        <v>359</v>
      </c>
      <c r="P266" s="45" t="s">
        <v>250</v>
      </c>
      <c r="Q266" s="45" t="s">
        <v>5</v>
      </c>
      <c r="R266" s="45" t="s">
        <v>257</v>
      </c>
      <c r="S266" s="45" t="s">
        <v>247</v>
      </c>
      <c r="T266" s="119">
        <v>233</v>
      </c>
      <c r="U266" s="62">
        <f t="shared" si="17"/>
        <v>3327240</v>
      </c>
      <c r="V266" s="63">
        <f t="shared" ca="1" si="18"/>
        <v>379</v>
      </c>
      <c r="W266" s="52" t="str">
        <f t="shared" ca="1" si="19"/>
        <v>12-18 Months</v>
      </c>
    </row>
    <row r="267" spans="1:23">
      <c r="A267" s="65">
        <v>45776</v>
      </c>
      <c r="B267" s="45" t="s">
        <v>5</v>
      </c>
      <c r="C267" s="45" t="s">
        <v>662</v>
      </c>
      <c r="D267" s="43" t="s">
        <v>667</v>
      </c>
      <c r="E267" s="43" t="s">
        <v>666</v>
      </c>
      <c r="F267" s="1"/>
      <c r="G267" s="41">
        <v>117456</v>
      </c>
      <c r="H267" s="116">
        <f>467-400-67</f>
        <v>0</v>
      </c>
      <c r="I267" s="41">
        <v>10</v>
      </c>
      <c r="J267" s="98">
        <f t="shared" si="16"/>
        <v>0</v>
      </c>
      <c r="K267" s="60" t="s">
        <v>152</v>
      </c>
      <c r="L267" s="60" t="s">
        <v>310</v>
      </c>
      <c r="M267" s="60" t="s">
        <v>310</v>
      </c>
      <c r="N267" s="60" t="s">
        <v>173</v>
      </c>
      <c r="O267" s="60" t="s">
        <v>173</v>
      </c>
      <c r="P267" s="45" t="s">
        <v>250</v>
      </c>
      <c r="Q267" s="45" t="s">
        <v>5</v>
      </c>
      <c r="R267" s="45" t="s">
        <v>257</v>
      </c>
      <c r="S267" s="45" t="s">
        <v>247</v>
      </c>
      <c r="T267" s="119">
        <v>90.5</v>
      </c>
      <c r="U267" s="62">
        <f t="shared" si="17"/>
        <v>0</v>
      </c>
      <c r="V267" s="63">
        <f t="shared" ca="1" si="18"/>
        <v>378</v>
      </c>
      <c r="W267" s="52" t="str">
        <f t="shared" ca="1" si="19"/>
        <v>12-18 Months</v>
      </c>
    </row>
    <row r="268" spans="1:23">
      <c r="A268" s="65">
        <v>45787</v>
      </c>
      <c r="B268" s="45" t="s">
        <v>5</v>
      </c>
      <c r="C268" s="45" t="s">
        <v>662</v>
      </c>
      <c r="D268" s="43" t="s">
        <v>667</v>
      </c>
      <c r="E268" s="43" t="s">
        <v>280</v>
      </c>
      <c r="F268" s="1"/>
      <c r="G268" s="41">
        <v>117769</v>
      </c>
      <c r="H268" s="116">
        <v>175</v>
      </c>
      <c r="I268" s="41">
        <v>10</v>
      </c>
      <c r="J268" s="98">
        <f t="shared" si="16"/>
        <v>1750</v>
      </c>
      <c r="K268" s="60" t="s">
        <v>152</v>
      </c>
      <c r="L268" s="60" t="s">
        <v>262</v>
      </c>
      <c r="M268" s="60" t="s">
        <v>262</v>
      </c>
      <c r="N268" s="60" t="s">
        <v>158</v>
      </c>
      <c r="O268" s="60" t="s">
        <v>264</v>
      </c>
      <c r="P268" s="45" t="s">
        <v>250</v>
      </c>
      <c r="Q268" s="45" t="s">
        <v>5</v>
      </c>
      <c r="R268" s="45" t="s">
        <v>257</v>
      </c>
      <c r="S268" s="45" t="s">
        <v>247</v>
      </c>
      <c r="T268" s="119">
        <v>116</v>
      </c>
      <c r="U268" s="62">
        <f t="shared" si="17"/>
        <v>203000</v>
      </c>
      <c r="V268" s="63">
        <f t="shared" ca="1" si="18"/>
        <v>367</v>
      </c>
      <c r="W268" s="52" t="str">
        <f t="shared" ca="1" si="19"/>
        <v>12-18 Months</v>
      </c>
    </row>
    <row r="269" spans="1:23">
      <c r="A269" s="65">
        <v>45790</v>
      </c>
      <c r="B269" s="45" t="s">
        <v>5</v>
      </c>
      <c r="C269" s="45" t="s">
        <v>662</v>
      </c>
      <c r="D269" s="43" t="s">
        <v>667</v>
      </c>
      <c r="E269" s="43" t="s">
        <v>686</v>
      </c>
      <c r="F269" s="1"/>
      <c r="G269" s="41">
        <v>117833</v>
      </c>
      <c r="H269" s="116">
        <v>37</v>
      </c>
      <c r="I269" s="41">
        <v>10</v>
      </c>
      <c r="J269" s="98">
        <f t="shared" si="16"/>
        <v>370</v>
      </c>
      <c r="K269" s="60" t="s">
        <v>148</v>
      </c>
      <c r="L269" s="60" t="s">
        <v>320</v>
      </c>
      <c r="M269" s="60" t="s">
        <v>148</v>
      </c>
      <c r="N269" s="60" t="s">
        <v>11</v>
      </c>
      <c r="O269" s="60" t="s">
        <v>286</v>
      </c>
      <c r="P269" s="45" t="s">
        <v>250</v>
      </c>
      <c r="Q269" s="45" t="s">
        <v>5</v>
      </c>
      <c r="R269" s="45" t="s">
        <v>257</v>
      </c>
      <c r="S269" s="45" t="s">
        <v>287</v>
      </c>
      <c r="T269" s="119">
        <v>241</v>
      </c>
      <c r="U269" s="62">
        <f t="shared" si="17"/>
        <v>89170</v>
      </c>
      <c r="V269" s="63">
        <f t="shared" ca="1" si="18"/>
        <v>364</v>
      </c>
      <c r="W269" s="52" t="str">
        <f t="shared" ca="1" si="19"/>
        <v>06-12 Months</v>
      </c>
    </row>
    <row r="270" spans="1:23">
      <c r="A270" s="65">
        <v>45808</v>
      </c>
      <c r="B270" s="45" t="s">
        <v>5</v>
      </c>
      <c r="C270" s="45" t="s">
        <v>662</v>
      </c>
      <c r="D270" s="43" t="s">
        <v>667</v>
      </c>
      <c r="E270" s="99" t="s">
        <v>280</v>
      </c>
      <c r="F270" s="1"/>
      <c r="G270" s="41">
        <v>118277</v>
      </c>
      <c r="H270" s="116">
        <f>375-60-200-115</f>
        <v>0</v>
      </c>
      <c r="I270" s="41">
        <v>10</v>
      </c>
      <c r="J270" s="98">
        <f t="shared" si="16"/>
        <v>0</v>
      </c>
      <c r="K270" s="60" t="s">
        <v>152</v>
      </c>
      <c r="L270" s="60" t="s">
        <v>262</v>
      </c>
      <c r="M270" s="60" t="s">
        <v>262</v>
      </c>
      <c r="N270" s="60" t="s">
        <v>158</v>
      </c>
      <c r="O270" s="60" t="s">
        <v>663</v>
      </c>
      <c r="P270" s="45" t="s">
        <v>250</v>
      </c>
      <c r="Q270" s="45" t="s">
        <v>5</v>
      </c>
      <c r="R270" s="45" t="s">
        <v>257</v>
      </c>
      <c r="S270" s="45" t="s">
        <v>247</v>
      </c>
      <c r="T270" s="119">
        <v>116</v>
      </c>
      <c r="U270" s="62">
        <f t="shared" si="17"/>
        <v>0</v>
      </c>
      <c r="V270" s="63">
        <f t="shared" ca="1" si="18"/>
        <v>346</v>
      </c>
      <c r="W270" s="52" t="str">
        <f t="shared" ca="1" si="19"/>
        <v>06-12 Months</v>
      </c>
    </row>
    <row r="271" spans="1:23">
      <c r="A271" s="65">
        <v>45808</v>
      </c>
      <c r="B271" s="45" t="s">
        <v>5</v>
      </c>
      <c r="C271" s="45" t="s">
        <v>662</v>
      </c>
      <c r="D271" s="43" t="s">
        <v>667</v>
      </c>
      <c r="E271" s="99" t="s">
        <v>365</v>
      </c>
      <c r="F271" s="1"/>
      <c r="G271" s="41">
        <v>118283</v>
      </c>
      <c r="H271" s="116">
        <f>175-135-40</f>
        <v>0</v>
      </c>
      <c r="I271" s="41">
        <v>10</v>
      </c>
      <c r="J271" s="98">
        <f t="shared" si="16"/>
        <v>0</v>
      </c>
      <c r="K271" s="60" t="s">
        <v>152</v>
      </c>
      <c r="L271" s="60" t="s">
        <v>672</v>
      </c>
      <c r="M271" s="60" t="s">
        <v>672</v>
      </c>
      <c r="N271" s="60" t="s">
        <v>723</v>
      </c>
      <c r="O271" s="60" t="s">
        <v>673</v>
      </c>
      <c r="P271" s="45" t="s">
        <v>250</v>
      </c>
      <c r="Q271" s="45" t="s">
        <v>5</v>
      </c>
      <c r="R271" s="45" t="s">
        <v>257</v>
      </c>
      <c r="S271" s="45" t="s">
        <v>255</v>
      </c>
      <c r="T271" s="119">
        <v>115</v>
      </c>
      <c r="U271" s="62">
        <f t="shared" si="17"/>
        <v>0</v>
      </c>
      <c r="V271" s="63">
        <f t="shared" ca="1" si="18"/>
        <v>346</v>
      </c>
      <c r="W271" s="52" t="str">
        <f t="shared" ca="1" si="19"/>
        <v>06-12 Months</v>
      </c>
    </row>
    <row r="272" spans="1:23">
      <c r="A272" s="65">
        <v>45808</v>
      </c>
      <c r="B272" s="45" t="s">
        <v>5</v>
      </c>
      <c r="C272" s="45" t="s">
        <v>662</v>
      </c>
      <c r="D272" s="43" t="s">
        <v>722</v>
      </c>
      <c r="E272" s="99" t="s">
        <v>365</v>
      </c>
      <c r="F272" s="1"/>
      <c r="G272" s="41">
        <v>118284</v>
      </c>
      <c r="H272" s="116">
        <v>9</v>
      </c>
      <c r="I272" s="41">
        <v>16</v>
      </c>
      <c r="J272" s="98">
        <f t="shared" si="16"/>
        <v>144</v>
      </c>
      <c r="K272" s="60" t="s">
        <v>152</v>
      </c>
      <c r="L272" s="60" t="s">
        <v>672</v>
      </c>
      <c r="M272" s="60" t="s">
        <v>672</v>
      </c>
      <c r="N272" s="60" t="s">
        <v>723</v>
      </c>
      <c r="O272" s="60" t="s">
        <v>673</v>
      </c>
      <c r="P272" s="45" t="s">
        <v>250</v>
      </c>
      <c r="Q272" s="45" t="s">
        <v>5</v>
      </c>
      <c r="R272" s="45" t="s">
        <v>257</v>
      </c>
      <c r="S272" s="45" t="s">
        <v>255</v>
      </c>
      <c r="T272" s="119">
        <v>115</v>
      </c>
      <c r="U272" s="62">
        <f t="shared" si="17"/>
        <v>16560</v>
      </c>
      <c r="V272" s="63">
        <f t="shared" ca="1" si="18"/>
        <v>346</v>
      </c>
      <c r="W272" s="52" t="str">
        <f t="shared" ca="1" si="19"/>
        <v>06-12 Months</v>
      </c>
    </row>
    <row r="273" spans="1:24">
      <c r="A273" s="65">
        <v>45808</v>
      </c>
      <c r="B273" s="45" t="s">
        <v>5</v>
      </c>
      <c r="C273" s="45" t="s">
        <v>662</v>
      </c>
      <c r="D273" s="43" t="s">
        <v>667</v>
      </c>
      <c r="E273" s="99" t="s">
        <v>365</v>
      </c>
      <c r="F273" s="1"/>
      <c r="G273" s="41">
        <v>118285</v>
      </c>
      <c r="H273" s="116">
        <f>215-215</f>
        <v>0</v>
      </c>
      <c r="I273" s="41">
        <v>10</v>
      </c>
      <c r="J273" s="98">
        <f t="shared" si="16"/>
        <v>0</v>
      </c>
      <c r="K273" s="60" t="s">
        <v>152</v>
      </c>
      <c r="L273" s="60" t="s">
        <v>672</v>
      </c>
      <c r="M273" s="60" t="s">
        <v>672</v>
      </c>
      <c r="N273" s="60" t="s">
        <v>723</v>
      </c>
      <c r="O273" s="60" t="s">
        <v>673</v>
      </c>
      <c r="P273" s="45" t="s">
        <v>250</v>
      </c>
      <c r="Q273" s="45" t="s">
        <v>5</v>
      </c>
      <c r="R273" s="45" t="s">
        <v>257</v>
      </c>
      <c r="S273" s="45" t="s">
        <v>255</v>
      </c>
      <c r="T273" s="119">
        <v>115</v>
      </c>
      <c r="U273" s="62">
        <f t="shared" si="17"/>
        <v>0</v>
      </c>
      <c r="V273" s="63">
        <f t="shared" ca="1" si="18"/>
        <v>346</v>
      </c>
      <c r="W273" s="52" t="str">
        <f t="shared" ca="1" si="19"/>
        <v>06-12 Months</v>
      </c>
    </row>
    <row r="274" spans="1:24">
      <c r="A274" s="65">
        <v>45811</v>
      </c>
      <c r="B274" s="45" t="s">
        <v>5</v>
      </c>
      <c r="C274" s="45" t="s">
        <v>662</v>
      </c>
      <c r="D274" s="43" t="s">
        <v>722</v>
      </c>
      <c r="E274" s="99" t="s">
        <v>365</v>
      </c>
      <c r="F274" s="1"/>
      <c r="G274" s="41">
        <v>118351</v>
      </c>
      <c r="H274" s="116">
        <v>17</v>
      </c>
      <c r="I274" s="41">
        <v>15</v>
      </c>
      <c r="J274" s="98">
        <f t="shared" si="16"/>
        <v>255</v>
      </c>
      <c r="K274" s="60" t="s">
        <v>152</v>
      </c>
      <c r="L274" s="60" t="s">
        <v>672</v>
      </c>
      <c r="M274" s="60" t="s">
        <v>672</v>
      </c>
      <c r="N274" s="60" t="s">
        <v>723</v>
      </c>
      <c r="O274" s="60" t="s">
        <v>673</v>
      </c>
      <c r="P274" s="45" t="s">
        <v>250</v>
      </c>
      <c r="Q274" s="45" t="s">
        <v>5</v>
      </c>
      <c r="R274" s="45" t="s">
        <v>257</v>
      </c>
      <c r="S274" s="45" t="s">
        <v>255</v>
      </c>
      <c r="T274" s="119">
        <v>115</v>
      </c>
      <c r="U274" s="62">
        <f t="shared" si="17"/>
        <v>29325</v>
      </c>
      <c r="V274" s="63">
        <f t="shared" ca="1" si="18"/>
        <v>343</v>
      </c>
      <c r="W274" s="52" t="str">
        <f t="shared" ca="1" si="19"/>
        <v>06-12 Months</v>
      </c>
    </row>
    <row r="275" spans="1:24">
      <c r="A275" s="65">
        <v>45811</v>
      </c>
      <c r="B275" s="45" t="s">
        <v>5</v>
      </c>
      <c r="C275" s="45" t="s">
        <v>662</v>
      </c>
      <c r="D275" s="43" t="s">
        <v>757</v>
      </c>
      <c r="E275" s="99" t="s">
        <v>365</v>
      </c>
      <c r="F275" s="1"/>
      <c r="G275" s="41">
        <v>118352</v>
      </c>
      <c r="H275" s="116">
        <v>5</v>
      </c>
      <c r="I275" s="41">
        <v>13</v>
      </c>
      <c r="J275" s="98">
        <f t="shared" si="16"/>
        <v>65</v>
      </c>
      <c r="K275" s="60" t="s">
        <v>152</v>
      </c>
      <c r="L275" s="60" t="s">
        <v>672</v>
      </c>
      <c r="M275" s="60" t="s">
        <v>672</v>
      </c>
      <c r="N275" s="60" t="s">
        <v>723</v>
      </c>
      <c r="O275" s="60" t="s">
        <v>673</v>
      </c>
      <c r="P275" s="45" t="s">
        <v>250</v>
      </c>
      <c r="Q275" s="45" t="s">
        <v>5</v>
      </c>
      <c r="R275" s="45" t="s">
        <v>257</v>
      </c>
      <c r="S275" s="45" t="s">
        <v>255</v>
      </c>
      <c r="T275" s="119">
        <v>115</v>
      </c>
      <c r="U275" s="62">
        <f t="shared" si="17"/>
        <v>7475</v>
      </c>
      <c r="V275" s="63">
        <f t="shared" ca="1" si="18"/>
        <v>343</v>
      </c>
      <c r="W275" s="52" t="str">
        <f t="shared" ca="1" si="19"/>
        <v>06-12 Months</v>
      </c>
    </row>
    <row r="276" spans="1:24">
      <c r="A276" s="65">
        <v>45811</v>
      </c>
      <c r="B276" s="45" t="s">
        <v>5</v>
      </c>
      <c r="C276" s="45" t="s">
        <v>662</v>
      </c>
      <c r="D276" s="43" t="s">
        <v>758</v>
      </c>
      <c r="E276" s="99" t="s">
        <v>365</v>
      </c>
      <c r="F276" s="1"/>
      <c r="G276" s="41">
        <v>118353</v>
      </c>
      <c r="H276" s="116">
        <v>2</v>
      </c>
      <c r="I276" s="41">
        <v>18</v>
      </c>
      <c r="J276" s="98">
        <f t="shared" si="16"/>
        <v>36</v>
      </c>
      <c r="K276" s="60" t="s">
        <v>152</v>
      </c>
      <c r="L276" s="60" t="s">
        <v>672</v>
      </c>
      <c r="M276" s="60" t="s">
        <v>672</v>
      </c>
      <c r="N276" s="60" t="s">
        <v>723</v>
      </c>
      <c r="O276" s="60" t="s">
        <v>673</v>
      </c>
      <c r="P276" s="45" t="s">
        <v>250</v>
      </c>
      <c r="Q276" s="45" t="s">
        <v>5</v>
      </c>
      <c r="R276" s="45" t="s">
        <v>257</v>
      </c>
      <c r="S276" s="45" t="s">
        <v>255</v>
      </c>
      <c r="T276" s="119">
        <v>115</v>
      </c>
      <c r="U276" s="62">
        <f t="shared" si="17"/>
        <v>4140</v>
      </c>
      <c r="V276" s="63">
        <f t="shared" ca="1" si="18"/>
        <v>343</v>
      </c>
      <c r="W276" s="52" t="str">
        <f t="shared" ca="1" si="19"/>
        <v>06-12 Months</v>
      </c>
    </row>
    <row r="277" spans="1:24">
      <c r="A277" s="65">
        <v>45838</v>
      </c>
      <c r="B277" s="45" t="s">
        <v>5</v>
      </c>
      <c r="C277" s="45" t="s">
        <v>662</v>
      </c>
      <c r="D277" s="43" t="s">
        <v>667</v>
      </c>
      <c r="E277" s="99" t="s">
        <v>668</v>
      </c>
      <c r="F277" s="99" t="s">
        <v>901</v>
      </c>
      <c r="G277" s="41">
        <v>119002</v>
      </c>
      <c r="H277" s="116">
        <f>246-200</f>
        <v>46</v>
      </c>
      <c r="I277" s="41">
        <v>15</v>
      </c>
      <c r="J277" s="98">
        <f t="shared" si="16"/>
        <v>690</v>
      </c>
      <c r="K277" s="60" t="s">
        <v>152</v>
      </c>
      <c r="L277" s="60" t="s">
        <v>310</v>
      </c>
      <c r="M277" s="60" t="s">
        <v>666</v>
      </c>
      <c r="N277" s="60" t="s">
        <v>902</v>
      </c>
      <c r="O277" s="60" t="s">
        <v>173</v>
      </c>
      <c r="P277" s="45" t="s">
        <v>250</v>
      </c>
      <c r="Q277" s="45" t="s">
        <v>5</v>
      </c>
      <c r="R277" s="45" t="s">
        <v>257</v>
      </c>
      <c r="S277" s="45" t="s">
        <v>247</v>
      </c>
      <c r="T277" s="119">
        <v>90.5</v>
      </c>
      <c r="U277" s="62">
        <f t="shared" si="17"/>
        <v>62445</v>
      </c>
      <c r="V277" s="63">
        <f t="shared" ca="1" si="18"/>
        <v>316</v>
      </c>
      <c r="W277" s="52" t="str">
        <f t="shared" ca="1" si="19"/>
        <v>06-12 Months</v>
      </c>
    </row>
    <row r="278" spans="1:24">
      <c r="A278" s="65">
        <v>45841</v>
      </c>
      <c r="B278" s="45" t="s">
        <v>5</v>
      </c>
      <c r="C278" s="45" t="s">
        <v>662</v>
      </c>
      <c r="D278" s="43" t="s">
        <v>667</v>
      </c>
      <c r="E278" s="99" t="s">
        <v>337</v>
      </c>
      <c r="F278" s="99"/>
      <c r="G278" s="41">
        <v>119096</v>
      </c>
      <c r="H278" s="116">
        <f>16-16</f>
        <v>0</v>
      </c>
      <c r="I278" s="41">
        <v>10</v>
      </c>
      <c r="J278" s="98">
        <f t="shared" si="16"/>
        <v>0</v>
      </c>
      <c r="K278" s="60" t="s">
        <v>152</v>
      </c>
      <c r="L278" s="60" t="s">
        <v>898</v>
      </c>
      <c r="M278" s="60" t="s">
        <v>260</v>
      </c>
      <c r="N278" s="60" t="s">
        <v>155</v>
      </c>
      <c r="O278" s="60" t="s">
        <v>359</v>
      </c>
      <c r="P278" s="45" t="s">
        <v>250</v>
      </c>
      <c r="Q278" s="45" t="s">
        <v>5</v>
      </c>
      <c r="R278" s="45" t="s">
        <v>257</v>
      </c>
      <c r="S278" s="45" t="s">
        <v>247</v>
      </c>
      <c r="T278" s="119">
        <v>233</v>
      </c>
      <c r="U278" s="62">
        <f t="shared" si="17"/>
        <v>0</v>
      </c>
      <c r="V278" s="63">
        <f t="shared" ca="1" si="18"/>
        <v>313</v>
      </c>
      <c r="W278" s="52" t="str">
        <f t="shared" ca="1" si="19"/>
        <v>06-12 Months</v>
      </c>
    </row>
    <row r="279" spans="1:24">
      <c r="A279" s="65">
        <v>45845</v>
      </c>
      <c r="B279" s="45" t="s">
        <v>5</v>
      </c>
      <c r="C279" s="45" t="s">
        <v>662</v>
      </c>
      <c r="D279" s="43" t="s">
        <v>683</v>
      </c>
      <c r="E279" s="99" t="s">
        <v>277</v>
      </c>
      <c r="F279" s="99"/>
      <c r="G279" s="41">
        <v>119224</v>
      </c>
      <c r="H279" s="116">
        <f>4894-400-400-30-200-200-50-50-100-100-130-30-20-60-52-7-226-6-30-80-90-70-80-46-102-98-29-8-30-50-5-40-10-30-30-2-5-10-34-10</f>
        <v>1944</v>
      </c>
      <c r="I279" s="41">
        <v>5</v>
      </c>
      <c r="J279" s="98">
        <f t="shared" si="16"/>
        <v>9720</v>
      </c>
      <c r="K279" s="60" t="s">
        <v>152</v>
      </c>
      <c r="L279" s="60" t="s">
        <v>277</v>
      </c>
      <c r="M279" s="60" t="s">
        <v>277</v>
      </c>
      <c r="N279" s="60" t="s">
        <v>167</v>
      </c>
      <c r="O279" s="60" t="s">
        <v>279</v>
      </c>
      <c r="P279" s="45" t="s">
        <v>250</v>
      </c>
      <c r="Q279" s="45" t="s">
        <v>5</v>
      </c>
      <c r="R279" s="45" t="s">
        <v>257</v>
      </c>
      <c r="S279" s="45" t="s">
        <v>255</v>
      </c>
      <c r="T279" s="119">
        <v>198</v>
      </c>
      <c r="U279" s="62">
        <f t="shared" si="17"/>
        <v>1924560</v>
      </c>
      <c r="V279" s="63">
        <f t="shared" ca="1" si="18"/>
        <v>309</v>
      </c>
      <c r="W279" s="52" t="str">
        <f t="shared" ca="1" si="19"/>
        <v>06-12 Months</v>
      </c>
    </row>
    <row r="280" spans="1:24">
      <c r="A280" s="65">
        <v>45849</v>
      </c>
      <c r="B280" s="45" t="s">
        <v>5</v>
      </c>
      <c r="C280" s="45" t="s">
        <v>662</v>
      </c>
      <c r="D280" s="43" t="s">
        <v>757</v>
      </c>
      <c r="E280" s="99" t="s">
        <v>789</v>
      </c>
      <c r="F280" s="99"/>
      <c r="G280" s="41">
        <v>119299</v>
      </c>
      <c r="H280" s="116">
        <f>960-125-130-90-90-90-80-90-80-95-90</f>
        <v>0</v>
      </c>
      <c r="I280" s="41">
        <v>12</v>
      </c>
      <c r="J280" s="98">
        <f t="shared" si="16"/>
        <v>0</v>
      </c>
      <c r="K280" s="60" t="s">
        <v>152</v>
      </c>
      <c r="L280" s="60" t="s">
        <v>262</v>
      </c>
      <c r="M280" s="60" t="s">
        <v>790</v>
      </c>
      <c r="N280" s="60" t="s">
        <v>791</v>
      </c>
      <c r="O280" s="60" t="s">
        <v>792</v>
      </c>
      <c r="P280" s="45" t="s">
        <v>250</v>
      </c>
      <c r="Q280" s="45" t="s">
        <v>5</v>
      </c>
      <c r="R280" s="45" t="s">
        <v>257</v>
      </c>
      <c r="S280" s="45" t="s">
        <v>247</v>
      </c>
      <c r="T280" s="119">
        <v>116</v>
      </c>
      <c r="U280" s="62">
        <f t="shared" si="17"/>
        <v>0</v>
      </c>
      <c r="V280" s="63">
        <f t="shared" ca="1" si="18"/>
        <v>305</v>
      </c>
      <c r="W280" s="52" t="str">
        <f t="shared" ca="1" si="19"/>
        <v>06-12 Months</v>
      </c>
    </row>
    <row r="281" spans="1:24">
      <c r="A281" s="65">
        <v>45854</v>
      </c>
      <c r="B281" s="45" t="s">
        <v>5</v>
      </c>
      <c r="C281" s="45" t="s">
        <v>662</v>
      </c>
      <c r="D281" s="43" t="s">
        <v>683</v>
      </c>
      <c r="E281" s="99" t="s">
        <v>277</v>
      </c>
      <c r="F281" s="99"/>
      <c r="G281" s="41">
        <v>119491</v>
      </c>
      <c r="H281" s="116">
        <v>462</v>
      </c>
      <c r="I281" s="41">
        <v>5</v>
      </c>
      <c r="J281" s="98">
        <f t="shared" si="16"/>
        <v>2310</v>
      </c>
      <c r="K281" s="60" t="s">
        <v>152</v>
      </c>
      <c r="L281" s="60" t="s">
        <v>277</v>
      </c>
      <c r="M281" s="60" t="s">
        <v>277</v>
      </c>
      <c r="N281" s="60" t="s">
        <v>167</v>
      </c>
      <c r="O281" s="60" t="s">
        <v>279</v>
      </c>
      <c r="P281" s="45" t="s">
        <v>250</v>
      </c>
      <c r="Q281" s="45" t="s">
        <v>5</v>
      </c>
      <c r="R281" s="45" t="s">
        <v>257</v>
      </c>
      <c r="S281" s="45" t="s">
        <v>255</v>
      </c>
      <c r="T281" s="119">
        <v>198</v>
      </c>
      <c r="U281" s="62">
        <f t="shared" si="17"/>
        <v>457380</v>
      </c>
      <c r="V281" s="63">
        <f t="shared" ca="1" si="18"/>
        <v>300</v>
      </c>
      <c r="W281" s="52" t="str">
        <f t="shared" ca="1" si="19"/>
        <v>06-12 Months</v>
      </c>
    </row>
    <row r="282" spans="1:24">
      <c r="A282" s="65">
        <v>45861</v>
      </c>
      <c r="B282" s="45" t="s">
        <v>5</v>
      </c>
      <c r="C282" s="45" t="s">
        <v>662</v>
      </c>
      <c r="D282" s="43" t="s">
        <v>683</v>
      </c>
      <c r="E282" s="99" t="s">
        <v>670</v>
      </c>
      <c r="F282" s="99"/>
      <c r="G282" s="41">
        <v>119639</v>
      </c>
      <c r="H282" s="116">
        <f>600-50-52-70-55</f>
        <v>373</v>
      </c>
      <c r="I282" s="41">
        <v>5</v>
      </c>
      <c r="J282" s="98">
        <f t="shared" si="16"/>
        <v>1865</v>
      </c>
      <c r="K282" s="60" t="s">
        <v>152</v>
      </c>
      <c r="L282" s="60" t="s">
        <v>277</v>
      </c>
      <c r="M282" s="60" t="s">
        <v>277</v>
      </c>
      <c r="N282" s="60" t="s">
        <v>167</v>
      </c>
      <c r="O282" s="60" t="s">
        <v>279</v>
      </c>
      <c r="P282" s="45" t="s">
        <v>250</v>
      </c>
      <c r="Q282" s="45" t="s">
        <v>5</v>
      </c>
      <c r="R282" s="45" t="s">
        <v>257</v>
      </c>
      <c r="S282" s="45" t="s">
        <v>255</v>
      </c>
      <c r="T282" s="119">
        <v>240</v>
      </c>
      <c r="U282" s="62">
        <f t="shared" si="17"/>
        <v>447600</v>
      </c>
      <c r="V282" s="63">
        <f t="shared" ca="1" si="18"/>
        <v>293</v>
      </c>
      <c r="W282" s="52" t="str">
        <f t="shared" ca="1" si="19"/>
        <v>06-12 Months</v>
      </c>
    </row>
    <row r="283" spans="1:24">
      <c r="A283" s="65">
        <v>45870</v>
      </c>
      <c r="B283" s="45" t="s">
        <v>5</v>
      </c>
      <c r="C283" s="45" t="s">
        <v>662</v>
      </c>
      <c r="D283" s="43" t="s">
        <v>667</v>
      </c>
      <c r="E283" s="99" t="s">
        <v>327</v>
      </c>
      <c r="F283" s="99"/>
      <c r="G283" s="41">
        <v>119869</v>
      </c>
      <c r="H283" s="116">
        <f>110.5-67</f>
        <v>43.5</v>
      </c>
      <c r="I283" s="41">
        <v>10</v>
      </c>
      <c r="J283" s="98">
        <f t="shared" si="16"/>
        <v>435</v>
      </c>
      <c r="K283" s="60" t="s">
        <v>152</v>
      </c>
      <c r="L283" s="60" t="s">
        <v>1211</v>
      </c>
      <c r="M283" s="60" t="s">
        <v>325</v>
      </c>
      <c r="N283" s="60" t="s">
        <v>159</v>
      </c>
      <c r="O283" s="60" t="s">
        <v>326</v>
      </c>
      <c r="P283" s="45" t="s">
        <v>250</v>
      </c>
      <c r="Q283" s="45" t="s">
        <v>5</v>
      </c>
      <c r="R283" s="45" t="s">
        <v>257</v>
      </c>
      <c r="S283" s="45" t="s">
        <v>247</v>
      </c>
      <c r="T283" s="119">
        <v>126</v>
      </c>
      <c r="U283" s="62">
        <f t="shared" si="17"/>
        <v>54810</v>
      </c>
      <c r="V283" s="63">
        <f t="shared" ca="1" si="18"/>
        <v>284</v>
      </c>
      <c r="W283" s="52" t="str">
        <f t="shared" ca="1" si="19"/>
        <v>06-12 Months</v>
      </c>
      <c r="X283" s="110"/>
    </row>
    <row r="284" spans="1:24">
      <c r="A284" s="65">
        <v>45892</v>
      </c>
      <c r="B284" s="45" t="s">
        <v>5</v>
      </c>
      <c r="C284" s="45" t="s">
        <v>662</v>
      </c>
      <c r="D284" s="43" t="s">
        <v>683</v>
      </c>
      <c r="E284" s="99" t="s">
        <v>881</v>
      </c>
      <c r="F284" s="99"/>
      <c r="G284" s="41">
        <v>120372</v>
      </c>
      <c r="H284" s="116">
        <f>185-80-80</f>
        <v>25</v>
      </c>
      <c r="I284" s="41">
        <v>5</v>
      </c>
      <c r="J284" s="98">
        <f t="shared" si="16"/>
        <v>125</v>
      </c>
      <c r="K284" s="60" t="s">
        <v>152</v>
      </c>
      <c r="L284" s="60" t="s">
        <v>277</v>
      </c>
      <c r="M284" s="60" t="s">
        <v>277</v>
      </c>
      <c r="N284" s="60" t="s">
        <v>167</v>
      </c>
      <c r="O284" s="60" t="s">
        <v>279</v>
      </c>
      <c r="P284" s="45" t="s">
        <v>250</v>
      </c>
      <c r="Q284" s="45" t="s">
        <v>5</v>
      </c>
      <c r="R284" s="45" t="s">
        <v>257</v>
      </c>
      <c r="S284" s="45" t="s">
        <v>255</v>
      </c>
      <c r="T284" s="119">
        <v>240</v>
      </c>
      <c r="U284" s="62">
        <f t="shared" si="17"/>
        <v>30000</v>
      </c>
      <c r="V284" s="63">
        <f t="shared" ca="1" si="18"/>
        <v>262</v>
      </c>
      <c r="W284" s="52" t="str">
        <f t="shared" ca="1" si="19"/>
        <v>06-12 Months</v>
      </c>
      <c r="X284" s="110"/>
    </row>
    <row r="285" spans="1:24">
      <c r="A285" s="65">
        <v>45894</v>
      </c>
      <c r="B285" s="45" t="s">
        <v>5</v>
      </c>
      <c r="C285" s="45" t="s">
        <v>662</v>
      </c>
      <c r="D285" s="43" t="s">
        <v>757</v>
      </c>
      <c r="E285" s="99" t="s">
        <v>789</v>
      </c>
      <c r="F285" s="99"/>
      <c r="G285" s="41">
        <v>120409</v>
      </c>
      <c r="H285" s="116">
        <f>937-40-100-100-90-90-90</f>
        <v>427</v>
      </c>
      <c r="I285" s="41">
        <v>12</v>
      </c>
      <c r="J285" s="98">
        <f t="shared" si="16"/>
        <v>5124</v>
      </c>
      <c r="K285" s="60" t="s">
        <v>152</v>
      </c>
      <c r="L285" s="60" t="s">
        <v>262</v>
      </c>
      <c r="M285" s="60" t="s">
        <v>790</v>
      </c>
      <c r="N285" s="60" t="s">
        <v>791</v>
      </c>
      <c r="O285" s="60" t="s">
        <v>792</v>
      </c>
      <c r="P285" s="45" t="s">
        <v>250</v>
      </c>
      <c r="Q285" s="45" t="s">
        <v>5</v>
      </c>
      <c r="R285" s="45" t="s">
        <v>257</v>
      </c>
      <c r="S285" s="45" t="s">
        <v>247</v>
      </c>
      <c r="T285" s="119">
        <v>116</v>
      </c>
      <c r="U285" s="62">
        <f t="shared" si="17"/>
        <v>594384</v>
      </c>
      <c r="V285" s="63">
        <f t="shared" ca="1" si="18"/>
        <v>260</v>
      </c>
      <c r="W285" s="52" t="str">
        <f t="shared" ca="1" si="19"/>
        <v>06-12 Months</v>
      </c>
      <c r="X285" s="110"/>
    </row>
    <row r="286" spans="1:24">
      <c r="A286" s="65">
        <v>45894</v>
      </c>
      <c r="B286" s="45" t="s">
        <v>5</v>
      </c>
      <c r="C286" s="45" t="s">
        <v>662</v>
      </c>
      <c r="D286" s="43" t="s">
        <v>757</v>
      </c>
      <c r="E286" s="99" t="s">
        <v>789</v>
      </c>
      <c r="F286" s="99"/>
      <c r="G286" s="41">
        <v>120409</v>
      </c>
      <c r="H286" s="116">
        <f>50-50</f>
        <v>0</v>
      </c>
      <c r="I286" s="41">
        <f>36*0.2</f>
        <v>7.2</v>
      </c>
      <c r="J286" s="98">
        <f t="shared" si="16"/>
        <v>0</v>
      </c>
      <c r="K286" s="60" t="s">
        <v>152</v>
      </c>
      <c r="L286" s="60" t="s">
        <v>262</v>
      </c>
      <c r="M286" s="60" t="s">
        <v>790</v>
      </c>
      <c r="N286" s="60" t="s">
        <v>791</v>
      </c>
      <c r="O286" s="60" t="s">
        <v>792</v>
      </c>
      <c r="P286" s="45" t="s">
        <v>250</v>
      </c>
      <c r="Q286" s="45" t="s">
        <v>5</v>
      </c>
      <c r="R286" s="45" t="s">
        <v>257</v>
      </c>
      <c r="S286" s="45" t="s">
        <v>247</v>
      </c>
      <c r="T286" s="119">
        <v>116</v>
      </c>
      <c r="U286" s="62">
        <f t="shared" si="17"/>
        <v>0</v>
      </c>
      <c r="V286" s="63">
        <f t="shared" ca="1" si="18"/>
        <v>260</v>
      </c>
      <c r="W286" s="52" t="str">
        <f t="shared" ca="1" si="19"/>
        <v>06-12 Months</v>
      </c>
      <c r="X286" s="110"/>
    </row>
    <row r="287" spans="1:24">
      <c r="A287" s="65">
        <v>45897</v>
      </c>
      <c r="B287" s="45" t="s">
        <v>5</v>
      </c>
      <c r="C287" s="45" t="s">
        <v>662</v>
      </c>
      <c r="D287" s="43" t="s">
        <v>667</v>
      </c>
      <c r="E287" s="99" t="s">
        <v>878</v>
      </c>
      <c r="F287" s="99"/>
      <c r="G287" s="41">
        <v>120463</v>
      </c>
      <c r="H287" s="116">
        <f>200-200</f>
        <v>0</v>
      </c>
      <c r="I287" s="41">
        <v>10</v>
      </c>
      <c r="J287" s="98">
        <f t="shared" si="16"/>
        <v>0</v>
      </c>
      <c r="K287" s="60" t="s">
        <v>152</v>
      </c>
      <c r="L287" s="60" t="s">
        <v>898</v>
      </c>
      <c r="M287" s="60" t="s">
        <v>260</v>
      </c>
      <c r="N287" s="60" t="s">
        <v>883</v>
      </c>
      <c r="O287" s="60" t="s">
        <v>359</v>
      </c>
      <c r="P287" s="45" t="s">
        <v>250</v>
      </c>
      <c r="Q287" s="45" t="s">
        <v>5</v>
      </c>
      <c r="R287" s="45" t="s">
        <v>257</v>
      </c>
      <c r="S287" s="45" t="s">
        <v>247</v>
      </c>
      <c r="T287" s="119">
        <v>233</v>
      </c>
      <c r="U287" s="62">
        <f t="shared" si="17"/>
        <v>0</v>
      </c>
      <c r="V287" s="63">
        <f t="shared" ca="1" si="18"/>
        <v>257</v>
      </c>
      <c r="W287" s="52" t="str">
        <f t="shared" ca="1" si="19"/>
        <v>06-12 Months</v>
      </c>
      <c r="X287" s="110"/>
    </row>
    <row r="288" spans="1:24">
      <c r="A288" s="65">
        <v>45909</v>
      </c>
      <c r="B288" s="45" t="s">
        <v>5</v>
      </c>
      <c r="C288" s="45" t="s">
        <v>662</v>
      </c>
      <c r="D288" s="43" t="s">
        <v>667</v>
      </c>
      <c r="E288" s="99" t="s">
        <v>337</v>
      </c>
      <c r="F288" s="99"/>
      <c r="G288" s="41">
        <v>120802</v>
      </c>
      <c r="H288" s="116">
        <f>100-100</f>
        <v>0</v>
      </c>
      <c r="I288" s="41">
        <v>10</v>
      </c>
      <c r="J288" s="98">
        <f t="shared" si="16"/>
        <v>0</v>
      </c>
      <c r="K288" s="60" t="s">
        <v>152</v>
      </c>
      <c r="L288" s="60" t="s">
        <v>898</v>
      </c>
      <c r="M288" s="60" t="s">
        <v>260</v>
      </c>
      <c r="N288" s="60" t="s">
        <v>883</v>
      </c>
      <c r="O288" s="60" t="s">
        <v>359</v>
      </c>
      <c r="P288" s="45" t="s">
        <v>250</v>
      </c>
      <c r="Q288" s="45" t="s">
        <v>5</v>
      </c>
      <c r="R288" s="45" t="s">
        <v>257</v>
      </c>
      <c r="S288" s="45" t="s">
        <v>247</v>
      </c>
      <c r="T288" s="119">
        <v>233</v>
      </c>
      <c r="U288" s="62">
        <f t="shared" si="17"/>
        <v>0</v>
      </c>
      <c r="V288" s="63">
        <f t="shared" ca="1" si="18"/>
        <v>245</v>
      </c>
      <c r="W288" s="52" t="str">
        <f t="shared" ca="1" si="19"/>
        <v>06-12 Months</v>
      </c>
      <c r="X288" s="110"/>
    </row>
    <row r="289" spans="1:24">
      <c r="A289" s="65">
        <v>45912</v>
      </c>
      <c r="B289" s="45" t="s">
        <v>5</v>
      </c>
      <c r="C289" s="45" t="s">
        <v>662</v>
      </c>
      <c r="D289" s="43" t="s">
        <v>667</v>
      </c>
      <c r="E289" s="99" t="s">
        <v>280</v>
      </c>
      <c r="F289" s="99"/>
      <c r="G289" s="41">
        <v>120861</v>
      </c>
      <c r="H289" s="116">
        <f>1469-100-300-20-550-200-50-20-129-55-45</f>
        <v>0</v>
      </c>
      <c r="I289" s="41">
        <v>10</v>
      </c>
      <c r="J289" s="98">
        <f t="shared" si="16"/>
        <v>0</v>
      </c>
      <c r="K289" s="60" t="s">
        <v>152</v>
      </c>
      <c r="L289" s="60" t="s">
        <v>262</v>
      </c>
      <c r="M289" s="60" t="s">
        <v>262</v>
      </c>
      <c r="N289" s="60" t="s">
        <v>158</v>
      </c>
      <c r="O289" s="60" t="s">
        <v>663</v>
      </c>
      <c r="P289" s="45" t="s">
        <v>250</v>
      </c>
      <c r="Q289" s="45" t="s">
        <v>5</v>
      </c>
      <c r="R289" s="45" t="s">
        <v>257</v>
      </c>
      <c r="S289" s="45" t="s">
        <v>247</v>
      </c>
      <c r="T289" s="119">
        <v>116</v>
      </c>
      <c r="U289" s="62">
        <f t="shared" si="17"/>
        <v>0</v>
      </c>
      <c r="V289" s="63">
        <f t="shared" ca="1" si="18"/>
        <v>242</v>
      </c>
      <c r="W289" s="52" t="str">
        <f t="shared" ca="1" si="19"/>
        <v>06-12 Months</v>
      </c>
      <c r="X289" s="110"/>
    </row>
    <row r="290" spans="1:24">
      <c r="A290" s="65">
        <v>45985</v>
      </c>
      <c r="B290" s="45" t="s">
        <v>5</v>
      </c>
      <c r="C290" s="45" t="s">
        <v>662</v>
      </c>
      <c r="D290" s="43" t="s">
        <v>683</v>
      </c>
      <c r="E290" s="99" t="s">
        <v>899</v>
      </c>
      <c r="F290" s="99"/>
      <c r="G290" s="41">
        <v>122755</v>
      </c>
      <c r="H290" s="116">
        <f>478-14-1-5-5-140</f>
        <v>313</v>
      </c>
      <c r="I290" s="41">
        <v>5</v>
      </c>
      <c r="J290" s="98">
        <f t="shared" si="16"/>
        <v>1565</v>
      </c>
      <c r="K290" s="60" t="s">
        <v>190</v>
      </c>
      <c r="L290" s="60" t="s">
        <v>306</v>
      </c>
      <c r="M290" s="60" t="s">
        <v>306</v>
      </c>
      <c r="N290" s="60" t="s">
        <v>208</v>
      </c>
      <c r="O290" s="60" t="s">
        <v>308</v>
      </c>
      <c r="P290" s="45" t="s">
        <v>250</v>
      </c>
      <c r="Q290" s="45" t="s">
        <v>5</v>
      </c>
      <c r="R290" s="45" t="s">
        <v>257</v>
      </c>
      <c r="S290" s="45" t="s">
        <v>255</v>
      </c>
      <c r="T290" s="119">
        <v>550</v>
      </c>
      <c r="U290" s="62">
        <f t="shared" si="17"/>
        <v>860750</v>
      </c>
      <c r="V290" s="63">
        <f t="shared" ca="1" si="18"/>
        <v>169</v>
      </c>
      <c r="W290" s="52" t="str">
        <f t="shared" ca="1" si="19"/>
        <v>&lt; 6 Months</v>
      </c>
      <c r="X290" s="110"/>
    </row>
    <row r="291" spans="1:24">
      <c r="A291" s="65">
        <v>45935</v>
      </c>
      <c r="B291" s="45" t="s">
        <v>5</v>
      </c>
      <c r="C291" s="45" t="s">
        <v>662</v>
      </c>
      <c r="D291" s="43" t="s">
        <v>667</v>
      </c>
      <c r="E291" s="99" t="s">
        <v>665</v>
      </c>
      <c r="F291" s="99"/>
      <c r="G291" s="41">
        <v>121414</v>
      </c>
      <c r="H291" s="116">
        <f>300-300</f>
        <v>0</v>
      </c>
      <c r="I291" s="41">
        <v>10</v>
      </c>
      <c r="J291" s="98">
        <f t="shared" si="16"/>
        <v>0</v>
      </c>
      <c r="K291" s="60" t="s">
        <v>152</v>
      </c>
      <c r="L291" s="60" t="s">
        <v>310</v>
      </c>
      <c r="M291" s="60" t="s">
        <v>666</v>
      </c>
      <c r="N291" s="60" t="s">
        <v>173</v>
      </c>
      <c r="O291" s="60" t="s">
        <v>173</v>
      </c>
      <c r="P291" s="45" t="s">
        <v>250</v>
      </c>
      <c r="Q291" s="45" t="s">
        <v>5</v>
      </c>
      <c r="R291" s="45" t="s">
        <v>257</v>
      </c>
      <c r="S291" s="45" t="s">
        <v>255</v>
      </c>
      <c r="T291" s="119">
        <v>90.5</v>
      </c>
      <c r="U291" s="62">
        <f t="shared" si="17"/>
        <v>0</v>
      </c>
      <c r="V291" s="63">
        <f t="shared" ca="1" si="18"/>
        <v>219</v>
      </c>
      <c r="W291" s="52" t="str">
        <f t="shared" ca="1" si="19"/>
        <v>06-12 Months</v>
      </c>
      <c r="X291" s="110"/>
    </row>
    <row r="292" spans="1:24">
      <c r="A292" s="65">
        <v>45936</v>
      </c>
      <c r="B292" s="45" t="s">
        <v>5</v>
      </c>
      <c r="C292" s="45" t="s">
        <v>662</v>
      </c>
      <c r="D292" s="43" t="s">
        <v>667</v>
      </c>
      <c r="E292" s="99" t="s">
        <v>280</v>
      </c>
      <c r="F292" s="99" t="s">
        <v>924</v>
      </c>
      <c r="G292" s="41">
        <v>121432</v>
      </c>
      <c r="H292" s="116">
        <v>1099</v>
      </c>
      <c r="I292" s="41">
        <v>10</v>
      </c>
      <c r="J292" s="98">
        <f t="shared" si="16"/>
        <v>10990</v>
      </c>
      <c r="K292" s="60" t="s">
        <v>152</v>
      </c>
      <c r="L292" s="60" t="s">
        <v>262</v>
      </c>
      <c r="M292" s="60" t="s">
        <v>278</v>
      </c>
      <c r="N292" s="60" t="s">
        <v>158</v>
      </c>
      <c r="O292" s="60" t="s">
        <v>663</v>
      </c>
      <c r="P292" s="45" t="s">
        <v>250</v>
      </c>
      <c r="Q292" s="45" t="s">
        <v>5</v>
      </c>
      <c r="R292" s="45" t="s">
        <v>257</v>
      </c>
      <c r="S292" s="45" t="s">
        <v>247</v>
      </c>
      <c r="T292" s="119">
        <v>116</v>
      </c>
      <c r="U292" s="62">
        <f t="shared" si="17"/>
        <v>1274840</v>
      </c>
      <c r="V292" s="63">
        <f t="shared" ca="1" si="18"/>
        <v>218</v>
      </c>
      <c r="W292" s="52" t="str">
        <f t="shared" ca="1" si="19"/>
        <v>06-12 Months</v>
      </c>
      <c r="X292" s="110"/>
    </row>
    <row r="293" spans="1:24">
      <c r="A293" s="65">
        <v>45944</v>
      </c>
      <c r="B293" s="45" t="s">
        <v>5</v>
      </c>
      <c r="C293" s="45" t="s">
        <v>662</v>
      </c>
      <c r="D293" s="43" t="s">
        <v>667</v>
      </c>
      <c r="E293" s="99" t="s">
        <v>665</v>
      </c>
      <c r="F293" s="99"/>
      <c r="G293" s="41">
        <v>121648</v>
      </c>
      <c r="H293" s="116">
        <f>2600-2-10-13-15-1-100-1-27-200</f>
        <v>2231</v>
      </c>
      <c r="I293" s="41">
        <v>10</v>
      </c>
      <c r="J293" s="98">
        <f t="shared" si="16"/>
        <v>22310</v>
      </c>
      <c r="K293" s="60" t="s">
        <v>152</v>
      </c>
      <c r="L293" s="60" t="s">
        <v>310</v>
      </c>
      <c r="M293" s="60" t="s">
        <v>310</v>
      </c>
      <c r="N293" s="60" t="s">
        <v>173</v>
      </c>
      <c r="O293" s="60" t="s">
        <v>173</v>
      </c>
      <c r="P293" s="45" t="s">
        <v>250</v>
      </c>
      <c r="Q293" s="45" t="s">
        <v>5</v>
      </c>
      <c r="R293" s="45" t="s">
        <v>257</v>
      </c>
      <c r="S293" s="45" t="s">
        <v>247</v>
      </c>
      <c r="T293" s="119">
        <v>90.5</v>
      </c>
      <c r="U293" s="62">
        <f t="shared" si="17"/>
        <v>2019055</v>
      </c>
      <c r="V293" s="63">
        <f t="shared" ca="1" si="18"/>
        <v>210</v>
      </c>
      <c r="W293" s="52" t="str">
        <f t="shared" ca="1" si="19"/>
        <v>06-12 Months</v>
      </c>
      <c r="X293" s="110"/>
    </row>
    <row r="294" spans="1:24">
      <c r="A294" s="65">
        <v>45945</v>
      </c>
      <c r="B294" s="45" t="s">
        <v>5</v>
      </c>
      <c r="C294" s="45" t="s">
        <v>662</v>
      </c>
      <c r="D294" s="43" t="s">
        <v>757</v>
      </c>
      <c r="E294" s="99" t="s">
        <v>365</v>
      </c>
      <c r="F294" s="99"/>
      <c r="G294" s="41">
        <v>121686</v>
      </c>
      <c r="H294" s="116">
        <v>248</v>
      </c>
      <c r="I294" s="41">
        <v>12</v>
      </c>
      <c r="J294" s="98">
        <f t="shared" si="16"/>
        <v>2976</v>
      </c>
      <c r="K294" s="60" t="s">
        <v>152</v>
      </c>
      <c r="L294" s="60" t="s">
        <v>262</v>
      </c>
      <c r="M294" s="60" t="s">
        <v>790</v>
      </c>
      <c r="N294" s="60" t="s">
        <v>791</v>
      </c>
      <c r="O294" s="60" t="s">
        <v>792</v>
      </c>
      <c r="P294" s="45" t="s">
        <v>250</v>
      </c>
      <c r="Q294" s="45" t="s">
        <v>5</v>
      </c>
      <c r="R294" s="45" t="s">
        <v>257</v>
      </c>
      <c r="S294" s="45" t="s">
        <v>247</v>
      </c>
      <c r="T294" s="119">
        <v>116</v>
      </c>
      <c r="U294" s="62">
        <f t="shared" si="17"/>
        <v>345216</v>
      </c>
      <c r="V294" s="63">
        <f t="shared" ca="1" si="18"/>
        <v>209</v>
      </c>
      <c r="W294" s="52" t="str">
        <f t="shared" ca="1" si="19"/>
        <v>06-12 Months</v>
      </c>
      <c r="X294" s="110"/>
    </row>
    <row r="295" spans="1:24">
      <c r="A295" s="65">
        <v>45958</v>
      </c>
      <c r="B295" s="45" t="s">
        <v>5</v>
      </c>
      <c r="C295" s="45" t="s">
        <v>662</v>
      </c>
      <c r="D295" s="43" t="s">
        <v>667</v>
      </c>
      <c r="E295" s="99" t="s">
        <v>728</v>
      </c>
      <c r="F295" s="99"/>
      <c r="G295" s="41">
        <v>121939</v>
      </c>
      <c r="H295" s="116">
        <f>2600-2</f>
        <v>2598</v>
      </c>
      <c r="I295" s="41">
        <v>10</v>
      </c>
      <c r="J295" s="98">
        <f t="shared" si="16"/>
        <v>25980</v>
      </c>
      <c r="K295" s="60" t="s">
        <v>152</v>
      </c>
      <c r="L295" s="60" t="s">
        <v>253</v>
      </c>
      <c r="M295" s="60" t="s">
        <v>253</v>
      </c>
      <c r="N295" s="60" t="s">
        <v>170</v>
      </c>
      <c r="O295" s="60" t="s">
        <v>684</v>
      </c>
      <c r="P295" s="45" t="s">
        <v>250</v>
      </c>
      <c r="Q295" s="45" t="s">
        <v>5</v>
      </c>
      <c r="R295" s="45" t="s">
        <v>257</v>
      </c>
      <c r="S295" s="45" t="s">
        <v>247</v>
      </c>
      <c r="T295" s="119">
        <v>99</v>
      </c>
      <c r="U295" s="62">
        <f t="shared" si="17"/>
        <v>2572020</v>
      </c>
      <c r="V295" s="63">
        <f t="shared" ca="1" si="18"/>
        <v>196</v>
      </c>
      <c r="W295" s="52" t="str">
        <f t="shared" ca="1" si="19"/>
        <v>06-12 Months</v>
      </c>
      <c r="X295" s="110"/>
    </row>
    <row r="296" spans="1:24">
      <c r="A296" s="65">
        <v>45961</v>
      </c>
      <c r="B296" s="45" t="s">
        <v>5</v>
      </c>
      <c r="C296" s="45" t="s">
        <v>662</v>
      </c>
      <c r="D296" s="43" t="s">
        <v>667</v>
      </c>
      <c r="E296" s="99" t="s">
        <v>280</v>
      </c>
      <c r="F296" s="99"/>
      <c r="G296" s="41">
        <v>121977</v>
      </c>
      <c r="H296" s="116">
        <f>2600-2-1-1-100-100-250-100-100-100</f>
        <v>1846</v>
      </c>
      <c r="I296" s="41">
        <v>10</v>
      </c>
      <c r="J296" s="98">
        <f t="shared" si="16"/>
        <v>18460</v>
      </c>
      <c r="K296" s="60" t="s">
        <v>152</v>
      </c>
      <c r="L296" s="60" t="s">
        <v>262</v>
      </c>
      <c r="M296" s="60" t="s">
        <v>262</v>
      </c>
      <c r="N296" s="60" t="s">
        <v>158</v>
      </c>
      <c r="O296" s="60" t="s">
        <v>663</v>
      </c>
      <c r="P296" s="45" t="s">
        <v>250</v>
      </c>
      <c r="Q296" s="45" t="s">
        <v>5</v>
      </c>
      <c r="R296" s="45" t="s">
        <v>257</v>
      </c>
      <c r="S296" s="45" t="s">
        <v>247</v>
      </c>
      <c r="T296" s="119">
        <v>116</v>
      </c>
      <c r="U296" s="62">
        <f t="shared" si="17"/>
        <v>2141360</v>
      </c>
      <c r="V296" s="63">
        <f t="shared" ca="1" si="18"/>
        <v>193</v>
      </c>
      <c r="W296" s="52" t="str">
        <f t="shared" ca="1" si="19"/>
        <v>06-12 Months</v>
      </c>
      <c r="X296" s="110"/>
    </row>
    <row r="297" spans="1:24">
      <c r="A297" s="65">
        <v>45961</v>
      </c>
      <c r="B297" s="45" t="s">
        <v>5</v>
      </c>
      <c r="C297" s="45" t="s">
        <v>662</v>
      </c>
      <c r="D297" s="43" t="s">
        <v>667</v>
      </c>
      <c r="E297" s="99" t="s">
        <v>280</v>
      </c>
      <c r="F297" s="99" t="s">
        <v>1001</v>
      </c>
      <c r="G297" s="41">
        <v>121988</v>
      </c>
      <c r="H297" s="116">
        <f>884-333-333-218</f>
        <v>0</v>
      </c>
      <c r="I297" s="41">
        <f>28*0.25</f>
        <v>7</v>
      </c>
      <c r="J297" s="98">
        <f t="shared" si="16"/>
        <v>0</v>
      </c>
      <c r="K297" s="60" t="s">
        <v>152</v>
      </c>
      <c r="L297" s="60" t="s">
        <v>1003</v>
      </c>
      <c r="M297" s="60" t="s">
        <v>262</v>
      </c>
      <c r="N297" s="60" t="s">
        <v>1004</v>
      </c>
      <c r="O297" s="60" t="s">
        <v>1004</v>
      </c>
      <c r="P297" s="45" t="s">
        <v>250</v>
      </c>
      <c r="Q297" s="45" t="s">
        <v>5</v>
      </c>
      <c r="R297" s="45" t="s">
        <v>257</v>
      </c>
      <c r="S297" s="45" t="s">
        <v>247</v>
      </c>
      <c r="T297" s="119">
        <v>147</v>
      </c>
      <c r="U297" s="62">
        <f t="shared" si="17"/>
        <v>0</v>
      </c>
      <c r="V297" s="63">
        <f t="shared" ca="1" si="18"/>
        <v>193</v>
      </c>
      <c r="W297" s="52" t="str">
        <f t="shared" ca="1" si="19"/>
        <v>06-12 Months</v>
      </c>
      <c r="X297" s="110"/>
    </row>
    <row r="298" spans="1:24">
      <c r="A298" s="65">
        <v>45961</v>
      </c>
      <c r="B298" s="45" t="s">
        <v>5</v>
      </c>
      <c r="C298" s="45" t="s">
        <v>662</v>
      </c>
      <c r="D298" s="43" t="s">
        <v>667</v>
      </c>
      <c r="E298" s="99" t="s">
        <v>280</v>
      </c>
      <c r="F298" s="99" t="s">
        <v>1001</v>
      </c>
      <c r="G298" s="41">
        <v>121988</v>
      </c>
      <c r="H298" s="116">
        <f>234-234</f>
        <v>0</v>
      </c>
      <c r="I298" s="41">
        <v>10</v>
      </c>
      <c r="J298" s="98">
        <f t="shared" si="16"/>
        <v>0</v>
      </c>
      <c r="K298" s="60" t="s">
        <v>152</v>
      </c>
      <c r="L298" s="60" t="s">
        <v>1003</v>
      </c>
      <c r="M298" s="60" t="s">
        <v>262</v>
      </c>
      <c r="N298" s="60" t="s">
        <v>1004</v>
      </c>
      <c r="O298" s="60" t="s">
        <v>1004</v>
      </c>
      <c r="P298" s="45" t="s">
        <v>250</v>
      </c>
      <c r="Q298" s="45" t="s">
        <v>5</v>
      </c>
      <c r="R298" s="45" t="s">
        <v>257</v>
      </c>
      <c r="S298" s="45" t="s">
        <v>247</v>
      </c>
      <c r="T298" s="119">
        <v>147</v>
      </c>
      <c r="U298" s="62">
        <f t="shared" si="17"/>
        <v>0</v>
      </c>
      <c r="V298" s="63">
        <f t="shared" ca="1" si="18"/>
        <v>193</v>
      </c>
      <c r="W298" s="52" t="str">
        <f t="shared" ca="1" si="19"/>
        <v>06-12 Months</v>
      </c>
      <c r="X298" s="110"/>
    </row>
    <row r="299" spans="1:24">
      <c r="A299" s="65">
        <v>45961</v>
      </c>
      <c r="B299" s="45" t="s">
        <v>5</v>
      </c>
      <c r="C299" s="45" t="s">
        <v>662</v>
      </c>
      <c r="D299" s="43" t="s">
        <v>667</v>
      </c>
      <c r="E299" s="99" t="s">
        <v>280</v>
      </c>
      <c r="F299" s="99" t="s">
        <v>1001</v>
      </c>
      <c r="G299" s="41">
        <v>121988</v>
      </c>
      <c r="H299" s="116">
        <f>3-3</f>
        <v>0</v>
      </c>
      <c r="I299" s="41">
        <f>17*0.35</f>
        <v>5.9499999999999993</v>
      </c>
      <c r="J299" s="98">
        <f t="shared" si="16"/>
        <v>0</v>
      </c>
      <c r="K299" s="60" t="s">
        <v>152</v>
      </c>
      <c r="L299" s="60" t="s">
        <v>1003</v>
      </c>
      <c r="M299" s="60" t="s">
        <v>262</v>
      </c>
      <c r="N299" s="60" t="s">
        <v>1004</v>
      </c>
      <c r="O299" s="60" t="s">
        <v>1004</v>
      </c>
      <c r="P299" s="45" t="s">
        <v>250</v>
      </c>
      <c r="Q299" s="45" t="s">
        <v>5</v>
      </c>
      <c r="R299" s="45" t="s">
        <v>257</v>
      </c>
      <c r="S299" s="45" t="s">
        <v>247</v>
      </c>
      <c r="T299" s="119">
        <v>147</v>
      </c>
      <c r="U299" s="62">
        <f t="shared" si="17"/>
        <v>0</v>
      </c>
      <c r="V299" s="63">
        <f t="shared" ca="1" si="18"/>
        <v>193</v>
      </c>
      <c r="W299" s="52" t="str">
        <f t="shared" ca="1" si="19"/>
        <v>06-12 Months</v>
      </c>
      <c r="X299" s="110"/>
    </row>
    <row r="300" spans="1:24">
      <c r="A300" s="65">
        <v>45961</v>
      </c>
      <c r="B300" s="45" t="s">
        <v>5</v>
      </c>
      <c r="C300" s="45" t="s">
        <v>662</v>
      </c>
      <c r="D300" s="43" t="s">
        <v>667</v>
      </c>
      <c r="E300" s="99" t="s">
        <v>280</v>
      </c>
      <c r="F300" s="99" t="s">
        <v>1001</v>
      </c>
      <c r="G300" s="41">
        <v>121989</v>
      </c>
      <c r="H300" s="116">
        <f>25-25</f>
        <v>0</v>
      </c>
      <c r="I300" s="41">
        <v>10</v>
      </c>
      <c r="J300" s="98">
        <f t="shared" si="16"/>
        <v>0</v>
      </c>
      <c r="K300" s="60" t="s">
        <v>152</v>
      </c>
      <c r="L300" s="60" t="s">
        <v>1003</v>
      </c>
      <c r="M300" s="60" t="s">
        <v>525</v>
      </c>
      <c r="N300" s="60" t="s">
        <v>1000</v>
      </c>
      <c r="O300" s="60" t="s">
        <v>1000</v>
      </c>
      <c r="P300" s="45" t="s">
        <v>250</v>
      </c>
      <c r="Q300" s="45" t="s">
        <v>5</v>
      </c>
      <c r="R300" s="45" t="s">
        <v>257</v>
      </c>
      <c r="S300" s="45" t="s">
        <v>247</v>
      </c>
      <c r="T300" s="119">
        <v>175</v>
      </c>
      <c r="U300" s="62">
        <f t="shared" si="17"/>
        <v>0</v>
      </c>
      <c r="V300" s="63">
        <f t="shared" ca="1" si="18"/>
        <v>193</v>
      </c>
      <c r="W300" s="52" t="str">
        <f t="shared" ca="1" si="19"/>
        <v>06-12 Months</v>
      </c>
      <c r="X300" s="110"/>
    </row>
    <row r="301" spans="1:24">
      <c r="A301" s="65">
        <v>45961</v>
      </c>
      <c r="B301" s="45" t="s">
        <v>5</v>
      </c>
      <c r="C301" s="45" t="s">
        <v>662</v>
      </c>
      <c r="D301" s="43" t="s">
        <v>667</v>
      </c>
      <c r="E301" s="99" t="s">
        <v>1002</v>
      </c>
      <c r="F301" s="99" t="s">
        <v>1001</v>
      </c>
      <c r="G301" s="41">
        <v>121990</v>
      </c>
      <c r="H301" s="116">
        <f>11-11</f>
        <v>0</v>
      </c>
      <c r="I301" s="41">
        <v>10</v>
      </c>
      <c r="J301" s="98">
        <f t="shared" si="16"/>
        <v>0</v>
      </c>
      <c r="K301" s="60" t="s">
        <v>152</v>
      </c>
      <c r="L301" s="60" t="s">
        <v>1003</v>
      </c>
      <c r="M301" s="60" t="s">
        <v>525</v>
      </c>
      <c r="N301" s="60" t="s">
        <v>1004</v>
      </c>
      <c r="O301" s="60" t="s">
        <v>1004</v>
      </c>
      <c r="P301" s="45" t="s">
        <v>250</v>
      </c>
      <c r="Q301" s="45" t="s">
        <v>5</v>
      </c>
      <c r="R301" s="45" t="s">
        <v>257</v>
      </c>
      <c r="S301" s="45" t="s">
        <v>247</v>
      </c>
      <c r="T301" s="119">
        <v>147</v>
      </c>
      <c r="U301" s="62">
        <f t="shared" si="17"/>
        <v>0</v>
      </c>
      <c r="V301" s="63">
        <f t="shared" ca="1" si="18"/>
        <v>193</v>
      </c>
      <c r="W301" s="52" t="str">
        <f t="shared" ca="1" si="19"/>
        <v>06-12 Months</v>
      </c>
      <c r="X301" s="110"/>
    </row>
    <row r="302" spans="1:24">
      <c r="A302" s="65">
        <v>45961</v>
      </c>
      <c r="B302" s="45" t="s">
        <v>5</v>
      </c>
      <c r="C302" s="45" t="s">
        <v>662</v>
      </c>
      <c r="D302" s="43" t="s">
        <v>667</v>
      </c>
      <c r="E302" s="99" t="s">
        <v>280</v>
      </c>
      <c r="F302" s="99"/>
      <c r="G302" s="41">
        <v>121991</v>
      </c>
      <c r="H302" s="116">
        <f>500-250-10-100-140</f>
        <v>0</v>
      </c>
      <c r="I302" s="41">
        <v>10</v>
      </c>
      <c r="J302" s="98">
        <f t="shared" si="16"/>
        <v>0</v>
      </c>
      <c r="K302" s="60" t="s">
        <v>152</v>
      </c>
      <c r="L302" s="60" t="s">
        <v>996</v>
      </c>
      <c r="M302" s="60" t="s">
        <v>997</v>
      </c>
      <c r="N302" s="60" t="s">
        <v>999</v>
      </c>
      <c r="O302" s="60" t="s">
        <v>998</v>
      </c>
      <c r="P302" s="45" t="s">
        <v>250</v>
      </c>
      <c r="Q302" s="45" t="s">
        <v>5</v>
      </c>
      <c r="R302" s="45" t="s">
        <v>257</v>
      </c>
      <c r="S302" s="45" t="s">
        <v>247</v>
      </c>
      <c r="T302" s="119">
        <v>88</v>
      </c>
      <c r="U302" s="62">
        <f t="shared" si="17"/>
        <v>0</v>
      </c>
      <c r="V302" s="63">
        <f t="shared" ca="1" si="18"/>
        <v>193</v>
      </c>
      <c r="W302" s="52" t="str">
        <f t="shared" ca="1" si="19"/>
        <v>06-12 Months</v>
      </c>
      <c r="X302" s="110"/>
    </row>
    <row r="303" spans="1:24">
      <c r="A303" s="65">
        <v>45963</v>
      </c>
      <c r="B303" s="45" t="s">
        <v>5</v>
      </c>
      <c r="C303" s="45" t="s">
        <v>662</v>
      </c>
      <c r="D303" s="43" t="s">
        <v>667</v>
      </c>
      <c r="E303" s="99" t="s">
        <v>728</v>
      </c>
      <c r="F303" s="99"/>
      <c r="G303" s="41">
        <v>122019</v>
      </c>
      <c r="H303" s="116">
        <f>2600-5-70-200-200-1</f>
        <v>2124</v>
      </c>
      <c r="I303" s="41">
        <v>10</v>
      </c>
      <c r="J303" s="98">
        <f t="shared" si="16"/>
        <v>21240</v>
      </c>
      <c r="K303" s="60" t="s">
        <v>152</v>
      </c>
      <c r="L303" s="60" t="s">
        <v>253</v>
      </c>
      <c r="M303" s="60" t="s">
        <v>253</v>
      </c>
      <c r="N303" s="60" t="s">
        <v>170</v>
      </c>
      <c r="O303" s="60" t="s">
        <v>684</v>
      </c>
      <c r="P303" s="45" t="s">
        <v>250</v>
      </c>
      <c r="Q303" s="45" t="s">
        <v>5</v>
      </c>
      <c r="R303" s="45" t="s">
        <v>257</v>
      </c>
      <c r="S303" s="45" t="s">
        <v>247</v>
      </c>
      <c r="T303" s="119">
        <v>99</v>
      </c>
      <c r="U303" s="62">
        <f t="shared" si="17"/>
        <v>2102760</v>
      </c>
      <c r="V303" s="63">
        <f t="shared" ca="1" si="18"/>
        <v>191</v>
      </c>
      <c r="W303" s="52" t="str">
        <f t="shared" ca="1" si="19"/>
        <v>06-12 Months</v>
      </c>
      <c r="X303" s="110"/>
    </row>
    <row r="304" spans="1:24">
      <c r="A304" s="65">
        <v>45976</v>
      </c>
      <c r="B304" s="45" t="s">
        <v>5</v>
      </c>
      <c r="C304" s="45" t="s">
        <v>662</v>
      </c>
      <c r="D304" s="43" t="s">
        <v>667</v>
      </c>
      <c r="E304" s="99" t="s">
        <v>666</v>
      </c>
      <c r="F304" s="99"/>
      <c r="G304" s="41">
        <v>122457</v>
      </c>
      <c r="H304" s="116">
        <v>400</v>
      </c>
      <c r="I304" s="41">
        <v>10</v>
      </c>
      <c r="J304" s="98">
        <f t="shared" si="16"/>
        <v>4000</v>
      </c>
      <c r="K304" s="60" t="s">
        <v>152</v>
      </c>
      <c r="L304" s="60" t="s">
        <v>310</v>
      </c>
      <c r="M304" s="60" t="s">
        <v>666</v>
      </c>
      <c r="N304" s="60" t="s">
        <v>173</v>
      </c>
      <c r="O304" s="60" t="s">
        <v>173</v>
      </c>
      <c r="P304" s="45" t="s">
        <v>250</v>
      </c>
      <c r="Q304" s="45" t="s">
        <v>5</v>
      </c>
      <c r="R304" s="45" t="s">
        <v>257</v>
      </c>
      <c r="S304" s="45" t="s">
        <v>255</v>
      </c>
      <c r="T304" s="119">
        <v>90.5</v>
      </c>
      <c r="U304" s="62">
        <f t="shared" si="17"/>
        <v>362000</v>
      </c>
      <c r="V304" s="63">
        <f t="shared" ca="1" si="18"/>
        <v>178</v>
      </c>
      <c r="W304" s="52" t="str">
        <f t="shared" ca="1" si="19"/>
        <v>&lt; 6 Months</v>
      </c>
      <c r="X304" s="110"/>
    </row>
    <row r="305" spans="1:24">
      <c r="A305" s="65">
        <v>45989</v>
      </c>
      <c r="B305" s="45" t="s">
        <v>5</v>
      </c>
      <c r="C305" s="45" t="s">
        <v>662</v>
      </c>
      <c r="D305" s="43" t="s">
        <v>683</v>
      </c>
      <c r="E305" s="99" t="s">
        <v>728</v>
      </c>
      <c r="F305" s="99"/>
      <c r="G305" s="41">
        <v>122909</v>
      </c>
      <c r="H305" s="116">
        <f>1000-6-1-6-55-20</f>
        <v>912</v>
      </c>
      <c r="I305" s="41">
        <v>5</v>
      </c>
      <c r="J305" s="98">
        <f t="shared" si="16"/>
        <v>4560</v>
      </c>
      <c r="K305" s="60" t="s">
        <v>152</v>
      </c>
      <c r="L305" s="60" t="s">
        <v>1157</v>
      </c>
      <c r="M305" s="60" t="s">
        <v>1155</v>
      </c>
      <c r="N305" s="60" t="s">
        <v>1156</v>
      </c>
      <c r="O305" s="60" t="s">
        <v>684</v>
      </c>
      <c r="P305" s="45" t="s">
        <v>250</v>
      </c>
      <c r="Q305" s="45" t="s">
        <v>5</v>
      </c>
      <c r="R305" s="45" t="s">
        <v>257</v>
      </c>
      <c r="S305" s="45" t="s">
        <v>255</v>
      </c>
      <c r="T305" s="119">
        <v>105</v>
      </c>
      <c r="U305" s="62">
        <f t="shared" si="17"/>
        <v>478800</v>
      </c>
      <c r="V305" s="63">
        <f t="shared" ca="1" si="18"/>
        <v>165</v>
      </c>
      <c r="W305" s="52" t="str">
        <f t="shared" ca="1" si="19"/>
        <v>&lt; 6 Months</v>
      </c>
      <c r="X305" s="110"/>
    </row>
    <row r="306" spans="1:24">
      <c r="A306" s="65">
        <v>45990</v>
      </c>
      <c r="B306" s="45" t="s">
        <v>5</v>
      </c>
      <c r="C306" s="45" t="s">
        <v>662</v>
      </c>
      <c r="D306" s="43" t="s">
        <v>667</v>
      </c>
      <c r="E306" s="99" t="s">
        <v>666</v>
      </c>
      <c r="F306" s="99"/>
      <c r="G306" s="41">
        <v>122937</v>
      </c>
      <c r="H306" s="116">
        <v>159</v>
      </c>
      <c r="I306" s="41">
        <v>10</v>
      </c>
      <c r="J306" s="98">
        <f t="shared" si="16"/>
        <v>1590</v>
      </c>
      <c r="K306" s="60" t="s">
        <v>152</v>
      </c>
      <c r="L306" s="60" t="s">
        <v>310</v>
      </c>
      <c r="M306" s="60" t="s">
        <v>666</v>
      </c>
      <c r="N306" s="60" t="s">
        <v>173</v>
      </c>
      <c r="O306" s="60" t="s">
        <v>173</v>
      </c>
      <c r="P306" s="45" t="s">
        <v>250</v>
      </c>
      <c r="Q306" s="45" t="s">
        <v>5</v>
      </c>
      <c r="R306" s="45" t="s">
        <v>257</v>
      </c>
      <c r="S306" s="45" t="s">
        <v>255</v>
      </c>
      <c r="T306" s="119">
        <v>90.5</v>
      </c>
      <c r="U306" s="62">
        <f t="shared" si="17"/>
        <v>143895</v>
      </c>
      <c r="V306" s="63">
        <f t="shared" ca="1" si="18"/>
        <v>164</v>
      </c>
      <c r="W306" s="52" t="str">
        <f t="shared" ca="1" si="19"/>
        <v>&lt; 6 Months</v>
      </c>
      <c r="X306" s="110"/>
    </row>
    <row r="307" spans="1:24">
      <c r="A307" s="65">
        <v>45999</v>
      </c>
      <c r="B307" s="45" t="s">
        <v>5</v>
      </c>
      <c r="C307" s="45" t="s">
        <v>662</v>
      </c>
      <c r="D307" s="43" t="s">
        <v>667</v>
      </c>
      <c r="E307" s="99" t="s">
        <v>280</v>
      </c>
      <c r="F307" s="99"/>
      <c r="G307" s="41">
        <v>123249</v>
      </c>
      <c r="H307" s="116">
        <v>119</v>
      </c>
      <c r="I307" s="41">
        <v>10</v>
      </c>
      <c r="J307" s="98">
        <f t="shared" si="16"/>
        <v>1190</v>
      </c>
      <c r="K307" s="60" t="s">
        <v>152</v>
      </c>
      <c r="L307" s="60" t="s">
        <v>1211</v>
      </c>
      <c r="M307" s="60" t="s">
        <v>325</v>
      </c>
      <c r="N307" s="60" t="s">
        <v>159</v>
      </c>
      <c r="O307" s="60" t="s">
        <v>326</v>
      </c>
      <c r="P307" s="45" t="s">
        <v>250</v>
      </c>
      <c r="Q307" s="45" t="s">
        <v>5</v>
      </c>
      <c r="R307" s="45" t="s">
        <v>257</v>
      </c>
      <c r="S307" s="45" t="s">
        <v>247</v>
      </c>
      <c r="T307" s="119">
        <v>126</v>
      </c>
      <c r="U307" s="62">
        <f t="shared" si="17"/>
        <v>149940</v>
      </c>
      <c r="V307" s="63">
        <f t="shared" ca="1" si="18"/>
        <v>155</v>
      </c>
      <c r="W307" s="52" t="str">
        <f t="shared" ca="1" si="19"/>
        <v>&lt; 6 Months</v>
      </c>
      <c r="X307" s="110"/>
    </row>
    <row r="308" spans="1:24">
      <c r="A308" s="65">
        <v>46000</v>
      </c>
      <c r="B308" s="45" t="s">
        <v>5</v>
      </c>
      <c r="C308" s="45" t="s">
        <v>662</v>
      </c>
      <c r="D308" s="43" t="s">
        <v>683</v>
      </c>
      <c r="E308" s="99" t="s">
        <v>277</v>
      </c>
      <c r="F308" s="99"/>
      <c r="G308" s="41">
        <v>123292</v>
      </c>
      <c r="H308" s="116">
        <v>242</v>
      </c>
      <c r="I308" s="41">
        <v>6.8</v>
      </c>
      <c r="J308" s="98">
        <f t="shared" si="16"/>
        <v>1645.6</v>
      </c>
      <c r="K308" s="60" t="s">
        <v>152</v>
      </c>
      <c r="L308" s="60" t="s">
        <v>277</v>
      </c>
      <c r="M308" s="60" t="s">
        <v>1196</v>
      </c>
      <c r="N308" s="60" t="s">
        <v>167</v>
      </c>
      <c r="O308" s="60" t="s">
        <v>279</v>
      </c>
      <c r="P308" s="45" t="s">
        <v>250</v>
      </c>
      <c r="Q308" s="45" t="s">
        <v>5</v>
      </c>
      <c r="R308" s="45" t="s">
        <v>257</v>
      </c>
      <c r="S308" s="45" t="s">
        <v>255</v>
      </c>
      <c r="T308" s="119">
        <v>198</v>
      </c>
      <c r="U308" s="62">
        <f t="shared" si="17"/>
        <v>325828.8</v>
      </c>
      <c r="V308" s="63">
        <f t="shared" ca="1" si="18"/>
        <v>154</v>
      </c>
      <c r="W308" s="52" t="str">
        <f t="shared" ca="1" si="19"/>
        <v>&lt; 6 Months</v>
      </c>
      <c r="X308" s="110"/>
    </row>
    <row r="309" spans="1:24">
      <c r="A309" s="65">
        <v>46000</v>
      </c>
      <c r="B309" s="45" t="s">
        <v>5</v>
      </c>
      <c r="C309" s="45" t="s">
        <v>662</v>
      </c>
      <c r="D309" s="43" t="s">
        <v>667</v>
      </c>
      <c r="E309" s="99" t="s">
        <v>728</v>
      </c>
      <c r="F309" s="99"/>
      <c r="G309" s="41">
        <v>123293</v>
      </c>
      <c r="H309" s="116">
        <v>4</v>
      </c>
      <c r="I309" s="41">
        <v>10</v>
      </c>
      <c r="J309" s="98">
        <f t="shared" si="16"/>
        <v>40</v>
      </c>
      <c r="K309" s="60" t="s">
        <v>152</v>
      </c>
      <c r="L309" s="60" t="s">
        <v>253</v>
      </c>
      <c r="M309" s="60" t="s">
        <v>253</v>
      </c>
      <c r="N309" s="60" t="s">
        <v>170</v>
      </c>
      <c r="O309" s="60" t="s">
        <v>684</v>
      </c>
      <c r="P309" s="45" t="s">
        <v>250</v>
      </c>
      <c r="Q309" s="45" t="s">
        <v>5</v>
      </c>
      <c r="R309" s="45" t="s">
        <v>257</v>
      </c>
      <c r="S309" s="45" t="s">
        <v>247</v>
      </c>
      <c r="T309" s="119">
        <v>99</v>
      </c>
      <c r="U309" s="62">
        <f t="shared" si="17"/>
        <v>3960</v>
      </c>
      <c r="V309" s="63">
        <f t="shared" ca="1" si="18"/>
        <v>154</v>
      </c>
      <c r="W309" s="52" t="str">
        <f t="shared" ca="1" si="19"/>
        <v>&lt; 6 Months</v>
      </c>
      <c r="X309" s="110"/>
    </row>
    <row r="310" spans="1:24">
      <c r="A310" s="65">
        <v>46000</v>
      </c>
      <c r="B310" s="45" t="s">
        <v>5</v>
      </c>
      <c r="C310" s="45" t="s">
        <v>662</v>
      </c>
      <c r="D310" s="43" t="s">
        <v>683</v>
      </c>
      <c r="E310" s="99" t="s">
        <v>422</v>
      </c>
      <c r="F310" s="99"/>
      <c r="G310" s="41">
        <v>123294</v>
      </c>
      <c r="H310" s="116">
        <v>28</v>
      </c>
      <c r="I310" s="41">
        <v>5</v>
      </c>
      <c r="J310" s="98">
        <f t="shared" si="16"/>
        <v>140</v>
      </c>
      <c r="K310" s="60" t="s">
        <v>190</v>
      </c>
      <c r="L310" s="60" t="s">
        <v>422</v>
      </c>
      <c r="M310" s="60" t="s">
        <v>260</v>
      </c>
      <c r="N310" s="60" t="s">
        <v>1086</v>
      </c>
      <c r="O310" s="60" t="s">
        <v>423</v>
      </c>
      <c r="P310" s="45" t="s">
        <v>250</v>
      </c>
      <c r="Q310" s="45" t="s">
        <v>5</v>
      </c>
      <c r="R310" s="45" t="s">
        <v>257</v>
      </c>
      <c r="S310" s="45">
        <v>0</v>
      </c>
      <c r="T310" s="119">
        <v>675</v>
      </c>
      <c r="U310" s="62">
        <f t="shared" si="17"/>
        <v>94500</v>
      </c>
      <c r="V310" s="63">
        <f t="shared" ca="1" si="18"/>
        <v>154</v>
      </c>
      <c r="W310" s="52" t="str">
        <f t="shared" ca="1" si="19"/>
        <v>&lt; 6 Months</v>
      </c>
      <c r="X310" s="110"/>
    </row>
    <row r="311" spans="1:24">
      <c r="A311" s="65">
        <v>46000</v>
      </c>
      <c r="B311" s="45" t="s">
        <v>5</v>
      </c>
      <c r="C311" s="45" t="s">
        <v>662</v>
      </c>
      <c r="D311" s="43" t="s">
        <v>722</v>
      </c>
      <c r="E311" s="99" t="s">
        <v>426</v>
      </c>
      <c r="F311" s="99"/>
      <c r="G311" s="41">
        <v>123295</v>
      </c>
      <c r="H311" s="116">
        <v>2</v>
      </c>
      <c r="I311" s="41">
        <v>15</v>
      </c>
      <c r="J311" s="98">
        <f t="shared" si="16"/>
        <v>30</v>
      </c>
      <c r="K311" s="60" t="s">
        <v>190</v>
      </c>
      <c r="L311" s="60" t="s">
        <v>426</v>
      </c>
      <c r="M311" s="60" t="s">
        <v>426</v>
      </c>
      <c r="N311" s="60" t="s">
        <v>198</v>
      </c>
      <c r="O311" s="60" t="s">
        <v>427</v>
      </c>
      <c r="P311" s="45" t="s">
        <v>250</v>
      </c>
      <c r="Q311" s="45" t="s">
        <v>5</v>
      </c>
      <c r="R311" s="45" t="s">
        <v>257</v>
      </c>
      <c r="S311" s="45">
        <v>0</v>
      </c>
      <c r="T311" s="119">
        <v>990</v>
      </c>
      <c r="U311" s="62">
        <f t="shared" si="17"/>
        <v>29700</v>
      </c>
      <c r="V311" s="63">
        <f t="shared" ca="1" si="18"/>
        <v>154</v>
      </c>
      <c r="W311" s="52" t="str">
        <f t="shared" ca="1" si="19"/>
        <v>&lt; 6 Months</v>
      </c>
      <c r="X311" s="110"/>
    </row>
    <row r="312" spans="1:24">
      <c r="A312" s="65">
        <v>46000</v>
      </c>
      <c r="B312" s="45" t="s">
        <v>5</v>
      </c>
      <c r="C312" s="45" t="s">
        <v>662</v>
      </c>
      <c r="D312" s="43" t="s">
        <v>683</v>
      </c>
      <c r="E312" s="99" t="s">
        <v>728</v>
      </c>
      <c r="F312" s="99"/>
      <c r="G312" s="41">
        <v>123296</v>
      </c>
      <c r="H312" s="116">
        <v>3</v>
      </c>
      <c r="I312" s="41">
        <v>5</v>
      </c>
      <c r="J312" s="98">
        <f t="shared" si="16"/>
        <v>15</v>
      </c>
      <c r="K312" s="60" t="s">
        <v>152</v>
      </c>
      <c r="L312" s="60" t="s">
        <v>1157</v>
      </c>
      <c r="M312" s="60" t="s">
        <v>1155</v>
      </c>
      <c r="N312" s="60" t="s">
        <v>1156</v>
      </c>
      <c r="O312" s="60" t="s">
        <v>684</v>
      </c>
      <c r="P312" s="45" t="s">
        <v>250</v>
      </c>
      <c r="Q312" s="45" t="s">
        <v>5</v>
      </c>
      <c r="R312" s="45" t="s">
        <v>257</v>
      </c>
      <c r="S312" s="45" t="s">
        <v>255</v>
      </c>
      <c r="T312" s="119">
        <v>105</v>
      </c>
      <c r="U312" s="62">
        <f t="shared" si="17"/>
        <v>1575</v>
      </c>
      <c r="V312" s="63">
        <f t="shared" ca="1" si="18"/>
        <v>154</v>
      </c>
      <c r="W312" s="52" t="str">
        <f t="shared" ca="1" si="19"/>
        <v>&lt; 6 Months</v>
      </c>
      <c r="X312" s="110"/>
    </row>
    <row r="313" spans="1:24">
      <c r="A313" s="65">
        <v>46000</v>
      </c>
      <c r="B313" s="45" t="s">
        <v>5</v>
      </c>
      <c r="C313" s="45" t="s">
        <v>662</v>
      </c>
      <c r="D313" s="43" t="s">
        <v>667</v>
      </c>
      <c r="E313" s="99" t="s">
        <v>1194</v>
      </c>
      <c r="F313" s="99"/>
      <c r="G313" s="41">
        <v>123297</v>
      </c>
      <c r="H313" s="116">
        <f>96-83-13</f>
        <v>0</v>
      </c>
      <c r="I313" s="41">
        <v>10</v>
      </c>
      <c r="J313" s="98">
        <f t="shared" si="16"/>
        <v>0</v>
      </c>
      <c r="K313" s="60" t="s">
        <v>152</v>
      </c>
      <c r="L313" s="60" t="s">
        <v>1194</v>
      </c>
      <c r="M313" s="60" t="s">
        <v>325</v>
      </c>
      <c r="N313" s="60" t="s">
        <v>1198</v>
      </c>
      <c r="O313" s="60" t="s">
        <v>173</v>
      </c>
      <c r="P313" s="45" t="s">
        <v>250</v>
      </c>
      <c r="Q313" s="45" t="s">
        <v>5</v>
      </c>
      <c r="R313" s="45" t="s">
        <v>257</v>
      </c>
      <c r="S313" s="45" t="s">
        <v>255</v>
      </c>
      <c r="T313" s="119">
        <v>90.5</v>
      </c>
      <c r="U313" s="62">
        <f t="shared" si="17"/>
        <v>0</v>
      </c>
      <c r="V313" s="63">
        <f t="shared" ca="1" si="18"/>
        <v>154</v>
      </c>
      <c r="W313" s="52" t="str">
        <f t="shared" ca="1" si="19"/>
        <v>&lt; 6 Months</v>
      </c>
      <c r="X313" s="110"/>
    </row>
    <row r="314" spans="1:24">
      <c r="A314" s="65">
        <v>46000</v>
      </c>
      <c r="B314" s="45" t="s">
        <v>5</v>
      </c>
      <c r="C314" s="45" t="s">
        <v>662</v>
      </c>
      <c r="D314" s="43" t="s">
        <v>667</v>
      </c>
      <c r="E314" s="99" t="s">
        <v>1195</v>
      </c>
      <c r="F314" s="99"/>
      <c r="G314" s="41">
        <v>123298</v>
      </c>
      <c r="H314" s="116">
        <v>3</v>
      </c>
      <c r="I314" s="41">
        <v>10</v>
      </c>
      <c r="J314" s="98">
        <f t="shared" si="16"/>
        <v>30</v>
      </c>
      <c r="K314" s="60" t="s">
        <v>152</v>
      </c>
      <c r="L314" s="60" t="s">
        <v>409</v>
      </c>
      <c r="M314" s="60" t="s">
        <v>1197</v>
      </c>
      <c r="N314" s="60" t="s">
        <v>150</v>
      </c>
      <c r="O314" s="60" t="s">
        <v>410</v>
      </c>
      <c r="P314" s="45" t="s">
        <v>250</v>
      </c>
      <c r="Q314" s="45" t="s">
        <v>5</v>
      </c>
      <c r="R314" s="45" t="s">
        <v>257</v>
      </c>
      <c r="S314" s="45" t="s">
        <v>247</v>
      </c>
      <c r="T314" s="119">
        <v>127</v>
      </c>
      <c r="U314" s="62">
        <f t="shared" si="17"/>
        <v>3810</v>
      </c>
      <c r="V314" s="63">
        <f t="shared" ca="1" si="18"/>
        <v>154</v>
      </c>
      <c r="W314" s="52" t="str">
        <f t="shared" ca="1" si="19"/>
        <v>&lt; 6 Months</v>
      </c>
      <c r="X314" s="110"/>
    </row>
    <row r="315" spans="1:24">
      <c r="A315" s="65">
        <v>46001</v>
      </c>
      <c r="B315" s="45" t="s">
        <v>5</v>
      </c>
      <c r="C315" s="45" t="s">
        <v>662</v>
      </c>
      <c r="D315" s="43" t="s">
        <v>667</v>
      </c>
      <c r="E315" s="99" t="s">
        <v>996</v>
      </c>
      <c r="F315" s="99"/>
      <c r="G315" s="41">
        <v>123328</v>
      </c>
      <c r="H315" s="116">
        <f>1008-200-2-5-100-5-100-150-5</f>
        <v>441</v>
      </c>
      <c r="I315" s="41">
        <v>10</v>
      </c>
      <c r="J315" s="98">
        <f t="shared" si="16"/>
        <v>4410</v>
      </c>
      <c r="K315" s="60" t="s">
        <v>152</v>
      </c>
      <c r="L315" s="60" t="s">
        <v>996</v>
      </c>
      <c r="M315" s="60" t="s">
        <v>996</v>
      </c>
      <c r="N315" s="60" t="s">
        <v>999</v>
      </c>
      <c r="O315" s="60" t="s">
        <v>998</v>
      </c>
      <c r="P315" s="45" t="s">
        <v>250</v>
      </c>
      <c r="Q315" s="45" t="s">
        <v>5</v>
      </c>
      <c r="R315" s="45" t="s">
        <v>257</v>
      </c>
      <c r="S315" s="45" t="s">
        <v>255</v>
      </c>
      <c r="T315" s="119">
        <v>115</v>
      </c>
      <c r="U315" s="62">
        <f t="shared" si="17"/>
        <v>507150</v>
      </c>
      <c r="V315" s="63">
        <f t="shared" ca="1" si="18"/>
        <v>153</v>
      </c>
      <c r="W315" s="52" t="str">
        <f t="shared" ca="1" si="19"/>
        <v>&lt; 6 Months</v>
      </c>
      <c r="X315" s="110"/>
    </row>
    <row r="316" spans="1:24">
      <c r="A316" s="65">
        <v>46001</v>
      </c>
      <c r="B316" s="45" t="s">
        <v>5</v>
      </c>
      <c r="C316" s="45" t="s">
        <v>662</v>
      </c>
      <c r="D316" s="43" t="s">
        <v>667</v>
      </c>
      <c r="E316" s="99" t="s">
        <v>682</v>
      </c>
      <c r="F316" s="99"/>
      <c r="G316" s="41">
        <v>123327</v>
      </c>
      <c r="H316" s="116">
        <v>109</v>
      </c>
      <c r="I316" s="41">
        <v>10</v>
      </c>
      <c r="J316" s="98">
        <f t="shared" si="16"/>
        <v>1090</v>
      </c>
      <c r="K316" s="60" t="s">
        <v>152</v>
      </c>
      <c r="L316" s="60" t="s">
        <v>1208</v>
      </c>
      <c r="M316" s="60" t="s">
        <v>325</v>
      </c>
      <c r="N316" s="60" t="s">
        <v>1210</v>
      </c>
      <c r="O316" s="60" t="s">
        <v>1209</v>
      </c>
      <c r="P316" s="45" t="s">
        <v>250</v>
      </c>
      <c r="Q316" s="45" t="s">
        <v>5</v>
      </c>
      <c r="R316" s="45" t="s">
        <v>257</v>
      </c>
      <c r="S316" s="45" t="s">
        <v>247</v>
      </c>
      <c r="T316" s="119">
        <v>230</v>
      </c>
      <c r="U316" s="62">
        <f t="shared" si="17"/>
        <v>250700</v>
      </c>
      <c r="V316" s="63">
        <f t="shared" ca="1" si="18"/>
        <v>153</v>
      </c>
      <c r="W316" s="52" t="str">
        <f t="shared" ca="1" si="19"/>
        <v>&lt; 6 Months</v>
      </c>
      <c r="X316" s="110"/>
    </row>
    <row r="317" spans="1:24">
      <c r="A317" s="65">
        <v>46002</v>
      </c>
      <c r="B317" s="45" t="s">
        <v>5</v>
      </c>
      <c r="C317" s="45" t="s">
        <v>662</v>
      </c>
      <c r="D317" s="43" t="s">
        <v>667</v>
      </c>
      <c r="E317" s="99" t="s">
        <v>1212</v>
      </c>
      <c r="F317" s="99"/>
      <c r="G317" s="41">
        <v>123364</v>
      </c>
      <c r="H317" s="116">
        <v>52</v>
      </c>
      <c r="I317" s="41">
        <v>10</v>
      </c>
      <c r="J317" s="98">
        <f t="shared" si="16"/>
        <v>520</v>
      </c>
      <c r="K317" s="60" t="s">
        <v>152</v>
      </c>
      <c r="L317" s="60" t="s">
        <v>1211</v>
      </c>
      <c r="M317" s="60" t="s">
        <v>325</v>
      </c>
      <c r="N317" s="60" t="s">
        <v>159</v>
      </c>
      <c r="O317" s="60" t="s">
        <v>326</v>
      </c>
      <c r="P317" s="45" t="s">
        <v>250</v>
      </c>
      <c r="Q317" s="45" t="s">
        <v>5</v>
      </c>
      <c r="R317" s="45" t="s">
        <v>257</v>
      </c>
      <c r="S317" s="45" t="s">
        <v>247</v>
      </c>
      <c r="T317" s="119">
        <v>126</v>
      </c>
      <c r="U317" s="62">
        <f t="shared" si="17"/>
        <v>65520</v>
      </c>
      <c r="V317" s="63">
        <f t="shared" ca="1" si="18"/>
        <v>152</v>
      </c>
      <c r="W317" s="52" t="str">
        <f t="shared" ca="1" si="19"/>
        <v>&lt; 6 Months</v>
      </c>
      <c r="X317" s="110"/>
    </row>
    <row r="318" spans="1:24">
      <c r="A318" s="65">
        <v>46002</v>
      </c>
      <c r="B318" s="45" t="s">
        <v>5</v>
      </c>
      <c r="C318" s="45" t="s">
        <v>662</v>
      </c>
      <c r="D318" s="43" t="s">
        <v>683</v>
      </c>
      <c r="E318" s="99" t="s">
        <v>1213</v>
      </c>
      <c r="F318" s="99"/>
      <c r="G318" s="41">
        <v>123365</v>
      </c>
      <c r="H318" s="116">
        <v>55</v>
      </c>
      <c r="I318" s="41">
        <v>5</v>
      </c>
      <c r="J318" s="98">
        <f t="shared" si="16"/>
        <v>275</v>
      </c>
      <c r="K318" s="60" t="s">
        <v>152</v>
      </c>
      <c r="L318" s="60" t="s">
        <v>1208</v>
      </c>
      <c r="M318" s="60" t="s">
        <v>325</v>
      </c>
      <c r="N318" s="60" t="s">
        <v>1210</v>
      </c>
      <c r="O318" s="60" t="s">
        <v>1209</v>
      </c>
      <c r="P318" s="45" t="s">
        <v>250</v>
      </c>
      <c r="Q318" s="45" t="s">
        <v>5</v>
      </c>
      <c r="R318" s="45" t="s">
        <v>257</v>
      </c>
      <c r="S318" s="45" t="s">
        <v>247</v>
      </c>
      <c r="T318" s="119">
        <v>230</v>
      </c>
      <c r="U318" s="62">
        <f t="shared" si="17"/>
        <v>63250</v>
      </c>
      <c r="V318" s="63">
        <f t="shared" ca="1" si="18"/>
        <v>152</v>
      </c>
      <c r="W318" s="52" t="str">
        <f t="shared" ca="1" si="19"/>
        <v>&lt; 6 Months</v>
      </c>
      <c r="X318" s="110"/>
    </row>
    <row r="319" spans="1:24">
      <c r="A319" s="65">
        <v>46002</v>
      </c>
      <c r="B319" s="45" t="s">
        <v>5</v>
      </c>
      <c r="C319" s="45" t="s">
        <v>662</v>
      </c>
      <c r="D319" s="43" t="s">
        <v>667</v>
      </c>
      <c r="E319" s="99" t="s">
        <v>682</v>
      </c>
      <c r="F319" s="99"/>
      <c r="G319" s="41">
        <v>123366</v>
      </c>
      <c r="H319" s="116">
        <v>73</v>
      </c>
      <c r="I319" s="41">
        <v>10</v>
      </c>
      <c r="J319" s="98">
        <f t="shared" si="16"/>
        <v>730</v>
      </c>
      <c r="K319" s="60" t="s">
        <v>152</v>
      </c>
      <c r="L319" s="60" t="s">
        <v>1208</v>
      </c>
      <c r="M319" s="60" t="s">
        <v>325</v>
      </c>
      <c r="N319" s="60" t="s">
        <v>1210</v>
      </c>
      <c r="O319" s="60" t="s">
        <v>1209</v>
      </c>
      <c r="P319" s="45" t="s">
        <v>250</v>
      </c>
      <c r="Q319" s="45" t="s">
        <v>5</v>
      </c>
      <c r="R319" s="45" t="s">
        <v>257</v>
      </c>
      <c r="S319" s="45" t="s">
        <v>247</v>
      </c>
      <c r="T319" s="119">
        <v>230</v>
      </c>
      <c r="U319" s="62">
        <f t="shared" si="17"/>
        <v>167900</v>
      </c>
      <c r="V319" s="63">
        <f t="shared" ca="1" si="18"/>
        <v>152</v>
      </c>
      <c r="W319" s="52" t="str">
        <f t="shared" ca="1" si="19"/>
        <v>&lt; 6 Months</v>
      </c>
      <c r="X319" s="110"/>
    </row>
    <row r="320" spans="1:24">
      <c r="A320" s="65">
        <v>46004</v>
      </c>
      <c r="B320" s="45" t="s">
        <v>5</v>
      </c>
      <c r="C320" s="45" t="s">
        <v>662</v>
      </c>
      <c r="D320" s="43" t="s">
        <v>667</v>
      </c>
      <c r="E320" s="99" t="s">
        <v>280</v>
      </c>
      <c r="F320" s="99"/>
      <c r="G320" s="41">
        <v>123416</v>
      </c>
      <c r="H320" s="116">
        <f>73-73</f>
        <v>0</v>
      </c>
      <c r="I320" s="41">
        <v>10</v>
      </c>
      <c r="J320" s="98">
        <f t="shared" si="16"/>
        <v>0</v>
      </c>
      <c r="K320" s="60" t="s">
        <v>152</v>
      </c>
      <c r="L320" s="60" t="s">
        <v>1211</v>
      </c>
      <c r="M320" s="60" t="s">
        <v>325</v>
      </c>
      <c r="N320" s="60" t="s">
        <v>159</v>
      </c>
      <c r="O320" s="60" t="s">
        <v>326</v>
      </c>
      <c r="P320" s="45" t="s">
        <v>250</v>
      </c>
      <c r="Q320" s="45" t="s">
        <v>5</v>
      </c>
      <c r="R320" s="45" t="s">
        <v>257</v>
      </c>
      <c r="S320" s="45" t="s">
        <v>247</v>
      </c>
      <c r="T320" s="119">
        <v>126</v>
      </c>
      <c r="U320" s="62">
        <f t="shared" si="17"/>
        <v>0</v>
      </c>
      <c r="V320" s="63">
        <f t="shared" ca="1" si="18"/>
        <v>150</v>
      </c>
      <c r="W320" s="52" t="str">
        <f t="shared" ca="1" si="19"/>
        <v>&lt; 6 Months</v>
      </c>
      <c r="X320" s="110"/>
    </row>
    <row r="321" spans="1:24">
      <c r="A321" s="65">
        <v>46009</v>
      </c>
      <c r="B321" s="45" t="s">
        <v>5</v>
      </c>
      <c r="C321" s="45" t="s">
        <v>662</v>
      </c>
      <c r="D321" s="43" t="s">
        <v>667</v>
      </c>
      <c r="E321" s="99" t="s">
        <v>996</v>
      </c>
      <c r="F321" s="99"/>
      <c r="G321" s="41">
        <v>123591</v>
      </c>
      <c r="H321" s="116">
        <v>2000</v>
      </c>
      <c r="I321" s="41">
        <v>10</v>
      </c>
      <c r="J321" s="98">
        <f t="shared" si="16"/>
        <v>20000</v>
      </c>
      <c r="K321" s="60" t="s">
        <v>152</v>
      </c>
      <c r="L321" s="60" t="s">
        <v>996</v>
      </c>
      <c r="M321" s="60" t="s">
        <v>996</v>
      </c>
      <c r="N321" s="60" t="s">
        <v>999</v>
      </c>
      <c r="O321" s="60" t="s">
        <v>998</v>
      </c>
      <c r="P321" s="45" t="s">
        <v>250</v>
      </c>
      <c r="Q321" s="45" t="s">
        <v>5</v>
      </c>
      <c r="R321" s="45" t="s">
        <v>257</v>
      </c>
      <c r="S321" s="45" t="s">
        <v>255</v>
      </c>
      <c r="T321" s="119">
        <v>115</v>
      </c>
      <c r="U321" s="62">
        <f t="shared" si="17"/>
        <v>2300000</v>
      </c>
      <c r="V321" s="63">
        <f t="shared" ca="1" si="18"/>
        <v>145</v>
      </c>
      <c r="W321" s="52" t="str">
        <f t="shared" ca="1" si="19"/>
        <v>&lt; 6 Months</v>
      </c>
      <c r="X321" s="110"/>
    </row>
    <row r="322" spans="1:24">
      <c r="A322" s="65">
        <v>46011</v>
      </c>
      <c r="B322" s="45" t="s">
        <v>5</v>
      </c>
      <c r="C322" s="45" t="s">
        <v>662</v>
      </c>
      <c r="D322" s="43" t="s">
        <v>667</v>
      </c>
      <c r="E322" s="99" t="s">
        <v>1225</v>
      </c>
      <c r="F322" s="99"/>
      <c r="G322" s="41">
        <v>123683</v>
      </c>
      <c r="H322" s="116">
        <v>486</v>
      </c>
      <c r="I322" s="41">
        <v>12</v>
      </c>
      <c r="J322" s="98">
        <f t="shared" si="16"/>
        <v>5832</v>
      </c>
      <c r="K322" s="60" t="s">
        <v>152</v>
      </c>
      <c r="L322" s="60" t="s">
        <v>262</v>
      </c>
      <c r="M322" s="60" t="s">
        <v>790</v>
      </c>
      <c r="N322" s="60" t="s">
        <v>791</v>
      </c>
      <c r="O322" s="60" t="s">
        <v>792</v>
      </c>
      <c r="P322" s="45" t="s">
        <v>250</v>
      </c>
      <c r="Q322" s="45" t="s">
        <v>5</v>
      </c>
      <c r="R322" s="45" t="s">
        <v>257</v>
      </c>
      <c r="S322" s="45" t="s">
        <v>247</v>
      </c>
      <c r="T322" s="119">
        <v>116</v>
      </c>
      <c r="U322" s="62">
        <f t="shared" si="17"/>
        <v>676512</v>
      </c>
      <c r="V322" s="63">
        <f t="shared" ca="1" si="18"/>
        <v>143</v>
      </c>
      <c r="W322" s="52" t="str">
        <f t="shared" ca="1" si="19"/>
        <v>&lt; 6 Months</v>
      </c>
      <c r="X322" s="110"/>
    </row>
    <row r="323" spans="1:24">
      <c r="A323" s="65">
        <v>46011</v>
      </c>
      <c r="B323" s="45" t="s">
        <v>5</v>
      </c>
      <c r="C323" s="45" t="s">
        <v>662</v>
      </c>
      <c r="D323" s="43" t="s">
        <v>667</v>
      </c>
      <c r="E323" s="99" t="s">
        <v>1226</v>
      </c>
      <c r="F323" s="99"/>
      <c r="G323" s="41">
        <v>123633</v>
      </c>
      <c r="H323" s="116">
        <v>215</v>
      </c>
      <c r="I323" s="41">
        <v>10</v>
      </c>
      <c r="J323" s="98">
        <f t="shared" si="16"/>
        <v>2150</v>
      </c>
      <c r="K323" s="60" t="s">
        <v>152</v>
      </c>
      <c r="L323" s="60" t="s">
        <v>672</v>
      </c>
      <c r="M323" s="60" t="s">
        <v>672</v>
      </c>
      <c r="N323" s="60" t="s">
        <v>723</v>
      </c>
      <c r="O323" s="60" t="s">
        <v>673</v>
      </c>
      <c r="P323" s="45" t="s">
        <v>250</v>
      </c>
      <c r="Q323" s="45" t="s">
        <v>5</v>
      </c>
      <c r="R323" s="45" t="s">
        <v>257</v>
      </c>
      <c r="S323" s="45" t="s">
        <v>255</v>
      </c>
      <c r="T323" s="119">
        <v>115</v>
      </c>
      <c r="U323" s="62">
        <f t="shared" si="17"/>
        <v>247250</v>
      </c>
      <c r="V323" s="63">
        <f t="shared" ca="1" si="18"/>
        <v>143</v>
      </c>
      <c r="W323" s="52" t="str">
        <f t="shared" ca="1" si="19"/>
        <v>&lt; 6 Months</v>
      </c>
      <c r="X323" s="110"/>
    </row>
    <row r="324" spans="1:24">
      <c r="A324" s="65">
        <v>46011</v>
      </c>
      <c r="B324" s="45" t="s">
        <v>5</v>
      </c>
      <c r="C324" s="45" t="s">
        <v>662</v>
      </c>
      <c r="D324" s="43" t="s">
        <v>667</v>
      </c>
      <c r="E324" s="99" t="s">
        <v>1228</v>
      </c>
      <c r="F324" s="99"/>
      <c r="G324" s="41">
        <v>123688</v>
      </c>
      <c r="H324" s="116">
        <v>40</v>
      </c>
      <c r="I324" s="41">
        <v>10</v>
      </c>
      <c r="J324" s="98">
        <f t="shared" si="16"/>
        <v>400</v>
      </c>
      <c r="K324" s="60" t="s">
        <v>152</v>
      </c>
      <c r="L324" s="60" t="s">
        <v>262</v>
      </c>
      <c r="M324" s="60" t="s">
        <v>1058</v>
      </c>
      <c r="N324" s="60" t="s">
        <v>158</v>
      </c>
      <c r="O324" s="60" t="s">
        <v>264</v>
      </c>
      <c r="P324" s="45" t="s">
        <v>516</v>
      </c>
      <c r="Q324" s="45" t="s">
        <v>6</v>
      </c>
      <c r="R324" s="45" t="s">
        <v>257</v>
      </c>
      <c r="S324" s="45" t="s">
        <v>247</v>
      </c>
      <c r="T324" s="119">
        <v>116</v>
      </c>
      <c r="U324" s="62">
        <f t="shared" si="17"/>
        <v>46400</v>
      </c>
      <c r="V324" s="63">
        <f t="shared" ca="1" si="18"/>
        <v>143</v>
      </c>
      <c r="W324" s="52" t="str">
        <f t="shared" ca="1" si="19"/>
        <v>&lt; 6 Months</v>
      </c>
      <c r="X324" s="110"/>
    </row>
    <row r="325" spans="1:24">
      <c r="A325" s="65">
        <v>46016</v>
      </c>
      <c r="B325" s="45" t="s">
        <v>5</v>
      </c>
      <c r="C325" s="45" t="s">
        <v>662</v>
      </c>
      <c r="D325" s="43" t="s">
        <v>667</v>
      </c>
      <c r="E325" s="99" t="s">
        <v>325</v>
      </c>
      <c r="F325" s="99"/>
      <c r="G325" s="41">
        <v>123887</v>
      </c>
      <c r="H325" s="116">
        <v>86</v>
      </c>
      <c r="I325" s="41">
        <v>10</v>
      </c>
      <c r="J325" s="98">
        <f t="shared" si="16"/>
        <v>860</v>
      </c>
      <c r="K325" s="60" t="s">
        <v>152</v>
      </c>
      <c r="L325" s="60" t="s">
        <v>1211</v>
      </c>
      <c r="M325" s="60" t="s">
        <v>325</v>
      </c>
      <c r="N325" s="60" t="s">
        <v>159</v>
      </c>
      <c r="O325" s="60" t="s">
        <v>326</v>
      </c>
      <c r="P325" s="45" t="s">
        <v>250</v>
      </c>
      <c r="Q325" s="45" t="s">
        <v>5</v>
      </c>
      <c r="R325" s="45" t="s">
        <v>257</v>
      </c>
      <c r="S325" s="45" t="s">
        <v>247</v>
      </c>
      <c r="T325" s="119">
        <v>126</v>
      </c>
      <c r="U325" s="62">
        <f t="shared" si="17"/>
        <v>108360</v>
      </c>
      <c r="V325" s="63">
        <f t="shared" ca="1" si="18"/>
        <v>138</v>
      </c>
      <c r="W325" s="52" t="str">
        <f t="shared" ca="1" si="19"/>
        <v>&lt; 6 Months</v>
      </c>
      <c r="X325" s="110"/>
    </row>
    <row r="326" spans="1:24">
      <c r="A326" s="65">
        <v>46016</v>
      </c>
      <c r="B326" s="45" t="s">
        <v>5</v>
      </c>
      <c r="C326" s="45" t="s">
        <v>662</v>
      </c>
      <c r="D326" s="43" t="s">
        <v>667</v>
      </c>
      <c r="E326" s="99" t="s">
        <v>310</v>
      </c>
      <c r="F326" s="99"/>
      <c r="G326" s="41">
        <v>123888</v>
      </c>
      <c r="H326" s="116">
        <v>100</v>
      </c>
      <c r="I326" s="41">
        <v>10</v>
      </c>
      <c r="J326" s="98">
        <f t="shared" si="16"/>
        <v>1000</v>
      </c>
      <c r="K326" s="60" t="s">
        <v>152</v>
      </c>
      <c r="L326" s="60" t="s">
        <v>310</v>
      </c>
      <c r="M326" s="60" t="s">
        <v>310</v>
      </c>
      <c r="N326" s="60" t="s">
        <v>173</v>
      </c>
      <c r="O326" s="60" t="s">
        <v>173</v>
      </c>
      <c r="P326" s="45" t="s">
        <v>250</v>
      </c>
      <c r="Q326" s="45" t="s">
        <v>5</v>
      </c>
      <c r="R326" s="45" t="s">
        <v>257</v>
      </c>
      <c r="S326" s="45" t="s">
        <v>255</v>
      </c>
      <c r="T326" s="119">
        <v>90.5</v>
      </c>
      <c r="U326" s="62">
        <f t="shared" si="17"/>
        <v>90500</v>
      </c>
      <c r="V326" s="63">
        <f t="shared" ca="1" si="18"/>
        <v>138</v>
      </c>
      <c r="W326" s="52" t="str">
        <f t="shared" ca="1" si="19"/>
        <v>&lt; 6 Months</v>
      </c>
      <c r="X326" s="110"/>
    </row>
    <row r="327" spans="1:24">
      <c r="A327" s="65">
        <v>46017</v>
      </c>
      <c r="B327" s="45" t="s">
        <v>5</v>
      </c>
      <c r="C327" s="45" t="s">
        <v>662</v>
      </c>
      <c r="D327" s="43" t="s">
        <v>667</v>
      </c>
      <c r="E327" s="99" t="s">
        <v>259</v>
      </c>
      <c r="F327" s="99"/>
      <c r="G327" s="41">
        <v>123935</v>
      </c>
      <c r="H327" s="116">
        <v>89</v>
      </c>
      <c r="I327" s="41">
        <v>10</v>
      </c>
      <c r="J327" s="98">
        <f t="shared" si="16"/>
        <v>890</v>
      </c>
      <c r="K327" s="60" t="s">
        <v>152</v>
      </c>
      <c r="L327" s="60" t="s">
        <v>897</v>
      </c>
      <c r="M327" s="60" t="s">
        <v>1227</v>
      </c>
      <c r="N327" s="60" t="s">
        <v>891</v>
      </c>
      <c r="O327" s="60" t="s">
        <v>346</v>
      </c>
      <c r="P327" s="45" t="s">
        <v>250</v>
      </c>
      <c r="Q327" s="45" t="s">
        <v>5</v>
      </c>
      <c r="R327" s="45" t="s">
        <v>257</v>
      </c>
      <c r="S327" s="45" t="s">
        <v>247</v>
      </c>
      <c r="T327" s="119">
        <v>195</v>
      </c>
      <c r="U327" s="62">
        <f t="shared" si="17"/>
        <v>173550</v>
      </c>
      <c r="V327" s="63">
        <f t="shared" ca="1" si="18"/>
        <v>137</v>
      </c>
      <c r="W327" s="52" t="str">
        <f t="shared" ca="1" si="19"/>
        <v>&lt; 6 Months</v>
      </c>
      <c r="X327" s="110"/>
    </row>
    <row r="328" spans="1:24">
      <c r="A328" s="65">
        <v>46017</v>
      </c>
      <c r="B328" s="45" t="s">
        <v>5</v>
      </c>
      <c r="C328" s="45" t="s">
        <v>662</v>
      </c>
      <c r="D328" s="43" t="s">
        <v>667</v>
      </c>
      <c r="E328" s="99" t="s">
        <v>1231</v>
      </c>
      <c r="F328" s="99"/>
      <c r="G328" s="41">
        <v>123936</v>
      </c>
      <c r="H328" s="116">
        <v>400</v>
      </c>
      <c r="I328" s="41">
        <v>6</v>
      </c>
      <c r="J328" s="98">
        <f t="shared" ref="J328:J392" si="20">I328*H328</f>
        <v>2400</v>
      </c>
      <c r="K328" s="60" t="s">
        <v>152</v>
      </c>
      <c r="L328" s="60" t="s">
        <v>1233</v>
      </c>
      <c r="M328" s="60" t="s">
        <v>1232</v>
      </c>
      <c r="N328" s="60" t="s">
        <v>1234</v>
      </c>
      <c r="O328" s="60" t="s">
        <v>279</v>
      </c>
      <c r="P328" s="45" t="s">
        <v>250</v>
      </c>
      <c r="Q328" s="45" t="s">
        <v>5</v>
      </c>
      <c r="R328" s="45" t="s">
        <v>257</v>
      </c>
      <c r="S328" s="45" t="s">
        <v>255</v>
      </c>
      <c r="T328" s="119">
        <v>199</v>
      </c>
      <c r="U328" s="62">
        <f t="shared" ref="U328:U344" si="21">T328*J328</f>
        <v>477600</v>
      </c>
      <c r="V328" s="63">
        <f t="shared" ref="V328:V329" ca="1" si="22">$V$4-A328</f>
        <v>137</v>
      </c>
      <c r="W328" s="52" t="str">
        <f t="shared" ref="W328:W391" ca="1" si="23">VLOOKUP(V328,$Y$2:$Z$6,2)</f>
        <v>&lt; 6 Months</v>
      </c>
      <c r="X328" s="110"/>
    </row>
    <row r="329" spans="1:24">
      <c r="A329" s="65">
        <v>46020</v>
      </c>
      <c r="B329" s="45" t="s">
        <v>5</v>
      </c>
      <c r="C329" s="45" t="s">
        <v>662</v>
      </c>
      <c r="D329" s="43" t="s">
        <v>667</v>
      </c>
      <c r="E329" s="99" t="s">
        <v>1235</v>
      </c>
      <c r="F329" s="99"/>
      <c r="G329" s="41">
        <v>124042</v>
      </c>
      <c r="H329" s="116">
        <v>86</v>
      </c>
      <c r="I329" s="41">
        <v>10</v>
      </c>
      <c r="J329" s="98">
        <f t="shared" si="20"/>
        <v>860</v>
      </c>
      <c r="K329" s="60" t="s">
        <v>152</v>
      </c>
      <c r="L329" s="60" t="s">
        <v>679</v>
      </c>
      <c r="M329" s="60" t="s">
        <v>263</v>
      </c>
      <c r="N329" s="60" t="s">
        <v>163</v>
      </c>
      <c r="O329" s="60" t="s">
        <v>680</v>
      </c>
      <c r="P329" s="45" t="s">
        <v>250</v>
      </c>
      <c r="Q329" s="45" t="s">
        <v>5</v>
      </c>
      <c r="R329" s="45" t="s">
        <v>257</v>
      </c>
      <c r="S329" s="45" t="s">
        <v>247</v>
      </c>
      <c r="T329" s="120">
        <v>87.7</v>
      </c>
      <c r="U329" s="62">
        <f t="shared" si="21"/>
        <v>75422</v>
      </c>
      <c r="V329" s="63">
        <f t="shared" ca="1" si="22"/>
        <v>134</v>
      </c>
      <c r="W329" s="52" t="str">
        <f t="shared" ca="1" si="23"/>
        <v>&lt; 6 Months</v>
      </c>
      <c r="X329" s="110"/>
    </row>
    <row r="330" spans="1:24">
      <c r="A330" s="65"/>
      <c r="B330" s="45" t="s">
        <v>9</v>
      </c>
      <c r="C330" s="45" t="s">
        <v>687</v>
      </c>
      <c r="D330" s="43" t="s">
        <v>1236</v>
      </c>
      <c r="E330" s="43"/>
      <c r="F330" s="1"/>
      <c r="G330" s="41" t="s">
        <v>9</v>
      </c>
      <c r="H330" s="116">
        <v>10</v>
      </c>
      <c r="I330" s="41">
        <v>1</v>
      </c>
      <c r="J330" s="98">
        <f t="shared" si="20"/>
        <v>10</v>
      </c>
      <c r="K330" s="60" t="s">
        <v>98</v>
      </c>
      <c r="L330" s="60" t="s">
        <v>645</v>
      </c>
      <c r="M330" s="60" t="s">
        <v>645</v>
      </c>
      <c r="N330" s="60" t="s">
        <v>1236</v>
      </c>
      <c r="O330" s="60" t="s">
        <v>1236</v>
      </c>
      <c r="P330" s="45" t="s">
        <v>516</v>
      </c>
      <c r="Q330" s="45" t="s">
        <v>4</v>
      </c>
      <c r="R330" s="45" t="s">
        <v>688</v>
      </c>
      <c r="S330" s="45">
        <v>0</v>
      </c>
      <c r="T330" s="119"/>
      <c r="U330" s="62">
        <f t="shared" si="21"/>
        <v>0</v>
      </c>
      <c r="V330" s="63"/>
      <c r="W330" s="52" t="str">
        <f t="shared" si="23"/>
        <v>&lt; 6 Months</v>
      </c>
    </row>
    <row r="331" spans="1:24">
      <c r="A331" s="65"/>
      <c r="B331" s="45" t="s">
        <v>9</v>
      </c>
      <c r="C331" s="45" t="s">
        <v>687</v>
      </c>
      <c r="D331" s="81" t="s">
        <v>1237</v>
      </c>
      <c r="E331" s="43"/>
      <c r="F331" s="1"/>
      <c r="G331" s="41" t="s">
        <v>9</v>
      </c>
      <c r="H331" s="116">
        <v>50</v>
      </c>
      <c r="I331" s="41">
        <v>1</v>
      </c>
      <c r="J331" s="98">
        <f t="shared" si="20"/>
        <v>50</v>
      </c>
      <c r="K331" s="60" t="s">
        <v>98</v>
      </c>
      <c r="L331" s="60" t="s">
        <v>1270</v>
      </c>
      <c r="M331" s="60" t="s">
        <v>531</v>
      </c>
      <c r="N331" s="60" t="s">
        <v>1237</v>
      </c>
      <c r="O331" s="60" t="s">
        <v>1237</v>
      </c>
      <c r="P331" s="45" t="s">
        <v>516</v>
      </c>
      <c r="Q331" s="45" t="s">
        <v>4</v>
      </c>
      <c r="R331" s="45" t="s">
        <v>688</v>
      </c>
      <c r="S331" s="45">
        <v>0</v>
      </c>
      <c r="T331" s="119"/>
      <c r="U331" s="62">
        <f t="shared" si="21"/>
        <v>0</v>
      </c>
      <c r="V331" s="63"/>
      <c r="W331" s="52" t="str">
        <f t="shared" si="23"/>
        <v>&lt; 6 Months</v>
      </c>
    </row>
    <row r="332" spans="1:24">
      <c r="A332" s="65"/>
      <c r="B332" s="45" t="s">
        <v>9</v>
      </c>
      <c r="C332" s="45" t="s">
        <v>687</v>
      </c>
      <c r="D332" s="81" t="s">
        <v>1238</v>
      </c>
      <c r="E332" s="43"/>
      <c r="F332" s="1"/>
      <c r="G332" s="41" t="s">
        <v>9</v>
      </c>
      <c r="H332" s="116">
        <v>70.5</v>
      </c>
      <c r="I332" s="41">
        <v>1</v>
      </c>
      <c r="J332" s="98">
        <f t="shared" si="20"/>
        <v>70.5</v>
      </c>
      <c r="K332" s="60" t="s">
        <v>98</v>
      </c>
      <c r="L332" s="60" t="s">
        <v>1271</v>
      </c>
      <c r="M332" s="60" t="s">
        <v>531</v>
      </c>
      <c r="N332" s="60" t="s">
        <v>1238</v>
      </c>
      <c r="O332" s="60" t="s">
        <v>1238</v>
      </c>
      <c r="P332" s="45" t="s">
        <v>516</v>
      </c>
      <c r="Q332" s="45" t="s">
        <v>4</v>
      </c>
      <c r="R332" s="45" t="s">
        <v>688</v>
      </c>
      <c r="S332" s="45">
        <v>0</v>
      </c>
      <c r="T332" s="119"/>
      <c r="U332" s="62">
        <f t="shared" si="21"/>
        <v>0</v>
      </c>
      <c r="V332" s="63"/>
      <c r="W332" s="52" t="str">
        <f t="shared" si="23"/>
        <v>&lt; 6 Months</v>
      </c>
    </row>
    <row r="333" spans="1:24">
      <c r="A333" s="65"/>
      <c r="B333" s="45" t="s">
        <v>9</v>
      </c>
      <c r="C333" s="45" t="s">
        <v>687</v>
      </c>
      <c r="D333" s="43" t="s">
        <v>1239</v>
      </c>
      <c r="E333" s="43"/>
      <c r="F333" s="1"/>
      <c r="G333" s="41" t="s">
        <v>9</v>
      </c>
      <c r="H333" s="116">
        <v>33.35</v>
      </c>
      <c r="I333" s="41">
        <v>1</v>
      </c>
      <c r="J333" s="98">
        <f t="shared" si="20"/>
        <v>33.35</v>
      </c>
      <c r="K333" s="60" t="s">
        <v>98</v>
      </c>
      <c r="L333" s="60" t="s">
        <v>1272</v>
      </c>
      <c r="M333" s="60" t="s">
        <v>1274</v>
      </c>
      <c r="N333" s="60" t="s">
        <v>1239</v>
      </c>
      <c r="O333" s="60" t="s">
        <v>1239</v>
      </c>
      <c r="P333" s="45" t="s">
        <v>516</v>
      </c>
      <c r="Q333" s="45" t="s">
        <v>4</v>
      </c>
      <c r="R333" s="45" t="s">
        <v>688</v>
      </c>
      <c r="S333" s="45">
        <v>0</v>
      </c>
      <c r="T333" s="119"/>
      <c r="U333" s="62">
        <f t="shared" si="21"/>
        <v>0</v>
      </c>
      <c r="V333" s="63"/>
      <c r="W333" s="52" t="str">
        <f t="shared" si="23"/>
        <v>&lt; 6 Months</v>
      </c>
    </row>
    <row r="334" spans="1:24">
      <c r="A334" s="65"/>
      <c r="B334" s="45" t="s">
        <v>9</v>
      </c>
      <c r="C334" s="45" t="s">
        <v>687</v>
      </c>
      <c r="D334" s="43" t="s">
        <v>1240</v>
      </c>
      <c r="E334" s="43"/>
      <c r="F334" s="1"/>
      <c r="G334" s="41" t="s">
        <v>9</v>
      </c>
      <c r="H334" s="116">
        <v>16.020000000000003</v>
      </c>
      <c r="I334" s="41">
        <v>1</v>
      </c>
      <c r="J334" s="98">
        <f t="shared" si="20"/>
        <v>16.020000000000003</v>
      </c>
      <c r="K334" s="60" t="s">
        <v>98</v>
      </c>
      <c r="L334" s="60" t="s">
        <v>1273</v>
      </c>
      <c r="M334" s="60" t="s">
        <v>1274</v>
      </c>
      <c r="N334" s="60" t="s">
        <v>1240</v>
      </c>
      <c r="O334" s="60" t="s">
        <v>1240</v>
      </c>
      <c r="P334" s="45" t="s">
        <v>516</v>
      </c>
      <c r="Q334" s="45" t="s">
        <v>4</v>
      </c>
      <c r="R334" s="45" t="s">
        <v>688</v>
      </c>
      <c r="S334" s="45">
        <v>0</v>
      </c>
      <c r="T334" s="119"/>
      <c r="U334" s="62">
        <f t="shared" si="21"/>
        <v>0</v>
      </c>
      <c r="V334" s="63"/>
      <c r="W334" s="52" t="str">
        <f t="shared" si="23"/>
        <v>&lt; 6 Months</v>
      </c>
    </row>
    <row r="335" spans="1:24">
      <c r="A335" s="65"/>
      <c r="B335" s="45" t="s">
        <v>9</v>
      </c>
      <c r="C335" s="45" t="s">
        <v>687</v>
      </c>
      <c r="D335" s="43" t="s">
        <v>689</v>
      </c>
      <c r="E335" s="43"/>
      <c r="F335" s="1"/>
      <c r="G335" s="41" t="s">
        <v>9</v>
      </c>
      <c r="H335" s="116">
        <v>580</v>
      </c>
      <c r="I335" s="41">
        <v>1</v>
      </c>
      <c r="J335" s="98">
        <f t="shared" si="20"/>
        <v>580</v>
      </c>
      <c r="K335" s="60" t="s">
        <v>98</v>
      </c>
      <c r="L335" s="60" t="s">
        <v>690</v>
      </c>
      <c r="M335" s="60" t="s">
        <v>531</v>
      </c>
      <c r="N335" s="60" t="s">
        <v>17</v>
      </c>
      <c r="O335" s="60" t="s">
        <v>689</v>
      </c>
      <c r="P335" s="45" t="s">
        <v>516</v>
      </c>
      <c r="Q335" s="45" t="s">
        <v>4</v>
      </c>
      <c r="R335" s="45" t="s">
        <v>688</v>
      </c>
      <c r="S335" s="45">
        <v>0</v>
      </c>
      <c r="T335" s="119">
        <v>595</v>
      </c>
      <c r="U335" s="62">
        <f t="shared" si="21"/>
        <v>345100</v>
      </c>
      <c r="V335" s="63"/>
      <c r="W335" s="52" t="str">
        <f t="shared" si="23"/>
        <v>&lt; 6 Months</v>
      </c>
    </row>
    <row r="336" spans="1:24">
      <c r="A336" s="65"/>
      <c r="B336" s="45" t="s">
        <v>9</v>
      </c>
      <c r="C336" s="45" t="s">
        <v>687</v>
      </c>
      <c r="D336" s="43" t="s">
        <v>618</v>
      </c>
      <c r="E336" s="43"/>
      <c r="F336" s="1"/>
      <c r="G336" s="41" t="s">
        <v>9</v>
      </c>
      <c r="H336" s="116">
        <v>52.5</v>
      </c>
      <c r="I336" s="41">
        <v>1</v>
      </c>
      <c r="J336" s="98">
        <f t="shared" si="20"/>
        <v>52.5</v>
      </c>
      <c r="K336" s="60" t="s">
        <v>1057</v>
      </c>
      <c r="L336" s="60" t="s">
        <v>1059</v>
      </c>
      <c r="M336" s="60" t="s">
        <v>523</v>
      </c>
      <c r="N336" s="60" t="s">
        <v>40</v>
      </c>
      <c r="O336" s="60" t="s">
        <v>618</v>
      </c>
      <c r="P336" s="45" t="s">
        <v>516</v>
      </c>
      <c r="Q336" s="45" t="s">
        <v>4</v>
      </c>
      <c r="R336" s="45" t="s">
        <v>688</v>
      </c>
      <c r="S336" s="45">
        <v>0</v>
      </c>
      <c r="T336" s="119">
        <v>490</v>
      </c>
      <c r="U336" s="62">
        <f t="shared" si="21"/>
        <v>25725</v>
      </c>
      <c r="V336" s="63"/>
      <c r="W336" s="52" t="str">
        <f t="shared" si="23"/>
        <v>&lt; 6 Months</v>
      </c>
    </row>
    <row r="337" spans="1:23">
      <c r="A337" s="65"/>
      <c r="B337" s="45" t="s">
        <v>9</v>
      </c>
      <c r="C337" s="45" t="s">
        <v>687</v>
      </c>
      <c r="D337" s="43" t="s">
        <v>550</v>
      </c>
      <c r="E337" s="43"/>
      <c r="F337" s="1"/>
      <c r="G337" s="41" t="s">
        <v>9</v>
      </c>
      <c r="H337" s="116">
        <v>9.08</v>
      </c>
      <c r="I337" s="41">
        <v>1</v>
      </c>
      <c r="J337" s="98">
        <f t="shared" si="20"/>
        <v>9.08</v>
      </c>
      <c r="K337" s="60" t="s">
        <v>42</v>
      </c>
      <c r="L337" s="60" t="s">
        <v>1275</v>
      </c>
      <c r="M337" s="60" t="s">
        <v>1276</v>
      </c>
      <c r="N337" s="60" t="s">
        <v>550</v>
      </c>
      <c r="O337" s="60" t="s">
        <v>550</v>
      </c>
      <c r="P337" s="45" t="s">
        <v>516</v>
      </c>
      <c r="Q337" s="45" t="s">
        <v>4</v>
      </c>
      <c r="R337" s="45" t="s">
        <v>688</v>
      </c>
      <c r="S337" s="45">
        <v>0</v>
      </c>
      <c r="T337" s="119"/>
      <c r="U337" s="62">
        <f t="shared" si="21"/>
        <v>0</v>
      </c>
      <c r="V337" s="63"/>
      <c r="W337" s="52" t="str">
        <f t="shared" si="23"/>
        <v>&lt; 6 Months</v>
      </c>
    </row>
    <row r="338" spans="1:23">
      <c r="A338" s="65"/>
      <c r="B338" s="45" t="s">
        <v>9</v>
      </c>
      <c r="C338" s="45" t="s">
        <v>687</v>
      </c>
      <c r="D338" s="43" t="s">
        <v>44</v>
      </c>
      <c r="E338" s="43"/>
      <c r="F338" s="1"/>
      <c r="G338" s="41" t="s">
        <v>9</v>
      </c>
      <c r="H338" s="116">
        <v>27.24</v>
      </c>
      <c r="I338" s="41">
        <v>1</v>
      </c>
      <c r="J338" s="98">
        <f t="shared" si="20"/>
        <v>27.24</v>
      </c>
      <c r="K338" s="60" t="s">
        <v>42</v>
      </c>
      <c r="L338" s="60" t="s">
        <v>42</v>
      </c>
      <c r="M338" s="60" t="s">
        <v>539</v>
      </c>
      <c r="N338" s="60" t="s">
        <v>44</v>
      </c>
      <c r="O338" s="60" t="s">
        <v>44</v>
      </c>
      <c r="P338" s="45" t="s">
        <v>516</v>
      </c>
      <c r="Q338" s="45" t="s">
        <v>4</v>
      </c>
      <c r="R338" s="45" t="s">
        <v>688</v>
      </c>
      <c r="S338" s="45" t="s">
        <v>659</v>
      </c>
      <c r="T338" s="119">
        <v>1130</v>
      </c>
      <c r="U338" s="62">
        <f t="shared" si="21"/>
        <v>30781.199999999997</v>
      </c>
      <c r="V338" s="63"/>
      <c r="W338" s="52" t="str">
        <f t="shared" si="23"/>
        <v>&lt; 6 Months</v>
      </c>
    </row>
    <row r="339" spans="1:23">
      <c r="A339" s="101"/>
      <c r="B339" s="45" t="s">
        <v>9</v>
      </c>
      <c r="C339" s="45" t="s">
        <v>687</v>
      </c>
      <c r="D339" s="1" t="s">
        <v>1241</v>
      </c>
      <c r="E339" s="43"/>
      <c r="F339" s="1"/>
      <c r="G339" s="41" t="s">
        <v>9</v>
      </c>
      <c r="H339" s="116">
        <v>10</v>
      </c>
      <c r="I339" s="41">
        <v>1</v>
      </c>
      <c r="J339" s="98">
        <f t="shared" si="20"/>
        <v>10</v>
      </c>
      <c r="K339" s="60" t="s">
        <v>1277</v>
      </c>
      <c r="L339" s="60">
        <v>320</v>
      </c>
      <c r="M339" s="60" t="s">
        <v>531</v>
      </c>
      <c r="N339" s="60" t="s">
        <v>1241</v>
      </c>
      <c r="O339" s="60" t="s">
        <v>1241</v>
      </c>
      <c r="P339" s="45" t="s">
        <v>516</v>
      </c>
      <c r="Q339" s="45" t="s">
        <v>4</v>
      </c>
      <c r="R339" s="45" t="s">
        <v>688</v>
      </c>
      <c r="S339" s="45">
        <v>0</v>
      </c>
      <c r="T339" s="119"/>
      <c r="U339" s="62">
        <f t="shared" si="21"/>
        <v>0</v>
      </c>
      <c r="V339" s="63"/>
      <c r="W339" s="52" t="str">
        <f t="shared" si="23"/>
        <v>&lt; 6 Months</v>
      </c>
    </row>
    <row r="340" spans="1:23">
      <c r="A340" s="65"/>
      <c r="B340" s="45" t="s">
        <v>9</v>
      </c>
      <c r="C340" s="45" t="s">
        <v>687</v>
      </c>
      <c r="D340" s="43" t="s">
        <v>1242</v>
      </c>
      <c r="E340" s="43"/>
      <c r="F340" s="1"/>
      <c r="G340" s="41" t="s">
        <v>9</v>
      </c>
      <c r="H340" s="116">
        <v>7.9</v>
      </c>
      <c r="I340" s="41">
        <v>1</v>
      </c>
      <c r="J340" s="98">
        <f t="shared" si="20"/>
        <v>7.9</v>
      </c>
      <c r="K340" s="60" t="s">
        <v>1277</v>
      </c>
      <c r="L340" s="60" t="s">
        <v>774</v>
      </c>
      <c r="M340" s="60" t="s">
        <v>531</v>
      </c>
      <c r="N340" s="60" t="s">
        <v>1242</v>
      </c>
      <c r="O340" s="60" t="s">
        <v>1242</v>
      </c>
      <c r="P340" s="45" t="s">
        <v>516</v>
      </c>
      <c r="Q340" s="45" t="s">
        <v>4</v>
      </c>
      <c r="R340" s="45" t="s">
        <v>688</v>
      </c>
      <c r="S340" s="45">
        <v>0</v>
      </c>
      <c r="T340" s="119"/>
      <c r="U340" s="62">
        <f t="shared" si="21"/>
        <v>0</v>
      </c>
      <c r="V340" s="63"/>
      <c r="W340" s="52" t="str">
        <f t="shared" si="23"/>
        <v>&lt; 6 Months</v>
      </c>
    </row>
    <row r="341" spans="1:23">
      <c r="A341" s="65"/>
      <c r="B341" s="45" t="s">
        <v>9</v>
      </c>
      <c r="C341" s="45" t="s">
        <v>687</v>
      </c>
      <c r="D341" s="43" t="s">
        <v>995</v>
      </c>
      <c r="E341" s="43"/>
      <c r="F341" s="1"/>
      <c r="G341" s="41" t="s">
        <v>9</v>
      </c>
      <c r="H341" s="116">
        <v>11.34</v>
      </c>
      <c r="I341" s="41">
        <v>1</v>
      </c>
      <c r="J341" s="98">
        <f t="shared" si="20"/>
        <v>11.34</v>
      </c>
      <c r="K341" s="60" t="s">
        <v>51</v>
      </c>
      <c r="L341" s="60" t="s">
        <v>1278</v>
      </c>
      <c r="M341" s="60" t="s">
        <v>1276</v>
      </c>
      <c r="N341" s="60" t="s">
        <v>995</v>
      </c>
      <c r="O341" s="60" t="s">
        <v>995</v>
      </c>
      <c r="P341" s="45" t="s">
        <v>516</v>
      </c>
      <c r="Q341" s="45" t="s">
        <v>4</v>
      </c>
      <c r="R341" s="45" t="s">
        <v>688</v>
      </c>
      <c r="S341" s="45">
        <v>0</v>
      </c>
      <c r="T341" s="119"/>
      <c r="U341" s="62">
        <f t="shared" si="21"/>
        <v>0</v>
      </c>
      <c r="V341" s="63"/>
      <c r="W341" s="52" t="str">
        <f t="shared" si="23"/>
        <v>&lt; 6 Months</v>
      </c>
    </row>
    <row r="342" spans="1:23">
      <c r="A342" s="65"/>
      <c r="B342" s="45" t="s">
        <v>9</v>
      </c>
      <c r="C342" s="45" t="s">
        <v>687</v>
      </c>
      <c r="D342" s="43" t="s">
        <v>52</v>
      </c>
      <c r="E342" s="43"/>
      <c r="F342" s="1"/>
      <c r="G342" s="41" t="s">
        <v>9</v>
      </c>
      <c r="H342" s="116">
        <v>759.78</v>
      </c>
      <c r="I342" s="41">
        <v>1</v>
      </c>
      <c r="J342" s="98">
        <f t="shared" si="20"/>
        <v>759.78</v>
      </c>
      <c r="K342" s="60" t="s">
        <v>51</v>
      </c>
      <c r="L342" s="60" t="s">
        <v>645</v>
      </c>
      <c r="M342" s="60" t="s">
        <v>645</v>
      </c>
      <c r="N342" s="60" t="s">
        <v>52</v>
      </c>
      <c r="O342" s="60" t="s">
        <v>52</v>
      </c>
      <c r="P342" s="45" t="s">
        <v>516</v>
      </c>
      <c r="Q342" s="45" t="s">
        <v>4</v>
      </c>
      <c r="R342" s="45" t="s">
        <v>688</v>
      </c>
      <c r="S342" s="45">
        <v>0</v>
      </c>
      <c r="T342" s="119">
        <v>360</v>
      </c>
      <c r="U342" s="62">
        <f t="shared" si="21"/>
        <v>273520.8</v>
      </c>
      <c r="V342" s="63"/>
      <c r="W342" s="52" t="str">
        <f t="shared" si="23"/>
        <v>&lt; 6 Months</v>
      </c>
    </row>
    <row r="343" spans="1:23">
      <c r="A343" s="65"/>
      <c r="B343" s="45" t="s">
        <v>9</v>
      </c>
      <c r="C343" s="45" t="s">
        <v>687</v>
      </c>
      <c r="D343" s="43" t="s">
        <v>1243</v>
      </c>
      <c r="E343" s="43"/>
      <c r="F343" s="1"/>
      <c r="G343" s="41" t="s">
        <v>9</v>
      </c>
      <c r="H343" s="116">
        <v>90</v>
      </c>
      <c r="I343" s="41">
        <v>1</v>
      </c>
      <c r="J343" s="98">
        <f t="shared" si="20"/>
        <v>90</v>
      </c>
      <c r="K343" s="60" t="s">
        <v>148</v>
      </c>
      <c r="L343" s="60" t="s">
        <v>617</v>
      </c>
      <c r="M343" s="60" t="s">
        <v>617</v>
      </c>
      <c r="N343" s="60" t="s">
        <v>1243</v>
      </c>
      <c r="O343" s="60" t="s">
        <v>1243</v>
      </c>
      <c r="P343" s="45" t="s">
        <v>516</v>
      </c>
      <c r="Q343" s="45" t="s">
        <v>4</v>
      </c>
      <c r="R343" s="45" t="s">
        <v>688</v>
      </c>
      <c r="S343" s="45">
        <v>0</v>
      </c>
      <c r="T343" s="119"/>
      <c r="U343" s="62">
        <f t="shared" si="21"/>
        <v>0</v>
      </c>
      <c r="V343" s="63"/>
      <c r="W343" s="52" t="str">
        <f t="shared" si="23"/>
        <v>&lt; 6 Months</v>
      </c>
    </row>
    <row r="344" spans="1:23">
      <c r="A344" s="65"/>
      <c r="B344" s="45" t="s">
        <v>9</v>
      </c>
      <c r="C344" s="45" t="s">
        <v>687</v>
      </c>
      <c r="D344" s="43" t="s">
        <v>141</v>
      </c>
      <c r="E344" s="43"/>
      <c r="F344" s="1"/>
      <c r="G344" s="41" t="s">
        <v>9</v>
      </c>
      <c r="H344" s="116">
        <v>80</v>
      </c>
      <c r="I344" s="41">
        <v>1</v>
      </c>
      <c r="J344" s="98">
        <f t="shared" si="20"/>
        <v>80</v>
      </c>
      <c r="K344" s="60" t="s">
        <v>136</v>
      </c>
      <c r="L344" s="60" t="s">
        <v>841</v>
      </c>
      <c r="M344" s="60" t="s">
        <v>247</v>
      </c>
      <c r="N344" s="60" t="s">
        <v>141</v>
      </c>
      <c r="O344" s="60" t="s">
        <v>141</v>
      </c>
      <c r="P344" s="45" t="s">
        <v>516</v>
      </c>
      <c r="Q344" s="45" t="s">
        <v>4</v>
      </c>
      <c r="R344" s="45" t="s">
        <v>688</v>
      </c>
      <c r="S344" s="45">
        <v>0</v>
      </c>
      <c r="T344" s="119">
        <v>270</v>
      </c>
      <c r="U344" s="62">
        <f t="shared" si="21"/>
        <v>21600</v>
      </c>
      <c r="V344" s="63"/>
      <c r="W344" s="52" t="str">
        <f t="shared" si="23"/>
        <v>&lt; 6 Months</v>
      </c>
    </row>
    <row r="345" spans="1:23">
      <c r="A345" s="65"/>
      <c r="B345" s="45" t="s">
        <v>9</v>
      </c>
      <c r="C345" s="45" t="s">
        <v>687</v>
      </c>
      <c r="D345" s="43" t="s">
        <v>780</v>
      </c>
      <c r="E345" s="43"/>
      <c r="F345" s="1"/>
      <c r="G345" s="41" t="s">
        <v>9</v>
      </c>
      <c r="H345" s="116">
        <v>2688</v>
      </c>
      <c r="I345" s="41">
        <v>1.1499999999999999</v>
      </c>
      <c r="J345" s="98">
        <f t="shared" si="20"/>
        <v>3091.2</v>
      </c>
      <c r="K345" s="60" t="s">
        <v>143</v>
      </c>
      <c r="L345" s="60" t="s">
        <v>866</v>
      </c>
      <c r="M345" s="60" t="s">
        <v>843</v>
      </c>
      <c r="N345" s="60" t="s">
        <v>780</v>
      </c>
      <c r="O345" s="60" t="s">
        <v>780</v>
      </c>
      <c r="P345" s="45" t="s">
        <v>516</v>
      </c>
      <c r="Q345" s="45" t="s">
        <v>4</v>
      </c>
      <c r="R345" s="45" t="s">
        <v>688</v>
      </c>
      <c r="S345" s="45">
        <v>0</v>
      </c>
      <c r="T345" s="119">
        <v>190</v>
      </c>
      <c r="U345" s="62">
        <v>587328</v>
      </c>
      <c r="V345" s="63"/>
      <c r="W345" s="52" t="str">
        <f t="shared" si="23"/>
        <v>&lt; 6 Months</v>
      </c>
    </row>
    <row r="346" spans="1:23">
      <c r="A346" s="65"/>
      <c r="B346" s="45" t="s">
        <v>9</v>
      </c>
      <c r="C346" s="45" t="s">
        <v>687</v>
      </c>
      <c r="D346" s="43" t="s">
        <v>955</v>
      </c>
      <c r="E346" s="43"/>
      <c r="F346" s="1"/>
      <c r="G346" s="41" t="s">
        <v>9</v>
      </c>
      <c r="H346" s="116">
        <v>1150</v>
      </c>
      <c r="I346" s="41">
        <v>0.4</v>
      </c>
      <c r="J346" s="98">
        <f t="shared" si="20"/>
        <v>460</v>
      </c>
      <c r="K346" s="60" t="s">
        <v>143</v>
      </c>
      <c r="L346" s="60" t="s">
        <v>865</v>
      </c>
      <c r="M346" s="60" t="s">
        <v>956</v>
      </c>
      <c r="N346" s="60" t="s">
        <v>955</v>
      </c>
      <c r="O346" s="60" t="s">
        <v>955</v>
      </c>
      <c r="P346" s="45" t="s">
        <v>516</v>
      </c>
      <c r="Q346" s="45" t="s">
        <v>4</v>
      </c>
      <c r="R346" s="45" t="s">
        <v>688</v>
      </c>
      <c r="S346" s="45">
        <v>0</v>
      </c>
      <c r="T346" s="119">
        <v>216</v>
      </c>
      <c r="U346" s="62">
        <f t="shared" ref="U346:U412" si="24">T346*J346</f>
        <v>99360</v>
      </c>
      <c r="V346" s="63"/>
      <c r="W346" s="52" t="str">
        <f t="shared" si="23"/>
        <v>&lt; 6 Months</v>
      </c>
    </row>
    <row r="347" spans="1:23">
      <c r="A347" s="65"/>
      <c r="B347" s="45" t="s">
        <v>9</v>
      </c>
      <c r="C347" s="45" t="s">
        <v>687</v>
      </c>
      <c r="D347" s="43" t="s">
        <v>1244</v>
      </c>
      <c r="E347" s="43"/>
      <c r="F347" s="1"/>
      <c r="G347" s="41" t="s">
        <v>9</v>
      </c>
      <c r="H347" s="116">
        <v>60</v>
      </c>
      <c r="I347" s="41">
        <v>1</v>
      </c>
      <c r="J347" s="98">
        <f t="shared" si="20"/>
        <v>60</v>
      </c>
      <c r="K347" s="60" t="s">
        <v>56</v>
      </c>
      <c r="L347" s="60" t="s">
        <v>1279</v>
      </c>
      <c r="M347" s="60" t="s">
        <v>1279</v>
      </c>
      <c r="N347" s="60" t="s">
        <v>1244</v>
      </c>
      <c r="O347" s="60" t="s">
        <v>1244</v>
      </c>
      <c r="P347" s="45" t="s">
        <v>516</v>
      </c>
      <c r="Q347" s="45" t="s">
        <v>4</v>
      </c>
      <c r="R347" s="45" t="s">
        <v>688</v>
      </c>
      <c r="S347" s="45">
        <v>0</v>
      </c>
      <c r="T347" s="119">
        <v>944</v>
      </c>
      <c r="U347" s="62">
        <f t="shared" si="24"/>
        <v>56640</v>
      </c>
      <c r="V347" s="63"/>
      <c r="W347" s="52" t="str">
        <f t="shared" si="23"/>
        <v>&lt; 6 Months</v>
      </c>
    </row>
    <row r="348" spans="1:23">
      <c r="A348" s="65"/>
      <c r="B348" s="45" t="s">
        <v>9</v>
      </c>
      <c r="C348" s="45" t="s">
        <v>687</v>
      </c>
      <c r="D348" s="43" t="s">
        <v>799</v>
      </c>
      <c r="E348" s="43"/>
      <c r="F348" s="1"/>
      <c r="G348" s="41" t="s">
        <v>9</v>
      </c>
      <c r="H348" s="116">
        <v>5</v>
      </c>
      <c r="I348" s="41">
        <v>1</v>
      </c>
      <c r="J348" s="98">
        <f t="shared" si="20"/>
        <v>5</v>
      </c>
      <c r="K348" s="60" t="s">
        <v>56</v>
      </c>
      <c r="L348" s="60" t="s">
        <v>798</v>
      </c>
      <c r="M348" s="60" t="s">
        <v>523</v>
      </c>
      <c r="N348" s="60" t="s">
        <v>800</v>
      </c>
      <c r="O348" s="60" t="s">
        <v>799</v>
      </c>
      <c r="P348" s="45" t="s">
        <v>516</v>
      </c>
      <c r="Q348" s="45" t="s">
        <v>4</v>
      </c>
      <c r="R348" s="45" t="s">
        <v>688</v>
      </c>
      <c r="S348" s="45">
        <v>0</v>
      </c>
      <c r="T348" s="119">
        <v>825</v>
      </c>
      <c r="U348" s="62">
        <f t="shared" si="24"/>
        <v>4125</v>
      </c>
      <c r="V348" s="63"/>
      <c r="W348" s="52" t="str">
        <f t="shared" si="23"/>
        <v>&lt; 6 Months</v>
      </c>
    </row>
    <row r="349" spans="1:23">
      <c r="A349" s="65"/>
      <c r="B349" s="45" t="s">
        <v>9</v>
      </c>
      <c r="C349" s="45" t="s">
        <v>687</v>
      </c>
      <c r="D349" s="43" t="s">
        <v>1245</v>
      </c>
      <c r="E349" s="43"/>
      <c r="F349" s="1"/>
      <c r="G349" s="41" t="s">
        <v>9</v>
      </c>
      <c r="H349" s="116">
        <v>6</v>
      </c>
      <c r="I349" s="41">
        <v>1</v>
      </c>
      <c r="J349" s="98">
        <f t="shared" si="20"/>
        <v>6</v>
      </c>
      <c r="K349" s="60" t="s">
        <v>56</v>
      </c>
      <c r="L349" s="60" t="s">
        <v>517</v>
      </c>
      <c r="M349" s="60" t="s">
        <v>263</v>
      </c>
      <c r="N349" s="60" t="s">
        <v>57</v>
      </c>
      <c r="O349" s="60" t="s">
        <v>57</v>
      </c>
      <c r="P349" s="45" t="s">
        <v>516</v>
      </c>
      <c r="Q349" s="45" t="s">
        <v>4</v>
      </c>
      <c r="R349" s="45" t="s">
        <v>688</v>
      </c>
      <c r="S349" s="45">
        <v>0</v>
      </c>
      <c r="T349" s="61">
        <v>475</v>
      </c>
      <c r="U349" s="62">
        <f t="shared" si="24"/>
        <v>2850</v>
      </c>
      <c r="V349" s="63"/>
      <c r="W349" s="52" t="str">
        <f t="shared" si="23"/>
        <v>&lt; 6 Months</v>
      </c>
    </row>
    <row r="350" spans="1:23">
      <c r="A350" s="65"/>
      <c r="B350" s="45" t="s">
        <v>9</v>
      </c>
      <c r="C350" s="45" t="s">
        <v>687</v>
      </c>
      <c r="D350" s="43" t="s">
        <v>1246</v>
      </c>
      <c r="E350" s="43"/>
      <c r="F350" s="1"/>
      <c r="G350" s="41" t="s">
        <v>9</v>
      </c>
      <c r="H350" s="116">
        <v>40</v>
      </c>
      <c r="I350" s="41">
        <v>1</v>
      </c>
      <c r="J350" s="98">
        <f t="shared" si="20"/>
        <v>40</v>
      </c>
      <c r="K350" s="60" t="s">
        <v>56</v>
      </c>
      <c r="L350" s="60" t="s">
        <v>731</v>
      </c>
      <c r="M350" s="60" t="s">
        <v>732</v>
      </c>
      <c r="N350" s="60" t="s">
        <v>730</v>
      </c>
      <c r="O350" s="60" t="s">
        <v>730</v>
      </c>
      <c r="P350" s="45" t="s">
        <v>516</v>
      </c>
      <c r="Q350" s="45" t="s">
        <v>4</v>
      </c>
      <c r="R350" s="45" t="s">
        <v>688</v>
      </c>
      <c r="S350" s="45">
        <v>0</v>
      </c>
      <c r="T350" s="119">
        <v>465</v>
      </c>
      <c r="U350" s="62">
        <f t="shared" si="24"/>
        <v>18600</v>
      </c>
      <c r="V350" s="63"/>
      <c r="W350" s="52" t="str">
        <f t="shared" si="23"/>
        <v>&lt; 6 Months</v>
      </c>
    </row>
    <row r="351" spans="1:23">
      <c r="A351" s="65"/>
      <c r="B351" s="45" t="s">
        <v>9</v>
      </c>
      <c r="C351" s="45" t="s">
        <v>687</v>
      </c>
      <c r="D351" s="43" t="s">
        <v>1247</v>
      </c>
      <c r="E351" s="43"/>
      <c r="F351" s="1" t="s">
        <v>772</v>
      </c>
      <c r="G351" s="41" t="s">
        <v>9</v>
      </c>
      <c r="H351" s="116">
        <v>142</v>
      </c>
      <c r="I351" s="41">
        <v>1</v>
      </c>
      <c r="J351" s="98">
        <f t="shared" si="20"/>
        <v>142</v>
      </c>
      <c r="K351" s="60" t="s">
        <v>56</v>
      </c>
      <c r="L351" s="60" t="s">
        <v>58</v>
      </c>
      <c r="M351" s="60" t="s">
        <v>523</v>
      </c>
      <c r="N351" s="60" t="s">
        <v>59</v>
      </c>
      <c r="O351" s="60" t="s">
        <v>59</v>
      </c>
      <c r="P351" s="45" t="s">
        <v>516</v>
      </c>
      <c r="Q351" s="45" t="s">
        <v>4</v>
      </c>
      <c r="R351" s="45" t="s">
        <v>688</v>
      </c>
      <c r="S351" s="45">
        <v>0</v>
      </c>
      <c r="T351" s="119">
        <v>750</v>
      </c>
      <c r="U351" s="62">
        <f t="shared" ref="U351" si="25">T351*J351</f>
        <v>106500</v>
      </c>
      <c r="V351" s="63"/>
      <c r="W351" s="52" t="str">
        <f t="shared" ref="W351" si="26">VLOOKUP(V351,$Y$2:$Z$6,2)</f>
        <v>&lt; 6 Months</v>
      </c>
    </row>
    <row r="352" spans="1:23">
      <c r="A352" s="65"/>
      <c r="B352" s="45" t="s">
        <v>9</v>
      </c>
      <c r="C352" s="45" t="s">
        <v>687</v>
      </c>
      <c r="D352" s="43" t="s">
        <v>1248</v>
      </c>
      <c r="E352" s="43"/>
      <c r="F352" s="1"/>
      <c r="G352" s="41" t="s">
        <v>9</v>
      </c>
      <c r="H352" s="116">
        <v>75</v>
      </c>
      <c r="I352" s="41">
        <v>1</v>
      </c>
      <c r="J352" s="98">
        <f t="shared" si="20"/>
        <v>75</v>
      </c>
      <c r="K352" s="60" t="s">
        <v>56</v>
      </c>
      <c r="L352" s="60" t="s">
        <v>1276</v>
      </c>
      <c r="M352" s="60" t="s">
        <v>523</v>
      </c>
      <c r="N352" s="60" t="s">
        <v>1248</v>
      </c>
      <c r="O352" s="60" t="s">
        <v>1248</v>
      </c>
      <c r="P352" s="45" t="s">
        <v>516</v>
      </c>
      <c r="Q352" s="45" t="s">
        <v>4</v>
      </c>
      <c r="R352" s="45" t="s">
        <v>688</v>
      </c>
      <c r="S352" s="45">
        <v>0</v>
      </c>
      <c r="T352" s="119">
        <v>726</v>
      </c>
      <c r="U352" s="62">
        <f t="shared" si="24"/>
        <v>54450</v>
      </c>
      <c r="V352" s="63"/>
      <c r="W352" s="52" t="str">
        <f t="shared" si="23"/>
        <v>&lt; 6 Months</v>
      </c>
    </row>
    <row r="353" spans="1:23">
      <c r="A353" s="65"/>
      <c r="B353" s="45" t="s">
        <v>9</v>
      </c>
      <c r="C353" s="45" t="s">
        <v>687</v>
      </c>
      <c r="D353" s="43" t="s">
        <v>1249</v>
      </c>
      <c r="E353" s="43"/>
      <c r="F353" s="1"/>
      <c r="G353" s="41" t="s">
        <v>9</v>
      </c>
      <c r="H353" s="116">
        <v>30</v>
      </c>
      <c r="I353" s="41">
        <v>1</v>
      </c>
      <c r="J353" s="98">
        <f t="shared" si="20"/>
        <v>30</v>
      </c>
      <c r="K353" s="60" t="s">
        <v>56</v>
      </c>
      <c r="L353" s="60" t="s">
        <v>1285</v>
      </c>
      <c r="M353" s="60" t="s">
        <v>523</v>
      </c>
      <c r="N353" s="60" t="s">
        <v>1249</v>
      </c>
      <c r="O353" s="60" t="s">
        <v>1249</v>
      </c>
      <c r="P353" s="45" t="s">
        <v>516</v>
      </c>
      <c r="Q353" s="45" t="s">
        <v>4</v>
      </c>
      <c r="R353" s="45" t="s">
        <v>688</v>
      </c>
      <c r="S353" s="45">
        <v>0</v>
      </c>
      <c r="T353" s="119">
        <v>726</v>
      </c>
      <c r="U353" s="62">
        <f t="shared" si="24"/>
        <v>21780</v>
      </c>
      <c r="V353" s="63"/>
      <c r="W353" s="52" t="str">
        <f t="shared" si="23"/>
        <v>&lt; 6 Months</v>
      </c>
    </row>
    <row r="354" spans="1:23">
      <c r="A354" s="65"/>
      <c r="B354" s="45" t="s">
        <v>9</v>
      </c>
      <c r="C354" s="45" t="s">
        <v>687</v>
      </c>
      <c r="D354" s="43" t="s">
        <v>830</v>
      </c>
      <c r="E354" s="43"/>
      <c r="F354" s="1"/>
      <c r="G354" s="41" t="s">
        <v>9</v>
      </c>
      <c r="H354" s="116">
        <v>80</v>
      </c>
      <c r="I354" s="41">
        <v>1</v>
      </c>
      <c r="J354" s="98">
        <f t="shared" si="20"/>
        <v>80</v>
      </c>
      <c r="K354" s="60" t="s">
        <v>124</v>
      </c>
      <c r="L354" s="60" t="s">
        <v>692</v>
      </c>
      <c r="M354" s="60">
        <v>4</v>
      </c>
      <c r="N354" s="60" t="s">
        <v>830</v>
      </c>
      <c r="O354" s="60" t="s">
        <v>830</v>
      </c>
      <c r="P354" s="45" t="s">
        <v>516</v>
      </c>
      <c r="Q354" s="45" t="s">
        <v>4</v>
      </c>
      <c r="R354" s="45" t="s">
        <v>688</v>
      </c>
      <c r="S354" s="45">
        <v>0</v>
      </c>
      <c r="T354" s="119">
        <v>1235</v>
      </c>
      <c r="U354" s="62">
        <f t="shared" si="24"/>
        <v>98800</v>
      </c>
      <c r="V354" s="63"/>
      <c r="W354" s="52" t="str">
        <f t="shared" si="23"/>
        <v>&lt; 6 Months</v>
      </c>
    </row>
    <row r="355" spans="1:23">
      <c r="A355" s="65"/>
      <c r="B355" s="45" t="s">
        <v>9</v>
      </c>
      <c r="C355" s="45" t="s">
        <v>687</v>
      </c>
      <c r="D355" s="43" t="s">
        <v>1250</v>
      </c>
      <c r="E355" s="43"/>
      <c r="F355" s="1"/>
      <c r="G355" s="41" t="s">
        <v>9</v>
      </c>
      <c r="H355" s="116">
        <v>25</v>
      </c>
      <c r="I355" s="41">
        <v>1</v>
      </c>
      <c r="J355" s="98">
        <f t="shared" si="20"/>
        <v>25</v>
      </c>
      <c r="K355" s="60" t="s">
        <v>1280</v>
      </c>
      <c r="L355" s="60"/>
      <c r="M355" s="60"/>
      <c r="N355" s="60"/>
      <c r="O355" s="60"/>
      <c r="P355" s="45" t="s">
        <v>516</v>
      </c>
      <c r="Q355" s="45" t="s">
        <v>4</v>
      </c>
      <c r="R355" s="45" t="s">
        <v>688</v>
      </c>
      <c r="S355" s="45">
        <v>0</v>
      </c>
      <c r="T355" s="119"/>
      <c r="U355" s="62">
        <f t="shared" si="24"/>
        <v>0</v>
      </c>
      <c r="V355" s="63"/>
      <c r="W355" s="52" t="str">
        <f t="shared" si="23"/>
        <v>&lt; 6 Months</v>
      </c>
    </row>
    <row r="356" spans="1:23">
      <c r="A356" s="65"/>
      <c r="B356" s="45" t="s">
        <v>9</v>
      </c>
      <c r="C356" s="45" t="s">
        <v>687</v>
      </c>
      <c r="D356" s="43" t="s">
        <v>1251</v>
      </c>
      <c r="E356" s="43"/>
      <c r="F356" s="1"/>
      <c r="G356" s="41" t="s">
        <v>9</v>
      </c>
      <c r="H356" s="116">
        <v>2</v>
      </c>
      <c r="I356" s="41">
        <v>1</v>
      </c>
      <c r="J356" s="98">
        <f t="shared" si="20"/>
        <v>2</v>
      </c>
      <c r="K356" s="60" t="s">
        <v>1280</v>
      </c>
      <c r="L356" s="60"/>
      <c r="M356" s="60"/>
      <c r="N356" s="60"/>
      <c r="O356" s="60"/>
      <c r="P356" s="45" t="s">
        <v>516</v>
      </c>
      <c r="Q356" s="45" t="s">
        <v>4</v>
      </c>
      <c r="R356" s="45" t="s">
        <v>688</v>
      </c>
      <c r="S356" s="45">
        <v>0</v>
      </c>
      <c r="T356" s="119"/>
      <c r="U356" s="62">
        <f t="shared" si="24"/>
        <v>0</v>
      </c>
      <c r="V356" s="63"/>
      <c r="W356" s="52" t="str">
        <f t="shared" si="23"/>
        <v>&lt; 6 Months</v>
      </c>
    </row>
    <row r="357" spans="1:23">
      <c r="A357" s="65"/>
      <c r="B357" s="45" t="s">
        <v>9</v>
      </c>
      <c r="C357" s="45" t="s">
        <v>687</v>
      </c>
      <c r="D357" s="43" t="s">
        <v>1252</v>
      </c>
      <c r="E357" s="43"/>
      <c r="F357" s="1"/>
      <c r="G357" s="41" t="s">
        <v>9</v>
      </c>
      <c r="H357" s="116">
        <v>1</v>
      </c>
      <c r="I357" s="41">
        <v>1</v>
      </c>
      <c r="J357" s="98">
        <f t="shared" si="20"/>
        <v>1</v>
      </c>
      <c r="K357" s="60" t="s">
        <v>1280</v>
      </c>
      <c r="L357" s="60"/>
      <c r="M357" s="60"/>
      <c r="N357" s="60"/>
      <c r="O357" s="60"/>
      <c r="P357" s="45" t="s">
        <v>516</v>
      </c>
      <c r="Q357" s="45" t="s">
        <v>4</v>
      </c>
      <c r="R357" s="45" t="s">
        <v>688</v>
      </c>
      <c r="S357" s="45">
        <v>0</v>
      </c>
      <c r="T357" s="119"/>
      <c r="U357" s="62">
        <f t="shared" si="24"/>
        <v>0</v>
      </c>
      <c r="V357" s="63"/>
      <c r="W357" s="52" t="str">
        <f t="shared" si="23"/>
        <v>&lt; 6 Months</v>
      </c>
    </row>
    <row r="358" spans="1:23">
      <c r="A358" s="65"/>
      <c r="B358" s="45" t="s">
        <v>9</v>
      </c>
      <c r="C358" s="45" t="s">
        <v>687</v>
      </c>
      <c r="D358" s="43" t="s">
        <v>1253</v>
      </c>
      <c r="E358" s="43"/>
      <c r="F358" s="1"/>
      <c r="G358" s="41" t="s">
        <v>9</v>
      </c>
      <c r="H358" s="116">
        <v>460</v>
      </c>
      <c r="I358" s="41">
        <v>1</v>
      </c>
      <c r="J358" s="98">
        <f t="shared" si="20"/>
        <v>460</v>
      </c>
      <c r="K358" s="60" t="s">
        <v>101</v>
      </c>
      <c r="L358" s="60" t="s">
        <v>693</v>
      </c>
      <c r="M358" s="60" t="s">
        <v>694</v>
      </c>
      <c r="N358" s="60" t="s">
        <v>102</v>
      </c>
      <c r="O358" s="60" t="s">
        <v>102</v>
      </c>
      <c r="P358" s="45" t="s">
        <v>516</v>
      </c>
      <c r="Q358" s="45" t="s">
        <v>4</v>
      </c>
      <c r="R358" s="45" t="s">
        <v>688</v>
      </c>
      <c r="S358" s="45">
        <v>0</v>
      </c>
      <c r="T358" s="119">
        <v>270</v>
      </c>
      <c r="U358" s="62">
        <f t="shared" si="24"/>
        <v>124200</v>
      </c>
      <c r="V358" s="63"/>
      <c r="W358" s="52" t="str">
        <f t="shared" si="23"/>
        <v>&lt; 6 Months</v>
      </c>
    </row>
    <row r="359" spans="1:23">
      <c r="A359" s="101"/>
      <c r="B359" s="45" t="s">
        <v>9</v>
      </c>
      <c r="C359" s="45" t="s">
        <v>687</v>
      </c>
      <c r="D359" s="43" t="s">
        <v>103</v>
      </c>
      <c r="E359" s="43"/>
      <c r="F359" s="1"/>
      <c r="G359" s="41" t="s">
        <v>9</v>
      </c>
      <c r="H359" s="116">
        <v>25</v>
      </c>
      <c r="I359" s="41">
        <v>1</v>
      </c>
      <c r="J359" s="98">
        <f t="shared" si="20"/>
        <v>25</v>
      </c>
      <c r="K359" s="60" t="s">
        <v>101</v>
      </c>
      <c r="L359" s="60" t="s">
        <v>695</v>
      </c>
      <c r="M359" s="60" t="s">
        <v>696</v>
      </c>
      <c r="N359" s="60" t="s">
        <v>103</v>
      </c>
      <c r="O359" s="60" t="s">
        <v>103</v>
      </c>
      <c r="P359" s="45" t="s">
        <v>516</v>
      </c>
      <c r="Q359" s="45" t="s">
        <v>4</v>
      </c>
      <c r="R359" s="45" t="s">
        <v>688</v>
      </c>
      <c r="S359" s="45">
        <v>0</v>
      </c>
      <c r="T359" s="119">
        <v>250</v>
      </c>
      <c r="U359" s="62">
        <f t="shared" si="24"/>
        <v>6250</v>
      </c>
      <c r="V359" s="63"/>
      <c r="W359" s="52" t="str">
        <f t="shared" si="23"/>
        <v>&lt; 6 Months</v>
      </c>
    </row>
    <row r="360" spans="1:23">
      <c r="A360" s="65"/>
      <c r="B360" s="45" t="s">
        <v>9</v>
      </c>
      <c r="C360" s="45" t="s">
        <v>687</v>
      </c>
      <c r="D360" s="43" t="s">
        <v>698</v>
      </c>
      <c r="E360" s="43"/>
      <c r="F360" s="1"/>
      <c r="G360" s="41" t="s">
        <v>9</v>
      </c>
      <c r="H360" s="116">
        <v>1375</v>
      </c>
      <c r="I360" s="41">
        <v>1</v>
      </c>
      <c r="J360" s="98">
        <f t="shared" si="20"/>
        <v>1375</v>
      </c>
      <c r="K360" s="60" t="s">
        <v>75</v>
      </c>
      <c r="L360" s="60" t="s">
        <v>864</v>
      </c>
      <c r="M360" s="60" t="s">
        <v>697</v>
      </c>
      <c r="N360" s="60" t="s">
        <v>77</v>
      </c>
      <c r="O360" s="60" t="s">
        <v>698</v>
      </c>
      <c r="P360" s="45" t="s">
        <v>516</v>
      </c>
      <c r="Q360" s="45" t="s">
        <v>4</v>
      </c>
      <c r="R360" s="45" t="s">
        <v>688</v>
      </c>
      <c r="S360" s="45">
        <v>0</v>
      </c>
      <c r="T360" s="119">
        <v>270</v>
      </c>
      <c r="U360" s="62">
        <f t="shared" si="24"/>
        <v>371250</v>
      </c>
      <c r="V360" s="63"/>
      <c r="W360" s="52" t="str">
        <f t="shared" si="23"/>
        <v>&lt; 6 Months</v>
      </c>
    </row>
    <row r="361" spans="1:23">
      <c r="A361" s="65"/>
      <c r="B361" s="45" t="s">
        <v>9</v>
      </c>
      <c r="C361" s="45" t="s">
        <v>687</v>
      </c>
      <c r="D361" s="43" t="s">
        <v>609</v>
      </c>
      <c r="E361" s="43"/>
      <c r="F361" s="1"/>
      <c r="G361" s="41" t="s">
        <v>9</v>
      </c>
      <c r="H361" s="116">
        <v>464.94</v>
      </c>
      <c r="I361" s="41">
        <v>1</v>
      </c>
      <c r="J361" s="98">
        <f t="shared" si="20"/>
        <v>464.94</v>
      </c>
      <c r="K361" s="60" t="s">
        <v>83</v>
      </c>
      <c r="L361" s="60" t="s">
        <v>1281</v>
      </c>
      <c r="M361" s="60" t="s">
        <v>569</v>
      </c>
      <c r="N361" s="60" t="s">
        <v>1282</v>
      </c>
      <c r="O361" s="60" t="s">
        <v>616</v>
      </c>
      <c r="P361" s="45" t="s">
        <v>516</v>
      </c>
      <c r="Q361" s="45" t="s">
        <v>4</v>
      </c>
      <c r="R361" s="45" t="s">
        <v>688</v>
      </c>
      <c r="S361" s="45">
        <v>0</v>
      </c>
      <c r="T361" s="119">
        <v>857</v>
      </c>
      <c r="U361" s="62">
        <f t="shared" si="24"/>
        <v>398453.58</v>
      </c>
      <c r="V361" s="63"/>
      <c r="W361" s="52" t="str">
        <f t="shared" si="23"/>
        <v>&lt; 6 Months</v>
      </c>
    </row>
    <row r="362" spans="1:23">
      <c r="A362" s="65"/>
      <c r="B362" s="45" t="s">
        <v>9</v>
      </c>
      <c r="C362" s="45" t="s">
        <v>687</v>
      </c>
      <c r="D362" s="43" t="s">
        <v>87</v>
      </c>
      <c r="E362" s="43"/>
      <c r="F362" s="1"/>
      <c r="G362" s="41" t="s">
        <v>9</v>
      </c>
      <c r="H362" s="116">
        <v>290</v>
      </c>
      <c r="I362" s="41">
        <v>1</v>
      </c>
      <c r="J362" s="98">
        <f t="shared" si="20"/>
        <v>290</v>
      </c>
      <c r="K362" s="60" t="s">
        <v>83</v>
      </c>
      <c r="L362" s="60" t="s">
        <v>849</v>
      </c>
      <c r="M362" s="60" t="s">
        <v>531</v>
      </c>
      <c r="N362" s="60" t="s">
        <v>87</v>
      </c>
      <c r="O362" s="60" t="s">
        <v>87</v>
      </c>
      <c r="P362" s="45" t="s">
        <v>516</v>
      </c>
      <c r="Q362" s="45" t="s">
        <v>4</v>
      </c>
      <c r="R362" s="45" t="s">
        <v>688</v>
      </c>
      <c r="S362" s="45">
        <v>0</v>
      </c>
      <c r="T362" s="119">
        <v>1500</v>
      </c>
      <c r="U362" s="62">
        <f t="shared" si="24"/>
        <v>435000</v>
      </c>
      <c r="V362" s="63"/>
      <c r="W362" s="52" t="str">
        <f t="shared" si="23"/>
        <v>&lt; 6 Months</v>
      </c>
    </row>
    <row r="363" spans="1:23">
      <c r="A363" s="65"/>
      <c r="B363" s="45" t="s">
        <v>9</v>
      </c>
      <c r="C363" s="45" t="s">
        <v>687</v>
      </c>
      <c r="D363" s="43" t="s">
        <v>1254</v>
      </c>
      <c r="E363" s="43"/>
      <c r="F363" s="1"/>
      <c r="G363" s="41" t="s">
        <v>9</v>
      </c>
      <c r="H363" s="116">
        <v>50</v>
      </c>
      <c r="I363" s="41">
        <v>1</v>
      </c>
      <c r="J363" s="98">
        <f t="shared" si="20"/>
        <v>50</v>
      </c>
      <c r="K363" s="60" t="s">
        <v>83</v>
      </c>
      <c r="L363" s="60" t="s">
        <v>852</v>
      </c>
      <c r="M363" s="60" t="s">
        <v>699</v>
      </c>
      <c r="N363" s="60" t="s">
        <v>1254</v>
      </c>
      <c r="O363" s="60" t="s">
        <v>1254</v>
      </c>
      <c r="P363" s="45" t="s">
        <v>516</v>
      </c>
      <c r="Q363" s="45" t="s">
        <v>4</v>
      </c>
      <c r="R363" s="45" t="s">
        <v>688</v>
      </c>
      <c r="S363" s="45">
        <v>0</v>
      </c>
      <c r="T363" s="119">
        <v>920</v>
      </c>
      <c r="U363" s="62">
        <f t="shared" si="24"/>
        <v>46000</v>
      </c>
      <c r="V363" s="63"/>
      <c r="W363" s="52" t="str">
        <f t="shared" si="23"/>
        <v>&lt; 6 Months</v>
      </c>
    </row>
    <row r="364" spans="1:23">
      <c r="A364" s="65"/>
      <c r="B364" s="45" t="s">
        <v>9</v>
      </c>
      <c r="C364" s="45" t="s">
        <v>687</v>
      </c>
      <c r="D364" s="43" t="s">
        <v>720</v>
      </c>
      <c r="E364" s="43"/>
      <c r="F364" s="1"/>
      <c r="G364" s="41" t="s">
        <v>9</v>
      </c>
      <c r="H364" s="116">
        <v>18.100000000000001</v>
      </c>
      <c r="I364" s="41">
        <v>1</v>
      </c>
      <c r="J364" s="98">
        <f t="shared" si="20"/>
        <v>18.100000000000001</v>
      </c>
      <c r="K364" s="60" t="s">
        <v>720</v>
      </c>
      <c r="L364" s="60" t="s">
        <v>720</v>
      </c>
      <c r="M364" s="60" t="s">
        <v>531</v>
      </c>
      <c r="N364" s="60" t="s">
        <v>720</v>
      </c>
      <c r="O364" s="60" t="s">
        <v>720</v>
      </c>
      <c r="P364" s="45" t="s">
        <v>516</v>
      </c>
      <c r="Q364" s="45" t="s">
        <v>4</v>
      </c>
      <c r="R364" s="45" t="s">
        <v>688</v>
      </c>
      <c r="S364" s="45">
        <v>0</v>
      </c>
      <c r="T364" s="119">
        <v>2800</v>
      </c>
      <c r="U364" s="62">
        <f t="shared" si="24"/>
        <v>50680.000000000007</v>
      </c>
      <c r="V364" s="63"/>
      <c r="W364" s="52" t="str">
        <f t="shared" si="23"/>
        <v>&lt; 6 Months</v>
      </c>
    </row>
    <row r="365" spans="1:23">
      <c r="A365" s="65"/>
      <c r="B365" s="45" t="s">
        <v>9</v>
      </c>
      <c r="C365" s="45" t="s">
        <v>687</v>
      </c>
      <c r="D365" s="43" t="s">
        <v>541</v>
      </c>
      <c r="E365" s="43"/>
      <c r="F365" s="1"/>
      <c r="G365" s="41" t="s">
        <v>9</v>
      </c>
      <c r="H365" s="116">
        <v>58</v>
      </c>
      <c r="I365" s="41">
        <v>1</v>
      </c>
      <c r="J365" s="98">
        <f t="shared" si="20"/>
        <v>58</v>
      </c>
      <c r="K365" s="60" t="s">
        <v>61</v>
      </c>
      <c r="L365" s="60" t="s">
        <v>697</v>
      </c>
      <c r="M365" s="60" t="s">
        <v>531</v>
      </c>
      <c r="N365" s="60" t="s">
        <v>62</v>
      </c>
      <c r="O365" s="60" t="s">
        <v>541</v>
      </c>
      <c r="P365" s="45" t="s">
        <v>516</v>
      </c>
      <c r="Q365" s="45" t="s">
        <v>4</v>
      </c>
      <c r="R365" s="45" t="s">
        <v>688</v>
      </c>
      <c r="S365" s="45">
        <v>0</v>
      </c>
      <c r="T365" s="119">
        <v>1280</v>
      </c>
      <c r="U365" s="62">
        <f t="shared" si="24"/>
        <v>74240</v>
      </c>
      <c r="V365" s="63"/>
      <c r="W365" s="52" t="str">
        <f t="shared" si="23"/>
        <v>&lt; 6 Months</v>
      </c>
    </row>
    <row r="366" spans="1:23">
      <c r="A366" s="65"/>
      <c r="B366" s="45" t="s">
        <v>9</v>
      </c>
      <c r="C366" s="45" t="s">
        <v>687</v>
      </c>
      <c r="D366" s="43" t="s">
        <v>637</v>
      </c>
      <c r="E366" s="43"/>
      <c r="F366" s="1"/>
      <c r="G366" s="41" t="s">
        <v>9</v>
      </c>
      <c r="H366" s="116">
        <v>49.66</v>
      </c>
      <c r="I366" s="41">
        <v>1</v>
      </c>
      <c r="J366" s="98">
        <f t="shared" si="20"/>
        <v>49.66</v>
      </c>
      <c r="K366" s="60" t="s">
        <v>867</v>
      </c>
      <c r="L366" s="60" t="s">
        <v>888</v>
      </c>
      <c r="M366" s="60" t="s">
        <v>847</v>
      </c>
      <c r="N366" s="60" t="s">
        <v>70</v>
      </c>
      <c r="O366" s="60" t="s">
        <v>637</v>
      </c>
      <c r="P366" s="45" t="s">
        <v>516</v>
      </c>
      <c r="Q366" s="45" t="s">
        <v>4</v>
      </c>
      <c r="R366" s="45" t="s">
        <v>688</v>
      </c>
      <c r="S366" s="45">
        <v>0</v>
      </c>
      <c r="T366" s="119">
        <v>1290</v>
      </c>
      <c r="U366" s="62">
        <f t="shared" si="24"/>
        <v>64061.399999999994</v>
      </c>
      <c r="V366" s="63"/>
      <c r="W366" s="52" t="str">
        <f t="shared" si="23"/>
        <v>&lt; 6 Months</v>
      </c>
    </row>
    <row r="367" spans="1:23">
      <c r="A367" s="65"/>
      <c r="B367" s="45" t="s">
        <v>9</v>
      </c>
      <c r="C367" s="45" t="s">
        <v>687</v>
      </c>
      <c r="D367" s="43" t="s">
        <v>71</v>
      </c>
      <c r="E367" s="43"/>
      <c r="F367" s="1"/>
      <c r="G367" s="41" t="s">
        <v>9</v>
      </c>
      <c r="H367" s="116">
        <v>11</v>
      </c>
      <c r="I367" s="41">
        <v>1</v>
      </c>
      <c r="J367" s="98">
        <f t="shared" si="20"/>
        <v>11</v>
      </c>
      <c r="K367" s="60" t="s">
        <v>867</v>
      </c>
      <c r="L367" s="60" t="s">
        <v>889</v>
      </c>
      <c r="M367" s="60" t="s">
        <v>845</v>
      </c>
      <c r="N367" s="60" t="s">
        <v>71</v>
      </c>
      <c r="O367" s="60" t="s">
        <v>71</v>
      </c>
      <c r="P367" s="45" t="s">
        <v>516</v>
      </c>
      <c r="Q367" s="45" t="s">
        <v>4</v>
      </c>
      <c r="R367" s="45" t="s">
        <v>688</v>
      </c>
      <c r="S367" s="45">
        <v>0</v>
      </c>
      <c r="T367" s="119">
        <v>900</v>
      </c>
      <c r="U367" s="62">
        <f t="shared" si="24"/>
        <v>9900</v>
      </c>
      <c r="V367" s="63"/>
      <c r="W367" s="52" t="str">
        <f t="shared" si="23"/>
        <v>&lt; 6 Months</v>
      </c>
    </row>
    <row r="368" spans="1:23">
      <c r="A368" s="65"/>
      <c r="B368" s="45" t="s">
        <v>9</v>
      </c>
      <c r="C368" s="45" t="s">
        <v>687</v>
      </c>
      <c r="D368" s="43" t="s">
        <v>80</v>
      </c>
      <c r="E368" s="43"/>
      <c r="F368" s="1"/>
      <c r="G368" s="41" t="s">
        <v>9</v>
      </c>
      <c r="H368" s="116">
        <v>179.79999999999998</v>
      </c>
      <c r="I368" s="41">
        <v>1</v>
      </c>
      <c r="J368" s="98">
        <f t="shared" si="20"/>
        <v>179.79999999999998</v>
      </c>
      <c r="K368" s="60" t="s">
        <v>79</v>
      </c>
      <c r="L368" s="60" t="s">
        <v>848</v>
      </c>
      <c r="M368" s="60" t="s">
        <v>80</v>
      </c>
      <c r="N368" s="60" t="s">
        <v>80</v>
      </c>
      <c r="O368" s="60" t="s">
        <v>80</v>
      </c>
      <c r="P368" s="45" t="s">
        <v>516</v>
      </c>
      <c r="Q368" s="45" t="s">
        <v>4</v>
      </c>
      <c r="R368" s="45" t="s">
        <v>688</v>
      </c>
      <c r="S368" s="45">
        <v>0</v>
      </c>
      <c r="T368" s="119">
        <v>1440</v>
      </c>
      <c r="U368" s="62">
        <f t="shared" si="24"/>
        <v>258911.99999999997</v>
      </c>
      <c r="V368" s="63"/>
      <c r="W368" s="52" t="str">
        <f t="shared" si="23"/>
        <v>&lt; 6 Months</v>
      </c>
    </row>
    <row r="369" spans="1:23">
      <c r="A369" s="65"/>
      <c r="B369" s="45" t="s">
        <v>9</v>
      </c>
      <c r="C369" s="45" t="s">
        <v>687</v>
      </c>
      <c r="D369" s="43" t="s">
        <v>756</v>
      </c>
      <c r="E369" s="43"/>
      <c r="F369" s="1"/>
      <c r="G369" s="41" t="s">
        <v>9</v>
      </c>
      <c r="H369" s="116">
        <v>80</v>
      </c>
      <c r="I369" s="41">
        <v>1</v>
      </c>
      <c r="J369" s="98">
        <f t="shared" si="20"/>
        <v>80</v>
      </c>
      <c r="K369" s="60" t="s">
        <v>79</v>
      </c>
      <c r="L369" s="60" t="s">
        <v>851</v>
      </c>
      <c r="M369" s="60" t="s">
        <v>569</v>
      </c>
      <c r="N369" s="60" t="s">
        <v>755</v>
      </c>
      <c r="O369" s="60" t="s">
        <v>756</v>
      </c>
      <c r="P369" s="45" t="s">
        <v>516</v>
      </c>
      <c r="Q369" s="45" t="s">
        <v>4</v>
      </c>
      <c r="R369" s="45" t="s">
        <v>688</v>
      </c>
      <c r="S369" s="45">
        <v>0</v>
      </c>
      <c r="T369" s="119">
        <v>464.5</v>
      </c>
      <c r="U369" s="62">
        <f t="shared" si="24"/>
        <v>37160</v>
      </c>
      <c r="V369" s="63"/>
      <c r="W369" s="52" t="str">
        <f t="shared" si="23"/>
        <v>&lt; 6 Months</v>
      </c>
    </row>
    <row r="370" spans="1:23">
      <c r="A370" s="65"/>
      <c r="B370" s="45" t="s">
        <v>9</v>
      </c>
      <c r="C370" s="45" t="s">
        <v>687</v>
      </c>
      <c r="D370" s="43" t="s">
        <v>1255</v>
      </c>
      <c r="E370" s="43"/>
      <c r="F370" s="1"/>
      <c r="G370" s="41" t="s">
        <v>9</v>
      </c>
      <c r="H370" s="116">
        <v>17.200000000000003</v>
      </c>
      <c r="I370" s="41">
        <v>1</v>
      </c>
      <c r="J370" s="98">
        <f t="shared" si="20"/>
        <v>17.200000000000003</v>
      </c>
      <c r="K370" s="60" t="e">
        <v>#N/A</v>
      </c>
      <c r="L370" s="60"/>
      <c r="M370" s="60"/>
      <c r="N370" s="60"/>
      <c r="O370" s="60"/>
      <c r="P370" s="45" t="s">
        <v>516</v>
      </c>
      <c r="Q370" s="45" t="s">
        <v>4</v>
      </c>
      <c r="R370" s="45" t="s">
        <v>688</v>
      </c>
      <c r="S370" s="45">
        <v>0</v>
      </c>
      <c r="T370" s="119"/>
      <c r="U370" s="62">
        <f t="shared" si="24"/>
        <v>0</v>
      </c>
      <c r="V370" s="63"/>
      <c r="W370" s="52" t="str">
        <f t="shared" si="23"/>
        <v>&lt; 6 Months</v>
      </c>
    </row>
    <row r="371" spans="1:23">
      <c r="A371" s="65"/>
      <c r="B371" s="45" t="s">
        <v>9</v>
      </c>
      <c r="C371" s="45" t="s">
        <v>687</v>
      </c>
      <c r="D371" s="43" t="s">
        <v>90</v>
      </c>
      <c r="E371" s="43"/>
      <c r="F371" s="1"/>
      <c r="G371" s="41" t="s">
        <v>9</v>
      </c>
      <c r="H371" s="116">
        <v>5726.6999999999989</v>
      </c>
      <c r="I371" s="41">
        <v>1</v>
      </c>
      <c r="J371" s="98">
        <f t="shared" si="20"/>
        <v>5726.6999999999989</v>
      </c>
      <c r="K371" s="60" t="s">
        <v>89</v>
      </c>
      <c r="L371" s="60" t="s">
        <v>700</v>
      </c>
      <c r="M371" s="60" t="s">
        <v>89</v>
      </c>
      <c r="N371" s="60" t="s">
        <v>825</v>
      </c>
      <c r="O371" s="60" t="s">
        <v>90</v>
      </c>
      <c r="P371" s="45" t="s">
        <v>516</v>
      </c>
      <c r="Q371" s="45" t="s">
        <v>4</v>
      </c>
      <c r="R371" s="45" t="s">
        <v>688</v>
      </c>
      <c r="S371" s="45">
        <v>0</v>
      </c>
      <c r="T371" s="119">
        <v>470</v>
      </c>
      <c r="U371" s="62">
        <f t="shared" si="24"/>
        <v>2691548.9999999995</v>
      </c>
      <c r="V371" s="63"/>
      <c r="W371" s="52" t="str">
        <f t="shared" si="23"/>
        <v>&lt; 6 Months</v>
      </c>
    </row>
    <row r="372" spans="1:23">
      <c r="A372" s="65"/>
      <c r="B372" s="45" t="s">
        <v>9</v>
      </c>
      <c r="C372" s="45" t="s">
        <v>687</v>
      </c>
      <c r="D372" s="43" t="s">
        <v>96</v>
      </c>
      <c r="E372" s="43"/>
      <c r="F372" s="1"/>
      <c r="G372" s="41" t="s">
        <v>9</v>
      </c>
      <c r="H372" s="116">
        <v>362</v>
      </c>
      <c r="I372" s="41">
        <v>1</v>
      </c>
      <c r="J372" s="98">
        <f t="shared" si="20"/>
        <v>362</v>
      </c>
      <c r="K372" s="60" t="s">
        <v>92</v>
      </c>
      <c r="L372" s="60" t="s">
        <v>702</v>
      </c>
      <c r="M372" s="60" t="s">
        <v>703</v>
      </c>
      <c r="N372" s="60" t="s">
        <v>96</v>
      </c>
      <c r="O372" s="60" t="s">
        <v>96</v>
      </c>
      <c r="P372" s="45" t="s">
        <v>516</v>
      </c>
      <c r="Q372" s="45" t="s">
        <v>4</v>
      </c>
      <c r="R372" s="45" t="s">
        <v>688</v>
      </c>
      <c r="S372" s="45">
        <v>0</v>
      </c>
      <c r="T372" s="119">
        <v>725</v>
      </c>
      <c r="U372" s="62">
        <f t="shared" si="24"/>
        <v>262450</v>
      </c>
      <c r="V372" s="63"/>
      <c r="W372" s="52" t="str">
        <f t="shared" si="23"/>
        <v>&lt; 6 Months</v>
      </c>
    </row>
    <row r="373" spans="1:23">
      <c r="A373" s="101"/>
      <c r="B373" s="45" t="s">
        <v>9</v>
      </c>
      <c r="C373" s="45" t="s">
        <v>687</v>
      </c>
      <c r="D373" s="99" t="s">
        <v>95</v>
      </c>
      <c r="E373" s="43"/>
      <c r="F373" s="1"/>
      <c r="G373" s="41" t="s">
        <v>9</v>
      </c>
      <c r="H373" s="116">
        <v>3525</v>
      </c>
      <c r="I373" s="41">
        <v>1</v>
      </c>
      <c r="J373" s="98">
        <f t="shared" si="20"/>
        <v>3525</v>
      </c>
      <c r="K373" s="60" t="s">
        <v>92</v>
      </c>
      <c r="L373" s="60" t="s">
        <v>701</v>
      </c>
      <c r="M373" s="60" t="s">
        <v>298</v>
      </c>
      <c r="N373" s="60" t="s">
        <v>95</v>
      </c>
      <c r="O373" s="60" t="s">
        <v>95</v>
      </c>
      <c r="P373" s="45" t="s">
        <v>516</v>
      </c>
      <c r="Q373" s="45" t="s">
        <v>4</v>
      </c>
      <c r="R373" s="45" t="s">
        <v>688</v>
      </c>
      <c r="S373" s="45">
        <v>0</v>
      </c>
      <c r="T373" s="119">
        <v>370</v>
      </c>
      <c r="U373" s="62">
        <f t="shared" si="24"/>
        <v>1304250</v>
      </c>
      <c r="V373" s="63"/>
      <c r="W373" s="52" t="str">
        <f t="shared" si="23"/>
        <v>&lt; 6 Months</v>
      </c>
    </row>
    <row r="374" spans="1:23">
      <c r="A374" s="65"/>
      <c r="B374" s="45" t="s">
        <v>9</v>
      </c>
      <c r="C374" s="45" t="s">
        <v>687</v>
      </c>
      <c r="D374" s="43" t="s">
        <v>93</v>
      </c>
      <c r="E374" s="43"/>
      <c r="F374" s="1"/>
      <c r="G374" s="41" t="s">
        <v>9</v>
      </c>
      <c r="H374" s="116">
        <v>186.3</v>
      </c>
      <c r="I374" s="41">
        <v>1</v>
      </c>
      <c r="J374" s="98">
        <f t="shared" si="20"/>
        <v>186.3</v>
      </c>
      <c r="K374" s="60" t="s">
        <v>92</v>
      </c>
      <c r="L374" s="60" t="s">
        <v>537</v>
      </c>
      <c r="M374" s="60" t="s">
        <v>844</v>
      </c>
      <c r="N374" s="60" t="s">
        <v>93</v>
      </c>
      <c r="O374" s="60" t="s">
        <v>93</v>
      </c>
      <c r="P374" s="45" t="s">
        <v>516</v>
      </c>
      <c r="Q374" s="45" t="s">
        <v>4</v>
      </c>
      <c r="R374" s="45" t="s">
        <v>688</v>
      </c>
      <c r="S374" s="45">
        <v>0</v>
      </c>
      <c r="T374" s="119">
        <v>400</v>
      </c>
      <c r="U374" s="62">
        <f t="shared" si="24"/>
        <v>74520</v>
      </c>
      <c r="V374" s="63"/>
      <c r="W374" s="52" t="str">
        <f t="shared" si="23"/>
        <v>&lt; 6 Months</v>
      </c>
    </row>
    <row r="375" spans="1:23">
      <c r="A375" s="65"/>
      <c r="B375" s="45" t="s">
        <v>9</v>
      </c>
      <c r="C375" s="45" t="s">
        <v>687</v>
      </c>
      <c r="D375" s="43" t="s">
        <v>105</v>
      </c>
      <c r="E375" s="43"/>
      <c r="F375" s="1"/>
      <c r="G375" s="41" t="s">
        <v>9</v>
      </c>
      <c r="H375" s="116">
        <v>250</v>
      </c>
      <c r="I375" s="41">
        <v>1</v>
      </c>
      <c r="J375" s="98">
        <f t="shared" si="20"/>
        <v>250</v>
      </c>
      <c r="K375" s="60" t="s">
        <v>101</v>
      </c>
      <c r="L375" s="60" t="s">
        <v>704</v>
      </c>
      <c r="M375" s="60" t="s">
        <v>705</v>
      </c>
      <c r="N375" s="60" t="s">
        <v>105</v>
      </c>
      <c r="O375" s="60" t="s">
        <v>105</v>
      </c>
      <c r="P375" s="45" t="s">
        <v>516</v>
      </c>
      <c r="Q375" s="45" t="s">
        <v>4</v>
      </c>
      <c r="R375" s="45" t="s">
        <v>688</v>
      </c>
      <c r="S375" s="45">
        <v>0</v>
      </c>
      <c r="T375" s="119">
        <v>260</v>
      </c>
      <c r="U375" s="62">
        <f t="shared" si="24"/>
        <v>65000</v>
      </c>
      <c r="V375" s="63"/>
      <c r="W375" s="52" t="str">
        <f t="shared" si="23"/>
        <v>&lt; 6 Months</v>
      </c>
    </row>
    <row r="376" spans="1:23">
      <c r="A376" s="65"/>
      <c r="B376" s="45" t="s">
        <v>9</v>
      </c>
      <c r="C376" s="45" t="s">
        <v>687</v>
      </c>
      <c r="D376" s="43" t="s">
        <v>106</v>
      </c>
      <c r="E376" s="43"/>
      <c r="F376" s="1"/>
      <c r="G376" s="41" t="s">
        <v>9</v>
      </c>
      <c r="H376" s="116">
        <v>450</v>
      </c>
      <c r="I376" s="41">
        <v>1</v>
      </c>
      <c r="J376" s="98">
        <f t="shared" si="20"/>
        <v>450</v>
      </c>
      <c r="K376" s="60" t="s">
        <v>101</v>
      </c>
      <c r="L376" s="60" t="s">
        <v>704</v>
      </c>
      <c r="M376" s="60" t="s">
        <v>691</v>
      </c>
      <c r="N376" s="60" t="s">
        <v>106</v>
      </c>
      <c r="O376" s="60" t="s">
        <v>106</v>
      </c>
      <c r="P376" s="45" t="s">
        <v>516</v>
      </c>
      <c r="Q376" s="45" t="s">
        <v>4</v>
      </c>
      <c r="R376" s="45" t="s">
        <v>688</v>
      </c>
      <c r="S376" s="45">
        <v>0</v>
      </c>
      <c r="T376" s="119">
        <v>230</v>
      </c>
      <c r="U376" s="62">
        <f t="shared" si="24"/>
        <v>103500</v>
      </c>
      <c r="V376" s="63"/>
      <c r="W376" s="52" t="str">
        <f t="shared" si="23"/>
        <v>&lt; 6 Months</v>
      </c>
    </row>
    <row r="377" spans="1:23">
      <c r="A377" s="65"/>
      <c r="B377" s="45" t="s">
        <v>9</v>
      </c>
      <c r="C377" s="45" t="s">
        <v>687</v>
      </c>
      <c r="D377" s="43" t="s">
        <v>107</v>
      </c>
      <c r="E377" s="43"/>
      <c r="F377" s="1"/>
      <c r="G377" s="41" t="s">
        <v>9</v>
      </c>
      <c r="H377" s="116">
        <v>43.5</v>
      </c>
      <c r="I377" s="41">
        <v>1</v>
      </c>
      <c r="J377" s="98">
        <f t="shared" si="20"/>
        <v>43.5</v>
      </c>
      <c r="K377" s="60" t="s">
        <v>101</v>
      </c>
      <c r="L377" s="60" t="s">
        <v>706</v>
      </c>
      <c r="M377" s="60" t="s">
        <v>707</v>
      </c>
      <c r="N377" s="60" t="s">
        <v>107</v>
      </c>
      <c r="O377" s="60" t="s">
        <v>107</v>
      </c>
      <c r="P377" s="45" t="s">
        <v>516</v>
      </c>
      <c r="Q377" s="45" t="s">
        <v>4</v>
      </c>
      <c r="R377" s="45" t="s">
        <v>688</v>
      </c>
      <c r="S377" s="45">
        <v>0</v>
      </c>
      <c r="T377" s="119">
        <v>255</v>
      </c>
      <c r="U377" s="62">
        <f t="shared" si="24"/>
        <v>11092.5</v>
      </c>
      <c r="V377" s="63"/>
      <c r="W377" s="52" t="str">
        <f t="shared" si="23"/>
        <v>&lt; 6 Months</v>
      </c>
    </row>
    <row r="378" spans="1:23">
      <c r="A378" s="65"/>
      <c r="B378" s="45" t="s">
        <v>9</v>
      </c>
      <c r="C378" s="45" t="s">
        <v>687</v>
      </c>
      <c r="D378" s="43" t="s">
        <v>108</v>
      </c>
      <c r="E378" s="43"/>
      <c r="F378" s="1"/>
      <c r="G378" s="41" t="s">
        <v>9</v>
      </c>
      <c r="H378" s="116">
        <v>56.5</v>
      </c>
      <c r="I378" s="41">
        <v>1</v>
      </c>
      <c r="J378" s="98">
        <f t="shared" si="20"/>
        <v>56.5</v>
      </c>
      <c r="K378" s="60" t="s">
        <v>101</v>
      </c>
      <c r="L378" s="60" t="s">
        <v>706</v>
      </c>
      <c r="M378" s="60" t="s">
        <v>708</v>
      </c>
      <c r="N378" s="60" t="s">
        <v>108</v>
      </c>
      <c r="O378" s="60" t="s">
        <v>108</v>
      </c>
      <c r="P378" s="45" t="s">
        <v>516</v>
      </c>
      <c r="Q378" s="45" t="s">
        <v>4</v>
      </c>
      <c r="R378" s="45" t="s">
        <v>688</v>
      </c>
      <c r="S378" s="45">
        <v>0</v>
      </c>
      <c r="T378" s="119">
        <v>540</v>
      </c>
      <c r="U378" s="62">
        <f t="shared" si="24"/>
        <v>30510</v>
      </c>
      <c r="V378" s="63"/>
      <c r="W378" s="52" t="str">
        <f t="shared" si="23"/>
        <v>&lt; 6 Months</v>
      </c>
    </row>
    <row r="379" spans="1:23">
      <c r="A379" s="65"/>
      <c r="B379" s="45" t="s">
        <v>9</v>
      </c>
      <c r="C379" s="45" t="s">
        <v>687</v>
      </c>
      <c r="D379" s="43" t="s">
        <v>949</v>
      </c>
      <c r="E379" s="43"/>
      <c r="F379" s="1"/>
      <c r="G379" s="41" t="s">
        <v>9</v>
      </c>
      <c r="H379" s="116">
        <v>32</v>
      </c>
      <c r="I379" s="41">
        <v>1</v>
      </c>
      <c r="J379" s="98">
        <f t="shared" si="20"/>
        <v>32</v>
      </c>
      <c r="K379" s="60" t="s">
        <v>101</v>
      </c>
      <c r="L379" s="60" t="s">
        <v>706</v>
      </c>
      <c r="M379" s="60" t="s">
        <v>957</v>
      </c>
      <c r="N379" s="60" t="s">
        <v>949</v>
      </c>
      <c r="O379" s="60" t="s">
        <v>949</v>
      </c>
      <c r="P379" s="45" t="s">
        <v>516</v>
      </c>
      <c r="Q379" s="45" t="s">
        <v>4</v>
      </c>
      <c r="R379" s="45" t="s">
        <v>688</v>
      </c>
      <c r="S379" s="45">
        <v>0</v>
      </c>
      <c r="T379" s="119">
        <v>32</v>
      </c>
      <c r="U379" s="62">
        <f t="shared" si="24"/>
        <v>1024</v>
      </c>
      <c r="V379" s="63"/>
      <c r="W379" s="52" t="str">
        <f t="shared" si="23"/>
        <v>&lt; 6 Months</v>
      </c>
    </row>
    <row r="380" spans="1:23">
      <c r="A380" s="65"/>
      <c r="B380" s="45" t="s">
        <v>9</v>
      </c>
      <c r="C380" s="45" t="s">
        <v>687</v>
      </c>
      <c r="D380" s="43" t="s">
        <v>1256</v>
      </c>
      <c r="E380" s="43"/>
      <c r="F380" s="1"/>
      <c r="G380" s="41" t="s">
        <v>9</v>
      </c>
      <c r="H380" s="116">
        <v>2</v>
      </c>
      <c r="I380" s="41">
        <v>1</v>
      </c>
      <c r="J380" s="98">
        <f t="shared" si="20"/>
        <v>2</v>
      </c>
      <c r="K380" s="60" t="e">
        <v>#N/A</v>
      </c>
      <c r="L380" s="60"/>
      <c r="M380" s="60"/>
      <c r="N380" s="60"/>
      <c r="O380" s="60"/>
      <c r="P380" s="45" t="s">
        <v>516</v>
      </c>
      <c r="Q380" s="45" t="s">
        <v>4</v>
      </c>
      <c r="R380" s="45" t="s">
        <v>688</v>
      </c>
      <c r="S380" s="45">
        <v>0</v>
      </c>
      <c r="T380" s="119"/>
      <c r="U380" s="62">
        <f t="shared" si="24"/>
        <v>0</v>
      </c>
      <c r="V380" s="63"/>
      <c r="W380" s="52" t="str">
        <f t="shared" si="23"/>
        <v>&lt; 6 Months</v>
      </c>
    </row>
    <row r="381" spans="1:23">
      <c r="A381" s="65"/>
      <c r="B381" s="45" t="s">
        <v>9</v>
      </c>
      <c r="C381" s="45" t="s">
        <v>687</v>
      </c>
      <c r="D381" s="43" t="s">
        <v>119</v>
      </c>
      <c r="E381" s="43"/>
      <c r="F381" s="1"/>
      <c r="G381" s="41" t="s">
        <v>9</v>
      </c>
      <c r="H381" s="116">
        <v>288.89999999999998</v>
      </c>
      <c r="I381" s="41">
        <v>1</v>
      </c>
      <c r="J381" s="98">
        <f t="shared" si="20"/>
        <v>288.89999999999998</v>
      </c>
      <c r="K381" s="60" t="s">
        <v>101</v>
      </c>
      <c r="L381" s="60" t="s">
        <v>101</v>
      </c>
      <c r="M381" s="60" t="s">
        <v>715</v>
      </c>
      <c r="N381" s="60" t="s">
        <v>119</v>
      </c>
      <c r="O381" s="60" t="s">
        <v>119</v>
      </c>
      <c r="P381" s="45" t="s">
        <v>516</v>
      </c>
      <c r="Q381" s="45" t="s">
        <v>4</v>
      </c>
      <c r="R381" s="45" t="s">
        <v>688</v>
      </c>
      <c r="S381" s="45">
        <v>0</v>
      </c>
      <c r="T381" s="119">
        <v>250</v>
      </c>
      <c r="U381" s="62">
        <f t="shared" si="24"/>
        <v>72225</v>
      </c>
      <c r="V381" s="63"/>
      <c r="W381" s="52" t="str">
        <f t="shared" si="23"/>
        <v>&lt; 6 Months</v>
      </c>
    </row>
    <row r="382" spans="1:23">
      <c r="A382" s="65"/>
      <c r="B382" s="45" t="s">
        <v>9</v>
      </c>
      <c r="C382" s="45" t="s">
        <v>687</v>
      </c>
      <c r="D382" s="43" t="s">
        <v>1082</v>
      </c>
      <c r="E382" s="43"/>
      <c r="F382" s="1"/>
      <c r="G382" s="41" t="s">
        <v>9</v>
      </c>
      <c r="H382" s="116">
        <v>34</v>
      </c>
      <c r="I382" s="41">
        <v>1</v>
      </c>
      <c r="J382" s="98">
        <f t="shared" si="20"/>
        <v>34</v>
      </c>
      <c r="K382" s="60" t="e">
        <v>#N/A</v>
      </c>
      <c r="L382" s="60"/>
      <c r="M382" s="60"/>
      <c r="N382" s="60"/>
      <c r="O382" s="60"/>
      <c r="P382" s="45" t="s">
        <v>516</v>
      </c>
      <c r="Q382" s="45" t="s">
        <v>4</v>
      </c>
      <c r="R382" s="45" t="s">
        <v>688</v>
      </c>
      <c r="S382" s="45">
        <v>0</v>
      </c>
      <c r="T382" s="119"/>
      <c r="U382" s="62">
        <f t="shared" si="24"/>
        <v>0</v>
      </c>
      <c r="V382" s="63"/>
      <c r="W382" s="52" t="str">
        <f t="shared" si="23"/>
        <v>&lt; 6 Months</v>
      </c>
    </row>
    <row r="383" spans="1:23">
      <c r="A383" s="65"/>
      <c r="B383" s="45" t="s">
        <v>9</v>
      </c>
      <c r="C383" s="45" t="s">
        <v>687</v>
      </c>
      <c r="D383" s="43" t="s">
        <v>773</v>
      </c>
      <c r="E383" s="43"/>
      <c r="F383" s="1"/>
      <c r="G383" s="41" t="s">
        <v>9</v>
      </c>
      <c r="H383" s="116">
        <v>25.9</v>
      </c>
      <c r="I383" s="41">
        <v>1</v>
      </c>
      <c r="J383" s="98">
        <f t="shared" si="20"/>
        <v>25.9</v>
      </c>
      <c r="K383" s="60" t="s">
        <v>101</v>
      </c>
      <c r="L383" s="60" t="s">
        <v>706</v>
      </c>
      <c r="M383" s="60" t="s">
        <v>774</v>
      </c>
      <c r="N383" s="60" t="s">
        <v>773</v>
      </c>
      <c r="O383" s="60" t="s">
        <v>773</v>
      </c>
      <c r="P383" s="45" t="s">
        <v>516</v>
      </c>
      <c r="Q383" s="45" t="s">
        <v>4</v>
      </c>
      <c r="R383" s="45" t="s">
        <v>688</v>
      </c>
      <c r="S383" s="45">
        <v>0</v>
      </c>
      <c r="T383" s="119">
        <v>300</v>
      </c>
      <c r="U383" s="62">
        <f t="shared" si="24"/>
        <v>7770</v>
      </c>
      <c r="V383" s="63"/>
      <c r="W383" s="52" t="str">
        <f t="shared" si="23"/>
        <v>&lt; 6 Months</v>
      </c>
    </row>
    <row r="384" spans="1:23">
      <c r="A384" s="65"/>
      <c r="B384" s="45" t="s">
        <v>9</v>
      </c>
      <c r="C384" s="45" t="s">
        <v>687</v>
      </c>
      <c r="D384" s="43" t="s">
        <v>109</v>
      </c>
      <c r="E384" s="43"/>
      <c r="F384" s="1"/>
      <c r="G384" s="41" t="s">
        <v>9</v>
      </c>
      <c r="H384" s="116">
        <v>200</v>
      </c>
      <c r="I384" s="41">
        <v>1</v>
      </c>
      <c r="J384" s="98">
        <f t="shared" si="20"/>
        <v>200</v>
      </c>
      <c r="K384" s="60" t="s">
        <v>101</v>
      </c>
      <c r="L384" s="60" t="s">
        <v>706</v>
      </c>
      <c r="M384" s="60" t="s">
        <v>710</v>
      </c>
      <c r="N384" s="60" t="s">
        <v>109</v>
      </c>
      <c r="O384" s="60" t="s">
        <v>109</v>
      </c>
      <c r="P384" s="45" t="s">
        <v>516</v>
      </c>
      <c r="Q384" s="45" t="s">
        <v>4</v>
      </c>
      <c r="R384" s="45" t="s">
        <v>688</v>
      </c>
      <c r="S384" s="45">
        <v>0</v>
      </c>
      <c r="T384" s="119">
        <v>259</v>
      </c>
      <c r="U384" s="62">
        <f t="shared" si="24"/>
        <v>51800</v>
      </c>
      <c r="V384" s="63"/>
      <c r="W384" s="52" t="str">
        <f t="shared" si="23"/>
        <v>&lt; 6 Months</v>
      </c>
    </row>
    <row r="385" spans="1:23">
      <c r="A385" s="65"/>
      <c r="B385" s="45" t="s">
        <v>9</v>
      </c>
      <c r="C385" s="45" t="s">
        <v>687</v>
      </c>
      <c r="D385" s="43" t="s">
        <v>1257</v>
      </c>
      <c r="E385" s="43"/>
      <c r="F385" s="1"/>
      <c r="G385" s="41" t="s">
        <v>9</v>
      </c>
      <c r="H385" s="116">
        <v>1</v>
      </c>
      <c r="I385" s="41">
        <v>1</v>
      </c>
      <c r="J385" s="98">
        <f t="shared" si="20"/>
        <v>1</v>
      </c>
      <c r="K385" s="60" t="e">
        <v>#N/A</v>
      </c>
      <c r="L385" s="60"/>
      <c r="M385" s="60"/>
      <c r="N385" s="60"/>
      <c r="O385" s="60"/>
      <c r="P385" s="45" t="s">
        <v>516</v>
      </c>
      <c r="Q385" s="45" t="s">
        <v>4</v>
      </c>
      <c r="R385" s="45" t="s">
        <v>688</v>
      </c>
      <c r="S385" s="45">
        <v>0</v>
      </c>
      <c r="T385" s="119"/>
      <c r="U385" s="62">
        <f t="shared" si="24"/>
        <v>0</v>
      </c>
      <c r="V385" s="63"/>
      <c r="W385" s="52" t="str">
        <f t="shared" si="23"/>
        <v>&lt; 6 Months</v>
      </c>
    </row>
    <row r="386" spans="1:23">
      <c r="A386" s="65"/>
      <c r="B386" s="45" t="s">
        <v>9</v>
      </c>
      <c r="C386" s="45" t="s">
        <v>687</v>
      </c>
      <c r="D386" s="43" t="s">
        <v>716</v>
      </c>
      <c r="E386" s="43"/>
      <c r="F386" s="1"/>
      <c r="G386" s="41" t="s">
        <v>9</v>
      </c>
      <c r="H386" s="116">
        <v>4</v>
      </c>
      <c r="I386" s="41">
        <v>1</v>
      </c>
      <c r="J386" s="98">
        <f t="shared" si="20"/>
        <v>4</v>
      </c>
      <c r="K386" s="60" t="e">
        <v>#N/A</v>
      </c>
      <c r="L386" s="60"/>
      <c r="M386" s="60"/>
      <c r="N386" s="60"/>
      <c r="O386" s="60"/>
      <c r="P386" s="45" t="s">
        <v>516</v>
      </c>
      <c r="Q386" s="45" t="s">
        <v>4</v>
      </c>
      <c r="R386" s="45" t="s">
        <v>688</v>
      </c>
      <c r="S386" s="45">
        <v>0</v>
      </c>
      <c r="T386" s="119"/>
      <c r="U386" s="62">
        <f t="shared" si="24"/>
        <v>0</v>
      </c>
      <c r="V386" s="63"/>
      <c r="W386" s="52" t="str">
        <f t="shared" si="23"/>
        <v>&lt; 6 Months</v>
      </c>
    </row>
    <row r="387" spans="1:23">
      <c r="A387" s="65"/>
      <c r="B387" s="45" t="s">
        <v>9</v>
      </c>
      <c r="C387" s="45" t="s">
        <v>687</v>
      </c>
      <c r="D387" s="43" t="s">
        <v>831</v>
      </c>
      <c r="E387" s="43"/>
      <c r="F387" s="1"/>
      <c r="G387" s="41" t="s">
        <v>9</v>
      </c>
      <c r="H387" s="116">
        <v>26</v>
      </c>
      <c r="I387" s="41">
        <v>1</v>
      </c>
      <c r="J387" s="98">
        <f t="shared" si="20"/>
        <v>26</v>
      </c>
      <c r="K387" s="60" t="s">
        <v>101</v>
      </c>
      <c r="L387" s="60" t="s">
        <v>706</v>
      </c>
      <c r="M387" s="60" t="s">
        <v>832</v>
      </c>
      <c r="N387" s="60" t="s">
        <v>831</v>
      </c>
      <c r="O387" s="60" t="s">
        <v>831</v>
      </c>
      <c r="P387" s="45" t="s">
        <v>516</v>
      </c>
      <c r="Q387" s="45" t="s">
        <v>4</v>
      </c>
      <c r="R387" s="45" t="s">
        <v>688</v>
      </c>
      <c r="S387" s="45">
        <v>0</v>
      </c>
      <c r="T387" s="119">
        <v>250</v>
      </c>
      <c r="U387" s="62">
        <f t="shared" si="24"/>
        <v>6500</v>
      </c>
      <c r="V387" s="63"/>
      <c r="W387" s="52" t="str">
        <f t="shared" si="23"/>
        <v>&lt; 6 Months</v>
      </c>
    </row>
    <row r="388" spans="1:23">
      <c r="A388" s="65"/>
      <c r="B388" s="45" t="s">
        <v>9</v>
      </c>
      <c r="C388" s="45" t="s">
        <v>687</v>
      </c>
      <c r="D388" s="43" t="s">
        <v>110</v>
      </c>
      <c r="E388" s="43"/>
      <c r="F388" s="1"/>
      <c r="G388" s="41" t="s">
        <v>9</v>
      </c>
      <c r="H388" s="116">
        <v>25</v>
      </c>
      <c r="I388" s="41">
        <v>1</v>
      </c>
      <c r="J388" s="98">
        <f t="shared" si="20"/>
        <v>25</v>
      </c>
      <c r="K388" s="60" t="s">
        <v>101</v>
      </c>
      <c r="L388" s="60" t="s">
        <v>706</v>
      </c>
      <c r="M388" s="60" t="s">
        <v>709</v>
      </c>
      <c r="N388" s="60" t="s">
        <v>110</v>
      </c>
      <c r="O388" s="60" t="s">
        <v>110</v>
      </c>
      <c r="P388" s="45" t="s">
        <v>516</v>
      </c>
      <c r="Q388" s="45" t="s">
        <v>4</v>
      </c>
      <c r="R388" s="45" t="s">
        <v>688</v>
      </c>
      <c r="S388" s="45">
        <v>0</v>
      </c>
      <c r="T388" s="119">
        <v>210</v>
      </c>
      <c r="U388" s="62">
        <f t="shared" si="24"/>
        <v>5250</v>
      </c>
      <c r="V388" s="63"/>
      <c r="W388" s="52" t="str">
        <f t="shared" si="23"/>
        <v>&lt; 6 Months</v>
      </c>
    </row>
    <row r="389" spans="1:23">
      <c r="A389" s="65"/>
      <c r="B389" s="45" t="s">
        <v>9</v>
      </c>
      <c r="C389" s="45" t="s">
        <v>687</v>
      </c>
      <c r="D389" s="43" t="s">
        <v>1258</v>
      </c>
      <c r="E389" s="43"/>
      <c r="F389" s="1"/>
      <c r="G389" s="41" t="s">
        <v>9</v>
      </c>
      <c r="H389" s="116">
        <v>46.68</v>
      </c>
      <c r="I389" s="41">
        <v>1</v>
      </c>
      <c r="J389" s="98">
        <f t="shared" si="20"/>
        <v>46.68</v>
      </c>
      <c r="K389" s="60" t="e">
        <v>#N/A</v>
      </c>
      <c r="L389" s="60"/>
      <c r="M389" s="60"/>
      <c r="N389" s="60"/>
      <c r="O389" s="60"/>
      <c r="P389" s="45" t="s">
        <v>516</v>
      </c>
      <c r="Q389" s="45" t="s">
        <v>4</v>
      </c>
      <c r="R389" s="45" t="s">
        <v>688</v>
      </c>
      <c r="S389" s="45">
        <v>0</v>
      </c>
      <c r="T389" s="119"/>
      <c r="U389" s="62">
        <f t="shared" si="24"/>
        <v>0</v>
      </c>
      <c r="V389" s="63"/>
      <c r="W389" s="52" t="str">
        <f t="shared" si="23"/>
        <v>&lt; 6 Months</v>
      </c>
    </row>
    <row r="390" spans="1:23">
      <c r="A390" s="65"/>
      <c r="B390" s="45" t="s">
        <v>9</v>
      </c>
      <c r="C390" s="45" t="s">
        <v>687</v>
      </c>
      <c r="D390" s="43" t="s">
        <v>1081</v>
      </c>
      <c r="E390" s="43"/>
      <c r="F390" s="1"/>
      <c r="G390" s="41" t="s">
        <v>9</v>
      </c>
      <c r="H390" s="116">
        <v>34</v>
      </c>
      <c r="I390" s="41">
        <v>1</v>
      </c>
      <c r="J390" s="98">
        <f t="shared" si="20"/>
        <v>34</v>
      </c>
      <c r="K390" s="60" t="e">
        <v>#N/A</v>
      </c>
      <c r="L390" s="60"/>
      <c r="M390" s="60"/>
      <c r="N390" s="60"/>
      <c r="O390" s="60"/>
      <c r="P390" s="45" t="s">
        <v>516</v>
      </c>
      <c r="Q390" s="45" t="s">
        <v>4</v>
      </c>
      <c r="R390" s="45" t="s">
        <v>688</v>
      </c>
      <c r="S390" s="45">
        <v>0</v>
      </c>
      <c r="T390" s="119"/>
      <c r="U390" s="62">
        <f t="shared" si="24"/>
        <v>0</v>
      </c>
      <c r="V390" s="63"/>
      <c r="W390" s="52" t="str">
        <f t="shared" si="23"/>
        <v>&lt; 6 Months</v>
      </c>
    </row>
    <row r="391" spans="1:23">
      <c r="A391" s="65">
        <v>45266</v>
      </c>
      <c r="B391" s="45" t="s">
        <v>9</v>
      </c>
      <c r="C391" s="45" t="s">
        <v>687</v>
      </c>
      <c r="D391" s="43" t="s">
        <v>734</v>
      </c>
      <c r="E391" s="43"/>
      <c r="F391" s="1"/>
      <c r="G391" s="41" t="s">
        <v>9</v>
      </c>
      <c r="H391" s="116">
        <v>25</v>
      </c>
      <c r="I391" s="41">
        <v>1</v>
      </c>
      <c r="J391" s="98">
        <f t="shared" si="20"/>
        <v>25</v>
      </c>
      <c r="K391" s="60" t="e">
        <v>#N/A</v>
      </c>
      <c r="L391" s="60"/>
      <c r="M391" s="60"/>
      <c r="N391" s="60"/>
      <c r="O391" s="60"/>
      <c r="P391" s="45" t="s">
        <v>516</v>
      </c>
      <c r="Q391" s="45" t="s">
        <v>4</v>
      </c>
      <c r="R391" s="45" t="s">
        <v>688</v>
      </c>
      <c r="S391" s="45">
        <v>0</v>
      </c>
      <c r="T391" s="119"/>
      <c r="U391" s="62">
        <f t="shared" si="24"/>
        <v>0</v>
      </c>
      <c r="V391" s="63">
        <f t="shared" ref="V391" ca="1" si="27">$V$4-A391</f>
        <v>888</v>
      </c>
      <c r="W391" s="52" t="str">
        <f t="shared" ca="1" si="23"/>
        <v>&gt;24 Months</v>
      </c>
    </row>
    <row r="392" spans="1:23">
      <c r="A392" s="65"/>
      <c r="B392" s="45" t="s">
        <v>9</v>
      </c>
      <c r="C392" s="45" t="s">
        <v>687</v>
      </c>
      <c r="D392" s="43" t="s">
        <v>111</v>
      </c>
      <c r="E392" s="43"/>
      <c r="F392" s="1"/>
      <c r="G392" s="41" t="s">
        <v>9</v>
      </c>
      <c r="H392" s="116">
        <v>100.75</v>
      </c>
      <c r="I392" s="41">
        <v>1</v>
      </c>
      <c r="J392" s="98">
        <f t="shared" si="20"/>
        <v>100.75</v>
      </c>
      <c r="K392" s="60" t="s">
        <v>101</v>
      </c>
      <c r="L392" s="60" t="s">
        <v>706</v>
      </c>
      <c r="M392" s="60" t="s">
        <v>711</v>
      </c>
      <c r="N392" s="60" t="s">
        <v>111</v>
      </c>
      <c r="O392" s="60" t="s">
        <v>111</v>
      </c>
      <c r="P392" s="45" t="s">
        <v>516</v>
      </c>
      <c r="Q392" s="45" t="s">
        <v>4</v>
      </c>
      <c r="R392" s="45" t="s">
        <v>688</v>
      </c>
      <c r="S392" s="45">
        <v>0</v>
      </c>
      <c r="T392" s="119">
        <v>217</v>
      </c>
      <c r="U392" s="62">
        <f t="shared" si="24"/>
        <v>21862.75</v>
      </c>
      <c r="V392" s="63"/>
      <c r="W392" s="52" t="str">
        <f t="shared" ref="W392:W412" si="28">VLOOKUP(V392,$Y$2:$Z$6,2)</f>
        <v>&lt; 6 Months</v>
      </c>
    </row>
    <row r="393" spans="1:23">
      <c r="A393" s="65"/>
      <c r="B393" s="45" t="s">
        <v>9</v>
      </c>
      <c r="C393" s="45" t="s">
        <v>687</v>
      </c>
      <c r="D393" s="43" t="s">
        <v>1047</v>
      </c>
      <c r="E393" s="43"/>
      <c r="F393" s="1"/>
      <c r="G393" s="41" t="s">
        <v>9</v>
      </c>
      <c r="H393" s="116">
        <v>40</v>
      </c>
      <c r="I393" s="41">
        <v>1</v>
      </c>
      <c r="J393" s="98">
        <f t="shared" ref="J393:J412" si="29">I393*H393</f>
        <v>40</v>
      </c>
      <c r="K393" s="60" t="s">
        <v>101</v>
      </c>
      <c r="L393" s="60" t="s">
        <v>706</v>
      </c>
      <c r="M393" s="60" t="s">
        <v>1048</v>
      </c>
      <c r="N393" s="60" t="s">
        <v>1047</v>
      </c>
      <c r="O393" s="60" t="s">
        <v>1047</v>
      </c>
      <c r="P393" s="45" t="s">
        <v>516</v>
      </c>
      <c r="Q393" s="45" t="s">
        <v>4</v>
      </c>
      <c r="R393" s="45" t="s">
        <v>688</v>
      </c>
      <c r="S393" s="45">
        <v>0</v>
      </c>
      <c r="T393" s="119">
        <v>221</v>
      </c>
      <c r="U393" s="62">
        <f t="shared" si="24"/>
        <v>8840</v>
      </c>
      <c r="V393" s="63"/>
      <c r="W393" s="52" t="str">
        <f t="shared" si="28"/>
        <v>&lt; 6 Months</v>
      </c>
    </row>
    <row r="394" spans="1:23">
      <c r="A394" s="65"/>
      <c r="B394" s="45" t="s">
        <v>9</v>
      </c>
      <c r="C394" s="45" t="s">
        <v>687</v>
      </c>
      <c r="D394" s="43" t="s">
        <v>112</v>
      </c>
      <c r="E394" s="43"/>
      <c r="F394" s="1"/>
      <c r="G394" s="41" t="s">
        <v>9</v>
      </c>
      <c r="H394" s="116">
        <v>125</v>
      </c>
      <c r="I394" s="41">
        <v>1</v>
      </c>
      <c r="J394" s="98">
        <f t="shared" si="29"/>
        <v>125</v>
      </c>
      <c r="K394" s="60" t="s">
        <v>101</v>
      </c>
      <c r="L394" s="60" t="s">
        <v>706</v>
      </c>
      <c r="M394" s="60" t="s">
        <v>712</v>
      </c>
      <c r="N394" s="60" t="s">
        <v>112</v>
      </c>
      <c r="O394" s="60" t="s">
        <v>112</v>
      </c>
      <c r="P394" s="45" t="s">
        <v>516</v>
      </c>
      <c r="Q394" s="45" t="s">
        <v>4</v>
      </c>
      <c r="R394" s="45" t="s">
        <v>688</v>
      </c>
      <c r="S394" s="45">
        <v>0</v>
      </c>
      <c r="T394" s="119">
        <v>230</v>
      </c>
      <c r="U394" s="62">
        <f t="shared" si="24"/>
        <v>28750</v>
      </c>
      <c r="V394" s="63"/>
      <c r="W394" s="52" t="str">
        <f t="shared" si="28"/>
        <v>&lt; 6 Months</v>
      </c>
    </row>
    <row r="395" spans="1:23">
      <c r="A395" s="65"/>
      <c r="B395" s="45" t="s">
        <v>9</v>
      </c>
      <c r="C395" s="45" t="s">
        <v>687</v>
      </c>
      <c r="D395" s="43" t="s">
        <v>113</v>
      </c>
      <c r="E395" s="43"/>
      <c r="F395" s="1"/>
      <c r="G395" s="41" t="s">
        <v>9</v>
      </c>
      <c r="H395" s="116">
        <v>2.9</v>
      </c>
      <c r="I395" s="41">
        <v>1</v>
      </c>
      <c r="J395" s="98">
        <f t="shared" si="29"/>
        <v>2.9</v>
      </c>
      <c r="K395" s="60" t="s">
        <v>101</v>
      </c>
      <c r="L395" s="60" t="s">
        <v>706</v>
      </c>
      <c r="M395" s="60" t="s">
        <v>708</v>
      </c>
      <c r="N395" s="60" t="s">
        <v>113</v>
      </c>
      <c r="O395" s="60" t="s">
        <v>113</v>
      </c>
      <c r="P395" s="45" t="s">
        <v>516</v>
      </c>
      <c r="Q395" s="45" t="s">
        <v>4</v>
      </c>
      <c r="R395" s="45" t="s">
        <v>688</v>
      </c>
      <c r="S395" s="45">
        <v>0</v>
      </c>
      <c r="T395" s="119">
        <v>245</v>
      </c>
      <c r="U395" s="62">
        <f t="shared" si="24"/>
        <v>710.5</v>
      </c>
      <c r="V395" s="63"/>
      <c r="W395" s="52" t="str">
        <f t="shared" si="28"/>
        <v>&lt; 6 Months</v>
      </c>
    </row>
    <row r="396" spans="1:23">
      <c r="A396" s="65"/>
      <c r="B396" s="45" t="s">
        <v>9</v>
      </c>
      <c r="C396" s="45" t="s">
        <v>687</v>
      </c>
      <c r="D396" s="43" t="s">
        <v>1151</v>
      </c>
      <c r="E396" s="43"/>
      <c r="F396" s="1"/>
      <c r="G396" s="41" t="s">
        <v>9</v>
      </c>
      <c r="H396" s="116">
        <v>2</v>
      </c>
      <c r="I396" s="41">
        <v>1</v>
      </c>
      <c r="J396" s="98">
        <f t="shared" si="29"/>
        <v>2</v>
      </c>
      <c r="K396" s="60" t="e">
        <v>#N/A</v>
      </c>
      <c r="L396" s="60"/>
      <c r="M396" s="60"/>
      <c r="N396" s="60"/>
      <c r="O396" s="60"/>
      <c r="P396" s="45" t="s">
        <v>516</v>
      </c>
      <c r="Q396" s="45" t="s">
        <v>4</v>
      </c>
      <c r="R396" s="45" t="s">
        <v>688</v>
      </c>
      <c r="S396" s="45">
        <v>0</v>
      </c>
      <c r="T396" s="119"/>
      <c r="U396" s="62">
        <f t="shared" si="24"/>
        <v>0</v>
      </c>
      <c r="V396" s="63"/>
      <c r="W396" s="52" t="str">
        <f t="shared" si="28"/>
        <v>&lt; 6 Months</v>
      </c>
    </row>
    <row r="397" spans="1:23">
      <c r="A397" s="65"/>
      <c r="B397" s="45" t="s">
        <v>9</v>
      </c>
      <c r="C397" s="45" t="s">
        <v>687</v>
      </c>
      <c r="D397" s="43" t="s">
        <v>1259</v>
      </c>
      <c r="E397" s="43"/>
      <c r="F397" s="1"/>
      <c r="G397" s="41" t="s">
        <v>9</v>
      </c>
      <c r="H397" s="116">
        <v>190</v>
      </c>
      <c r="I397" s="41">
        <v>1</v>
      </c>
      <c r="J397" s="98">
        <f t="shared" si="29"/>
        <v>190</v>
      </c>
      <c r="K397" s="60" t="e">
        <v>#N/A</v>
      </c>
      <c r="L397" s="60"/>
      <c r="M397" s="60"/>
      <c r="N397" s="60"/>
      <c r="O397" s="60"/>
      <c r="P397" s="45" t="s">
        <v>516</v>
      </c>
      <c r="Q397" s="45" t="s">
        <v>4</v>
      </c>
      <c r="R397" s="45" t="s">
        <v>688</v>
      </c>
      <c r="S397" s="45">
        <v>0</v>
      </c>
      <c r="T397" s="119"/>
      <c r="U397" s="62">
        <f t="shared" si="24"/>
        <v>0</v>
      </c>
      <c r="V397" s="63"/>
      <c r="W397" s="52" t="str">
        <f t="shared" si="28"/>
        <v>&lt; 6 Months</v>
      </c>
    </row>
    <row r="398" spans="1:23">
      <c r="A398" s="101"/>
      <c r="B398" s="45" t="s">
        <v>9</v>
      </c>
      <c r="C398" s="45" t="s">
        <v>687</v>
      </c>
      <c r="D398" s="43" t="s">
        <v>1260</v>
      </c>
      <c r="E398" s="43"/>
      <c r="F398" s="1"/>
      <c r="G398" s="41" t="s">
        <v>9</v>
      </c>
      <c r="H398" s="116">
        <v>23</v>
      </c>
      <c r="I398" s="41">
        <v>1</v>
      </c>
      <c r="J398" s="98">
        <f t="shared" si="29"/>
        <v>23</v>
      </c>
      <c r="K398" s="60" t="e">
        <v>#N/A</v>
      </c>
      <c r="L398" s="60"/>
      <c r="M398" s="60"/>
      <c r="N398" s="60"/>
      <c r="O398" s="60"/>
      <c r="P398" s="45" t="s">
        <v>516</v>
      </c>
      <c r="Q398" s="45" t="s">
        <v>4</v>
      </c>
      <c r="R398" s="45" t="s">
        <v>688</v>
      </c>
      <c r="S398" s="45">
        <v>0</v>
      </c>
      <c r="T398" s="119"/>
      <c r="U398" s="62">
        <f t="shared" si="24"/>
        <v>0</v>
      </c>
      <c r="V398" s="63"/>
      <c r="W398" s="52" t="str">
        <f t="shared" si="28"/>
        <v>&lt; 6 Months</v>
      </c>
    </row>
    <row r="399" spans="1:23">
      <c r="A399" s="65"/>
      <c r="B399" s="45" t="s">
        <v>9</v>
      </c>
      <c r="C399" s="45" t="s">
        <v>687</v>
      </c>
      <c r="D399" s="43" t="s">
        <v>115</v>
      </c>
      <c r="E399" s="43"/>
      <c r="F399" s="1"/>
      <c r="G399" s="41" t="s">
        <v>9</v>
      </c>
      <c r="H399" s="116">
        <v>50</v>
      </c>
      <c r="I399" s="41">
        <v>1</v>
      </c>
      <c r="J399" s="98">
        <f t="shared" si="29"/>
        <v>50</v>
      </c>
      <c r="K399" s="60" t="s">
        <v>101</v>
      </c>
      <c r="L399" s="60" t="s">
        <v>706</v>
      </c>
      <c r="M399" s="60" t="s">
        <v>713</v>
      </c>
      <c r="N399" s="60" t="s">
        <v>115</v>
      </c>
      <c r="O399" s="60" t="s">
        <v>115</v>
      </c>
      <c r="P399" s="45" t="s">
        <v>516</v>
      </c>
      <c r="Q399" s="45" t="s">
        <v>4</v>
      </c>
      <c r="R399" s="45" t="s">
        <v>688</v>
      </c>
      <c r="S399" s="45">
        <v>0</v>
      </c>
      <c r="T399" s="119">
        <v>210</v>
      </c>
      <c r="U399" s="62">
        <f t="shared" si="24"/>
        <v>10500</v>
      </c>
      <c r="V399" s="63"/>
      <c r="W399" s="52" t="str">
        <f t="shared" si="28"/>
        <v>&lt; 6 Months</v>
      </c>
    </row>
    <row r="400" spans="1:23">
      <c r="A400" s="65"/>
      <c r="B400" s="45" t="s">
        <v>9</v>
      </c>
      <c r="C400" s="45" t="s">
        <v>687</v>
      </c>
      <c r="D400" s="43" t="s">
        <v>1261</v>
      </c>
      <c r="E400" s="43"/>
      <c r="F400" s="1"/>
      <c r="G400" s="41" t="s">
        <v>9</v>
      </c>
      <c r="H400" s="116">
        <v>51</v>
      </c>
      <c r="I400" s="41">
        <v>1</v>
      </c>
      <c r="J400" s="98">
        <f t="shared" si="29"/>
        <v>51</v>
      </c>
      <c r="K400" s="60" t="e">
        <v>#N/A</v>
      </c>
      <c r="L400" s="60"/>
      <c r="M400" s="60"/>
      <c r="N400" s="60"/>
      <c r="O400" s="60"/>
      <c r="P400" s="45" t="s">
        <v>516</v>
      </c>
      <c r="Q400" s="45" t="s">
        <v>4</v>
      </c>
      <c r="R400" s="45" t="s">
        <v>688</v>
      </c>
      <c r="S400" s="45">
        <v>0</v>
      </c>
      <c r="T400" s="119"/>
      <c r="U400" s="62">
        <f t="shared" si="24"/>
        <v>0</v>
      </c>
      <c r="V400" s="63"/>
      <c r="W400" s="52" t="str">
        <f t="shared" si="28"/>
        <v>&lt; 6 Months</v>
      </c>
    </row>
    <row r="401" spans="1:23">
      <c r="A401" s="65"/>
      <c r="B401" s="45" t="s">
        <v>9</v>
      </c>
      <c r="C401" s="45" t="s">
        <v>687</v>
      </c>
      <c r="D401" s="43" t="s">
        <v>950</v>
      </c>
      <c r="E401" s="43"/>
      <c r="F401" s="1" t="s">
        <v>574</v>
      </c>
      <c r="G401" s="41" t="s">
        <v>9</v>
      </c>
      <c r="H401" s="116">
        <v>15</v>
      </c>
      <c r="I401" s="41">
        <v>1</v>
      </c>
      <c r="J401" s="98">
        <f t="shared" si="29"/>
        <v>15</v>
      </c>
      <c r="K401" s="60" t="s">
        <v>101</v>
      </c>
      <c r="L401" s="60" t="s">
        <v>706</v>
      </c>
      <c r="M401" s="60" t="s">
        <v>1006</v>
      </c>
      <c r="N401" s="60" t="s">
        <v>950</v>
      </c>
      <c r="O401" s="60" t="s">
        <v>950</v>
      </c>
      <c r="P401" s="45" t="s">
        <v>516</v>
      </c>
      <c r="Q401" s="45" t="s">
        <v>4</v>
      </c>
      <c r="R401" s="45" t="s">
        <v>688</v>
      </c>
      <c r="S401" s="45">
        <v>0</v>
      </c>
      <c r="T401" s="119">
        <v>178</v>
      </c>
      <c r="U401" s="62">
        <f t="shared" si="24"/>
        <v>2670</v>
      </c>
      <c r="V401" s="63"/>
      <c r="W401" s="52" t="str">
        <f t="shared" si="28"/>
        <v>&lt; 6 Months</v>
      </c>
    </row>
    <row r="402" spans="1:23">
      <c r="A402" s="65"/>
      <c r="B402" s="45" t="s">
        <v>9</v>
      </c>
      <c r="C402" s="45" t="s">
        <v>687</v>
      </c>
      <c r="D402" s="43" t="s">
        <v>1262</v>
      </c>
      <c r="E402" s="43"/>
      <c r="F402" s="1"/>
      <c r="G402" s="41" t="s">
        <v>9</v>
      </c>
      <c r="H402" s="116">
        <v>0.9</v>
      </c>
      <c r="I402" s="41">
        <v>1</v>
      </c>
      <c r="J402" s="98">
        <f t="shared" si="29"/>
        <v>0.9</v>
      </c>
      <c r="K402" s="60" t="e">
        <v>#N/A</v>
      </c>
      <c r="L402" s="60"/>
      <c r="M402" s="60"/>
      <c r="N402" s="60"/>
      <c r="O402" s="60"/>
      <c r="P402" s="45" t="s">
        <v>516</v>
      </c>
      <c r="Q402" s="45" t="s">
        <v>4</v>
      </c>
      <c r="R402" s="45" t="s">
        <v>688</v>
      </c>
      <c r="S402" s="45">
        <v>0</v>
      </c>
      <c r="T402" s="119"/>
      <c r="U402" s="62">
        <f t="shared" si="24"/>
        <v>0</v>
      </c>
      <c r="V402" s="63"/>
      <c r="W402" s="52" t="str">
        <f t="shared" si="28"/>
        <v>&lt; 6 Months</v>
      </c>
    </row>
    <row r="403" spans="1:23">
      <c r="A403" s="65"/>
      <c r="B403" s="45" t="s">
        <v>9</v>
      </c>
      <c r="C403" s="45" t="s">
        <v>687</v>
      </c>
      <c r="D403" s="43" t="s">
        <v>735</v>
      </c>
      <c r="E403" s="43"/>
      <c r="F403" s="1"/>
      <c r="G403" s="41" t="s">
        <v>9</v>
      </c>
      <c r="H403" s="116">
        <v>5.6</v>
      </c>
      <c r="I403" s="41">
        <v>1</v>
      </c>
      <c r="J403" s="98">
        <f t="shared" si="29"/>
        <v>5.6</v>
      </c>
      <c r="K403" s="60" t="s">
        <v>101</v>
      </c>
      <c r="L403" s="60" t="s">
        <v>706</v>
      </c>
      <c r="M403" s="60" t="s">
        <v>736</v>
      </c>
      <c r="N403" s="60" t="s">
        <v>735</v>
      </c>
      <c r="O403" s="60" t="s">
        <v>735</v>
      </c>
      <c r="P403" s="45" t="s">
        <v>516</v>
      </c>
      <c r="Q403" s="45" t="s">
        <v>4</v>
      </c>
      <c r="R403" s="45" t="s">
        <v>688</v>
      </c>
      <c r="S403" s="45">
        <v>0</v>
      </c>
      <c r="T403" s="119">
        <v>595</v>
      </c>
      <c r="U403" s="62">
        <f t="shared" si="24"/>
        <v>3332</v>
      </c>
      <c r="V403" s="63"/>
      <c r="W403" s="52" t="str">
        <f t="shared" si="28"/>
        <v>&lt; 6 Months</v>
      </c>
    </row>
    <row r="404" spans="1:23">
      <c r="A404" s="65"/>
      <c r="B404" s="45" t="s">
        <v>9</v>
      </c>
      <c r="C404" s="45" t="s">
        <v>687</v>
      </c>
      <c r="D404" s="43" t="s">
        <v>1263</v>
      </c>
      <c r="E404" s="43"/>
      <c r="F404" s="1"/>
      <c r="G404" s="41" t="s">
        <v>9</v>
      </c>
      <c r="H404" s="116">
        <v>75</v>
      </c>
      <c r="I404" s="41">
        <v>1</v>
      </c>
      <c r="J404" s="98">
        <f t="shared" si="29"/>
        <v>75</v>
      </c>
      <c r="K404" s="60" t="e">
        <v>#N/A</v>
      </c>
      <c r="L404" s="60"/>
      <c r="M404" s="60"/>
      <c r="N404" s="60"/>
      <c r="O404" s="60"/>
      <c r="P404" s="45" t="s">
        <v>516</v>
      </c>
      <c r="Q404" s="45" t="s">
        <v>4</v>
      </c>
      <c r="R404" s="45" t="s">
        <v>688</v>
      </c>
      <c r="S404" s="45">
        <v>0</v>
      </c>
      <c r="T404" s="119"/>
      <c r="U404" s="62">
        <f t="shared" si="24"/>
        <v>0</v>
      </c>
      <c r="V404" s="63"/>
      <c r="W404" s="52" t="str">
        <f t="shared" si="28"/>
        <v>&lt; 6 Months</v>
      </c>
    </row>
    <row r="405" spans="1:23">
      <c r="A405" s="65"/>
      <c r="B405" s="45" t="s">
        <v>9</v>
      </c>
      <c r="C405" s="45" t="s">
        <v>687</v>
      </c>
      <c r="D405" s="43" t="s">
        <v>953</v>
      </c>
      <c r="E405" s="43"/>
      <c r="F405" s="1"/>
      <c r="G405" s="41" t="s">
        <v>9</v>
      </c>
      <c r="H405" s="116">
        <v>60</v>
      </c>
      <c r="I405" s="41">
        <v>1</v>
      </c>
      <c r="J405" s="98">
        <f t="shared" si="29"/>
        <v>60</v>
      </c>
      <c r="K405" s="60" t="s">
        <v>762</v>
      </c>
      <c r="L405" s="60" t="s">
        <v>954</v>
      </c>
      <c r="M405" s="60" t="s">
        <v>762</v>
      </c>
      <c r="N405" s="60" t="s">
        <v>953</v>
      </c>
      <c r="O405" s="60" t="s">
        <v>953</v>
      </c>
      <c r="P405" s="45" t="s">
        <v>516</v>
      </c>
      <c r="Q405" s="45" t="s">
        <v>4</v>
      </c>
      <c r="R405" s="45" t="s">
        <v>688</v>
      </c>
      <c r="S405" s="45">
        <v>0</v>
      </c>
      <c r="T405" s="119">
        <v>240</v>
      </c>
      <c r="U405" s="62">
        <f t="shared" si="24"/>
        <v>14400</v>
      </c>
      <c r="V405" s="63"/>
      <c r="W405" s="52" t="str">
        <f t="shared" si="28"/>
        <v>&lt; 6 Months</v>
      </c>
    </row>
    <row r="406" spans="1:23">
      <c r="A406" s="101"/>
      <c r="B406" s="45" t="s">
        <v>9</v>
      </c>
      <c r="C406" s="45" t="s">
        <v>687</v>
      </c>
      <c r="D406" s="43" t="s">
        <v>1264</v>
      </c>
      <c r="E406" s="43"/>
      <c r="F406" s="1"/>
      <c r="G406" s="41" t="s">
        <v>9</v>
      </c>
      <c r="H406" s="116">
        <v>9</v>
      </c>
      <c r="I406" s="41">
        <v>1</v>
      </c>
      <c r="J406" s="98">
        <f t="shared" si="29"/>
        <v>9</v>
      </c>
      <c r="K406" s="60" t="e">
        <v>#N/A</v>
      </c>
      <c r="L406" s="60"/>
      <c r="M406" s="60"/>
      <c r="N406" s="60"/>
      <c r="O406" s="60"/>
      <c r="P406" s="45" t="s">
        <v>516</v>
      </c>
      <c r="Q406" s="45" t="s">
        <v>4</v>
      </c>
      <c r="R406" s="45" t="s">
        <v>688</v>
      </c>
      <c r="S406" s="45">
        <v>0</v>
      </c>
      <c r="T406" s="119"/>
      <c r="U406" s="62">
        <f t="shared" si="24"/>
        <v>0</v>
      </c>
      <c r="V406" s="63"/>
      <c r="W406" s="52" t="str">
        <f t="shared" si="28"/>
        <v>&lt; 6 Months</v>
      </c>
    </row>
    <row r="407" spans="1:23">
      <c r="A407" s="101"/>
      <c r="B407" s="45" t="s">
        <v>9</v>
      </c>
      <c r="C407" s="45" t="s">
        <v>687</v>
      </c>
      <c r="D407" s="99" t="s">
        <v>131</v>
      </c>
      <c r="E407" s="43"/>
      <c r="F407" s="1"/>
      <c r="G407" s="41" t="s">
        <v>9</v>
      </c>
      <c r="H407" s="116">
        <v>275</v>
      </c>
      <c r="I407" s="41">
        <v>1</v>
      </c>
      <c r="J407" s="98">
        <f t="shared" si="29"/>
        <v>275</v>
      </c>
      <c r="K407" s="60" t="s">
        <v>129</v>
      </c>
      <c r="L407" s="60" t="s">
        <v>850</v>
      </c>
      <c r="M407" s="60" t="s">
        <v>714</v>
      </c>
      <c r="N407" s="60" t="s">
        <v>131</v>
      </c>
      <c r="O407" s="60" t="s">
        <v>131</v>
      </c>
      <c r="P407" s="45" t="s">
        <v>516</v>
      </c>
      <c r="Q407" s="45" t="s">
        <v>4</v>
      </c>
      <c r="R407" s="45" t="s">
        <v>688</v>
      </c>
      <c r="S407" s="45">
        <v>0</v>
      </c>
      <c r="T407" s="119">
        <v>1380</v>
      </c>
      <c r="U407" s="62">
        <f t="shared" si="24"/>
        <v>379500</v>
      </c>
      <c r="V407" s="63"/>
      <c r="W407" s="52" t="str">
        <f t="shared" si="28"/>
        <v>&lt; 6 Months</v>
      </c>
    </row>
    <row r="408" spans="1:23">
      <c r="A408" s="101"/>
      <c r="B408" s="45" t="s">
        <v>9</v>
      </c>
      <c r="C408" s="45" t="s">
        <v>687</v>
      </c>
      <c r="D408" s="99" t="s">
        <v>1268</v>
      </c>
      <c r="E408" s="43"/>
      <c r="F408" s="1"/>
      <c r="G408" s="41" t="s">
        <v>9</v>
      </c>
      <c r="H408" s="116">
        <v>34.39</v>
      </c>
      <c r="I408" s="41">
        <v>1</v>
      </c>
      <c r="J408" s="98">
        <f t="shared" si="29"/>
        <v>34.39</v>
      </c>
      <c r="K408" s="60" t="e">
        <v>#N/A</v>
      </c>
      <c r="L408" s="60"/>
      <c r="M408" s="60"/>
      <c r="N408" s="60"/>
      <c r="O408" s="60"/>
      <c r="P408" s="45" t="s">
        <v>516</v>
      </c>
      <c r="Q408" s="45" t="s">
        <v>4</v>
      </c>
      <c r="R408" s="45" t="s">
        <v>688</v>
      </c>
      <c r="S408" s="45">
        <v>0</v>
      </c>
      <c r="T408" s="119"/>
      <c r="U408" s="62">
        <f t="shared" si="24"/>
        <v>0</v>
      </c>
      <c r="V408" s="63"/>
      <c r="W408" s="52" t="str">
        <f t="shared" si="28"/>
        <v>&lt; 6 Months</v>
      </c>
    </row>
    <row r="409" spans="1:23">
      <c r="A409" s="101"/>
      <c r="B409" s="45" t="s">
        <v>9</v>
      </c>
      <c r="C409" s="45" t="s">
        <v>687</v>
      </c>
      <c r="D409" s="99" t="s">
        <v>1265</v>
      </c>
      <c r="E409" s="43"/>
      <c r="F409" s="1"/>
      <c r="G409" s="41" t="s">
        <v>9</v>
      </c>
      <c r="H409" s="116">
        <v>20</v>
      </c>
      <c r="I409" s="41">
        <v>1</v>
      </c>
      <c r="J409" s="98">
        <f t="shared" si="29"/>
        <v>20</v>
      </c>
      <c r="K409" s="60" t="e">
        <v>#N/A</v>
      </c>
      <c r="L409" s="60"/>
      <c r="M409" s="60"/>
      <c r="N409" s="60"/>
      <c r="O409" s="60"/>
      <c r="P409" s="45" t="s">
        <v>516</v>
      </c>
      <c r="Q409" s="45" t="s">
        <v>4</v>
      </c>
      <c r="R409" s="45" t="s">
        <v>688</v>
      </c>
      <c r="S409" s="45">
        <v>0</v>
      </c>
      <c r="T409" s="119"/>
      <c r="U409" s="62">
        <f t="shared" si="24"/>
        <v>0</v>
      </c>
      <c r="V409" s="63"/>
      <c r="W409" s="52" t="str">
        <f t="shared" si="28"/>
        <v>&lt; 6 Months</v>
      </c>
    </row>
    <row r="410" spans="1:23">
      <c r="A410" s="101"/>
      <c r="B410" s="45" t="s">
        <v>9</v>
      </c>
      <c r="C410" s="45" t="s">
        <v>687</v>
      </c>
      <c r="D410" s="99" t="s">
        <v>1269</v>
      </c>
      <c r="E410" s="43"/>
      <c r="F410" s="1"/>
      <c r="G410" s="41" t="s">
        <v>9</v>
      </c>
      <c r="H410" s="116">
        <v>300</v>
      </c>
      <c r="I410" s="41">
        <v>0.5</v>
      </c>
      <c r="J410" s="98">
        <f t="shared" si="29"/>
        <v>150</v>
      </c>
      <c r="K410" s="60" t="e">
        <v>#N/A</v>
      </c>
      <c r="L410" s="60"/>
      <c r="M410" s="60"/>
      <c r="N410" s="60"/>
      <c r="O410" s="60"/>
      <c r="P410" s="45" t="s">
        <v>516</v>
      </c>
      <c r="Q410" s="45" t="s">
        <v>4</v>
      </c>
      <c r="R410" s="45" t="s">
        <v>688</v>
      </c>
      <c r="S410" s="45">
        <v>0</v>
      </c>
      <c r="T410" s="119"/>
      <c r="U410" s="62">
        <f t="shared" si="24"/>
        <v>0</v>
      </c>
      <c r="V410" s="63"/>
      <c r="W410" s="52" t="str">
        <f t="shared" si="28"/>
        <v>&lt; 6 Months</v>
      </c>
    </row>
    <row r="411" spans="1:23">
      <c r="A411" s="101"/>
      <c r="B411" s="45" t="s">
        <v>9</v>
      </c>
      <c r="C411" s="45" t="s">
        <v>687</v>
      </c>
      <c r="D411" s="99" t="s">
        <v>1266</v>
      </c>
      <c r="E411" s="43"/>
      <c r="F411" s="1"/>
      <c r="G411" s="41" t="s">
        <v>9</v>
      </c>
      <c r="H411" s="116">
        <v>3430</v>
      </c>
      <c r="I411" s="41">
        <v>1</v>
      </c>
      <c r="J411" s="98">
        <f t="shared" si="29"/>
        <v>3430</v>
      </c>
      <c r="K411" s="60" t="e">
        <v>#N/A</v>
      </c>
      <c r="L411" s="60"/>
      <c r="M411" s="60"/>
      <c r="N411" s="60"/>
      <c r="O411" s="60"/>
      <c r="P411" s="45" t="s">
        <v>516</v>
      </c>
      <c r="Q411" s="45" t="s">
        <v>4</v>
      </c>
      <c r="R411" s="45" t="s">
        <v>688</v>
      </c>
      <c r="S411" s="45">
        <v>0</v>
      </c>
      <c r="T411" s="119"/>
      <c r="U411" s="62">
        <f t="shared" si="24"/>
        <v>0</v>
      </c>
      <c r="V411" s="63"/>
      <c r="W411" s="52" t="str">
        <f t="shared" si="28"/>
        <v>&lt; 6 Months</v>
      </c>
    </row>
    <row r="412" spans="1:23">
      <c r="A412" s="101"/>
      <c r="B412" s="45" t="s">
        <v>9</v>
      </c>
      <c r="C412" s="45" t="s">
        <v>687</v>
      </c>
      <c r="D412" s="99" t="s">
        <v>1267</v>
      </c>
      <c r="E412" s="43"/>
      <c r="F412" s="1"/>
      <c r="G412" s="41" t="s">
        <v>9</v>
      </c>
      <c r="H412" s="41">
        <v>100</v>
      </c>
      <c r="I412" s="41">
        <v>1</v>
      </c>
      <c r="J412" s="98">
        <f t="shared" si="29"/>
        <v>100</v>
      </c>
      <c r="K412" s="60" t="e">
        <v>#N/A</v>
      </c>
      <c r="L412" s="60"/>
      <c r="M412" s="60"/>
      <c r="N412" s="60"/>
      <c r="O412" s="60"/>
      <c r="P412" s="45" t="s">
        <v>516</v>
      </c>
      <c r="Q412" s="45" t="s">
        <v>4</v>
      </c>
      <c r="R412" s="45" t="s">
        <v>688</v>
      </c>
      <c r="S412" s="45">
        <v>0</v>
      </c>
      <c r="T412" s="119"/>
      <c r="U412" s="62">
        <f t="shared" si="24"/>
        <v>0</v>
      </c>
      <c r="V412" s="63"/>
      <c r="W412" s="52" t="str">
        <f t="shared" si="28"/>
        <v>&lt; 6 Months</v>
      </c>
    </row>
  </sheetData>
  <autoFilter ref="A6:Z412" xr:uid="{85DEEDA5-8D4C-4E50-A3FB-B62B5D595FA8}"/>
  <conditionalFormatting sqref="D344">
    <cfRule type="duplicateValues" dxfId="34" priority="15"/>
    <cfRule type="duplicateValues" dxfId="33" priority="16"/>
    <cfRule type="duplicateValues" dxfId="32" priority="17"/>
  </conditionalFormatting>
  <conditionalFormatting sqref="D351">
    <cfRule type="duplicateValues" dxfId="31" priority="9"/>
    <cfRule type="duplicateValues" dxfId="30" priority="10"/>
    <cfRule type="duplicateValues" dxfId="29" priority="11"/>
  </conditionalFormatting>
  <conditionalFormatting sqref="D386">
    <cfRule type="duplicateValues" dxfId="28" priority="12"/>
    <cfRule type="duplicateValues" dxfId="27" priority="13"/>
    <cfRule type="duplicateValues" dxfId="26" priority="14"/>
  </conditionalFormatting>
  <conditionalFormatting sqref="D396">
    <cfRule type="duplicateValues" dxfId="25" priority="22"/>
    <cfRule type="duplicateValues" dxfId="24" priority="23"/>
    <cfRule type="duplicateValues" dxfId="23" priority="24"/>
  </conditionalFormatting>
  <conditionalFormatting sqref="D397 D392:D393 D370 D395 D399:D400">
    <cfRule type="duplicateValues" dxfId="22" priority="25"/>
    <cfRule type="duplicateValues" dxfId="21" priority="26"/>
    <cfRule type="duplicateValues" dxfId="20" priority="27"/>
  </conditionalFormatting>
  <conditionalFormatting sqref="D408">
    <cfRule type="duplicateValues" dxfId="19" priority="6"/>
  </conditionalFormatting>
  <conditionalFormatting sqref="D409:D411">
    <cfRule type="duplicateValues" dxfId="18" priority="5"/>
  </conditionalFormatting>
  <conditionalFormatting sqref="G9:G10">
    <cfRule type="duplicateValues" dxfId="17" priority="18"/>
    <cfRule type="duplicateValues" dxfId="16" priority="19"/>
  </conditionalFormatting>
  <conditionalFormatting sqref="G241">
    <cfRule type="duplicateValues" dxfId="15" priority="21"/>
  </conditionalFormatting>
  <conditionalFormatting sqref="G242 G1:G6 G244:G276 G278:G282 G11:G240">
    <cfRule type="duplicateValues" dxfId="14" priority="29"/>
  </conditionalFormatting>
  <conditionalFormatting sqref="G243">
    <cfRule type="duplicateValues" dxfId="13" priority="20"/>
  </conditionalFormatting>
  <conditionalFormatting sqref="G277">
    <cfRule type="duplicateValues" dxfId="12" priority="7"/>
    <cfRule type="duplicateValues" dxfId="11" priority="8"/>
  </conditionalFormatting>
  <conditionalFormatting sqref="G278:G282 G1:G6 G11:G276">
    <cfRule type="duplicateValues" dxfId="10" priority="28"/>
  </conditionalFormatting>
  <conditionalFormatting sqref="G283:G306 G308:G314 G317:G329">
    <cfRule type="duplicateValues" dxfId="9" priority="30"/>
    <cfRule type="duplicateValues" dxfId="8" priority="31"/>
  </conditionalFormatting>
  <conditionalFormatting sqref="G307">
    <cfRule type="duplicateValues" dxfId="7" priority="3"/>
    <cfRule type="duplicateValues" dxfId="6" priority="4"/>
  </conditionalFormatting>
  <conditionalFormatting sqref="G308:G314 G7:G306 G317:G412">
    <cfRule type="duplicateValues" dxfId="5" priority="32"/>
    <cfRule type="duplicateValues" dxfId="4" priority="33"/>
  </conditionalFormatting>
  <conditionalFormatting sqref="G315:G316">
    <cfRule type="duplicateValues" dxfId="3" priority="1"/>
    <cfRule type="duplicateValues" dxfId="2" priority="2"/>
  </conditionalFormatting>
  <conditionalFormatting sqref="G330:G412">
    <cfRule type="duplicateValues" dxfId="1" priority="34"/>
    <cfRule type="duplicateValues" dxfId="0" priority="35"/>
  </conditionalFormatting>
  <dataValidations count="1">
    <dataValidation allowBlank="1" showErrorMessage="1" sqref="K6:P6" xr:uid="{69CE6B1C-E716-4063-957D-2880485FD645}"/>
  </dataValidations>
  <pageMargins left="0.23622047244094491" right="0.23622047244094491" top="0.74803149606299213" bottom="0.74803149606299213" header="0.31496062992125984" footer="0.31496062992125984"/>
  <pageSetup scale="58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Pivot CFPL</vt:lpstr>
      <vt:lpstr>Pivot CDPL</vt:lpstr>
      <vt:lpstr>Pivot Other</vt:lpstr>
      <vt:lpstr>Pivot Dates</vt:lpstr>
      <vt:lpstr>12th May 26</vt:lpstr>
      <vt:lpstr>30th Dec 25 (2)</vt:lpstr>
      <vt:lpstr>'12th May 26'!Print_Titles</vt:lpstr>
      <vt:lpstr>'30th Dec 25 (2)'!Print_Titles</vt:lpstr>
      <vt:lpstr>'Pivot Dates'!Print_Titles</vt:lpstr>
      <vt:lpstr>'Pivot Other'!Print_Titles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Candor Foods</dc:creator>
  <cp:lastModifiedBy>Candor Foods</cp:lastModifiedBy>
  <cp:lastPrinted>2026-05-12T06:06:23Z</cp:lastPrinted>
  <dcterms:created xsi:type="dcterms:W3CDTF">2025-05-30T05:24:09Z</dcterms:created>
  <dcterms:modified xsi:type="dcterms:W3CDTF">2026-05-12T06:48:11Z</dcterms:modified>
</cp:coreProperties>
</file>