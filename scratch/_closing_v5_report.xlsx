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olidated" sheetId="2" state="visible" r:id="rId2"/>
    <sheet name="W-202" sheetId="3" state="visible" r:id="rId3"/>
    <sheet name="A-185" sheetId="4" state="visible" r:id="rId4"/>
    <sheet name="F-53 (APMC)" sheetId="5" state="visible" r:id="rId5"/>
    <sheet name="A-68" sheetId="6" state="visible" r:id="rId6"/>
    <sheet name="Rishi" sheetId="7" state="visible" r:id="rId7"/>
    <sheet name="Savla" sheetId="8" state="visible" r:id="rId8"/>
    <sheet name="Other" sheetId="9" state="visible" r:id="rId9"/>
    <sheet name="Sale_Classification" sheetId="10" state="visible" r:id="rId10"/>
    <sheet name="Intercompany_Digest" sheetId="11" state="visible" r:id="rId11"/>
    <sheet name="Intercompany_Li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6">
    <font>
      <name val="Calibri"/>
      <family val="2"/>
      <color theme="1"/>
      <sz val="11"/>
      <scheme val="minor"/>
    </font>
    <font>
      <b val="1"/>
      <color rgb="0016513F"/>
      <sz val="14"/>
    </font>
    <font>
      <i val="1"/>
      <color rgb="00666666"/>
    </font>
    <font>
      <b val="1"/>
      <color rgb="00FFFFFF"/>
    </font>
    <font>
      <b val="1"/>
      <color rgb="0016513F"/>
    </font>
    <font>
      <color rgb="00B6260D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3F0"/>
        <bgColor rgb="00EEF3F0"/>
      </patternFill>
    </fill>
    <fill>
      <patternFill patternType="solid">
        <fgColor rgb="00FDF6E3"/>
        <bgColor rgb="00FDF6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164" fontId="4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Closing Stock — Window 2026-04-01 → 2026-05-12</t>
        </is>
      </c>
    </row>
    <row r="2">
      <c r="A2" s="2" t="inlineStr">
        <is>
          <t>All quantities in KG. Source: scratch/_closing_v5_report.html</t>
        </is>
      </c>
    </row>
    <row r="4">
      <c r="A4" s="3" t="inlineStr">
        <is>
          <t>View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− Outward</t>
        </is>
      </c>
      <c r="E4" s="3">
        <f> Closing</f>
        <v/>
      </c>
    </row>
    <row r="5">
      <c r="A5" s="4" t="inlineStr">
        <is>
          <t>Consolidated</t>
        </is>
      </c>
      <c r="B5" s="5" t="n">
        <v>944290</v>
      </c>
      <c r="C5" s="5" t="n">
        <v>694098</v>
      </c>
      <c r="D5" s="5" t="n">
        <v>831041</v>
      </c>
      <c r="E5" s="5" t="n">
        <v>834010</v>
      </c>
    </row>
    <row r="6">
      <c r="A6" t="inlineStr">
        <is>
          <t>W-202</t>
        </is>
      </c>
      <c r="B6" s="6" t="n">
        <v>79372</v>
      </c>
      <c r="C6" s="6" t="n">
        <v>351223</v>
      </c>
      <c r="D6" s="6" t="n">
        <v>378167</v>
      </c>
      <c r="E6" s="6" t="n">
        <v>133580</v>
      </c>
    </row>
    <row r="7">
      <c r="A7" t="inlineStr">
        <is>
          <t>A-185</t>
        </is>
      </c>
      <c r="B7" s="6" t="n">
        <v>154665</v>
      </c>
      <c r="C7" s="6" t="n">
        <v>265426</v>
      </c>
      <c r="D7" s="6" t="n">
        <v>294558</v>
      </c>
      <c r="E7" s="6" t="n">
        <v>142531</v>
      </c>
    </row>
    <row r="8">
      <c r="A8" t="inlineStr">
        <is>
          <t>F-53 (APMC)</t>
        </is>
      </c>
      <c r="B8" s="6" t="n">
        <v>14491</v>
      </c>
      <c r="C8" s="6" t="n">
        <v>0</v>
      </c>
      <c r="D8" s="6" t="n">
        <v>16616</v>
      </c>
      <c r="E8" s="6" t="n">
        <v>15865</v>
      </c>
    </row>
    <row r="9">
      <c r="A9" t="inlineStr">
        <is>
          <t>A-68</t>
        </is>
      </c>
      <c r="B9" s="6" t="n">
        <v>0</v>
      </c>
      <c r="C9" s="6" t="n">
        <v>37918</v>
      </c>
      <c r="D9" s="6" t="n">
        <v>0</v>
      </c>
      <c r="E9" s="6" t="n">
        <v>24926</v>
      </c>
    </row>
    <row r="10">
      <c r="A10" t="inlineStr">
        <is>
          <t>Rishi</t>
        </is>
      </c>
      <c r="B10" s="6" t="n">
        <v>323837</v>
      </c>
      <c r="C10" s="6" t="n">
        <v>4569</v>
      </c>
      <c r="D10" s="6" t="n">
        <v>6000</v>
      </c>
      <c r="E10" s="6" t="n">
        <v>317182</v>
      </c>
    </row>
    <row r="11">
      <c r="A11" t="inlineStr">
        <is>
          <t>Savla</t>
        </is>
      </c>
      <c r="B11" s="6" t="n">
        <v>362126</v>
      </c>
      <c r="C11" s="6" t="n">
        <v>34962</v>
      </c>
      <c r="D11" s="6" t="n">
        <v>135700</v>
      </c>
      <c r="E11" s="6" t="n">
        <v>189613</v>
      </c>
    </row>
    <row r="12">
      <c r="A12" t="inlineStr">
        <is>
          <t>Other</t>
        </is>
      </c>
      <c r="B12" s="6" t="n">
        <v>9799</v>
      </c>
      <c r="C12" s="6" t="n">
        <v>0</v>
      </c>
      <c r="D12" s="6" t="n">
        <v>0</v>
      </c>
      <c r="E12" s="6" t="n">
        <v>10312</v>
      </c>
    </row>
    <row r="14">
      <c r="A14" s="7" t="inlineStr">
        <is>
          <t>Formula</t>
        </is>
      </c>
    </row>
    <row r="15">
      <c r="A15" t="inlineStr">
        <is>
          <t>Closing[group, unit] = Opening + Inward + Inf-In + Xfr-In − Xfr-Out + CN − Outward + Adj-In − Adj-Out ± Rearr</t>
        </is>
      </c>
    </row>
    <row r="16" ht="48" customHeight="1">
      <c r="A16" s="8" t="inlineStr">
        <is>
          <t>Outward is deducted from the article's own group (FG sale → FG group). Adj-In cancels the FG outward and Adj-Out deducts the BOM-derived ingredients from each source RM group. ± Rearr auto-rebalances cells that would close negative against units with stock for the same group (sums to zero per group across units).</t>
        </is>
      </c>
    </row>
  </sheetData>
  <mergeCells count="4">
    <mergeCell ref="A2:E2"/>
    <mergeCell ref="A15:E15"/>
    <mergeCell ref="A1:E1"/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Consolidated</t>
        </is>
      </c>
    </row>
    <row r="2">
      <c r="A2" s="2" t="inlineStr">
        <is>
          <t>Closing 834,010 kg  |  Opening 944,290 kg  |  Inward 694,098 kg  |  Outward 831,041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almond</t>
        </is>
      </c>
      <c r="B5" s="10" t="n">
        <v>12930</v>
      </c>
      <c r="C5" s="10" t="n">
        <v>52070</v>
      </c>
      <c r="D5" s="11" t="n">
        <v>0</v>
      </c>
      <c r="E5" s="10" t="n">
        <v>8884</v>
      </c>
      <c r="F5" s="10" t="n">
        <v>8884</v>
      </c>
      <c r="G5" s="10" t="n">
        <v>62</v>
      </c>
      <c r="H5" s="10" t="n">
        <v>45948</v>
      </c>
      <c r="I5" s="12" t="n">
        <v>5057</v>
      </c>
      <c r="J5" s="12" t="n">
        <v>9550</v>
      </c>
      <c r="K5" s="13" t="n">
        <v>0</v>
      </c>
      <c r="L5" s="10" t="n">
        <v>14721</v>
      </c>
    </row>
    <row r="6">
      <c r="A6" s="9" t="inlineStr">
        <is>
          <t>anjeer</t>
        </is>
      </c>
      <c r="B6" s="10" t="n">
        <v>122</v>
      </c>
      <c r="C6" s="10" t="n">
        <v>4161</v>
      </c>
      <c r="D6" s="11" t="n">
        <v>0</v>
      </c>
      <c r="E6" s="10" t="n">
        <v>1085</v>
      </c>
      <c r="F6" s="10" t="n">
        <v>1085</v>
      </c>
      <c r="G6" s="10" t="n">
        <v>3145</v>
      </c>
      <c r="H6" s="10" t="n">
        <v>2856</v>
      </c>
      <c r="I6" s="12" t="n">
        <v>59</v>
      </c>
      <c r="J6" s="12" t="n">
        <v>105</v>
      </c>
      <c r="K6" s="13" t="n">
        <v>0</v>
      </c>
      <c r="L6" s="10" t="n">
        <v>4527</v>
      </c>
    </row>
    <row r="7">
      <c r="A7" s="9" t="inlineStr">
        <is>
          <t>apricot</t>
        </is>
      </c>
      <c r="B7" s="10" t="n">
        <v>489</v>
      </c>
      <c r="C7" s="10" t="n">
        <v>3130</v>
      </c>
      <c r="D7" s="11" t="n">
        <v>0</v>
      </c>
      <c r="E7" s="10" t="n">
        <v>2000</v>
      </c>
      <c r="F7" s="10" t="n">
        <v>2000</v>
      </c>
      <c r="G7" s="10" t="n">
        <v>88</v>
      </c>
      <c r="H7" s="10" t="n">
        <v>1899</v>
      </c>
      <c r="I7" s="12" t="n">
        <v>1649</v>
      </c>
      <c r="J7" s="12" t="n">
        <v>1682</v>
      </c>
      <c r="K7" s="13" t="n">
        <v>0</v>
      </c>
      <c r="L7" s="10" t="n">
        <v>1775</v>
      </c>
    </row>
    <row r="8">
      <c r="A8" s="9" t="inlineStr">
        <is>
          <t>bars &amp; cereals</t>
        </is>
      </c>
      <c r="B8" s="10" t="n">
        <v>626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0" t="n">
        <v>3767</v>
      </c>
      <c r="I8" s="12" t="n">
        <v>3622</v>
      </c>
      <c r="J8" s="13" t="n">
        <v>0</v>
      </c>
      <c r="K8" s="13" t="n">
        <v>0</v>
      </c>
      <c r="L8" s="10" t="n">
        <v>480</v>
      </c>
    </row>
    <row r="9">
      <c r="A9" s="9" t="inlineStr">
        <is>
          <t>blackberry</t>
        </is>
      </c>
      <c r="B9" s="11" t="n">
        <v>0</v>
      </c>
      <c r="C9" s="10" t="n">
        <v>10</v>
      </c>
      <c r="D9" s="11" t="n">
        <v>0</v>
      </c>
      <c r="E9" s="11" t="n">
        <v>0</v>
      </c>
      <c r="F9" s="11" t="n">
        <v>0</v>
      </c>
      <c r="G9" s="11" t="n">
        <v>0</v>
      </c>
      <c r="H9" s="10" t="n">
        <v>4</v>
      </c>
      <c r="I9" s="12" t="n">
        <v>2</v>
      </c>
      <c r="J9" s="12" t="n">
        <v>2</v>
      </c>
      <c r="K9" s="13" t="n">
        <v>0</v>
      </c>
      <c r="L9" s="10" t="n">
        <v>6</v>
      </c>
    </row>
    <row r="10">
      <c r="A10" s="9" t="inlineStr">
        <is>
          <t>blackcurrant</t>
        </is>
      </c>
      <c r="B10" s="10" t="n">
        <v>397</v>
      </c>
      <c r="C10" s="11" t="n">
        <v>0</v>
      </c>
      <c r="D10" s="11" t="n">
        <v>0</v>
      </c>
      <c r="E10" s="10" t="n">
        <v>18</v>
      </c>
      <c r="F10" s="10" t="n">
        <v>18</v>
      </c>
      <c r="G10" s="11" t="n">
        <v>0</v>
      </c>
      <c r="H10" s="10" t="n">
        <v>45</v>
      </c>
      <c r="I10" s="12" t="n">
        <v>37</v>
      </c>
      <c r="J10" s="12" t="n">
        <v>83</v>
      </c>
      <c r="K10" s="13" t="n">
        <v>0</v>
      </c>
      <c r="L10" s="10" t="n">
        <v>306</v>
      </c>
    </row>
    <row r="11">
      <c r="A11" s="9" t="inlineStr">
        <is>
          <t>blueberry</t>
        </is>
      </c>
      <c r="B11" s="10" t="n">
        <v>1395</v>
      </c>
      <c r="C11" s="10" t="n">
        <v>3701</v>
      </c>
      <c r="D11" s="10" t="n">
        <v>2288</v>
      </c>
      <c r="E11" s="10" t="n">
        <v>3094</v>
      </c>
      <c r="F11" s="10" t="n">
        <v>3094</v>
      </c>
      <c r="G11" s="11" t="n">
        <v>0</v>
      </c>
      <c r="H11" s="10" t="n">
        <v>4543</v>
      </c>
      <c r="I11" s="12" t="n">
        <v>3807</v>
      </c>
      <c r="J11" s="12" t="n">
        <v>4033</v>
      </c>
      <c r="K11" s="13" t="n">
        <v>0</v>
      </c>
      <c r="L11" s="10" t="n">
        <v>2618</v>
      </c>
    </row>
    <row r="12">
      <c r="A12" s="9" t="inlineStr">
        <is>
          <t>cashew</t>
        </is>
      </c>
      <c r="B12" s="10" t="n">
        <v>17414</v>
      </c>
      <c r="C12" s="10" t="n">
        <v>20343</v>
      </c>
      <c r="D12" s="11" t="n">
        <v>0</v>
      </c>
      <c r="E12" s="10" t="n">
        <v>2817</v>
      </c>
      <c r="F12" s="10" t="n">
        <v>2817</v>
      </c>
      <c r="G12" s="10" t="n">
        <v>120</v>
      </c>
      <c r="H12" s="10" t="n">
        <v>20528</v>
      </c>
      <c r="I12" s="12" t="n">
        <v>10776</v>
      </c>
      <c r="J12" s="12" t="n">
        <v>12676</v>
      </c>
      <c r="K12" s="13" t="n">
        <v>0</v>
      </c>
      <c r="L12" s="10" t="n">
        <v>15479</v>
      </c>
    </row>
    <row r="13">
      <c r="A13" s="9" t="inlineStr">
        <is>
          <t>cranberry</t>
        </is>
      </c>
      <c r="B13" s="10" t="n">
        <v>43364</v>
      </c>
      <c r="C13" s="10" t="n">
        <v>19506</v>
      </c>
      <c r="D13" s="11" t="n">
        <v>0</v>
      </c>
      <c r="E13" s="10" t="n">
        <v>5802</v>
      </c>
      <c r="F13" s="10" t="n">
        <v>5802</v>
      </c>
      <c r="G13" s="10" t="n">
        <v>259</v>
      </c>
      <c r="H13" s="10" t="n">
        <v>10358</v>
      </c>
      <c r="I13" s="12" t="n">
        <v>8686</v>
      </c>
      <c r="J13" s="12" t="n">
        <v>9404</v>
      </c>
      <c r="K13" s="13" t="n">
        <v>0</v>
      </c>
      <c r="L13" s="10" t="n">
        <v>52066</v>
      </c>
    </row>
    <row r="14">
      <c r="A14" s="9" t="inlineStr">
        <is>
          <t>dates</t>
        </is>
      </c>
      <c r="B14" s="10" t="n">
        <v>625588</v>
      </c>
      <c r="C14" s="10" t="n">
        <v>101900</v>
      </c>
      <c r="D14" s="11" t="n">
        <v>0</v>
      </c>
      <c r="E14" s="10" t="n">
        <v>81126</v>
      </c>
      <c r="F14" s="10" t="n">
        <v>81126</v>
      </c>
      <c r="G14" s="10" t="n">
        <v>32942</v>
      </c>
      <c r="H14" s="10" t="n">
        <v>301983</v>
      </c>
      <c r="I14" s="12" t="n">
        <v>107472</v>
      </c>
      <c r="J14" s="12" t="n">
        <v>140652</v>
      </c>
      <c r="K14" s="13" t="n">
        <v>0</v>
      </c>
      <c r="L14" s="10" t="n">
        <v>425629</v>
      </c>
    </row>
    <row r="15">
      <c r="A15" s="9" t="inlineStr">
        <is>
          <t>dehydrated fruits</t>
        </is>
      </c>
      <c r="B15" s="10" t="n">
        <v>584</v>
      </c>
      <c r="C15" s="10" t="n">
        <v>290</v>
      </c>
      <c r="D15" s="11" t="n">
        <v>0</v>
      </c>
      <c r="E15" s="10" t="n">
        <v>10</v>
      </c>
      <c r="F15" s="10" t="n">
        <v>10</v>
      </c>
      <c r="G15" s="11" t="n">
        <v>0</v>
      </c>
      <c r="H15" s="10" t="n">
        <v>57</v>
      </c>
      <c r="I15" s="12" t="n">
        <v>45</v>
      </c>
      <c r="J15" s="12" t="n">
        <v>297</v>
      </c>
      <c r="K15" s="13" t="n">
        <v>0</v>
      </c>
      <c r="L15" s="10" t="n">
        <v>565</v>
      </c>
    </row>
    <row r="16">
      <c r="A16" s="9" t="inlineStr">
        <is>
          <t>festive hampers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0" t="n">
        <v>75</v>
      </c>
      <c r="I16" s="12" t="n">
        <v>15</v>
      </c>
      <c r="J16" s="13" t="n">
        <v>0</v>
      </c>
      <c r="K16" s="13" t="n">
        <v>0</v>
      </c>
      <c r="L16" s="14" t="n">
        <v>-60</v>
      </c>
    </row>
    <row r="17">
      <c r="A17" s="9" t="inlineStr">
        <is>
          <t>makhana</t>
        </is>
      </c>
      <c r="B17" s="10" t="n">
        <v>12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0" t="n">
        <v>6</v>
      </c>
      <c r="I17" s="13" t="n">
        <v>0</v>
      </c>
      <c r="J17" s="13" t="n">
        <v>0</v>
      </c>
      <c r="K17" s="13" t="n">
        <v>0</v>
      </c>
      <c r="L17" s="10" t="n">
        <v>6</v>
      </c>
    </row>
    <row r="18">
      <c r="A18" s="9" t="inlineStr">
        <is>
          <t>miscellaneous - rm</t>
        </is>
      </c>
      <c r="B18" s="10" t="n">
        <v>6541</v>
      </c>
      <c r="C18" s="10" t="n">
        <v>5703</v>
      </c>
      <c r="D18" s="11" t="n">
        <v>0</v>
      </c>
      <c r="E18" s="11" t="n">
        <v>0</v>
      </c>
      <c r="F18" s="11" t="n">
        <v>0</v>
      </c>
      <c r="G18" s="11" t="n">
        <v>0</v>
      </c>
      <c r="H18" s="10" t="n">
        <v>20</v>
      </c>
      <c r="I18" s="13" t="n">
        <v>0</v>
      </c>
      <c r="J18" s="12" t="n">
        <v>4269</v>
      </c>
      <c r="K18" s="13" t="n">
        <v>0</v>
      </c>
      <c r="L18" s="10" t="n">
        <v>8036</v>
      </c>
    </row>
    <row r="19">
      <c r="A19" s="9" t="inlineStr">
        <is>
          <t>packaging</t>
        </is>
      </c>
      <c r="B19" s="11" t="n">
        <v>0</v>
      </c>
      <c r="C19" s="10" t="n">
        <v>37534</v>
      </c>
      <c r="D19" s="11" t="n">
        <v>0</v>
      </c>
      <c r="E19" s="10" t="n">
        <v>55106</v>
      </c>
      <c r="F19" s="10" t="n">
        <v>55106</v>
      </c>
      <c r="G19" s="11" t="n">
        <v>0</v>
      </c>
      <c r="H19" s="10" t="n">
        <v>438</v>
      </c>
      <c r="I19" s="13" t="n">
        <v>0</v>
      </c>
      <c r="J19" s="13" t="n">
        <v>0</v>
      </c>
      <c r="K19" s="13" t="n">
        <v>0</v>
      </c>
      <c r="L19" s="10" t="n">
        <v>37096</v>
      </c>
    </row>
    <row r="20">
      <c r="A20" s="9" t="inlineStr">
        <is>
          <t>peanuts</t>
        </is>
      </c>
      <c r="B20" s="10" t="n">
        <v>3696</v>
      </c>
      <c r="C20" s="10" t="n">
        <v>3234</v>
      </c>
      <c r="D20" s="11" t="n">
        <v>0</v>
      </c>
      <c r="E20" s="10" t="n">
        <v>94</v>
      </c>
      <c r="F20" s="10" t="n">
        <v>94</v>
      </c>
      <c r="G20" s="10" t="n">
        <v>60</v>
      </c>
      <c r="H20" s="10" t="n">
        <v>4143</v>
      </c>
      <c r="I20" s="12" t="n">
        <v>3943</v>
      </c>
      <c r="J20" s="12" t="n">
        <v>2233</v>
      </c>
      <c r="K20" s="13" t="n">
        <v>0</v>
      </c>
      <c r="L20" s="10" t="n">
        <v>4557</v>
      </c>
    </row>
    <row r="21">
      <c r="A21" s="9" t="inlineStr">
        <is>
          <t>pista</t>
        </is>
      </c>
      <c r="B21" s="10" t="n">
        <v>73049</v>
      </c>
      <c r="C21" s="10" t="n">
        <v>64432</v>
      </c>
      <c r="D21" s="11" t="n">
        <v>0</v>
      </c>
      <c r="E21" s="10" t="n">
        <v>9098</v>
      </c>
      <c r="F21" s="10" t="n">
        <v>9098</v>
      </c>
      <c r="G21" s="10" t="n">
        <v>6219</v>
      </c>
      <c r="H21" s="10" t="n">
        <v>58098</v>
      </c>
      <c r="I21" s="12" t="n">
        <v>41764</v>
      </c>
      <c r="J21" s="12" t="n">
        <v>43470</v>
      </c>
      <c r="K21" s="13" t="n">
        <v>0</v>
      </c>
      <c r="L21" s="10" t="n">
        <v>83924</v>
      </c>
    </row>
    <row r="22">
      <c r="A22" s="9" t="inlineStr">
        <is>
          <t>premium nuts</t>
        </is>
      </c>
      <c r="B22" s="10" t="n">
        <v>10781</v>
      </c>
      <c r="C22" s="10" t="n">
        <v>73</v>
      </c>
      <c r="D22" s="11" t="n">
        <v>0</v>
      </c>
      <c r="E22" s="10" t="n">
        <v>1393</v>
      </c>
      <c r="F22" s="10" t="n">
        <v>1393</v>
      </c>
      <c r="G22" s="10" t="n">
        <v>298</v>
      </c>
      <c r="H22" s="10" t="n">
        <v>1917</v>
      </c>
      <c r="I22" s="12" t="n">
        <v>629</v>
      </c>
      <c r="J22" s="12" t="n">
        <v>665</v>
      </c>
      <c r="K22" s="13" t="n">
        <v>0</v>
      </c>
      <c r="L22" s="10" t="n">
        <v>9199</v>
      </c>
    </row>
    <row r="23">
      <c r="A23" s="9" t="inlineStr">
        <is>
          <t>prunes</t>
        </is>
      </c>
      <c r="B23" s="10" t="n">
        <v>3369</v>
      </c>
      <c r="C23" s="10" t="n">
        <v>10776</v>
      </c>
      <c r="D23" s="11" t="n">
        <v>0</v>
      </c>
      <c r="E23" s="10" t="n">
        <v>8279</v>
      </c>
      <c r="F23" s="10" t="n">
        <v>8279</v>
      </c>
      <c r="G23" s="10" t="n">
        <v>325</v>
      </c>
      <c r="H23" s="10" t="n">
        <v>6741</v>
      </c>
      <c r="I23" s="12" t="n">
        <v>6026</v>
      </c>
      <c r="J23" s="12" t="n">
        <v>6144</v>
      </c>
      <c r="K23" s="13" t="n">
        <v>0</v>
      </c>
      <c r="L23" s="10" t="n">
        <v>7611</v>
      </c>
    </row>
    <row r="24">
      <c r="A24" s="9" t="inlineStr">
        <is>
          <t>raisin</t>
        </is>
      </c>
      <c r="B24" s="10" t="n">
        <v>23880</v>
      </c>
      <c r="C24" s="10" t="n">
        <v>40678</v>
      </c>
      <c r="D24" s="11" t="n">
        <v>0</v>
      </c>
      <c r="E24" s="10" t="n">
        <v>4347</v>
      </c>
      <c r="F24" s="10" t="n">
        <v>4347</v>
      </c>
      <c r="G24" s="10" t="n">
        <v>50</v>
      </c>
      <c r="H24" s="10" t="n">
        <v>14200</v>
      </c>
      <c r="I24" s="12" t="n">
        <v>5340</v>
      </c>
      <c r="J24" s="12" t="n">
        <v>8350</v>
      </c>
      <c r="K24" s="13" t="n">
        <v>0</v>
      </c>
      <c r="L24" s="10" t="n">
        <v>47452</v>
      </c>
    </row>
    <row r="25">
      <c r="A25" s="9" t="inlineStr">
        <is>
          <t>salt</t>
        </is>
      </c>
      <c r="B25" s="10" t="n">
        <v>940</v>
      </c>
      <c r="C25" s="10" t="n">
        <v>1555</v>
      </c>
      <c r="D25" s="11" t="n">
        <v>0</v>
      </c>
      <c r="E25" s="10" t="n">
        <v>20</v>
      </c>
      <c r="F25" s="10" t="n">
        <v>20</v>
      </c>
      <c r="G25" s="11" t="n">
        <v>0</v>
      </c>
      <c r="H25" s="11" t="n">
        <v>0</v>
      </c>
      <c r="I25" s="13" t="n">
        <v>0</v>
      </c>
      <c r="J25" s="12" t="n">
        <v>221</v>
      </c>
      <c r="K25" s="13" t="n">
        <v>0</v>
      </c>
      <c r="L25" s="10" t="n">
        <v>2274</v>
      </c>
    </row>
    <row r="26">
      <c r="A26" s="9" t="inlineStr">
        <is>
          <t>seasoning</t>
        </is>
      </c>
      <c r="B26" s="10" t="n">
        <v>2421</v>
      </c>
      <c r="C26" s="10" t="n">
        <v>600</v>
      </c>
      <c r="D26" s="11" t="n">
        <v>0</v>
      </c>
      <c r="E26" s="10" t="n">
        <v>606</v>
      </c>
      <c r="F26" s="10" t="n">
        <v>606</v>
      </c>
      <c r="G26" s="11" t="n">
        <v>0</v>
      </c>
      <c r="H26" s="10" t="n">
        <v>34</v>
      </c>
      <c r="I26" s="13" t="n">
        <v>0</v>
      </c>
      <c r="J26" s="12" t="n">
        <v>934</v>
      </c>
      <c r="K26" s="13" t="n">
        <v>0</v>
      </c>
      <c r="L26" s="10" t="n">
        <v>2053</v>
      </c>
    </row>
    <row r="27">
      <c r="A27" s="9" t="inlineStr">
        <is>
          <t>seeds</t>
        </is>
      </c>
      <c r="B27" s="10" t="n">
        <v>112792</v>
      </c>
      <c r="C27" s="10" t="n">
        <v>323894</v>
      </c>
      <c r="D27" s="11" t="n">
        <v>0</v>
      </c>
      <c r="E27" s="10" t="n">
        <v>80369</v>
      </c>
      <c r="F27" s="10" t="n">
        <v>80369</v>
      </c>
      <c r="G27" s="10" t="n">
        <v>5572</v>
      </c>
      <c r="H27" s="10" t="n">
        <v>288410</v>
      </c>
      <c r="I27" s="12" t="n">
        <v>242356</v>
      </c>
      <c r="J27" s="12" t="n">
        <v>276033</v>
      </c>
      <c r="K27" s="13" t="n">
        <v>0</v>
      </c>
      <c r="L27" s="10" t="n">
        <v>120303</v>
      </c>
    </row>
    <row r="28">
      <c r="A28" s="9" t="inlineStr">
        <is>
          <t>spices</t>
        </is>
      </c>
      <c r="B28" s="10" t="n">
        <v>9</v>
      </c>
      <c r="C28" s="10" t="n">
        <v>11</v>
      </c>
      <c r="D28" s="11" t="n">
        <v>0</v>
      </c>
      <c r="E28" s="11" t="n">
        <v>0</v>
      </c>
      <c r="F28" s="11" t="n">
        <v>0</v>
      </c>
      <c r="G28" s="11" t="n">
        <v>0</v>
      </c>
      <c r="H28" s="10" t="n">
        <v>2</v>
      </c>
      <c r="I28" s="13" t="n">
        <v>0</v>
      </c>
      <c r="J28" s="12" t="n">
        <v>9</v>
      </c>
      <c r="K28" s="13" t="n">
        <v>0</v>
      </c>
      <c r="L28" s="10" t="n">
        <v>10</v>
      </c>
    </row>
    <row r="29">
      <c r="A29" s="9" t="inlineStr">
        <is>
          <t>tajir</t>
        </is>
      </c>
      <c r="B29" s="10" t="n">
        <v>1596</v>
      </c>
      <c r="C29" s="10" t="n">
        <v>450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3" t="n">
        <v>0</v>
      </c>
      <c r="J29" s="12" t="n">
        <v>208</v>
      </c>
      <c r="K29" s="13" t="n">
        <v>0</v>
      </c>
      <c r="L29" s="10" t="n">
        <v>1838</v>
      </c>
    </row>
    <row r="30">
      <c r="A30" s="9" t="inlineStr">
        <is>
          <t>trail mix</t>
        </is>
      </c>
      <c r="B30" s="10" t="n">
        <v>1157</v>
      </c>
      <c r="C30" s="11" t="n">
        <v>0</v>
      </c>
      <c r="D30" s="11" t="n">
        <v>0</v>
      </c>
      <c r="E30" s="11" t="n">
        <v>0</v>
      </c>
      <c r="F30" s="11" t="n">
        <v>0</v>
      </c>
      <c r="G30" s="10" t="n">
        <v>1065</v>
      </c>
      <c r="H30" s="10" t="n">
        <v>64332</v>
      </c>
      <c r="I30" s="12" t="n">
        <v>53902</v>
      </c>
      <c r="J30" s="12" t="n">
        <v>8</v>
      </c>
      <c r="K30" s="13" t="n">
        <v>0</v>
      </c>
      <c r="L30" s="14" t="n">
        <v>-8978</v>
      </c>
    </row>
    <row r="31">
      <c r="A31" s="9" t="inlineStr">
        <is>
          <t>walnut</t>
        </is>
      </c>
      <c r="B31" s="10" t="n">
        <v>1136</v>
      </c>
      <c r="C31" s="10" t="n">
        <v>45</v>
      </c>
      <c r="D31" s="11" t="n">
        <v>0</v>
      </c>
      <c r="E31" s="10" t="n">
        <v>300</v>
      </c>
      <c r="F31" s="10" t="n">
        <v>300</v>
      </c>
      <c r="G31" s="10" t="n">
        <v>19</v>
      </c>
      <c r="H31" s="10" t="n">
        <v>637</v>
      </c>
      <c r="I31" s="12" t="n">
        <v>137</v>
      </c>
      <c r="J31" s="12" t="n">
        <v>185</v>
      </c>
      <c r="K31" s="13" t="n">
        <v>0</v>
      </c>
      <c r="L31" s="10" t="n">
        <v>515</v>
      </c>
    </row>
    <row r="32">
      <c r="A32" s="15" t="inlineStr">
        <is>
          <t>TOTAL</t>
        </is>
      </c>
      <c r="B32" s="16" t="n">
        <v>944290</v>
      </c>
      <c r="C32" s="16" t="n">
        <v>694098</v>
      </c>
      <c r="D32" s="16" t="n">
        <v>2288</v>
      </c>
      <c r="E32" s="16" t="n">
        <v>264449</v>
      </c>
      <c r="F32" s="16" t="n">
        <v>264449</v>
      </c>
      <c r="G32" s="16" t="n">
        <v>50225</v>
      </c>
      <c r="H32" s="16" t="n">
        <v>831041</v>
      </c>
      <c r="I32" s="16" t="n">
        <v>495324</v>
      </c>
      <c r="J32" s="16" t="n">
        <v>521213</v>
      </c>
      <c r="K32" s="17" t="n">
        <v>0</v>
      </c>
      <c r="L32" s="16" t="n">
        <v>834010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W-202</t>
        </is>
      </c>
    </row>
    <row r="2">
      <c r="A2" s="2" t="inlineStr">
        <is>
          <t>Closing 133,580 kg  |  Opening 79,372 kg  |  Inward 351,223 kg  |  Outward 378,167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almond</t>
        </is>
      </c>
      <c r="B5" s="10" t="n">
        <v>4523</v>
      </c>
      <c r="C5" s="10" t="n">
        <v>47811</v>
      </c>
      <c r="D5" s="11" t="n">
        <v>0</v>
      </c>
      <c r="E5" s="10" t="n">
        <v>444</v>
      </c>
      <c r="F5" s="10" t="n">
        <v>8290</v>
      </c>
      <c r="G5" s="10" t="n">
        <v>53</v>
      </c>
      <c r="H5" s="10" t="n">
        <v>43307</v>
      </c>
      <c r="I5" s="12" t="n">
        <v>2678</v>
      </c>
      <c r="J5" s="12" t="n">
        <v>4255</v>
      </c>
      <c r="K5" s="12" t="n">
        <v>312</v>
      </c>
      <c r="L5" s="11" t="n">
        <v>0</v>
      </c>
    </row>
    <row r="6">
      <c r="A6" s="9" t="inlineStr">
        <is>
          <t>anjeer</t>
        </is>
      </c>
      <c r="B6" s="10" t="n">
        <v>98</v>
      </c>
      <c r="C6" s="10" t="n">
        <v>4161</v>
      </c>
      <c r="D6" s="11" t="n">
        <v>0</v>
      </c>
      <c r="E6" s="11" t="n">
        <v>0</v>
      </c>
      <c r="F6" s="10" t="n">
        <v>1085</v>
      </c>
      <c r="G6" s="10" t="n">
        <v>3145</v>
      </c>
      <c r="H6" s="10" t="n">
        <v>2856</v>
      </c>
      <c r="I6" s="12" t="n">
        <v>59</v>
      </c>
      <c r="J6" s="12" t="n">
        <v>105</v>
      </c>
      <c r="K6" s="13" t="n">
        <v>0</v>
      </c>
      <c r="L6" s="10" t="n">
        <v>3418</v>
      </c>
    </row>
    <row r="7">
      <c r="A7" s="9" t="inlineStr">
        <is>
          <t>apricot</t>
        </is>
      </c>
      <c r="B7" s="10" t="n">
        <v>264</v>
      </c>
      <c r="C7" s="10" t="n">
        <v>2030</v>
      </c>
      <c r="D7" s="11" t="n">
        <v>0</v>
      </c>
      <c r="E7" s="10" t="n">
        <v>1000</v>
      </c>
      <c r="F7" s="10" t="n">
        <v>1000</v>
      </c>
      <c r="G7" s="10" t="n">
        <v>88</v>
      </c>
      <c r="H7" s="10" t="n">
        <v>1899</v>
      </c>
      <c r="I7" s="12" t="n">
        <v>1649</v>
      </c>
      <c r="J7" s="12" t="n">
        <v>1682</v>
      </c>
      <c r="K7" s="13" t="n">
        <v>0</v>
      </c>
      <c r="L7" s="10" t="n">
        <v>450</v>
      </c>
    </row>
    <row r="8">
      <c r="A8" s="9" t="inlineStr">
        <is>
          <t>bars &amp; cereals</t>
        </is>
      </c>
      <c r="B8" s="10" t="n">
        <v>625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0" t="n">
        <v>3767</v>
      </c>
      <c r="I8" s="12" t="n">
        <v>3622</v>
      </c>
      <c r="J8" s="13" t="n">
        <v>0</v>
      </c>
      <c r="K8" s="13" t="n">
        <v>0</v>
      </c>
      <c r="L8" s="10" t="n">
        <v>479</v>
      </c>
    </row>
    <row r="9">
      <c r="A9" s="9" t="inlineStr">
        <is>
          <t>blackberry</t>
        </is>
      </c>
      <c r="B9" s="11" t="n">
        <v>0</v>
      </c>
      <c r="C9" s="10" t="n">
        <v>10</v>
      </c>
      <c r="D9" s="11" t="n">
        <v>0</v>
      </c>
      <c r="E9" s="11" t="n">
        <v>0</v>
      </c>
      <c r="F9" s="11" t="n">
        <v>0</v>
      </c>
      <c r="G9" s="11" t="n">
        <v>0</v>
      </c>
      <c r="H9" s="10" t="n">
        <v>4</v>
      </c>
      <c r="I9" s="12" t="n">
        <v>2</v>
      </c>
      <c r="J9" s="12" t="n">
        <v>2</v>
      </c>
      <c r="K9" s="13" t="n">
        <v>0</v>
      </c>
      <c r="L9" s="10" t="n">
        <v>6</v>
      </c>
    </row>
    <row r="10">
      <c r="A10" s="9" t="inlineStr">
        <is>
          <t>blackcurrant</t>
        </is>
      </c>
      <c r="B10" s="10" t="n">
        <v>85</v>
      </c>
      <c r="C10" s="11" t="n">
        <v>0</v>
      </c>
      <c r="D10" s="11" t="n">
        <v>0</v>
      </c>
      <c r="E10" s="11" t="n">
        <v>0</v>
      </c>
      <c r="F10" s="10" t="n">
        <v>18</v>
      </c>
      <c r="G10" s="11" t="n">
        <v>0</v>
      </c>
      <c r="H10" s="10" t="n">
        <v>45</v>
      </c>
      <c r="I10" s="12" t="n">
        <v>37</v>
      </c>
      <c r="J10" s="12" t="n">
        <v>83</v>
      </c>
      <c r="K10" s="12" t="n">
        <v>25</v>
      </c>
      <c r="L10" s="11" t="n">
        <v>0</v>
      </c>
    </row>
    <row r="11">
      <c r="A11" s="9" t="inlineStr">
        <is>
          <t>blueberry</t>
        </is>
      </c>
      <c r="B11" s="10" t="n">
        <v>236</v>
      </c>
      <c r="C11" s="10" t="n">
        <v>1363</v>
      </c>
      <c r="D11" s="11" t="n">
        <v>0</v>
      </c>
      <c r="E11" s="10" t="n">
        <v>1212</v>
      </c>
      <c r="F11" s="10" t="n">
        <v>30</v>
      </c>
      <c r="G11" s="11" t="n">
        <v>0</v>
      </c>
      <c r="H11" s="10" t="n">
        <v>1299</v>
      </c>
      <c r="I11" s="12" t="n">
        <v>1211</v>
      </c>
      <c r="J11" s="12" t="n">
        <v>1262</v>
      </c>
      <c r="K11" s="18" t="n">
        <v>-36</v>
      </c>
      <c r="L11" s="10" t="n">
        <v>1394</v>
      </c>
    </row>
    <row r="12">
      <c r="A12" s="9" t="inlineStr">
        <is>
          <t>cashew</t>
        </is>
      </c>
      <c r="B12" s="10" t="n">
        <v>1735</v>
      </c>
      <c r="C12" s="10" t="n">
        <v>7572</v>
      </c>
      <c r="D12" s="11" t="n">
        <v>0</v>
      </c>
      <c r="E12" s="10" t="n">
        <v>2203</v>
      </c>
      <c r="F12" s="10" t="n">
        <v>310</v>
      </c>
      <c r="G12" s="11" t="n">
        <v>0</v>
      </c>
      <c r="H12" s="10" t="n">
        <v>15476</v>
      </c>
      <c r="I12" s="12" t="n">
        <v>6733</v>
      </c>
      <c r="J12" s="12" t="n">
        <v>7650</v>
      </c>
      <c r="K12" s="12" t="n">
        <v>5185</v>
      </c>
      <c r="L12" s="11" t="n">
        <v>0</v>
      </c>
    </row>
    <row r="13">
      <c r="A13" s="9" t="inlineStr">
        <is>
          <t>cranberry</t>
        </is>
      </c>
      <c r="B13" s="10" t="n">
        <v>557</v>
      </c>
      <c r="C13" s="10" t="n">
        <v>16330</v>
      </c>
      <c r="D13" s="11" t="n">
        <v>0</v>
      </c>
      <c r="E13" s="10" t="n">
        <v>2105</v>
      </c>
      <c r="F13" s="11" t="n">
        <v>0</v>
      </c>
      <c r="G13" s="10" t="n">
        <v>24</v>
      </c>
      <c r="H13" s="10" t="n">
        <v>3546</v>
      </c>
      <c r="I13" s="12" t="n">
        <v>3052</v>
      </c>
      <c r="J13" s="12" t="n">
        <v>3347</v>
      </c>
      <c r="K13" s="13" t="n">
        <v>0</v>
      </c>
      <c r="L13" s="10" t="n">
        <v>15175</v>
      </c>
    </row>
    <row r="14">
      <c r="A14" s="9" t="inlineStr">
        <is>
          <t>dates</t>
        </is>
      </c>
      <c r="B14" s="10" t="n">
        <v>48895</v>
      </c>
      <c r="C14" s="10" t="n">
        <v>76174</v>
      </c>
      <c r="D14" s="11" t="n">
        <v>0</v>
      </c>
      <c r="E14" s="10" t="n">
        <v>54004</v>
      </c>
      <c r="F14" s="10" t="n">
        <v>26415</v>
      </c>
      <c r="G14" s="10" t="n">
        <v>31292</v>
      </c>
      <c r="H14" s="10" t="n">
        <v>153668</v>
      </c>
      <c r="I14" s="12" t="n">
        <v>67555</v>
      </c>
      <c r="J14" s="12" t="n">
        <v>80998</v>
      </c>
      <c r="K14" s="13" t="n">
        <v>0</v>
      </c>
      <c r="L14" s="10" t="n">
        <v>17203</v>
      </c>
    </row>
    <row r="15">
      <c r="A15" s="9" t="inlineStr">
        <is>
          <t>dehydrated fruits</t>
        </is>
      </c>
      <c r="B15" s="10" t="n">
        <v>272</v>
      </c>
      <c r="C15" s="10" t="n">
        <v>68</v>
      </c>
      <c r="D15" s="11" t="n">
        <v>0</v>
      </c>
      <c r="E15" s="10" t="n">
        <v>10</v>
      </c>
      <c r="F15" s="11" t="n">
        <v>0</v>
      </c>
      <c r="G15" s="11" t="n">
        <v>0</v>
      </c>
      <c r="H15" s="10" t="n">
        <v>57</v>
      </c>
      <c r="I15" s="12" t="n">
        <v>45</v>
      </c>
      <c r="J15" s="12" t="n">
        <v>297</v>
      </c>
      <c r="K15" s="13" t="n">
        <v>0</v>
      </c>
      <c r="L15" s="10" t="n">
        <v>41</v>
      </c>
    </row>
    <row r="16">
      <c r="A16" s="9" t="inlineStr">
        <is>
          <t>festive hampers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0" t="n">
        <v>75</v>
      </c>
      <c r="I16" s="12" t="n">
        <v>15</v>
      </c>
      <c r="J16" s="13" t="n">
        <v>0</v>
      </c>
      <c r="K16" s="13" t="n">
        <v>0</v>
      </c>
      <c r="L16" s="14" t="n">
        <v>-60</v>
      </c>
    </row>
    <row r="17">
      <c r="A17" s="9" t="inlineStr">
        <is>
          <t>makhana</t>
        </is>
      </c>
      <c r="B17" s="10" t="n">
        <v>3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0" t="n">
        <v>6</v>
      </c>
      <c r="I17" s="13" t="n">
        <v>0</v>
      </c>
      <c r="J17" s="13" t="n">
        <v>0</v>
      </c>
      <c r="K17" s="12" t="n">
        <v>3</v>
      </c>
      <c r="L17" s="11" t="n">
        <v>0</v>
      </c>
    </row>
    <row r="18">
      <c r="A18" s="9" t="inlineStr">
        <is>
          <t>miscellaneous - rm</t>
        </is>
      </c>
      <c r="B18" s="10" t="n">
        <v>3294</v>
      </c>
      <c r="C18" s="10" t="n">
        <v>1740</v>
      </c>
      <c r="D18" s="11" t="n">
        <v>0</v>
      </c>
      <c r="E18" s="11" t="n">
        <v>0</v>
      </c>
      <c r="F18" s="11" t="n">
        <v>0</v>
      </c>
      <c r="G18" s="11" t="n">
        <v>0</v>
      </c>
      <c r="H18" s="10" t="n">
        <v>20</v>
      </c>
      <c r="I18" s="13" t="n">
        <v>0</v>
      </c>
      <c r="J18" s="12" t="n">
        <v>4269</v>
      </c>
      <c r="K18" s="13" t="n">
        <v>0</v>
      </c>
      <c r="L18" s="10" t="n">
        <v>826</v>
      </c>
    </row>
    <row r="19">
      <c r="A19" s="9" t="inlineStr">
        <is>
          <t>packaging</t>
        </is>
      </c>
      <c r="B19" s="11" t="n">
        <v>0</v>
      </c>
      <c r="C19" s="10" t="n">
        <v>302</v>
      </c>
      <c r="D19" s="11" t="n">
        <v>0</v>
      </c>
      <c r="E19" s="10" t="n">
        <v>47038</v>
      </c>
      <c r="F19" s="10" t="n">
        <v>42800</v>
      </c>
      <c r="G19" s="11" t="n">
        <v>0</v>
      </c>
      <c r="H19" s="10" t="n">
        <v>438</v>
      </c>
      <c r="I19" s="13" t="n">
        <v>0</v>
      </c>
      <c r="J19" s="13" t="n">
        <v>0</v>
      </c>
      <c r="K19" s="13" t="n">
        <v>0</v>
      </c>
      <c r="L19" s="10" t="n">
        <v>4102</v>
      </c>
    </row>
    <row r="20">
      <c r="A20" s="9" t="inlineStr">
        <is>
          <t>peanuts</t>
        </is>
      </c>
      <c r="B20" s="10" t="n">
        <v>6</v>
      </c>
      <c r="C20" s="10" t="n">
        <v>276</v>
      </c>
      <c r="D20" s="11" t="n">
        <v>0</v>
      </c>
      <c r="E20" s="10" t="n">
        <v>94</v>
      </c>
      <c r="F20" s="11" t="n">
        <v>0</v>
      </c>
      <c r="G20" s="10" t="n">
        <v>60</v>
      </c>
      <c r="H20" s="10" t="n">
        <v>4143</v>
      </c>
      <c r="I20" s="12" t="n">
        <v>3943</v>
      </c>
      <c r="J20" s="12" t="n">
        <v>2233</v>
      </c>
      <c r="K20" s="12" t="n">
        <v>1997</v>
      </c>
      <c r="L20" s="11" t="n">
        <v>0</v>
      </c>
    </row>
    <row r="21">
      <c r="A21" s="9" t="inlineStr">
        <is>
          <t>pista</t>
        </is>
      </c>
      <c r="B21" s="10" t="n">
        <v>6698</v>
      </c>
      <c r="C21" s="10" t="n">
        <v>37399</v>
      </c>
      <c r="D21" s="11" t="n">
        <v>0</v>
      </c>
      <c r="E21" s="10" t="n">
        <v>3302</v>
      </c>
      <c r="F21" s="10" t="n">
        <v>4792</v>
      </c>
      <c r="G21" s="10" t="n">
        <v>6219</v>
      </c>
      <c r="H21" s="10" t="n">
        <v>53540</v>
      </c>
      <c r="I21" s="12" t="n">
        <v>41764</v>
      </c>
      <c r="J21" s="12" t="n">
        <v>42309</v>
      </c>
      <c r="K21" s="12" t="n">
        <v>5259</v>
      </c>
      <c r="L21" s="11" t="n">
        <v>0</v>
      </c>
    </row>
    <row r="22">
      <c r="A22" s="9" t="inlineStr">
        <is>
          <t>premium nuts</t>
        </is>
      </c>
      <c r="B22" s="10" t="n">
        <v>1492</v>
      </c>
      <c r="C22" s="10" t="n">
        <v>61</v>
      </c>
      <c r="D22" s="11" t="n">
        <v>0</v>
      </c>
      <c r="E22" s="10" t="n">
        <v>602</v>
      </c>
      <c r="F22" s="10" t="n">
        <v>791</v>
      </c>
      <c r="G22" s="10" t="n">
        <v>298</v>
      </c>
      <c r="H22" s="10" t="n">
        <v>1442</v>
      </c>
      <c r="I22" s="12" t="n">
        <v>623</v>
      </c>
      <c r="J22" s="12" t="n">
        <v>659</v>
      </c>
      <c r="K22" s="13" t="n">
        <v>0</v>
      </c>
      <c r="L22" s="10" t="n">
        <v>184</v>
      </c>
    </row>
    <row r="23">
      <c r="A23" s="9" t="inlineStr">
        <is>
          <t>prunes</t>
        </is>
      </c>
      <c r="B23" s="10" t="n">
        <v>566</v>
      </c>
      <c r="C23" s="10" t="n">
        <v>7371</v>
      </c>
      <c r="D23" s="11" t="n">
        <v>0</v>
      </c>
      <c r="E23" s="10" t="n">
        <v>3005</v>
      </c>
      <c r="F23" s="10" t="n">
        <v>5160</v>
      </c>
      <c r="G23" s="11" t="n">
        <v>0</v>
      </c>
      <c r="H23" s="10" t="n">
        <v>4300</v>
      </c>
      <c r="I23" s="12" t="n">
        <v>3985</v>
      </c>
      <c r="J23" s="12" t="n">
        <v>4103</v>
      </c>
      <c r="K23" s="13" t="n">
        <v>0</v>
      </c>
      <c r="L23" s="10" t="n">
        <v>1364</v>
      </c>
    </row>
    <row r="24">
      <c r="A24" s="9" t="inlineStr">
        <is>
          <t>raisin</t>
        </is>
      </c>
      <c r="B24" s="10" t="n">
        <v>1444</v>
      </c>
      <c r="C24" s="10" t="n">
        <v>14152</v>
      </c>
      <c r="D24" s="11" t="n">
        <v>0</v>
      </c>
      <c r="E24" s="10" t="n">
        <v>2345</v>
      </c>
      <c r="F24" s="10" t="n">
        <v>930</v>
      </c>
      <c r="G24" s="11" t="n">
        <v>0</v>
      </c>
      <c r="H24" s="10" t="n">
        <v>12907</v>
      </c>
      <c r="I24" s="12" t="n">
        <v>4815</v>
      </c>
      <c r="J24" s="12" t="n">
        <v>5365</v>
      </c>
      <c r="K24" s="13" t="n">
        <v>0</v>
      </c>
      <c r="L24" s="10" t="n">
        <v>3554</v>
      </c>
    </row>
    <row r="25">
      <c r="A25" s="9" t="inlineStr">
        <is>
          <t>salt</t>
        </is>
      </c>
      <c r="B25" s="10" t="n">
        <v>108</v>
      </c>
      <c r="C25" s="10" t="n">
        <v>555</v>
      </c>
      <c r="D25" s="11" t="n">
        <v>0</v>
      </c>
      <c r="E25" s="10" t="n">
        <v>20</v>
      </c>
      <c r="F25" s="11" t="n">
        <v>0</v>
      </c>
      <c r="G25" s="11" t="n">
        <v>0</v>
      </c>
      <c r="H25" s="11" t="n">
        <v>0</v>
      </c>
      <c r="I25" s="13" t="n">
        <v>0</v>
      </c>
      <c r="J25" s="12" t="n">
        <v>133</v>
      </c>
      <c r="K25" s="13" t="n">
        <v>0</v>
      </c>
      <c r="L25" s="10" t="n">
        <v>551</v>
      </c>
    </row>
    <row r="26">
      <c r="A26" s="9" t="inlineStr">
        <is>
          <t>seasoning</t>
        </is>
      </c>
      <c r="B26" s="10" t="n">
        <v>728</v>
      </c>
      <c r="C26" s="10" t="n">
        <v>250</v>
      </c>
      <c r="D26" s="11" t="n">
        <v>0</v>
      </c>
      <c r="E26" s="10" t="n">
        <v>192</v>
      </c>
      <c r="F26" s="10" t="n">
        <v>415</v>
      </c>
      <c r="G26" s="11" t="n">
        <v>0</v>
      </c>
      <c r="H26" s="10" t="n">
        <v>34</v>
      </c>
      <c r="I26" s="13" t="n">
        <v>0</v>
      </c>
      <c r="J26" s="12" t="n">
        <v>529</v>
      </c>
      <c r="K26" s="13" t="n">
        <v>0</v>
      </c>
      <c r="L26" s="10" t="n">
        <v>192</v>
      </c>
    </row>
    <row r="27">
      <c r="A27" s="9" t="inlineStr">
        <is>
          <t>seeds</t>
        </is>
      </c>
      <c r="B27" s="10" t="n">
        <v>5942</v>
      </c>
      <c r="C27" s="10" t="n">
        <v>133436</v>
      </c>
      <c r="D27" s="11" t="n">
        <v>0</v>
      </c>
      <c r="E27" s="10" t="n">
        <v>36911</v>
      </c>
      <c r="F27" s="10" t="n">
        <v>34122</v>
      </c>
      <c r="G27" s="10" t="n">
        <v>2872</v>
      </c>
      <c r="H27" s="10" t="n">
        <v>57582</v>
      </c>
      <c r="I27" s="12" t="n">
        <v>41316</v>
      </c>
      <c r="J27" s="12" t="n">
        <v>42389</v>
      </c>
      <c r="K27" s="13" t="n">
        <v>0</v>
      </c>
      <c r="L27" s="10" t="n">
        <v>86384</v>
      </c>
    </row>
    <row r="28">
      <c r="A28" s="9" t="inlineStr">
        <is>
          <t>spices</t>
        </is>
      </c>
      <c r="B28" s="10" t="n">
        <v>9</v>
      </c>
      <c r="C28" s="10" t="n">
        <v>10</v>
      </c>
      <c r="D28" s="11" t="n">
        <v>0</v>
      </c>
      <c r="E28" s="11" t="n">
        <v>0</v>
      </c>
      <c r="F28" s="11" t="n">
        <v>0</v>
      </c>
      <c r="G28" s="11" t="n">
        <v>0</v>
      </c>
      <c r="H28" s="10" t="n">
        <v>2</v>
      </c>
      <c r="I28" s="13" t="n">
        <v>0</v>
      </c>
      <c r="J28" s="12" t="n">
        <v>9</v>
      </c>
      <c r="K28" s="13" t="n">
        <v>0</v>
      </c>
      <c r="L28" s="10" t="n">
        <v>9</v>
      </c>
    </row>
    <row r="29">
      <c r="A29" s="9" t="inlineStr">
        <is>
          <t>tajir</t>
        </is>
      </c>
      <c r="B29" s="10" t="n">
        <v>6</v>
      </c>
      <c r="C29" s="10" t="n">
        <v>150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3" t="n">
        <v>0</v>
      </c>
      <c r="J29" s="12" t="n">
        <v>208</v>
      </c>
      <c r="K29" s="12" t="n">
        <v>52</v>
      </c>
      <c r="L29" s="11" t="n">
        <v>0</v>
      </c>
    </row>
    <row r="30">
      <c r="A30" s="9" t="inlineStr">
        <is>
          <t>trail mix</t>
        </is>
      </c>
      <c r="B30" s="10" t="n">
        <v>661</v>
      </c>
      <c r="C30" s="11" t="n">
        <v>0</v>
      </c>
      <c r="D30" s="11" t="n">
        <v>0</v>
      </c>
      <c r="E30" s="11" t="n">
        <v>0</v>
      </c>
      <c r="F30" s="11" t="n">
        <v>0</v>
      </c>
      <c r="G30" s="10" t="n">
        <v>463</v>
      </c>
      <c r="H30" s="10" t="n">
        <v>17118</v>
      </c>
      <c r="I30" s="12" t="n">
        <v>14613</v>
      </c>
      <c r="J30" s="12" t="n">
        <v>8</v>
      </c>
      <c r="K30" s="13" t="n">
        <v>0</v>
      </c>
      <c r="L30" s="14" t="n">
        <v>-1852</v>
      </c>
    </row>
    <row r="31">
      <c r="A31" s="9" t="inlineStr">
        <is>
          <t>walnut</t>
        </is>
      </c>
      <c r="B31" s="10" t="n">
        <v>1126</v>
      </c>
      <c r="C31" s="11" t="n">
        <v>0</v>
      </c>
      <c r="D31" s="11" t="n">
        <v>0</v>
      </c>
      <c r="E31" s="11" t="n">
        <v>0</v>
      </c>
      <c r="F31" s="10" t="n">
        <v>300</v>
      </c>
      <c r="G31" s="10" t="n">
        <v>19</v>
      </c>
      <c r="H31" s="10" t="n">
        <v>637</v>
      </c>
      <c r="I31" s="12" t="n">
        <v>137</v>
      </c>
      <c r="J31" s="12" t="n">
        <v>185</v>
      </c>
      <c r="K31" s="13" t="n">
        <v>0</v>
      </c>
      <c r="L31" s="10" t="n">
        <v>160</v>
      </c>
    </row>
    <row r="32">
      <c r="A32" s="15" t="inlineStr">
        <is>
          <t>TOTAL</t>
        </is>
      </c>
      <c r="B32" s="16" t="n">
        <v>79372</v>
      </c>
      <c r="C32" s="16" t="n">
        <v>351223</v>
      </c>
      <c r="D32" s="17" t="n">
        <v>0</v>
      </c>
      <c r="E32" s="16" t="n">
        <v>154487</v>
      </c>
      <c r="F32" s="16" t="n">
        <v>126458</v>
      </c>
      <c r="G32" s="16" t="n">
        <v>44533</v>
      </c>
      <c r="H32" s="16" t="n">
        <v>378167</v>
      </c>
      <c r="I32" s="16" t="n">
        <v>197853</v>
      </c>
      <c r="J32" s="16" t="n">
        <v>202080</v>
      </c>
      <c r="K32" s="16" t="n">
        <v>12797</v>
      </c>
      <c r="L32" s="16" t="n">
        <v>133580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A-185</t>
        </is>
      </c>
    </row>
    <row r="2">
      <c r="A2" s="2" t="inlineStr">
        <is>
          <t>Closing 142,531 kg  |  Opening 154,665 kg  |  Inward 265,426 kg  |  Outward 294,558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almond</t>
        </is>
      </c>
      <c r="B5" s="10" t="n">
        <v>3359</v>
      </c>
      <c r="C5" s="10" t="n">
        <v>4259</v>
      </c>
      <c r="D5" s="11" t="n">
        <v>0</v>
      </c>
      <c r="E5" s="10" t="n">
        <v>40</v>
      </c>
      <c r="F5" s="10" t="n">
        <v>529</v>
      </c>
      <c r="G5" s="10" t="n">
        <v>10</v>
      </c>
      <c r="H5" s="10" t="n">
        <v>1661</v>
      </c>
      <c r="I5" s="12" t="n">
        <v>1399</v>
      </c>
      <c r="J5" s="12" t="n">
        <v>4315</v>
      </c>
      <c r="K5" s="13" t="n">
        <v>0</v>
      </c>
      <c r="L5" s="10" t="n">
        <v>2629</v>
      </c>
    </row>
    <row r="6">
      <c r="A6" s="9" t="inlineStr">
        <is>
          <t>anjeer</t>
        </is>
      </c>
      <c r="B6" s="10" t="n">
        <v>24</v>
      </c>
      <c r="C6" s="11" t="n">
        <v>0</v>
      </c>
      <c r="D6" s="11" t="n">
        <v>0</v>
      </c>
      <c r="E6" s="10" t="n">
        <v>40</v>
      </c>
      <c r="F6" s="11" t="n">
        <v>0</v>
      </c>
      <c r="G6" s="11" t="n">
        <v>0</v>
      </c>
      <c r="H6" s="11" t="n">
        <v>0</v>
      </c>
      <c r="I6" s="13" t="n">
        <v>0</v>
      </c>
      <c r="J6" s="13" t="n">
        <v>0</v>
      </c>
      <c r="K6" s="13" t="n">
        <v>0</v>
      </c>
      <c r="L6" s="10" t="n">
        <v>64</v>
      </c>
    </row>
    <row r="7">
      <c r="A7" s="9" t="inlineStr">
        <is>
          <t>apricot</t>
        </is>
      </c>
      <c r="B7" s="10" t="n">
        <v>225</v>
      </c>
      <c r="C7" s="10" t="n">
        <v>1100</v>
      </c>
      <c r="D7" s="11" t="n">
        <v>0</v>
      </c>
      <c r="E7" s="10" t="n">
        <v>1000</v>
      </c>
      <c r="F7" s="10" t="n">
        <v>1000</v>
      </c>
      <c r="G7" s="11" t="n">
        <v>0</v>
      </c>
      <c r="H7" s="11" t="n">
        <v>0</v>
      </c>
      <c r="I7" s="13" t="n">
        <v>0</v>
      </c>
      <c r="J7" s="13" t="n">
        <v>0</v>
      </c>
      <c r="K7" s="13" t="n">
        <v>0</v>
      </c>
      <c r="L7" s="10" t="n">
        <v>1325</v>
      </c>
    </row>
    <row r="8">
      <c r="A8" s="9" t="inlineStr">
        <is>
          <t>blackcurrant</t>
        </is>
      </c>
      <c r="B8" s="10" t="n">
        <v>38</v>
      </c>
      <c r="C8" s="11" t="n">
        <v>0</v>
      </c>
      <c r="D8" s="11" t="n">
        <v>0</v>
      </c>
      <c r="E8" s="10" t="n">
        <v>12</v>
      </c>
      <c r="F8" s="11" t="n">
        <v>0</v>
      </c>
      <c r="G8" s="11" t="n">
        <v>0</v>
      </c>
      <c r="H8" s="11" t="n">
        <v>0</v>
      </c>
      <c r="I8" s="13" t="n">
        <v>0</v>
      </c>
      <c r="J8" s="13" t="n">
        <v>0</v>
      </c>
      <c r="K8" s="13" t="n">
        <v>0</v>
      </c>
      <c r="L8" s="10" t="n">
        <v>50</v>
      </c>
    </row>
    <row r="9">
      <c r="A9" s="9" t="inlineStr">
        <is>
          <t>blueberry</t>
        </is>
      </c>
      <c r="B9" s="10" t="n">
        <v>1127</v>
      </c>
      <c r="C9" s="10" t="n">
        <v>2338</v>
      </c>
      <c r="D9" s="11" t="n">
        <v>0</v>
      </c>
      <c r="E9" s="10" t="n">
        <v>1852</v>
      </c>
      <c r="F9" s="10" t="n">
        <v>758</v>
      </c>
      <c r="G9" s="11" t="n">
        <v>0</v>
      </c>
      <c r="H9" s="10" t="n">
        <v>3178</v>
      </c>
      <c r="I9" s="12" t="n">
        <v>2566</v>
      </c>
      <c r="J9" s="12" t="n">
        <v>2739</v>
      </c>
      <c r="K9" s="13" t="n">
        <v>0</v>
      </c>
      <c r="L9" s="10" t="n">
        <v>1211</v>
      </c>
    </row>
    <row r="10">
      <c r="A10" s="9" t="inlineStr">
        <is>
          <t>cashew</t>
        </is>
      </c>
      <c r="B10" s="10" t="n">
        <v>4742</v>
      </c>
      <c r="C10" s="10" t="n">
        <v>12770</v>
      </c>
      <c r="D10" s="11" t="n">
        <v>0</v>
      </c>
      <c r="E10" s="10" t="n">
        <v>485</v>
      </c>
      <c r="F10" s="10" t="n">
        <v>1864</v>
      </c>
      <c r="G10" s="10" t="n">
        <v>120</v>
      </c>
      <c r="H10" s="10" t="n">
        <v>5052</v>
      </c>
      <c r="I10" s="12" t="n">
        <v>4044</v>
      </c>
      <c r="J10" s="12" t="n">
        <v>5027</v>
      </c>
      <c r="K10" s="13" t="n">
        <v>0</v>
      </c>
      <c r="L10" s="10" t="n">
        <v>10242</v>
      </c>
    </row>
    <row r="11">
      <c r="A11" s="9" t="inlineStr">
        <is>
          <t>cranberry</t>
        </is>
      </c>
      <c r="B11" s="10" t="n">
        <v>767</v>
      </c>
      <c r="C11" s="10" t="n">
        <v>3177</v>
      </c>
      <c r="D11" s="11" t="n">
        <v>0</v>
      </c>
      <c r="E11" s="10" t="n">
        <v>3697</v>
      </c>
      <c r="F11" s="10" t="n">
        <v>782</v>
      </c>
      <c r="G11" s="10" t="n">
        <v>235</v>
      </c>
      <c r="H11" s="10" t="n">
        <v>6649</v>
      </c>
      <c r="I11" s="12" t="n">
        <v>5634</v>
      </c>
      <c r="J11" s="12" t="n">
        <v>6057</v>
      </c>
      <c r="K11" s="13" t="n">
        <v>0</v>
      </c>
      <c r="L11" s="10" t="n">
        <v>34</v>
      </c>
    </row>
    <row r="12">
      <c r="A12" s="9" t="inlineStr">
        <is>
          <t>dates</t>
        </is>
      </c>
      <c r="B12" s="10" t="n">
        <v>9535</v>
      </c>
      <c r="C12" s="10" t="n">
        <v>11208</v>
      </c>
      <c r="D12" s="11" t="n">
        <v>0</v>
      </c>
      <c r="E12" s="10" t="n">
        <v>426</v>
      </c>
      <c r="F12" s="10" t="n">
        <v>1684</v>
      </c>
      <c r="G12" s="11" t="n">
        <v>0</v>
      </c>
      <c r="H12" s="10" t="n">
        <v>576</v>
      </c>
      <c r="I12" s="12" t="n">
        <v>144</v>
      </c>
      <c r="J12" s="12" t="n">
        <v>288</v>
      </c>
      <c r="K12" s="13" t="n">
        <v>0</v>
      </c>
      <c r="L12" s="10" t="n">
        <v>18764</v>
      </c>
    </row>
    <row r="13">
      <c r="A13" s="9" t="inlineStr">
        <is>
          <t>dehydrated fruits</t>
        </is>
      </c>
      <c r="B13" s="10" t="n">
        <v>312</v>
      </c>
      <c r="C13" s="10" t="n">
        <v>222</v>
      </c>
      <c r="D13" s="11" t="n">
        <v>0</v>
      </c>
      <c r="E13" s="11" t="n">
        <v>0</v>
      </c>
      <c r="F13" s="10" t="n">
        <v>10</v>
      </c>
      <c r="G13" s="11" t="n">
        <v>0</v>
      </c>
      <c r="H13" s="11" t="n">
        <v>0</v>
      </c>
      <c r="I13" s="13" t="n">
        <v>0</v>
      </c>
      <c r="J13" s="13" t="n">
        <v>0</v>
      </c>
      <c r="K13" s="13" t="n">
        <v>0</v>
      </c>
      <c r="L13" s="10" t="n">
        <v>525</v>
      </c>
    </row>
    <row r="14">
      <c r="A14" s="9" t="inlineStr">
        <is>
          <t>makhana</t>
        </is>
      </c>
      <c r="B14" s="10" t="n">
        <v>8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3" t="n">
        <v>0</v>
      </c>
      <c r="J14" s="13" t="n">
        <v>0</v>
      </c>
      <c r="K14" s="18" t="n">
        <v>-3</v>
      </c>
      <c r="L14" s="10" t="n">
        <v>6</v>
      </c>
    </row>
    <row r="15">
      <c r="A15" s="9" t="inlineStr">
        <is>
          <t>miscellaneous - rm</t>
        </is>
      </c>
      <c r="B15" s="10" t="n">
        <v>3247</v>
      </c>
      <c r="C15" s="10" t="n">
        <v>3962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3" t="n">
        <v>0</v>
      </c>
      <c r="J15" s="13" t="n">
        <v>0</v>
      </c>
      <c r="K15" s="13" t="n">
        <v>0</v>
      </c>
      <c r="L15" s="10" t="n">
        <v>7209</v>
      </c>
    </row>
    <row r="16">
      <c r="A16" s="9" t="inlineStr">
        <is>
          <t>packaging</t>
        </is>
      </c>
      <c r="B16" s="11" t="n">
        <v>0</v>
      </c>
      <c r="C16" s="11" t="n">
        <v>0</v>
      </c>
      <c r="D16" s="11" t="n">
        <v>0</v>
      </c>
      <c r="E16" s="10" t="n">
        <v>8054</v>
      </c>
      <c r="F16" s="11" t="n">
        <v>0</v>
      </c>
      <c r="G16" s="11" t="n">
        <v>0</v>
      </c>
      <c r="H16" s="11" t="n">
        <v>0</v>
      </c>
      <c r="I16" s="13" t="n">
        <v>0</v>
      </c>
      <c r="J16" s="13" t="n">
        <v>0</v>
      </c>
      <c r="K16" s="13" t="n">
        <v>0</v>
      </c>
      <c r="L16" s="10" t="n">
        <v>8054</v>
      </c>
    </row>
    <row r="17">
      <c r="A17" s="9" t="inlineStr">
        <is>
          <t>peanuts</t>
        </is>
      </c>
      <c r="B17" s="10" t="n">
        <v>3690</v>
      </c>
      <c r="C17" s="10" t="n">
        <v>2958</v>
      </c>
      <c r="D17" s="11" t="n">
        <v>0</v>
      </c>
      <c r="E17" s="11" t="n">
        <v>0</v>
      </c>
      <c r="F17" s="10" t="n">
        <v>94</v>
      </c>
      <c r="G17" s="11" t="n">
        <v>0</v>
      </c>
      <c r="H17" s="11" t="n">
        <v>0</v>
      </c>
      <c r="I17" s="13" t="n">
        <v>0</v>
      </c>
      <c r="J17" s="13" t="n">
        <v>0</v>
      </c>
      <c r="K17" s="18" t="n">
        <v>-1997</v>
      </c>
      <c r="L17" s="10" t="n">
        <v>4557</v>
      </c>
    </row>
    <row r="18">
      <c r="A18" s="9" t="inlineStr">
        <is>
          <t>pista</t>
        </is>
      </c>
      <c r="B18" s="10" t="n">
        <v>30232</v>
      </c>
      <c r="C18" s="10" t="n">
        <v>27033</v>
      </c>
      <c r="D18" s="11" t="n">
        <v>0</v>
      </c>
      <c r="E18" s="10" t="n">
        <v>4630</v>
      </c>
      <c r="F18" s="10" t="n">
        <v>4136</v>
      </c>
      <c r="G18" s="11" t="n">
        <v>0</v>
      </c>
      <c r="H18" s="11" t="n">
        <v>0</v>
      </c>
      <c r="I18" s="13" t="n">
        <v>0</v>
      </c>
      <c r="J18" s="12" t="n">
        <v>1161</v>
      </c>
      <c r="K18" s="18" t="n">
        <v>-5259</v>
      </c>
      <c r="L18" s="10" t="n">
        <v>51366</v>
      </c>
    </row>
    <row r="19">
      <c r="A19" s="9" t="inlineStr">
        <is>
          <t>premium nuts</t>
        </is>
      </c>
      <c r="B19" s="10" t="n">
        <v>446</v>
      </c>
      <c r="C19" s="10" t="n">
        <v>12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3" t="n">
        <v>0</v>
      </c>
      <c r="J19" s="13" t="n">
        <v>0</v>
      </c>
      <c r="K19" s="13" t="n">
        <v>0</v>
      </c>
      <c r="L19" s="10" t="n">
        <v>458</v>
      </c>
    </row>
    <row r="20">
      <c r="A20" s="9" t="inlineStr">
        <is>
          <t>prunes</t>
        </is>
      </c>
      <c r="B20" s="10" t="n">
        <v>2762</v>
      </c>
      <c r="C20" s="10" t="n">
        <v>3405</v>
      </c>
      <c r="D20" s="11" t="n">
        <v>0</v>
      </c>
      <c r="E20" s="10" t="n">
        <v>5103</v>
      </c>
      <c r="F20" s="10" t="n">
        <v>3119</v>
      </c>
      <c r="G20" s="10" t="n">
        <v>325</v>
      </c>
      <c r="H20" s="10" t="n">
        <v>2390</v>
      </c>
      <c r="I20" s="12" t="n">
        <v>1990</v>
      </c>
      <c r="J20" s="12" t="n">
        <v>1990</v>
      </c>
      <c r="K20" s="13" t="n">
        <v>0</v>
      </c>
      <c r="L20" s="10" t="n">
        <v>6086</v>
      </c>
    </row>
    <row r="21">
      <c r="A21" s="9" t="inlineStr">
        <is>
          <t>raisin</t>
        </is>
      </c>
      <c r="B21" s="10" t="n">
        <v>3860</v>
      </c>
      <c r="C21" s="10" t="n">
        <v>1513</v>
      </c>
      <c r="D21" s="11" t="n">
        <v>0</v>
      </c>
      <c r="E21" s="10" t="n">
        <v>1327</v>
      </c>
      <c r="F21" s="11" t="n">
        <v>0</v>
      </c>
      <c r="G21" s="10" t="n">
        <v>50</v>
      </c>
      <c r="H21" s="10" t="n">
        <v>975</v>
      </c>
      <c r="I21" s="12" t="n">
        <v>525</v>
      </c>
      <c r="J21" s="12" t="n">
        <v>2986</v>
      </c>
      <c r="K21" s="13" t="n">
        <v>0</v>
      </c>
      <c r="L21" s="10" t="n">
        <v>3369</v>
      </c>
    </row>
    <row r="22">
      <c r="A22" s="9" t="inlineStr">
        <is>
          <t>salt</t>
        </is>
      </c>
      <c r="B22" s="10" t="n">
        <v>832</v>
      </c>
      <c r="C22" s="10" t="n">
        <v>1000</v>
      </c>
      <c r="D22" s="11" t="n">
        <v>0</v>
      </c>
      <c r="E22" s="11" t="n">
        <v>0</v>
      </c>
      <c r="F22" s="10" t="n">
        <v>20</v>
      </c>
      <c r="G22" s="11" t="n">
        <v>0</v>
      </c>
      <c r="H22" s="11" t="n">
        <v>0</v>
      </c>
      <c r="I22" s="13" t="n">
        <v>0</v>
      </c>
      <c r="J22" s="12" t="n">
        <v>88</v>
      </c>
      <c r="K22" s="13" t="n">
        <v>0</v>
      </c>
      <c r="L22" s="10" t="n">
        <v>1724</v>
      </c>
    </row>
    <row r="23">
      <c r="A23" s="9" t="inlineStr">
        <is>
          <t>seasoning</t>
        </is>
      </c>
      <c r="B23" s="10" t="n">
        <v>1694</v>
      </c>
      <c r="C23" s="10" t="n">
        <v>350</v>
      </c>
      <c r="D23" s="11" t="n">
        <v>0</v>
      </c>
      <c r="E23" s="10" t="n">
        <v>415</v>
      </c>
      <c r="F23" s="10" t="n">
        <v>192</v>
      </c>
      <c r="G23" s="11" t="n">
        <v>0</v>
      </c>
      <c r="H23" s="11" t="n">
        <v>0</v>
      </c>
      <c r="I23" s="13" t="n">
        <v>0</v>
      </c>
      <c r="J23" s="12" t="n">
        <v>405</v>
      </c>
      <c r="K23" s="13" t="n">
        <v>0</v>
      </c>
      <c r="L23" s="10" t="n">
        <v>1862</v>
      </c>
    </row>
    <row r="24">
      <c r="A24" s="9" t="inlineStr">
        <is>
          <t>seeds</t>
        </is>
      </c>
      <c r="B24" s="10" t="n">
        <v>85677</v>
      </c>
      <c r="C24" s="10" t="n">
        <v>189772</v>
      </c>
      <c r="D24" s="11" t="n">
        <v>0</v>
      </c>
      <c r="E24" s="10" t="n">
        <v>42675</v>
      </c>
      <c r="F24" s="10" t="n">
        <v>33261</v>
      </c>
      <c r="G24" s="10" t="n">
        <v>2700</v>
      </c>
      <c r="H24" s="10" t="n">
        <v>226863</v>
      </c>
      <c r="I24" s="12" t="n">
        <v>201025</v>
      </c>
      <c r="J24" s="12" t="n">
        <v>233629</v>
      </c>
      <c r="K24" s="13" t="n">
        <v>0</v>
      </c>
      <c r="L24" s="10" t="n">
        <v>28228</v>
      </c>
    </row>
    <row r="25">
      <c r="A25" s="9" t="inlineStr">
        <is>
          <t>spices</t>
        </is>
      </c>
      <c r="B25" s="11" t="n">
        <v>0</v>
      </c>
      <c r="C25" s="10" t="n">
        <v>1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3" t="n">
        <v>0</v>
      </c>
      <c r="J25" s="13" t="n">
        <v>0</v>
      </c>
      <c r="K25" s="13" t="n">
        <v>0</v>
      </c>
      <c r="L25" s="10" t="n">
        <v>1</v>
      </c>
    </row>
    <row r="26">
      <c r="A26" s="9" t="inlineStr">
        <is>
          <t>tajir</t>
        </is>
      </c>
      <c r="B26" s="10" t="n">
        <v>1590</v>
      </c>
      <c r="C26" s="10" t="n">
        <v>300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3" t="n">
        <v>0</v>
      </c>
      <c r="J26" s="13" t="n">
        <v>0</v>
      </c>
      <c r="K26" s="18" t="n">
        <v>-52</v>
      </c>
      <c r="L26" s="10" t="n">
        <v>1838</v>
      </c>
    </row>
    <row r="27">
      <c r="A27" s="9" t="inlineStr">
        <is>
          <t>trail mix</t>
        </is>
      </c>
      <c r="B27" s="10" t="n">
        <v>488</v>
      </c>
      <c r="C27" s="11" t="n">
        <v>0</v>
      </c>
      <c r="D27" s="11" t="n">
        <v>0</v>
      </c>
      <c r="E27" s="11" t="n">
        <v>0</v>
      </c>
      <c r="F27" s="11" t="n">
        <v>0</v>
      </c>
      <c r="G27" s="10" t="n">
        <v>602</v>
      </c>
      <c r="H27" s="10" t="n">
        <v>47214</v>
      </c>
      <c r="I27" s="12" t="n">
        <v>39289</v>
      </c>
      <c r="J27" s="13" t="n">
        <v>0</v>
      </c>
      <c r="K27" s="12" t="n">
        <v>9</v>
      </c>
      <c r="L27" s="14" t="n">
        <v>-7127</v>
      </c>
    </row>
    <row r="28">
      <c r="A28" s="9" t="inlineStr">
        <is>
          <t>walnut</t>
        </is>
      </c>
      <c r="B28" s="10" t="n">
        <v>10</v>
      </c>
      <c r="C28" s="10" t="n">
        <v>45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3" t="n">
        <v>0</v>
      </c>
      <c r="J28" s="13" t="n">
        <v>0</v>
      </c>
      <c r="K28" s="13" t="n">
        <v>0</v>
      </c>
      <c r="L28" s="10" t="n">
        <v>55</v>
      </c>
    </row>
    <row r="29">
      <c r="A29" s="15" t="inlineStr">
        <is>
          <t>TOTAL</t>
        </is>
      </c>
      <c r="B29" s="16" t="n">
        <v>154665</v>
      </c>
      <c r="C29" s="16" t="n">
        <v>265426</v>
      </c>
      <c r="D29" s="17" t="n">
        <v>0</v>
      </c>
      <c r="E29" s="16" t="n">
        <v>69756</v>
      </c>
      <c r="F29" s="16" t="n">
        <v>47450</v>
      </c>
      <c r="G29" s="16" t="n">
        <v>4042</v>
      </c>
      <c r="H29" s="16" t="n">
        <v>294558</v>
      </c>
      <c r="I29" s="16" t="n">
        <v>256616</v>
      </c>
      <c r="J29" s="16" t="n">
        <v>258684</v>
      </c>
      <c r="K29" s="16" t="n">
        <v>-7302</v>
      </c>
      <c r="L29" s="16" t="n">
        <v>142531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F-53 (APMC)</t>
        </is>
      </c>
    </row>
    <row r="2">
      <c r="A2" s="2" t="inlineStr">
        <is>
          <t>Closing 15,865 kg  |  Opening 14,491 kg  |  Inward 0 kg  |  Outward 16,616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almond</t>
        </is>
      </c>
      <c r="B5" s="10" t="n">
        <v>249</v>
      </c>
      <c r="C5" s="11" t="n">
        <v>0</v>
      </c>
      <c r="D5" s="11" t="n">
        <v>0</v>
      </c>
      <c r="E5" s="10" t="n">
        <v>8400</v>
      </c>
      <c r="F5" s="10" t="n">
        <v>64</v>
      </c>
      <c r="G5" s="11" t="n">
        <v>0</v>
      </c>
      <c r="H5" s="10" t="n">
        <v>980</v>
      </c>
      <c r="I5" s="12" t="n">
        <v>980</v>
      </c>
      <c r="J5" s="12" t="n">
        <v>980</v>
      </c>
      <c r="K5" s="18" t="n">
        <v>-312</v>
      </c>
      <c r="L5" s="10" t="n">
        <v>7293</v>
      </c>
    </row>
    <row r="6">
      <c r="A6" s="9" t="inlineStr">
        <is>
          <t>anjeer</t>
        </is>
      </c>
      <c r="B6" s="11" t="n">
        <v>0</v>
      </c>
      <c r="C6" s="11" t="n">
        <v>0</v>
      </c>
      <c r="D6" s="11" t="n">
        <v>0</v>
      </c>
      <c r="E6" s="10" t="n">
        <v>75</v>
      </c>
      <c r="F6" s="11" t="n">
        <v>0</v>
      </c>
      <c r="G6" s="11" t="n">
        <v>0</v>
      </c>
      <c r="H6" s="11" t="n">
        <v>0</v>
      </c>
      <c r="I6" s="13" t="n">
        <v>0</v>
      </c>
      <c r="J6" s="13" t="n">
        <v>0</v>
      </c>
      <c r="K6" s="13" t="n">
        <v>0</v>
      </c>
      <c r="L6" s="10" t="n">
        <v>75</v>
      </c>
    </row>
    <row r="7">
      <c r="A7" s="9" t="inlineStr">
        <is>
          <t>bars &amp; cereals</t>
        </is>
      </c>
      <c r="B7" s="10" t="n">
        <v>1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3" t="n">
        <v>0</v>
      </c>
      <c r="J7" s="13" t="n">
        <v>0</v>
      </c>
      <c r="K7" s="13" t="n">
        <v>0</v>
      </c>
      <c r="L7" s="10" t="n">
        <v>1</v>
      </c>
    </row>
    <row r="8">
      <c r="A8" s="9" t="inlineStr">
        <is>
          <t>blackcurrant</t>
        </is>
      </c>
      <c r="B8" s="11" t="n">
        <v>0</v>
      </c>
      <c r="C8" s="11" t="n">
        <v>0</v>
      </c>
      <c r="D8" s="11" t="n">
        <v>0</v>
      </c>
      <c r="E8" s="10" t="n">
        <v>6</v>
      </c>
      <c r="F8" s="11" t="n">
        <v>0</v>
      </c>
      <c r="G8" s="11" t="n">
        <v>0</v>
      </c>
      <c r="H8" s="11" t="n">
        <v>0</v>
      </c>
      <c r="I8" s="13" t="n">
        <v>0</v>
      </c>
      <c r="J8" s="13" t="n">
        <v>0</v>
      </c>
      <c r="K8" s="13" t="n">
        <v>0</v>
      </c>
      <c r="L8" s="10" t="n">
        <v>6</v>
      </c>
    </row>
    <row r="9">
      <c r="A9" s="9" t="inlineStr">
        <is>
          <t>blueberry</t>
        </is>
      </c>
      <c r="B9" s="10" t="n">
        <v>14</v>
      </c>
      <c r="C9" s="11" t="n">
        <v>0</v>
      </c>
      <c r="D9" s="11" t="n">
        <v>0</v>
      </c>
      <c r="E9" s="10" t="n">
        <v>30</v>
      </c>
      <c r="F9" s="11" t="n">
        <v>0</v>
      </c>
      <c r="G9" s="11" t="n">
        <v>0</v>
      </c>
      <c r="H9" s="10" t="n">
        <v>30</v>
      </c>
      <c r="I9" s="12" t="n">
        <v>30</v>
      </c>
      <c r="J9" s="12" t="n">
        <v>31</v>
      </c>
      <c r="K9" s="13" t="n">
        <v>0</v>
      </c>
      <c r="L9" s="10" t="n">
        <v>12</v>
      </c>
    </row>
    <row r="10">
      <c r="A10" s="9" t="inlineStr">
        <is>
          <t>cashew</t>
        </is>
      </c>
      <c r="B10" s="10" t="n">
        <v>10937</v>
      </c>
      <c r="C10" s="11" t="n">
        <v>0</v>
      </c>
      <c r="D10" s="11" t="n">
        <v>0</v>
      </c>
      <c r="E10" s="10" t="n">
        <v>129</v>
      </c>
      <c r="F10" s="10" t="n">
        <v>643</v>
      </c>
      <c r="G10" s="11" t="n">
        <v>0</v>
      </c>
      <c r="H10" s="11" t="n">
        <v>0</v>
      </c>
      <c r="I10" s="13" t="n">
        <v>0</v>
      </c>
      <c r="J10" s="13" t="n">
        <v>0</v>
      </c>
      <c r="K10" s="18" t="n">
        <v>-5185</v>
      </c>
      <c r="L10" s="10" t="n">
        <v>5237</v>
      </c>
    </row>
    <row r="11">
      <c r="A11" s="9" t="inlineStr">
        <is>
          <t>cranberry</t>
        </is>
      </c>
      <c r="B11" s="10" t="n">
        <v>43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3" t="n">
        <v>0</v>
      </c>
      <c r="J11" s="13" t="n">
        <v>0</v>
      </c>
      <c r="K11" s="13" t="n">
        <v>0</v>
      </c>
      <c r="L11" s="10" t="n">
        <v>43</v>
      </c>
    </row>
    <row r="12">
      <c r="A12" s="9" t="inlineStr">
        <is>
          <t>dates</t>
        </is>
      </c>
      <c r="B12" s="10" t="n">
        <v>2276</v>
      </c>
      <c r="C12" s="11" t="n">
        <v>0</v>
      </c>
      <c r="D12" s="11" t="n">
        <v>0</v>
      </c>
      <c r="E12" s="10" t="n">
        <v>16044</v>
      </c>
      <c r="F12" s="10" t="n">
        <v>217</v>
      </c>
      <c r="G12" s="11" t="n">
        <v>0</v>
      </c>
      <c r="H12" s="10" t="n">
        <v>15534</v>
      </c>
      <c r="I12" s="12" t="n">
        <v>15534</v>
      </c>
      <c r="J12" s="12" t="n">
        <v>29501</v>
      </c>
      <c r="K12" s="12" t="n">
        <v>11398</v>
      </c>
      <c r="L12" s="11" t="n">
        <v>0</v>
      </c>
    </row>
    <row r="13">
      <c r="A13" s="9" t="inlineStr">
        <is>
          <t>pista</t>
        </is>
      </c>
      <c r="B13" s="10" t="n">
        <v>184</v>
      </c>
      <c r="C13" s="11" t="n">
        <v>0</v>
      </c>
      <c r="D13" s="11" t="n">
        <v>0</v>
      </c>
      <c r="E13" s="10" t="n">
        <v>1166</v>
      </c>
      <c r="F13" s="10" t="n">
        <v>170</v>
      </c>
      <c r="G13" s="11" t="n">
        <v>0</v>
      </c>
      <c r="H13" s="11" t="n">
        <v>0</v>
      </c>
      <c r="I13" s="13" t="n">
        <v>0</v>
      </c>
      <c r="J13" s="13" t="n">
        <v>0</v>
      </c>
      <c r="K13" s="13" t="n">
        <v>0</v>
      </c>
      <c r="L13" s="10" t="n">
        <v>1180</v>
      </c>
    </row>
    <row r="14">
      <c r="A14" s="9" t="inlineStr">
        <is>
          <t>premium nuts</t>
        </is>
      </c>
      <c r="B14" s="10" t="n">
        <v>214</v>
      </c>
      <c r="C14" s="11" t="n">
        <v>0</v>
      </c>
      <c r="D14" s="11" t="n">
        <v>0</v>
      </c>
      <c r="E14" s="10" t="n">
        <v>26</v>
      </c>
      <c r="F14" s="10" t="n">
        <v>44</v>
      </c>
      <c r="G14" s="11" t="n">
        <v>0</v>
      </c>
      <c r="H14" s="10" t="n">
        <v>6</v>
      </c>
      <c r="I14" s="12" t="n">
        <v>6</v>
      </c>
      <c r="J14" s="12" t="n">
        <v>6</v>
      </c>
      <c r="K14" s="13" t="n">
        <v>0</v>
      </c>
      <c r="L14" s="10" t="n">
        <v>191</v>
      </c>
    </row>
    <row r="15">
      <c r="A15" s="9" t="inlineStr">
        <is>
          <t>prunes</t>
        </is>
      </c>
      <c r="B15" s="10" t="n">
        <v>41</v>
      </c>
      <c r="C15" s="11" t="n">
        <v>0</v>
      </c>
      <c r="D15" s="11" t="n">
        <v>0</v>
      </c>
      <c r="E15" s="10" t="n">
        <v>170</v>
      </c>
      <c r="F15" s="11" t="n">
        <v>0</v>
      </c>
      <c r="G15" s="11" t="n">
        <v>0</v>
      </c>
      <c r="H15" s="10" t="n">
        <v>51</v>
      </c>
      <c r="I15" s="12" t="n">
        <v>51</v>
      </c>
      <c r="J15" s="12" t="n">
        <v>51</v>
      </c>
      <c r="K15" s="13" t="n">
        <v>0</v>
      </c>
      <c r="L15" s="10" t="n">
        <v>161</v>
      </c>
    </row>
    <row r="16">
      <c r="A16" s="9" t="inlineStr">
        <is>
          <t>raisin</t>
        </is>
      </c>
      <c r="B16" s="10" t="n">
        <v>100</v>
      </c>
      <c r="C16" s="11" t="n">
        <v>0</v>
      </c>
      <c r="D16" s="11" t="n">
        <v>0</v>
      </c>
      <c r="E16" s="10" t="n">
        <v>375</v>
      </c>
      <c r="F16" s="11" t="n">
        <v>0</v>
      </c>
      <c r="G16" s="11" t="n">
        <v>0</v>
      </c>
      <c r="H16" s="11" t="n">
        <v>0</v>
      </c>
      <c r="I16" s="13" t="n">
        <v>0</v>
      </c>
      <c r="J16" s="13" t="n">
        <v>0</v>
      </c>
      <c r="K16" s="13" t="n">
        <v>0</v>
      </c>
      <c r="L16" s="10" t="n">
        <v>475</v>
      </c>
    </row>
    <row r="17">
      <c r="A17" s="9" t="inlineStr">
        <is>
          <t>seeds</t>
        </is>
      </c>
      <c r="B17" s="10" t="n">
        <v>423</v>
      </c>
      <c r="C17" s="11" t="n">
        <v>0</v>
      </c>
      <c r="D17" s="11" t="n">
        <v>0</v>
      </c>
      <c r="E17" s="10" t="n">
        <v>783</v>
      </c>
      <c r="F17" s="11" t="n">
        <v>0</v>
      </c>
      <c r="G17" s="11" t="n">
        <v>0</v>
      </c>
      <c r="H17" s="10" t="n">
        <v>15</v>
      </c>
      <c r="I17" s="12" t="n">
        <v>15</v>
      </c>
      <c r="J17" s="12" t="n">
        <v>15</v>
      </c>
      <c r="K17" s="13" t="n">
        <v>0</v>
      </c>
      <c r="L17" s="10" t="n">
        <v>1191</v>
      </c>
    </row>
    <row r="18">
      <c r="A18" s="9" t="inlineStr">
        <is>
          <t>trail mix</t>
        </is>
      </c>
      <c r="B18" s="10" t="n">
        <v>9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3" t="n">
        <v>0</v>
      </c>
      <c r="J18" s="13" t="n">
        <v>0</v>
      </c>
      <c r="K18" s="18" t="n">
        <v>-9</v>
      </c>
      <c r="L18" s="11" t="n">
        <v>0</v>
      </c>
    </row>
    <row r="19">
      <c r="A19" s="15" t="inlineStr">
        <is>
          <t>TOTAL</t>
        </is>
      </c>
      <c r="B19" s="16" t="n">
        <v>14491</v>
      </c>
      <c r="C19" s="17" t="n">
        <v>0</v>
      </c>
      <c r="D19" s="17" t="n">
        <v>0</v>
      </c>
      <c r="E19" s="16" t="n">
        <v>27203</v>
      </c>
      <c r="F19" s="16" t="n">
        <v>1137</v>
      </c>
      <c r="G19" s="17" t="n">
        <v>0</v>
      </c>
      <c r="H19" s="16" t="n">
        <v>16616</v>
      </c>
      <c r="I19" s="16" t="n">
        <v>16616</v>
      </c>
      <c r="J19" s="16" t="n">
        <v>30584</v>
      </c>
      <c r="K19" s="16" t="n">
        <v>5892</v>
      </c>
      <c r="L19" s="16" t="n">
        <v>15865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A-68</t>
        </is>
      </c>
    </row>
    <row r="2">
      <c r="A2" s="2" t="inlineStr">
        <is>
          <t>Closing 24,926 kg  |  Opening 0 kg  |  Inward 37,918 kg  |  Outward 0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packaging</t>
        </is>
      </c>
      <c r="B5" s="11" t="n">
        <v>0</v>
      </c>
      <c r="C5" s="10" t="n">
        <v>37232</v>
      </c>
      <c r="D5" s="11" t="n">
        <v>0</v>
      </c>
      <c r="E5" s="11" t="n">
        <v>0</v>
      </c>
      <c r="F5" s="10" t="n">
        <v>12306</v>
      </c>
      <c r="G5" s="11" t="n">
        <v>0</v>
      </c>
      <c r="H5" s="11" t="n">
        <v>0</v>
      </c>
      <c r="I5" s="13" t="n">
        <v>0</v>
      </c>
      <c r="J5" s="13" t="n">
        <v>0</v>
      </c>
      <c r="K5" s="13" t="n">
        <v>0</v>
      </c>
      <c r="L5" s="10" t="n">
        <v>24926</v>
      </c>
    </row>
    <row r="6">
      <c r="A6" s="9" t="inlineStr">
        <is>
          <t>seeds</t>
        </is>
      </c>
      <c r="B6" s="11" t="n">
        <v>0</v>
      </c>
      <c r="C6" s="10" t="n">
        <v>686</v>
      </c>
      <c r="D6" s="11" t="n">
        <v>0</v>
      </c>
      <c r="E6" s="11" t="n">
        <v>0</v>
      </c>
      <c r="F6" s="10" t="n">
        <v>686</v>
      </c>
      <c r="G6" s="11" t="n">
        <v>0</v>
      </c>
      <c r="H6" s="11" t="n">
        <v>0</v>
      </c>
      <c r="I6" s="13" t="n">
        <v>0</v>
      </c>
      <c r="J6" s="13" t="n">
        <v>0</v>
      </c>
      <c r="K6" s="13" t="n">
        <v>0</v>
      </c>
      <c r="L6" s="11" t="n">
        <v>0</v>
      </c>
    </row>
    <row r="7">
      <c r="A7" s="15" t="inlineStr">
        <is>
          <t>TOTAL</t>
        </is>
      </c>
      <c r="B7" s="17" t="n">
        <v>0</v>
      </c>
      <c r="C7" s="16" t="n">
        <v>37918</v>
      </c>
      <c r="D7" s="17" t="n">
        <v>0</v>
      </c>
      <c r="E7" s="17" t="n">
        <v>0</v>
      </c>
      <c r="F7" s="16" t="n">
        <v>12992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6" t="n">
        <v>24926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Rishi</t>
        </is>
      </c>
    </row>
    <row r="2">
      <c r="A2" s="2" t="inlineStr">
        <is>
          <t>Closing 317,182 kg  |  Opening 323,837 kg  |  Inward 4,569 kg  |  Outward 6,000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dates</t>
        </is>
      </c>
      <c r="B5" s="10" t="n">
        <v>323837</v>
      </c>
      <c r="C5" s="10" t="n">
        <v>4569</v>
      </c>
      <c r="D5" s="11" t="n">
        <v>0</v>
      </c>
      <c r="E5" s="10" t="n">
        <v>6174</v>
      </c>
      <c r="F5" s="11" t="n">
        <v>0</v>
      </c>
      <c r="G5" s="11" t="n">
        <v>0</v>
      </c>
      <c r="H5" s="10" t="n">
        <v>6000</v>
      </c>
      <c r="I5" s="13" t="n">
        <v>0</v>
      </c>
      <c r="J5" s="13" t="n">
        <v>0</v>
      </c>
      <c r="K5" s="18" t="n">
        <v>-11398</v>
      </c>
      <c r="L5" s="10" t="n">
        <v>317182</v>
      </c>
    </row>
    <row r="6">
      <c r="A6" s="15" t="inlineStr">
        <is>
          <t>TOTAL</t>
        </is>
      </c>
      <c r="B6" s="16" t="n">
        <v>323837</v>
      </c>
      <c r="C6" s="16" t="n">
        <v>4569</v>
      </c>
      <c r="D6" s="17" t="n">
        <v>0</v>
      </c>
      <c r="E6" s="16" t="n">
        <v>6174</v>
      </c>
      <c r="F6" s="17" t="n">
        <v>0</v>
      </c>
      <c r="G6" s="17" t="n">
        <v>0</v>
      </c>
      <c r="H6" s="16" t="n">
        <v>6000</v>
      </c>
      <c r="I6" s="17" t="n">
        <v>0</v>
      </c>
      <c r="J6" s="17" t="n">
        <v>0</v>
      </c>
      <c r="K6" s="16" t="n">
        <v>-11398</v>
      </c>
      <c r="L6" s="16" t="n">
        <v>317182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Savla</t>
        </is>
      </c>
    </row>
    <row r="2">
      <c r="A2" s="2" t="inlineStr">
        <is>
          <t>Closing 189,613 kg  |  Opening 362,126 kg  |  Inward 34,962 kg  |  Outward 135,700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anjeer</t>
        </is>
      </c>
      <c r="B5" s="11" t="n">
        <v>0</v>
      </c>
      <c r="C5" s="11" t="n">
        <v>0</v>
      </c>
      <c r="D5" s="11" t="n">
        <v>0</v>
      </c>
      <c r="E5" s="10" t="n">
        <v>970</v>
      </c>
      <c r="F5" s="11" t="n">
        <v>0</v>
      </c>
      <c r="G5" s="11" t="n">
        <v>0</v>
      </c>
      <c r="H5" s="11" t="n">
        <v>0</v>
      </c>
      <c r="I5" s="13" t="n">
        <v>0</v>
      </c>
      <c r="J5" s="13" t="n">
        <v>0</v>
      </c>
      <c r="K5" s="13" t="n">
        <v>0</v>
      </c>
      <c r="L5" s="10" t="n">
        <v>970</v>
      </c>
    </row>
    <row r="6">
      <c r="A6" s="9" t="inlineStr">
        <is>
          <t>blackcurrant</t>
        </is>
      </c>
      <c r="B6" s="10" t="n">
        <v>275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3" t="n">
        <v>0</v>
      </c>
      <c r="J6" s="13" t="n">
        <v>0</v>
      </c>
      <c r="K6" s="18" t="n">
        <v>-25</v>
      </c>
      <c r="L6" s="10" t="n">
        <v>250</v>
      </c>
    </row>
    <row r="7">
      <c r="A7" s="9" t="inlineStr">
        <is>
          <t>blueberry</t>
        </is>
      </c>
      <c r="B7" s="10" t="n">
        <v>18</v>
      </c>
      <c r="C7" s="11" t="n">
        <v>0</v>
      </c>
      <c r="D7" s="10" t="n">
        <v>2288</v>
      </c>
      <c r="E7" s="11" t="n">
        <v>0</v>
      </c>
      <c r="F7" s="10" t="n">
        <v>2306</v>
      </c>
      <c r="G7" s="11" t="n">
        <v>0</v>
      </c>
      <c r="H7" s="10" t="n">
        <v>36</v>
      </c>
      <c r="I7" s="13" t="n">
        <v>0</v>
      </c>
      <c r="J7" s="13" t="n">
        <v>0</v>
      </c>
      <c r="K7" s="12" t="n">
        <v>36</v>
      </c>
      <c r="L7" s="11" t="n">
        <v>0</v>
      </c>
    </row>
    <row r="8">
      <c r="A8" s="9" t="inlineStr">
        <is>
          <t>cranberry</t>
        </is>
      </c>
      <c r="B8" s="10" t="n">
        <v>41997</v>
      </c>
      <c r="C8" s="11" t="n">
        <v>0</v>
      </c>
      <c r="D8" s="11" t="n">
        <v>0</v>
      </c>
      <c r="E8" s="11" t="n">
        <v>0</v>
      </c>
      <c r="F8" s="10" t="n">
        <v>5019</v>
      </c>
      <c r="G8" s="11" t="n">
        <v>0</v>
      </c>
      <c r="H8" s="10" t="n">
        <v>163</v>
      </c>
      <c r="I8" s="13" t="n">
        <v>0</v>
      </c>
      <c r="J8" s="13" t="n">
        <v>0</v>
      </c>
      <c r="K8" s="13" t="n">
        <v>0</v>
      </c>
      <c r="L8" s="10" t="n">
        <v>36814</v>
      </c>
    </row>
    <row r="9">
      <c r="A9" s="9" t="inlineStr">
        <is>
          <t>dates</t>
        </is>
      </c>
      <c r="B9" s="10" t="n">
        <v>236045</v>
      </c>
      <c r="C9" s="10" t="n">
        <v>9949</v>
      </c>
      <c r="D9" s="11" t="n">
        <v>0</v>
      </c>
      <c r="E9" s="10" t="n">
        <v>3980</v>
      </c>
      <c r="F9" s="10" t="n">
        <v>52811</v>
      </c>
      <c r="G9" s="10" t="n">
        <v>1650</v>
      </c>
      <c r="H9" s="10" t="n">
        <v>126205</v>
      </c>
      <c r="I9" s="12" t="n">
        <v>24239</v>
      </c>
      <c r="J9" s="12" t="n">
        <v>29866</v>
      </c>
      <c r="K9" s="13" t="n">
        <v>0</v>
      </c>
      <c r="L9" s="10" t="n">
        <v>66981</v>
      </c>
    </row>
    <row r="10">
      <c r="A10" s="9" t="inlineStr">
        <is>
          <t>pista</t>
        </is>
      </c>
      <c r="B10" s="10" t="n">
        <v>35936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0" t="n">
        <v>4558</v>
      </c>
      <c r="I10" s="13" t="n">
        <v>0</v>
      </c>
      <c r="J10" s="13" t="n">
        <v>0</v>
      </c>
      <c r="K10" s="13" t="n">
        <v>0</v>
      </c>
      <c r="L10" s="10" t="n">
        <v>31378</v>
      </c>
    </row>
    <row r="11">
      <c r="A11" s="9" t="inlineStr">
        <is>
          <t>premium nuts</t>
        </is>
      </c>
      <c r="B11" s="10" t="n">
        <v>8629</v>
      </c>
      <c r="C11" s="11" t="n">
        <v>0</v>
      </c>
      <c r="D11" s="11" t="n">
        <v>0</v>
      </c>
      <c r="E11" s="10" t="n">
        <v>765</v>
      </c>
      <c r="F11" s="10" t="n">
        <v>559</v>
      </c>
      <c r="G11" s="11" t="n">
        <v>0</v>
      </c>
      <c r="H11" s="10" t="n">
        <v>469</v>
      </c>
      <c r="I11" s="13" t="n">
        <v>0</v>
      </c>
      <c r="J11" s="13" t="n">
        <v>0</v>
      </c>
      <c r="K11" s="13" t="n">
        <v>0</v>
      </c>
      <c r="L11" s="10" t="n">
        <v>8367</v>
      </c>
    </row>
    <row r="12">
      <c r="A12" s="9" t="inlineStr">
        <is>
          <t>raisin</t>
        </is>
      </c>
      <c r="B12" s="10" t="n">
        <v>18476</v>
      </c>
      <c r="C12" s="10" t="n">
        <v>25013</v>
      </c>
      <c r="D12" s="11" t="n">
        <v>0</v>
      </c>
      <c r="E12" s="10" t="n">
        <v>300</v>
      </c>
      <c r="F12" s="10" t="n">
        <v>3417</v>
      </c>
      <c r="G12" s="11" t="n">
        <v>0</v>
      </c>
      <c r="H12" s="10" t="n">
        <v>318</v>
      </c>
      <c r="I12" s="13" t="n">
        <v>0</v>
      </c>
      <c r="J12" s="13" t="n">
        <v>0</v>
      </c>
      <c r="K12" s="13" t="n">
        <v>0</v>
      </c>
      <c r="L12" s="10" t="n">
        <v>40054</v>
      </c>
    </row>
    <row r="13">
      <c r="A13" s="9" t="inlineStr">
        <is>
          <t>seeds</t>
        </is>
      </c>
      <c r="B13" s="10" t="n">
        <v>20750</v>
      </c>
      <c r="C13" s="11" t="n">
        <v>0</v>
      </c>
      <c r="D13" s="11" t="n">
        <v>0</v>
      </c>
      <c r="E13" s="11" t="n">
        <v>0</v>
      </c>
      <c r="F13" s="10" t="n">
        <v>12300</v>
      </c>
      <c r="G13" s="11" t="n">
        <v>0</v>
      </c>
      <c r="H13" s="10" t="n">
        <v>3950</v>
      </c>
      <c r="I13" s="13" t="n">
        <v>0</v>
      </c>
      <c r="J13" s="13" t="n">
        <v>0</v>
      </c>
      <c r="K13" s="13" t="n">
        <v>0</v>
      </c>
      <c r="L13" s="10" t="n">
        <v>4500</v>
      </c>
    </row>
    <row r="14">
      <c r="A14" s="9" t="inlineStr">
        <is>
          <t>walnut</t>
        </is>
      </c>
      <c r="B14" s="11" t="n">
        <v>0</v>
      </c>
      <c r="C14" s="11" t="n">
        <v>0</v>
      </c>
      <c r="D14" s="11" t="n">
        <v>0</v>
      </c>
      <c r="E14" s="10" t="n">
        <v>300</v>
      </c>
      <c r="F14" s="11" t="n">
        <v>0</v>
      </c>
      <c r="G14" s="11" t="n">
        <v>0</v>
      </c>
      <c r="H14" s="11" t="n">
        <v>0</v>
      </c>
      <c r="I14" s="13" t="n">
        <v>0</v>
      </c>
      <c r="J14" s="13" t="n">
        <v>0</v>
      </c>
      <c r="K14" s="13" t="n">
        <v>0</v>
      </c>
      <c r="L14" s="10" t="n">
        <v>300</v>
      </c>
    </row>
    <row r="15">
      <c r="A15" s="15" t="inlineStr">
        <is>
          <t>TOTAL</t>
        </is>
      </c>
      <c r="B15" s="16" t="n">
        <v>362126</v>
      </c>
      <c r="C15" s="16" t="n">
        <v>34962</v>
      </c>
      <c r="D15" s="16" t="n">
        <v>2288</v>
      </c>
      <c r="E15" s="16" t="n">
        <v>6315</v>
      </c>
      <c r="F15" s="16" t="n">
        <v>76412</v>
      </c>
      <c r="G15" s="16" t="n">
        <v>1650</v>
      </c>
      <c r="H15" s="16" t="n">
        <v>135700</v>
      </c>
      <c r="I15" s="16" t="n">
        <v>24239</v>
      </c>
      <c r="J15" s="16" t="n">
        <v>29866</v>
      </c>
      <c r="K15" s="16" t="n">
        <v>11</v>
      </c>
      <c r="L15" s="16" t="n">
        <v>189613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Other</t>
        </is>
      </c>
    </row>
    <row r="2">
      <c r="A2" s="2" t="inlineStr">
        <is>
          <t>Closing 10,312 kg  |  Opening 9,799 kg  |  Inward 0 kg  |  Outward 0 kg</t>
        </is>
      </c>
    </row>
    <row r="4">
      <c r="A4" s="3" t="inlineStr">
        <is>
          <t>Group</t>
        </is>
      </c>
      <c r="B4" s="3" t="inlineStr">
        <is>
          <t>Opening</t>
        </is>
      </c>
      <c r="C4" s="3" t="inlineStr">
        <is>
          <t>+ Inward</t>
        </is>
      </c>
      <c r="D4" s="3" t="inlineStr">
        <is>
          <t>+ Inf-In</t>
        </is>
      </c>
      <c r="E4" s="3" t="inlineStr">
        <is>
          <t>+ Xfr-In</t>
        </is>
      </c>
      <c r="F4" s="3" t="inlineStr">
        <is>
          <t>− Xfr-Out</t>
        </is>
      </c>
      <c r="G4" s="3" t="inlineStr">
        <is>
          <t>+ CN</t>
        </is>
      </c>
      <c r="H4" s="3" t="inlineStr">
        <is>
          <t>− Outward</t>
        </is>
      </c>
      <c r="I4" s="3" t="inlineStr">
        <is>
          <t>+ Adj-In</t>
        </is>
      </c>
      <c r="J4" s="3" t="inlineStr">
        <is>
          <t>− Adj-Out</t>
        </is>
      </c>
      <c r="K4" s="3" t="inlineStr">
        <is>
          <t>± Rearr</t>
        </is>
      </c>
      <c r="L4" s="3">
        <f> Closing</f>
        <v/>
      </c>
    </row>
    <row r="5">
      <c r="A5" s="9" t="inlineStr">
        <is>
          <t>almond</t>
        </is>
      </c>
      <c r="B5" s="10" t="n">
        <v>4799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3" t="n">
        <v>0</v>
      </c>
      <c r="J5" s="13" t="n">
        <v>0</v>
      </c>
      <c r="K5" s="13" t="n">
        <v>0</v>
      </c>
      <c r="L5" s="10" t="n">
        <v>4799</v>
      </c>
    </row>
    <row r="6">
      <c r="A6" s="9" t="inlineStr">
        <is>
          <t>dates</t>
        </is>
      </c>
      <c r="B6" s="10" t="n">
        <v>5000</v>
      </c>
      <c r="C6" s="11" t="n">
        <v>0</v>
      </c>
      <c r="D6" s="11" t="n">
        <v>0</v>
      </c>
      <c r="E6" s="10" t="n">
        <v>500</v>
      </c>
      <c r="F6" s="11" t="n">
        <v>0</v>
      </c>
      <c r="G6" s="11" t="n">
        <v>0</v>
      </c>
      <c r="H6" s="11" t="n">
        <v>0</v>
      </c>
      <c r="I6" s="13" t="n">
        <v>0</v>
      </c>
      <c r="J6" s="13" t="n">
        <v>0</v>
      </c>
      <c r="K6" s="13" t="n">
        <v>0</v>
      </c>
      <c r="L6" s="10" t="n">
        <v>5500</v>
      </c>
    </row>
    <row r="7">
      <c r="A7" s="9" t="inlineStr">
        <is>
          <t>packaging</t>
        </is>
      </c>
      <c r="B7" s="11" t="n">
        <v>0</v>
      </c>
      <c r="C7" s="11" t="n">
        <v>0</v>
      </c>
      <c r="D7" s="11" t="n">
        <v>0</v>
      </c>
      <c r="E7" s="10" t="n">
        <v>14</v>
      </c>
      <c r="F7" s="11" t="n">
        <v>0</v>
      </c>
      <c r="G7" s="11" t="n">
        <v>0</v>
      </c>
      <c r="H7" s="11" t="n">
        <v>0</v>
      </c>
      <c r="I7" s="13" t="n">
        <v>0</v>
      </c>
      <c r="J7" s="13" t="n">
        <v>0</v>
      </c>
      <c r="K7" s="13" t="n">
        <v>0</v>
      </c>
      <c r="L7" s="10" t="n">
        <v>14</v>
      </c>
    </row>
    <row r="8">
      <c r="A8" s="15" t="inlineStr">
        <is>
          <t>TOTAL</t>
        </is>
      </c>
      <c r="B8" s="16" t="n">
        <v>9799</v>
      </c>
      <c r="C8" s="17" t="n">
        <v>0</v>
      </c>
      <c r="D8" s="17" t="n">
        <v>0</v>
      </c>
      <c r="E8" s="16" t="n">
        <v>514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6" t="n">
        <v>10312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</cols>
  <sheetData>
    <row r="1">
      <c r="A1" s="1" t="inlineStr">
        <is>
          <t>Sale-line classification</t>
        </is>
      </c>
    </row>
    <row r="3">
      <c r="A3" s="3" t="inlineStr">
        <is>
          <t>Category</t>
        </is>
      </c>
      <c r="B3" s="3" t="inlineStr">
        <is>
          <t>Count</t>
        </is>
      </c>
    </row>
    <row r="4">
      <c r="A4" t="inlineStr">
        <is>
          <t>Direct RM sales</t>
        </is>
      </c>
      <c r="B4" s="19" t="n">
        <v>476</v>
      </c>
    </row>
    <row r="5">
      <c r="A5" t="inlineStr">
        <is>
          <t>FG with BOM (converted)</t>
        </is>
      </c>
      <c r="B5" s="19" t="n">
        <v>2863</v>
      </c>
    </row>
    <row r="6">
      <c r="A6" t="inlineStr">
        <is>
          <t>FG without BOM</t>
        </is>
      </c>
      <c r="B6" s="19" t="n">
        <v>427</v>
      </c>
    </row>
    <row r="7">
      <c r="A7" t="inlineStr">
        <is>
          <t>Keyword-inferred</t>
        </is>
      </c>
      <c r="B7" s="19" t="n">
        <v>73</v>
      </c>
    </row>
    <row r="8">
      <c r="A8" t="inlineStr">
        <is>
          <t>Unknown</t>
        </is>
      </c>
      <c r="B8" s="19" t="n">
        <v>0</v>
      </c>
    </row>
    <row r="9">
      <c r="A9" t="inlineStr">
        <is>
          <t>Sales lines total</t>
        </is>
      </c>
      <c r="B9" s="19" t="n">
        <v>3856</v>
      </c>
    </row>
    <row r="10">
      <c r="A10" t="inlineStr">
        <is>
          <t>CN from Excel</t>
        </is>
      </c>
      <c r="B10" s="19" t="n">
        <v>21</v>
      </c>
    </row>
    <row r="11">
      <c r="A11" t="inlineStr">
        <is>
          <t>CN from PDFs (deduped by doc_no+product)</t>
        </is>
      </c>
      <c r="B11" s="19" t="n">
        <v>175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</cols>
  <sheetData>
    <row r="1">
      <c r="A1" s="1" t="inlineStr">
        <is>
          <t>Inter-company Stock-Transfer Invoices — Digest</t>
        </is>
      </c>
    </row>
    <row r="2">
      <c r="A2" s="2" t="inlineStr">
        <is>
          <t>15 line items · total 233,890 kg (excluded from Outward / Closing)</t>
        </is>
      </c>
    </row>
    <row r="4">
      <c r="A4" s="3" t="inlineStr">
        <is>
          <t>Group</t>
        </is>
      </c>
      <c r="B4" s="3" t="inlineStr">
        <is>
          <t>Entity</t>
        </is>
      </c>
      <c r="C4" s="3" t="inlineStr">
        <is>
          <t>KG</t>
        </is>
      </c>
    </row>
    <row r="5">
      <c r="A5" t="inlineStr">
        <is>
          <t>dates</t>
        </is>
      </c>
      <c r="B5" t="inlineStr">
        <is>
          <t>CDPL</t>
        </is>
      </c>
      <c r="C5" s="19" t="n">
        <v>233890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2" customWidth="1" min="4" max="4"/>
    <col width="10" customWidth="1" min="5" max="5"/>
    <col width="12" customWidth="1" min="6" max="6"/>
    <col width="36" customWidth="1" min="7" max="7"/>
    <col width="12" customWidth="1" min="8" max="8"/>
  </cols>
  <sheetData>
    <row r="1">
      <c r="A1" s="1" t="inlineStr">
        <is>
          <t>Inter-company Stock-Transfer Invoices — Line items</t>
        </is>
      </c>
    </row>
    <row r="3">
      <c r="A3" s="3" t="inlineStr">
        <is>
          <t>Date</t>
        </is>
      </c>
      <c r="B3" s="3" t="inlineStr">
        <is>
          <t>Doc No</t>
        </is>
      </c>
      <c r="C3" s="3" t="inlineStr">
        <is>
          <t>Entity</t>
        </is>
      </c>
      <c r="D3" s="3" t="inlineStr">
        <is>
          <t>Buyer</t>
        </is>
      </c>
      <c r="E3" s="3" t="inlineStr">
        <is>
          <t>Unit</t>
        </is>
      </c>
      <c r="F3" s="3" t="inlineStr">
        <is>
          <t>Group</t>
        </is>
      </c>
      <c r="G3" s="3" t="inlineStr">
        <is>
          <t>Article</t>
        </is>
      </c>
      <c r="H3" s="3" t="inlineStr">
        <is>
          <t>KG</t>
        </is>
      </c>
    </row>
    <row r="4">
      <c r="A4" t="inlineStr">
        <is>
          <t>2026-04-03</t>
        </is>
      </c>
      <c r="B4" t="inlineStr">
        <is>
          <t>CDPL/25-26/1430</t>
        </is>
      </c>
      <c r="C4" t="inlineStr">
        <is>
          <t>CDPL</t>
        </is>
      </c>
      <c r="D4" t="inlineStr">
        <is>
          <t>CANDOR FOODS PVT LTD ( SALE)</t>
        </is>
      </c>
      <c r="E4" t="inlineStr">
        <is>
          <t>RISHI</t>
        </is>
      </c>
      <c r="F4" t="inlineStr">
        <is>
          <t>dates</t>
        </is>
      </c>
      <c r="G4" t="inlineStr">
        <is>
          <t>AL BARAKAH FARD</t>
        </is>
      </c>
      <c r="H4" s="19" t="n">
        <v>50000</v>
      </c>
    </row>
    <row r="5">
      <c r="A5" t="inlineStr">
        <is>
          <t>2026-04-03</t>
        </is>
      </c>
      <c r="B5" t="inlineStr">
        <is>
          <t>CDPL/25-26/1430</t>
        </is>
      </c>
      <c r="C5" t="inlineStr">
        <is>
          <t>CDPL</t>
        </is>
      </c>
      <c r="D5" t="inlineStr">
        <is>
          <t>CANDOR FOODS PVT LTD ( SALE)</t>
        </is>
      </c>
      <c r="E5" t="inlineStr">
        <is>
          <t>RISHI</t>
        </is>
      </c>
      <c r="F5" t="inlineStr">
        <is>
          <t>dates</t>
        </is>
      </c>
      <c r="G5" t="inlineStr">
        <is>
          <t>AL BARAKAH FARD</t>
        </is>
      </c>
      <c r="H5" s="19" t="n">
        <v>50000</v>
      </c>
    </row>
    <row r="6">
      <c r="A6" t="inlineStr">
        <is>
          <t>2026-04-03</t>
        </is>
      </c>
      <c r="B6" t="inlineStr">
        <is>
          <t>CDPL/25-26/1430</t>
        </is>
      </c>
      <c r="C6" t="inlineStr">
        <is>
          <t>CDPL</t>
        </is>
      </c>
      <c r="D6" t="inlineStr">
        <is>
          <t>CANDOR FOODS PVT LTD ( SALE)</t>
        </is>
      </c>
      <c r="E6" t="inlineStr">
        <is>
          <t>RISHI</t>
        </is>
      </c>
      <c r="F6" t="inlineStr">
        <is>
          <t>dates</t>
        </is>
      </c>
      <c r="G6" t="inlineStr">
        <is>
          <t>AL BARAKAH BARHI</t>
        </is>
      </c>
      <c r="H6" s="19" t="n">
        <v>28000</v>
      </c>
    </row>
    <row r="7">
      <c r="A7" t="inlineStr">
        <is>
          <t>2026-04-03</t>
        </is>
      </c>
      <c r="B7" t="inlineStr">
        <is>
          <t>CDPL/25-26/1430</t>
        </is>
      </c>
      <c r="C7" t="inlineStr">
        <is>
          <t>CDPL</t>
        </is>
      </c>
      <c r="D7" t="inlineStr">
        <is>
          <t>CANDOR FOODS PVT LTD ( SALE)</t>
        </is>
      </c>
      <c r="E7" t="inlineStr">
        <is>
          <t>RISHI</t>
        </is>
      </c>
      <c r="F7" t="inlineStr">
        <is>
          <t>dates</t>
        </is>
      </c>
      <c r="G7" t="inlineStr">
        <is>
          <t>Wet Date Sayer ( Unpitted</t>
        </is>
      </c>
      <c r="H7" s="19" t="n">
        <v>25000</v>
      </c>
    </row>
    <row r="8">
      <c r="A8" t="inlineStr">
        <is>
          <t>2026-04-03</t>
        </is>
      </c>
      <c r="B8" t="inlineStr">
        <is>
          <t>CDPL/25-26/1430</t>
        </is>
      </c>
      <c r="C8" t="inlineStr">
        <is>
          <t>CDPL</t>
        </is>
      </c>
      <c r="D8" t="inlineStr">
        <is>
          <t>CANDOR FOODS PVT LTD ( SALE)</t>
        </is>
      </c>
      <c r="E8" t="inlineStr">
        <is>
          <t>RISHI</t>
        </is>
      </c>
      <c r="F8" t="inlineStr">
        <is>
          <t>dates</t>
        </is>
      </c>
      <c r="G8" t="inlineStr">
        <is>
          <t>Sufri Wet Dates</t>
        </is>
      </c>
      <c r="H8" s="19" t="n">
        <v>25000</v>
      </c>
    </row>
    <row r="9">
      <c r="A9" t="inlineStr">
        <is>
          <t>2026-04-03</t>
        </is>
      </c>
      <c r="B9" t="inlineStr">
        <is>
          <t>CDPL/25-26/1430</t>
        </is>
      </c>
      <c r="C9" t="inlineStr">
        <is>
          <t>CDPL</t>
        </is>
      </c>
      <c r="D9" t="inlineStr">
        <is>
          <t>CANDOR FOODS PVT LTD ( SALE)</t>
        </is>
      </c>
      <c r="E9" t="inlineStr">
        <is>
          <t>RISHI</t>
        </is>
      </c>
      <c r="F9" t="inlineStr">
        <is>
          <t>dates</t>
        </is>
      </c>
      <c r="G9" t="inlineStr">
        <is>
          <t>AL BARAKAH FARD</t>
        </is>
      </c>
      <c r="H9" s="19" t="n">
        <v>23990</v>
      </c>
    </row>
    <row r="10">
      <c r="A10" t="inlineStr">
        <is>
          <t>2026-04-03</t>
        </is>
      </c>
      <c r="B10" t="inlineStr">
        <is>
          <t>CND/25-26/10782</t>
        </is>
      </c>
      <c r="C10" t="inlineStr">
        <is>
          <t>CDPL</t>
        </is>
      </c>
      <c r="D10" t="inlineStr">
        <is>
          <t>Candor Dates Private Limited (Sale)</t>
        </is>
      </c>
      <c r="E10" t="inlineStr">
        <is>
          <t>W-202</t>
        </is>
      </c>
      <c r="F10" t="inlineStr">
        <is>
          <t>dates</t>
        </is>
      </c>
      <c r="G10" t="inlineStr">
        <is>
          <t>AL BARAKAH</t>
        </is>
      </c>
      <c r="H10" s="19" t="n">
        <v>15000</v>
      </c>
    </row>
    <row r="11">
      <c r="A11" t="inlineStr">
        <is>
          <t>2026-04-03</t>
        </is>
      </c>
      <c r="B11" t="inlineStr">
        <is>
          <t>CND/25-26/10782</t>
        </is>
      </c>
      <c r="C11" t="inlineStr">
        <is>
          <t>CDPL</t>
        </is>
      </c>
      <c r="D11" t="inlineStr">
        <is>
          <t>Candor Dates Private Limited (Sale)</t>
        </is>
      </c>
      <c r="E11" t="inlineStr">
        <is>
          <t>W-202</t>
        </is>
      </c>
      <c r="F11" t="inlineStr">
        <is>
          <t>dates</t>
        </is>
      </c>
      <c r="G11" t="inlineStr">
        <is>
          <t>AL Barakah Date Paste</t>
        </is>
      </c>
      <c r="H11" s="19" t="n">
        <v>8000</v>
      </c>
    </row>
    <row r="12">
      <c r="A12" t="inlineStr">
        <is>
          <t>2026-04-03</t>
        </is>
      </c>
      <c r="B12" t="inlineStr">
        <is>
          <t>CND/25-26/10782</t>
        </is>
      </c>
      <c r="C12" t="inlineStr">
        <is>
          <t>CDPL</t>
        </is>
      </c>
      <c r="D12" t="inlineStr">
        <is>
          <t>Candor Dates Private Limited (Sale)</t>
        </is>
      </c>
      <c r="E12" t="inlineStr">
        <is>
          <t>W-202</t>
        </is>
      </c>
      <c r="F12" t="inlineStr">
        <is>
          <t>dates</t>
        </is>
      </c>
      <c r="G12" t="inlineStr">
        <is>
          <t>AL BARAKAH DATES</t>
        </is>
      </c>
      <c r="H12" s="19" t="n">
        <v>3900</v>
      </c>
    </row>
    <row r="13">
      <c r="A13" t="inlineStr">
        <is>
          <t>2026-04-03</t>
        </is>
      </c>
      <c r="B13" t="inlineStr">
        <is>
          <t>CDPL/25-26/1430</t>
        </is>
      </c>
      <c r="C13" t="inlineStr">
        <is>
          <t>CDPL</t>
        </is>
      </c>
      <c r="D13" t="inlineStr">
        <is>
          <t>CANDOR FOODS PVT LTD ( SALE)</t>
        </is>
      </c>
      <c r="E13" t="inlineStr">
        <is>
          <t>RISHI</t>
        </is>
      </c>
      <c r="F13" t="inlineStr">
        <is>
          <t>dates</t>
        </is>
      </c>
      <c r="G13" t="inlineStr">
        <is>
          <t>Wet Dates Maryam</t>
        </is>
      </c>
      <c r="H13" s="19" t="n">
        <v>2000</v>
      </c>
    </row>
    <row r="14">
      <c r="A14" t="inlineStr">
        <is>
          <t>2026-04-03</t>
        </is>
      </c>
      <c r="B14" t="inlineStr">
        <is>
          <t>CND/25-26/10782</t>
        </is>
      </c>
      <c r="C14" t="inlineStr">
        <is>
          <t>CDPL</t>
        </is>
      </c>
      <c r="D14" t="inlineStr">
        <is>
          <t>Candor Dates Private Limited (Sale)</t>
        </is>
      </c>
      <c r="E14" t="inlineStr">
        <is>
          <t>W-202</t>
        </is>
      </c>
      <c r="F14" t="inlineStr">
        <is>
          <t>dates</t>
        </is>
      </c>
      <c r="G14" t="inlineStr">
        <is>
          <t>Amary Dates</t>
        </is>
      </c>
      <c r="H14" s="19" t="n">
        <v>1000</v>
      </c>
    </row>
    <row r="15">
      <c r="A15" t="inlineStr">
        <is>
          <t>2026-04-03</t>
        </is>
      </c>
      <c r="B15" t="inlineStr">
        <is>
          <t>CDPL/25-26/1430</t>
        </is>
      </c>
      <c r="C15" t="inlineStr">
        <is>
          <t>CDPL</t>
        </is>
      </c>
      <c r="D15" t="inlineStr">
        <is>
          <t>CANDOR FOODS PVT LTD ( SALE)</t>
        </is>
      </c>
      <c r="E15" t="inlineStr">
        <is>
          <t>RISHI</t>
        </is>
      </c>
      <c r="F15" t="inlineStr">
        <is>
          <t>dates</t>
        </is>
      </c>
      <c r="G15" t="inlineStr">
        <is>
          <t>Wet Dates Safavi</t>
        </is>
      </c>
      <c r="H15" s="19" t="n">
        <v>1000</v>
      </c>
    </row>
    <row r="16">
      <c r="A16" t="inlineStr">
        <is>
          <t>2026-04-03</t>
        </is>
      </c>
      <c r="B16" t="inlineStr">
        <is>
          <t>CDPL/25-26/1430</t>
        </is>
      </c>
      <c r="C16" t="inlineStr">
        <is>
          <t>CDPL</t>
        </is>
      </c>
      <c r="D16" t="inlineStr">
        <is>
          <t>CANDOR FOODS PVT LTD ( SALE)</t>
        </is>
      </c>
      <c r="E16" t="inlineStr">
        <is>
          <t>RISHI</t>
        </is>
      </c>
      <c r="F16" t="inlineStr">
        <is>
          <t>dates</t>
        </is>
      </c>
      <c r="G16" t="inlineStr">
        <is>
          <t>Wet Dates Ajwa</t>
        </is>
      </c>
      <c r="H16" s="19" t="n">
        <v>500</v>
      </c>
    </row>
    <row r="17">
      <c r="A17" t="inlineStr">
        <is>
          <t>2026-04-03</t>
        </is>
      </c>
      <c r="B17" t="inlineStr">
        <is>
          <t>CDPL/25-26/1430</t>
        </is>
      </c>
      <c r="C17" t="inlineStr">
        <is>
          <t>CDPL</t>
        </is>
      </c>
      <c r="D17" t="inlineStr">
        <is>
          <t>CANDOR FOODS PVT LTD ( SALE)</t>
        </is>
      </c>
      <c r="E17" t="inlineStr">
        <is>
          <t>RISHI</t>
        </is>
      </c>
      <c r="F17" t="inlineStr">
        <is>
          <t>dates</t>
        </is>
      </c>
      <c r="G17" t="inlineStr">
        <is>
          <t>AL BARAKAH DATES SYRUP 400G</t>
        </is>
      </c>
      <c r="H17" s="19" t="n">
        <v>400</v>
      </c>
    </row>
    <row r="18">
      <c r="A18" t="inlineStr">
        <is>
          <t>2026-04-03</t>
        </is>
      </c>
      <c r="B18" t="inlineStr">
        <is>
          <t>CND/25-26/10782</t>
        </is>
      </c>
      <c r="C18" t="inlineStr">
        <is>
          <t>CDPL</t>
        </is>
      </c>
      <c r="D18" t="inlineStr">
        <is>
          <t>Candor Dates Private Limited (Sale)</t>
        </is>
      </c>
      <c r="E18" t="inlineStr">
        <is>
          <t>W-202</t>
        </is>
      </c>
      <c r="F18" t="inlineStr">
        <is>
          <t>dates</t>
        </is>
      </c>
      <c r="G18" t="inlineStr">
        <is>
          <t>Medjoul Dates Large</t>
        </is>
      </c>
      <c r="H18" s="19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2026-05-20T13:11:09Z</dcterms:created>
  <dcterms:modified xsi:type="dcterms:W3CDTF">2026-05-20T13:11:09Z</dcterms:modified>
</cp:coreProperties>
</file>